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 activeTab="1"/>
  </bookViews>
  <sheets>
    <sheet name="July 2025" sheetId="18" r:id="rId1"/>
    <sheet name="2026" sheetId="19" r:id="rId2"/>
  </sheets>
  <calcPr calcId="162913"/>
</workbook>
</file>

<file path=xl/calcChain.xml><?xml version="1.0" encoding="utf-8"?>
<calcChain xmlns="http://schemas.openxmlformats.org/spreadsheetml/2006/main">
  <c r="F23" i="19" l="1"/>
  <c r="C23" i="19"/>
  <c r="D1867" i="18" l="1"/>
  <c r="C1867" i="18"/>
  <c r="F1867" i="18"/>
  <c r="F1822" i="18" l="1"/>
  <c r="F1830" i="18" s="1"/>
  <c r="D1830" i="18" l="1"/>
  <c r="C1830" i="18"/>
  <c r="D1759" i="18" l="1"/>
  <c r="C1759" i="18"/>
  <c r="F1757" i="18"/>
  <c r="F1756" i="18"/>
  <c r="F1753" i="18"/>
  <c r="F1759" i="18" s="1"/>
  <c r="F1707" i="18" l="1"/>
  <c r="F1705" i="18" l="1"/>
  <c r="F1708" i="18"/>
  <c r="D1710" i="18"/>
  <c r="C1710" i="18"/>
  <c r="F1710" i="18" l="1"/>
  <c r="F1661" i="18" l="1"/>
  <c r="F1660" i="18"/>
  <c r="C1672" i="18"/>
  <c r="D1672" i="18"/>
  <c r="F1672" i="18" l="1"/>
  <c r="D1626" i="18"/>
  <c r="D1632" i="18" s="1"/>
  <c r="F1632" i="18"/>
  <c r="C1632" i="18"/>
  <c r="D1582" i="18" l="1"/>
  <c r="D1592" i="18" s="1"/>
  <c r="F1592" i="18"/>
  <c r="C1592" i="18"/>
  <c r="D1511" i="18" l="1"/>
  <c r="F1554" i="18"/>
  <c r="C1554" i="18"/>
  <c r="D1554" i="18"/>
  <c r="D1508" i="18" l="1"/>
  <c r="D1518" i="18" s="1"/>
  <c r="F1518" i="18" l="1"/>
  <c r="C1518" i="18"/>
  <c r="F1471" i="18" l="1"/>
  <c r="C1471" i="18"/>
  <c r="D1471" i="18"/>
  <c r="D1428" i="18"/>
  <c r="F1433" i="18" l="1"/>
  <c r="D1433" i="18"/>
  <c r="C1433" i="18"/>
  <c r="F1400" i="18" l="1"/>
  <c r="D1400" i="18"/>
  <c r="C1400" i="18"/>
  <c r="F1366" i="18" l="1"/>
  <c r="D1366" i="18"/>
  <c r="C1366" i="18"/>
  <c r="D1311" i="18"/>
  <c r="F1320" i="18" l="1"/>
  <c r="E1320" i="18"/>
  <c r="D1320" i="18"/>
  <c r="C1320" i="18"/>
  <c r="D1271" i="18" l="1"/>
  <c r="F1279" i="18" l="1"/>
  <c r="E1279" i="18"/>
  <c r="D1279" i="18"/>
  <c r="C1279" i="18"/>
  <c r="E1242" i="18"/>
  <c r="D1242" i="18" l="1"/>
  <c r="F1242" i="18"/>
  <c r="C1242" i="18" l="1"/>
  <c r="D1202" i="18" l="1"/>
  <c r="F1206" i="18" l="1"/>
  <c r="C1206" i="18"/>
  <c r="D1206" i="18"/>
  <c r="D1162" i="18" l="1"/>
  <c r="D1161" i="18"/>
  <c r="F1168" i="18" l="1"/>
  <c r="E1168" i="18"/>
  <c r="D1168" i="18"/>
  <c r="C1168" i="18"/>
  <c r="C1127" i="18" l="1"/>
  <c r="E1127" i="18" l="1"/>
  <c r="D1117" i="18" l="1"/>
  <c r="D1127" i="18" s="1"/>
  <c r="F1127" i="18"/>
  <c r="E1087" i="18" l="1"/>
  <c r="F1087" i="18" l="1"/>
  <c r="D1087" i="18"/>
  <c r="C1087" i="18"/>
  <c r="F1045" i="18" l="1"/>
  <c r="E1045" i="18"/>
  <c r="D1045" i="18"/>
  <c r="C1045" i="18"/>
  <c r="D998" i="18" l="1"/>
  <c r="F1006" i="18" l="1"/>
  <c r="E1006" i="18"/>
  <c r="D1006" i="18"/>
  <c r="C1006" i="18"/>
  <c r="E968" i="18" l="1"/>
  <c r="D968" i="18"/>
  <c r="C968" i="18"/>
  <c r="F968" i="18" l="1"/>
  <c r="F927" i="18" l="1"/>
  <c r="E927" i="18"/>
  <c r="D927" i="18"/>
  <c r="C927" i="18"/>
  <c r="C888" i="18" l="1"/>
  <c r="D849" i="18" l="1"/>
  <c r="D850" i="18"/>
  <c r="F888" i="18"/>
  <c r="E888" i="18"/>
  <c r="D888" i="18"/>
  <c r="C852" i="18" l="1"/>
  <c r="D773" i="18" l="1"/>
  <c r="D775" i="18" s="1"/>
  <c r="F852" i="18" l="1"/>
  <c r="E852" i="18"/>
  <c r="D852" i="18"/>
  <c r="F817" i="18" l="1"/>
  <c r="E817" i="18"/>
  <c r="D817" i="18"/>
  <c r="C817" i="18" l="1"/>
  <c r="E775" i="18" l="1"/>
  <c r="F775" i="18" l="1"/>
  <c r="C775" i="18"/>
  <c r="F739" i="18" l="1"/>
  <c r="F742" i="18" l="1"/>
  <c r="C742" i="18" l="1"/>
  <c r="D742" i="18"/>
  <c r="F703" i="18" l="1"/>
  <c r="E703" i="18"/>
  <c r="C703" i="18"/>
  <c r="D703" i="18"/>
  <c r="D632" i="18" l="1"/>
  <c r="D640" i="18" s="1"/>
  <c r="F640" i="18"/>
  <c r="E640" i="18"/>
  <c r="C640" i="18"/>
  <c r="F603" i="18" l="1"/>
  <c r="E603" i="18"/>
  <c r="C603" i="18"/>
  <c r="D602" i="18"/>
  <c r="D601" i="18" l="1"/>
  <c r="D603" i="18" s="1"/>
  <c r="E558" i="18" l="1"/>
  <c r="E557" i="18" l="1"/>
  <c r="F563" i="18" l="1"/>
  <c r="E563" i="18"/>
  <c r="D563" i="18"/>
  <c r="C563" i="18"/>
  <c r="F519" i="18" l="1"/>
  <c r="E519" i="18"/>
  <c r="D519" i="18"/>
  <c r="C519" i="18"/>
  <c r="F483" i="18" l="1"/>
  <c r="E483" i="18"/>
  <c r="D483" i="18"/>
  <c r="C483" i="18"/>
  <c r="D441" i="18" l="1"/>
  <c r="F446" i="18" l="1"/>
  <c r="E446" i="18"/>
  <c r="D446" i="18"/>
  <c r="C446" i="18"/>
  <c r="C402" i="18" l="1"/>
  <c r="E408" i="18" l="1"/>
  <c r="D408" i="18"/>
  <c r="C408" i="18"/>
  <c r="F408" i="18"/>
  <c r="F363" i="18" l="1"/>
  <c r="E369" i="18" l="1"/>
  <c r="D369" i="18"/>
  <c r="C369" i="18"/>
  <c r="F369" i="18"/>
  <c r="E334" i="18" l="1"/>
  <c r="D334" i="18"/>
  <c r="C334" i="18"/>
  <c r="F331" i="18"/>
  <c r="F332" i="18"/>
  <c r="F334" i="18" l="1"/>
  <c r="F300" i="18"/>
  <c r="E300" i="18" l="1"/>
  <c r="D300" i="18"/>
  <c r="C300" i="18"/>
  <c r="D253" i="18" l="1"/>
  <c r="D258" i="18" s="1"/>
  <c r="F258" i="18" l="1"/>
  <c r="E258" i="18"/>
  <c r="C258" i="18"/>
  <c r="C213" i="18" l="1"/>
  <c r="E213" i="18"/>
  <c r="F213" i="18"/>
  <c r="D166" i="18" l="1"/>
  <c r="D164" i="18" l="1"/>
  <c r="F169" i="18" l="1"/>
  <c r="D169" i="18"/>
  <c r="C169" i="18"/>
  <c r="F129" i="18" l="1"/>
  <c r="C129" i="18"/>
  <c r="D129" i="18"/>
  <c r="D91" i="18" l="1"/>
  <c r="F94" i="18" l="1"/>
  <c r="C94" i="18"/>
  <c r="D87" i="18"/>
  <c r="D94" i="18" s="1"/>
  <c r="D56" i="18" l="1"/>
  <c r="D53" i="18" l="1"/>
  <c r="D52" i="18"/>
  <c r="F58" i="18" l="1"/>
  <c r="D58" i="18"/>
  <c r="C58" i="18"/>
  <c r="F13" i="18"/>
  <c r="E13" i="18"/>
  <c r="D13" i="18"/>
  <c r="C13" i="18"/>
</calcChain>
</file>

<file path=xl/comments1.xml><?xml version="1.0" encoding="utf-8"?>
<comments xmlns="http://schemas.openxmlformats.org/spreadsheetml/2006/main">
  <authors>
    <author>HP</author>
  </authors>
  <commentList>
    <comment ref="F29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PAYEE=355,950RWF
PENSION=78,390RWF
MATERNITY=3,332RWF
CBHI=4,344RWF</t>
        </r>
      </text>
    </comment>
    <comment ref="F635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Payee=355,950Rwf
Pension=78,390Rwf
Maternity=3,332Rwf
CBH=4,344Rwf</t>
        </r>
      </text>
    </comment>
    <comment ref="F69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Payee=355,950Rwf
Pension=78,390Rwf
Maternity=3,332Rwf
CBH=4,344Rwf</t>
        </r>
      </text>
    </comment>
    <comment ref="D847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Kimironko=225,000
Rubavu=45,000
Bishenyi=120,000
Gisozi=367,500</t>
        </r>
      </text>
    </comment>
    <comment ref="D1428" authorId="0" shapeId="0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Accomo=40000
Perdium=24000
Transp=3000
Trans moto=4000</t>
        </r>
      </text>
    </comment>
  </commentList>
</comments>
</file>

<file path=xl/sharedStrings.xml><?xml version="1.0" encoding="utf-8"?>
<sst xmlns="http://schemas.openxmlformats.org/spreadsheetml/2006/main" count="2023" uniqueCount="669">
  <si>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</si>
  <si>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</si>
  <si>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</si>
  <si>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</si>
  <si>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</si>
  <si>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</si>
  <si>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</si>
  <si>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</si>
  <si>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Executive Director</t>
  </si>
  <si>
    <t>Chairman</t>
  </si>
  <si>
    <t>RWANDA WOOD VALUE CHAIN ASSOCIATION"RWVCA"</t>
  </si>
  <si>
    <t>List attached</t>
  </si>
  <si>
    <t>000400030062757/BK/IKWIM PETROLGATE LTD</t>
  </si>
  <si>
    <t>Via Momo 0783755204</t>
  </si>
  <si>
    <t xml:space="preserve">Account Number </t>
  </si>
  <si>
    <t>Abdul Karemera</t>
  </si>
  <si>
    <r>
      <t>N</t>
    </r>
    <r>
      <rPr>
        <b/>
        <vertAlign val="superscript"/>
        <sz val="11"/>
        <color theme="1"/>
        <rFont val="Times New Roman"/>
        <family val="1"/>
      </rPr>
      <t>o</t>
    </r>
  </si>
  <si>
    <t>Account number:00049-07774802-50 /GIZ</t>
  </si>
  <si>
    <t>Done, on    15/01/2025</t>
  </si>
  <si>
    <t>Payment of petty cash from Bank</t>
  </si>
  <si>
    <t>Done, on    23/01/2025</t>
  </si>
  <si>
    <t>OK</t>
  </si>
  <si>
    <t>PSF</t>
  </si>
  <si>
    <t>Payment of petty cash from bank</t>
  </si>
  <si>
    <t>Nyirasafari Jemima</t>
  </si>
  <si>
    <t xml:space="preserve">Payment of petty cash </t>
  </si>
  <si>
    <t>List Attached</t>
  </si>
  <si>
    <t>Jemima Nyirasafari</t>
  </si>
  <si>
    <t>RRA</t>
  </si>
  <si>
    <t>RSSB</t>
  </si>
  <si>
    <t>Excellent Investment Company Ltd</t>
  </si>
  <si>
    <t>Staff list attached</t>
  </si>
  <si>
    <t>Amount RWVCA/I&amp;M BANK</t>
  </si>
  <si>
    <t>Via momo 0784297807</t>
  </si>
  <si>
    <t>Nsengiyumva Francis</t>
  </si>
  <si>
    <t>Nyirabahizi Gloriose</t>
  </si>
  <si>
    <t>TOYOTA RWANDA LTD</t>
  </si>
  <si>
    <t xml:space="preserve">The debited accounts to pay the listed requisitions is: </t>
  </si>
  <si>
    <t>Amount RWVCA/SCHOOL DESKS</t>
  </si>
  <si>
    <t>IKWIM PETROLGATE</t>
  </si>
  <si>
    <t>Advance Tour Ltd</t>
  </si>
  <si>
    <t>Amount RWVCA/ACB</t>
  </si>
  <si>
    <t>Via Momo 0784297807</t>
  </si>
  <si>
    <t>Staff List attached</t>
  </si>
  <si>
    <t>Amount RWVCA/GIZ</t>
  </si>
  <si>
    <r>
      <t>Account number:</t>
    </r>
    <r>
      <rPr>
        <b/>
        <sz val="11"/>
        <color theme="1"/>
        <rFont val="Times New Roman"/>
        <family val="1"/>
      </rPr>
      <t>20108534001/I&amp;M BANK</t>
    </r>
  </si>
  <si>
    <r>
      <rPr>
        <b/>
        <u/>
        <sz val="11"/>
        <color theme="1"/>
        <rFont val="Times New Roman"/>
        <family val="1"/>
      </rPr>
      <t>Account numbe</t>
    </r>
    <r>
      <rPr>
        <b/>
        <sz val="11"/>
        <color theme="1"/>
        <rFont val="Times New Roman"/>
        <family val="1"/>
      </rPr>
      <t>r:402010003695600/ACB</t>
    </r>
  </si>
  <si>
    <t>Available amount:79,609RWF/RWVCA</t>
  </si>
  <si>
    <t>Amount RWVCA/RWVCA</t>
  </si>
  <si>
    <r>
      <t>Account number:</t>
    </r>
    <r>
      <rPr>
        <b/>
        <sz val="9"/>
        <color theme="1"/>
        <rFont val="Times New Roman"/>
        <family val="1"/>
      </rPr>
      <t>20108534001/I&amp;M BANK</t>
    </r>
  </si>
  <si>
    <r>
      <rPr>
        <b/>
        <u/>
        <sz val="9"/>
        <color theme="1"/>
        <rFont val="Times New Roman"/>
        <family val="1"/>
      </rPr>
      <t>Account numbe</t>
    </r>
    <r>
      <rPr>
        <b/>
        <sz val="9"/>
        <color theme="1"/>
        <rFont val="Times New Roman"/>
        <family val="1"/>
      </rPr>
      <t>r:402010003695600/ACB</t>
    </r>
  </si>
  <si>
    <t>Available amount:40,551,399RWF/RWVCA</t>
  </si>
  <si>
    <r>
      <t>Account number:</t>
    </r>
    <r>
      <rPr>
        <b/>
        <sz val="11"/>
        <color theme="1"/>
        <rFont val="Times New Roman"/>
        <family val="1"/>
      </rPr>
      <t>20108534002/I&amp;M BANK PROJECT</t>
    </r>
  </si>
  <si>
    <t>Payment of Net Salaries for Staff July,2025</t>
  </si>
  <si>
    <t>Payment of Communication feees for Staff (August,2025)</t>
  </si>
  <si>
    <t>Payment of wage for casual employee acting in Kirehe ICPC</t>
  </si>
  <si>
    <t>Payment of certified surveyor  for Field data collection and deep plan production fees</t>
  </si>
  <si>
    <t>0783075598/Uwimana Pacifique</t>
  </si>
  <si>
    <t>Done, on    21/07/2025</t>
  </si>
  <si>
    <t>0787106421/'Nyiramugisha Esther</t>
  </si>
  <si>
    <t>Payment of Security Service for April,May and June/2025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</si>
  <si>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:00049-07770060-61/RWVCA/BK</t>
    </r>
  </si>
  <si>
    <t>Staff list Attached</t>
  </si>
  <si>
    <t>Available amount:7,301,275RWF/RWVCA</t>
  </si>
  <si>
    <t>Available amount:1,21,090RWF/RWVCA</t>
  </si>
  <si>
    <t>Payment of Venue for Extra Ordinary meeting for RWVCA's members</t>
  </si>
  <si>
    <t>To be determined</t>
  </si>
  <si>
    <t>Available amount:353,946RWF/RWVCA</t>
  </si>
  <si>
    <t>Done, on    24/07/2025</t>
  </si>
  <si>
    <t>Payment of Fuel for Chairman /August,2025</t>
  </si>
  <si>
    <t>Payment of Mission fees for 2 staff during induction new staff at Gatsibo ICPC</t>
  </si>
  <si>
    <t>Payment of petty cash for August,2025</t>
  </si>
  <si>
    <t>100112671287/Muhirwa Felicien</t>
  </si>
  <si>
    <t>Available amount:19,199,609RWF/RWVCA</t>
  </si>
  <si>
    <t xml:space="preserve">Via MOMO </t>
  </si>
  <si>
    <t>ED+Driver</t>
  </si>
  <si>
    <t>Payment of invoice for laptop purchased for Staff</t>
  </si>
  <si>
    <t>Done, on    31/07/2025</t>
  </si>
  <si>
    <t>Payment of Professional Management Support Service</t>
  </si>
  <si>
    <t>Available amount:224,654,691RWF/RWVCA</t>
  </si>
  <si>
    <t>Account number:00049-07770060-61/BK</t>
  </si>
  <si>
    <t>Available amount:3,291,589RWF/RWVCA</t>
  </si>
  <si>
    <t>Available amount:6,070,825RWF/RWVCA</t>
  </si>
  <si>
    <t>Available amount:988,261,287RWF/RWVCA</t>
  </si>
  <si>
    <t>20090258001/Gramok Supply Ltd/I&amp;M Bank</t>
  </si>
  <si>
    <t>Amount RWVCA/SCHOOL DESK</t>
  </si>
  <si>
    <t>TOYATA RWANDA LTD</t>
  </si>
  <si>
    <t>Payment of mission fees for 2 staff during attending meeting /Kayonza District</t>
  </si>
  <si>
    <t>Payment of last installement for purchase car for Chairman</t>
  </si>
  <si>
    <t>Payment of casual employees for driver (28days in July)</t>
  </si>
  <si>
    <t>Payment of Mission fees for 2 staff during induction new staff/Gatsibo ICPC</t>
  </si>
  <si>
    <t>Payment of School desks Suppliers for phase II</t>
  </si>
  <si>
    <t>Done, on    04/08/2025</t>
  </si>
  <si>
    <t>Available amount:1,197,170,405RWF/RWVCA</t>
  </si>
  <si>
    <t>Available amount:8,999,075RWF/RWVCA</t>
  </si>
  <si>
    <t>Available amount:19,194,609RWF/RWVCA</t>
  </si>
  <si>
    <t>Available amount:3,289,589RWF/RWVCA</t>
  </si>
  <si>
    <t>Available amount:9,039,691RWF/RWVCA</t>
  </si>
  <si>
    <t>Done, on    05/08/2025</t>
  </si>
  <si>
    <t>Payment staff net salary for July on behalf of GIZ fund</t>
  </si>
  <si>
    <t>Payment of WHT 30 % for July,2025</t>
  </si>
  <si>
    <t>Payment of Tax and Contribution for July,2025 (Payee,RSSB)</t>
  </si>
  <si>
    <t>Payment Number Attached</t>
  </si>
  <si>
    <t>Doc Number 0675501730</t>
  </si>
  <si>
    <t>Available amount:173,148,883RWF/RWVCA</t>
  </si>
  <si>
    <t>Payment of wage for casual employee for Rusizi ICPC (July)</t>
  </si>
  <si>
    <t>Manzi Idirisa</t>
  </si>
  <si>
    <t>ALKI LTD</t>
  </si>
  <si>
    <t>Payment of carwash  for RWVCA's vehicles</t>
  </si>
  <si>
    <t>Payment of Supplier's Stafffood suplied in July,2025</t>
  </si>
  <si>
    <t>Done, on    07/08/2025</t>
  </si>
  <si>
    <t>Available amount:7,862,554RWF/RWVCA</t>
  </si>
  <si>
    <t>Available amount:200,550,873RWF/RWVCA</t>
  </si>
  <si>
    <t>Payment of mission fees for 2 staff</t>
  </si>
  <si>
    <t>Done, on    11/08/2025</t>
  </si>
  <si>
    <t>Toyota Rwanda Ltd</t>
  </si>
  <si>
    <t>Available amount:39,691RWF/RWVCA</t>
  </si>
  <si>
    <t>Available amount:152,774,187RWF/RWVCA</t>
  </si>
  <si>
    <t>Available amount:3,323,768RWF/RWVCA</t>
  </si>
  <si>
    <t>Payment of service rendered by Toyota Rwanda Ltd for our car RAI905C (Maintenance Service by Replacing reached oil with new oil)</t>
  </si>
  <si>
    <t>Payment of VAT for July ,2025</t>
  </si>
  <si>
    <t>Payment of WHT 15% for July,2025</t>
  </si>
  <si>
    <t>Payment of Security fees for July and August,2025</t>
  </si>
  <si>
    <t>Done, on    12/08/2025</t>
  </si>
  <si>
    <t>Matalan Consulting Co.Ltd</t>
  </si>
  <si>
    <t>Payment of bailiff distribution 8 letters</t>
  </si>
  <si>
    <t>Payment of payee,pension,maternity and CBHI for July</t>
  </si>
  <si>
    <t>Payment for Rbst Net Salary Paid for july on behalf of GIZ account</t>
  </si>
  <si>
    <t>RWVCA</t>
  </si>
  <si>
    <t>Available amount:38,875,030RWF/RWVCA</t>
  </si>
  <si>
    <t>Payment of last installement of 5 stands</t>
  </si>
  <si>
    <t>100196471167/ISONGA SACCO/BK</t>
  </si>
  <si>
    <t>TD</t>
  </si>
  <si>
    <t>Available amount:176,774,187RWF/RWVCA</t>
  </si>
  <si>
    <t>Available amount:8,851,451RWF/RWVCA</t>
  </si>
  <si>
    <t>Payment of Consultant for Tax Advisory Q 2 (May,June and July)</t>
  </si>
  <si>
    <t>Payment of Water bill</t>
  </si>
  <si>
    <t>WASAC</t>
  </si>
  <si>
    <t>Payment of fuel for RAI 905C and RAI868P</t>
  </si>
  <si>
    <t>IKWIM PETROLGATE LTD</t>
  </si>
  <si>
    <t>Payment for camera's memory card</t>
  </si>
  <si>
    <t>4024200017209/Equity Bank/Barakagwira Company Ltd</t>
  </si>
  <si>
    <t>Payment of irembo invoice about appealing the judgement</t>
  </si>
  <si>
    <t>Irembo declaration Doc Number</t>
  </si>
  <si>
    <t>Done, on    14/08/2025</t>
  </si>
  <si>
    <t>Available amount:34,711,880RWF/RWVCA</t>
  </si>
  <si>
    <t>Available amount:3,789,589RWF/RWVCA</t>
  </si>
  <si>
    <t>Available amount:39,591RWF/RWVCA</t>
  </si>
  <si>
    <r>
      <t>Payment of 1</t>
    </r>
    <r>
      <rPr>
        <vertAlign val="superscript"/>
        <sz val="11"/>
        <color theme="1"/>
        <rFont val="Times New Roman"/>
        <family val="1"/>
      </rPr>
      <t>st</t>
    </r>
    <r>
      <rPr>
        <sz val="11"/>
        <color theme="1"/>
        <rFont val="Times New Roman"/>
        <family val="1"/>
      </rPr>
      <t xml:space="preserve"> installemnt for Event Management and Planning</t>
    </r>
  </si>
  <si>
    <t>4002100558110/Muhizi Alain Didier/Equity</t>
  </si>
  <si>
    <t>Payment of 1st installemnt for Event Communication&amp;Media Communication</t>
  </si>
  <si>
    <t>01336900003/Kabera Eric Sililo/Bank of Africa</t>
  </si>
  <si>
    <t>Payment of Consultancy Services-Due Diligence for ACB PLC</t>
  </si>
  <si>
    <t>Available amount:5,997,570RWF/RWVCA</t>
  </si>
  <si>
    <t>List of 2 staff attached</t>
  </si>
  <si>
    <t>Advanced Tour Company ltd</t>
  </si>
  <si>
    <t>Done, on    20/08/2025</t>
  </si>
  <si>
    <t>Available amount:2,867,300RWF/RWVCA</t>
  </si>
  <si>
    <t>Available amount:194,609RWF/RWVCA</t>
  </si>
  <si>
    <t>Available amount:124,686,908RWF/RWVCA</t>
  </si>
  <si>
    <t>Available amount:27,682,355RWF/RWVCA</t>
  </si>
  <si>
    <t>Available amount:4,289,589RWF/RWVCA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</si>
  <si>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:10016-1214471 /RWVCA SCHOOL DESKS</t>
    </r>
  </si>
  <si>
    <t>Payment of transport fees during tradefair (15days)/GIZ Contribution</t>
  </si>
  <si>
    <t>Payment of RWVCA's Contribution fees for stands during tradefair</t>
  </si>
  <si>
    <t>Payment of lunch for 2 staff participate in tradefair during 21 days tax inclusive</t>
  </si>
  <si>
    <t>Payment of Net Salaries for August,2025</t>
  </si>
  <si>
    <t>Payment of Communication fees for September,2025</t>
  </si>
  <si>
    <t>Payment of Fuel for Chairman(September,2025)</t>
  </si>
  <si>
    <t>Ikwim Petrolgate Ltd</t>
  </si>
  <si>
    <t>Done, on    25/08/2025</t>
  </si>
  <si>
    <t>Payment for rent covering 11months and one month for coution</t>
  </si>
  <si>
    <t>6852004239/Electricom ltd/Ecobank</t>
  </si>
  <si>
    <t>Available amount:4,789,589RWF/RWVCA</t>
  </si>
  <si>
    <t>Available amount:53,732RWF/RWVCA</t>
  </si>
  <si>
    <t>Available amount:208,731,598RWF/RWVCA</t>
  </si>
  <si>
    <t>Payment for repair vehicle RAI 868P</t>
  </si>
  <si>
    <t>BK Insurance</t>
  </si>
  <si>
    <t>Payment for purchase electricity for RWVCA HQ</t>
  </si>
  <si>
    <t>S/N</t>
  </si>
  <si>
    <t>Payment of petty cash for September,2025</t>
  </si>
  <si>
    <t>Payment of Wage for Driver for August,2025</t>
  </si>
  <si>
    <t>Available amount:674,700RWF/RWVCA</t>
  </si>
  <si>
    <t>Available amount:25,466,771RWF/RWVCA</t>
  </si>
  <si>
    <t>Available amount:53,632RWF/RWVCA</t>
  </si>
  <si>
    <t>Available amount:175,864,897RWF/RWVCA</t>
  </si>
  <si>
    <t>Amount RWVCA/I&amp;M Bank PROJECT</t>
  </si>
  <si>
    <t>Payment of Allowances during developing RPL Tools (Assessors ,Facilitators and Coordinators)</t>
  </si>
  <si>
    <t>Done, on    29/08/2025</t>
  </si>
  <si>
    <t>Payment of venue during training of RPL</t>
  </si>
  <si>
    <t>CENTRE D'ACCEUIL SINT FRANCOIS D'ASSISE</t>
  </si>
  <si>
    <t>Done, on    01/09/2025</t>
  </si>
  <si>
    <t>Payment of insurance for 400 assesses during RPL</t>
  </si>
  <si>
    <t>SANLAM ALLIANZ GENRELA INSURANCE PLC</t>
  </si>
  <si>
    <t>Payment for development RPL Tools</t>
  </si>
  <si>
    <t xml:space="preserve">Payment of office stationaries </t>
  </si>
  <si>
    <t>GRAMOK Supply Solutions Ltd</t>
  </si>
  <si>
    <t>List to be provided</t>
  </si>
  <si>
    <t>Payment of Assessee transport fees</t>
  </si>
  <si>
    <t>Payment of stafffood supplied in August,2025</t>
  </si>
  <si>
    <t>JEMIMA NYIRASAFARI</t>
  </si>
  <si>
    <t>Available amount:1,957,900RWF/RWVCA</t>
  </si>
  <si>
    <t>Available amount:36,075,592RWF/RWVCA</t>
  </si>
  <si>
    <t>Done, on    04/09/2025</t>
  </si>
  <si>
    <t>Payment of Facilitatord feess during RPL assessement</t>
  </si>
  <si>
    <t>Payment of Assesessors fees during RPL assessement</t>
  </si>
  <si>
    <t>Payment of top up to staff dailry activities during 3 months related to RPL assessement</t>
  </si>
  <si>
    <t>Payment of mission allowances for staff</t>
  </si>
  <si>
    <t>Payment of mission allowance sduring RPL assessment</t>
  </si>
  <si>
    <t>Payment of refreshment during RPL Assessment</t>
  </si>
  <si>
    <t>100002019072/Savana Centre Ltd/BK</t>
  </si>
  <si>
    <t>Done, on    09/09/2025</t>
  </si>
  <si>
    <t>Payment of legal service fees for July,August,2025</t>
  </si>
  <si>
    <t>100010293345/Saga Solutions&amp;Partners Ltd</t>
  </si>
  <si>
    <t>Payment of carwash Service for during August,2025</t>
  </si>
  <si>
    <t>Payment of wage for casual employee Rusizi</t>
  </si>
  <si>
    <t>Payment of wage for casual employee Gatsibo</t>
  </si>
  <si>
    <t>Manzi Idirissa</t>
  </si>
  <si>
    <t>0793505500/Uwiduhaye Odille</t>
  </si>
  <si>
    <t>Available amount:468,218RWF/RWVCA</t>
  </si>
  <si>
    <t>Available amount:29,518,886RWF/RWVCA</t>
  </si>
  <si>
    <t>Available amount:135,207,092RWF/RWVCA</t>
  </si>
  <si>
    <t>00045-07715182-52/DIETA COMPANY LTD</t>
  </si>
  <si>
    <t xml:space="preserve">Payment for refreshment during meeting with ICPCs's President for preparation RPL Assessement </t>
  </si>
  <si>
    <t>Sainte Famille Hotel</t>
  </si>
  <si>
    <t>Excellent Invetsment Company Ltd</t>
  </si>
  <si>
    <t>Payment of Securuty fees for 4 months ICPC kimironko</t>
  </si>
  <si>
    <t>Payment of securuty Service fees for July and August,2025</t>
  </si>
  <si>
    <t>Payment mission fees for MRO of Rusizi ICPC</t>
  </si>
  <si>
    <t>Payment of tax and contribution to RSSB</t>
  </si>
  <si>
    <t>Done, on    12/09/2025</t>
  </si>
  <si>
    <t>Payment of WHT 15% for August,2025</t>
  </si>
  <si>
    <t>Available amount:24,823,186RWF/RWVCA</t>
  </si>
  <si>
    <t>Available amount:24,268,051RWF/RWVCA</t>
  </si>
  <si>
    <t>Available amount:4,887,589RWF/RWVCA</t>
  </si>
  <si>
    <t>Payment of VAT for August 2025</t>
  </si>
  <si>
    <t xml:space="preserve">Payment of invoice for renting camera </t>
  </si>
  <si>
    <t>Amariza cell via momo 0784297807</t>
  </si>
  <si>
    <t>Via momo 0788555115</t>
  </si>
  <si>
    <t>Available amount:16,207,092RWF/RWVCA</t>
  </si>
  <si>
    <t>Available amount:134,898,110RWF/RWVCA</t>
  </si>
  <si>
    <t>Gramok Supply Solution Ltd</t>
  </si>
  <si>
    <t>Payment of office stationary during RPL Assessement</t>
  </si>
  <si>
    <t>Payment of last installement for event communication&amp;media coordination</t>
  </si>
  <si>
    <t>Payment of last installement for plan and manage the Rwanda Wood Sector Forum</t>
  </si>
  <si>
    <t>Eric Kabara Sililo</t>
  </si>
  <si>
    <t>MUHIZI Alain Didier</t>
  </si>
  <si>
    <t>Payment of transport fees durung RPL Assessment</t>
  </si>
  <si>
    <t>Available amount:21,696,986RWF/RWVCA</t>
  </si>
  <si>
    <t>Available amount:4,446,376RWF/RWVCA</t>
  </si>
  <si>
    <t>Available amount:22,585,860RWF/RWVCA</t>
  </si>
  <si>
    <t>Available amount:7,887,589RWF/RWVCA</t>
  </si>
  <si>
    <t>Available amount:51,432RWF/RWVCA</t>
  </si>
  <si>
    <t>Done, on    19/09/2025</t>
  </si>
  <si>
    <t>Payment of Communication fees</t>
  </si>
  <si>
    <t>Payment of IQP-CIT PREPAY Q2</t>
  </si>
  <si>
    <t>Done, on    29/09/2025</t>
  </si>
  <si>
    <t>Payment of Casual employee for September,2025</t>
  </si>
  <si>
    <t>Payment of Petty cash for October,2025</t>
  </si>
  <si>
    <t>Muhirwa Felicien</t>
  </si>
  <si>
    <t>Payment of WHT 15%&amp;30%</t>
  </si>
  <si>
    <t>Payment of  Tax and contributions for September,2025</t>
  </si>
  <si>
    <t>RRA&amp;RSSB</t>
  </si>
  <si>
    <t>Payment of Salaries for September,2025</t>
  </si>
  <si>
    <t>Available amount:9,513,586RWF/RWVCA</t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</si>
  <si>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:00049-07774802-50 /GIZ</t>
    </r>
  </si>
  <si>
    <r>
      <rPr>
        <b/>
        <u/>
        <sz val="11"/>
        <color theme="1"/>
        <rFont val="Times New Roman"/>
        <family val="1"/>
      </rPr>
      <t>Account number</t>
    </r>
    <r>
      <rPr>
        <b/>
        <sz val="11"/>
        <color theme="1"/>
        <rFont val="Times New Roman"/>
        <family val="1"/>
      </rPr>
      <t>:00049-07770060-61/BK</t>
    </r>
  </si>
  <si>
    <t>Available amount:5,446,376RWF/RWVCA</t>
  </si>
  <si>
    <t>Available amount:9,291,589RWF/RWVCA</t>
  </si>
  <si>
    <t>Available amount:15,555,910RWF/RWVCA</t>
  </si>
  <si>
    <t>Available amount:8,000,000RWF/RWVCA</t>
  </si>
  <si>
    <t>Available amount:89,364,455RWF/RWVCA</t>
  </si>
  <si>
    <t>Payment of  tax and contribution for September,2025</t>
  </si>
  <si>
    <t xml:space="preserve">Payment of Sitting allowances for EXCO </t>
  </si>
  <si>
    <t>Done, on    30/09/2025</t>
  </si>
  <si>
    <t>Payment of transport fees  for moving office equipment and materials to Gahanga</t>
  </si>
  <si>
    <t>Payment of gifts to partners</t>
  </si>
  <si>
    <t>0781827456/Uwamahoro Baraka</t>
  </si>
  <si>
    <t>Amount RWVCA/BK</t>
  </si>
  <si>
    <t>20112494001/GITI BUYE ART LTD</t>
  </si>
  <si>
    <t>Available amount:13,449,076RWF/RWVCA</t>
  </si>
  <si>
    <t>Available amount:12,067,069RWF/RWVCA</t>
  </si>
  <si>
    <t>Available amount:1,461,737RWF/RWVCA</t>
  </si>
  <si>
    <t>Available amount:95,600,540RWF/RWVCA</t>
  </si>
  <si>
    <t>Available amount:122,586RWF/RWVCA</t>
  </si>
  <si>
    <t>Payment of wage for acting casual employee of Rwamagana ICPC</t>
  </si>
  <si>
    <t>Available amount:3,582,541RWF/RWVCA</t>
  </si>
  <si>
    <t>Nyiramugisha Esther</t>
  </si>
  <si>
    <t>Payment of security fees for September,2025</t>
  </si>
  <si>
    <t>Payment of Fuel for Chairman/October,2025</t>
  </si>
  <si>
    <t>Payment of Fuel for RAI 905C and RAI 868P</t>
  </si>
  <si>
    <t>Payment of Staffood supplied in September before end contract</t>
  </si>
  <si>
    <t>Payment of Staffood supplied in September before after emended contract</t>
  </si>
  <si>
    <t>Available amount:13,190,803RWF/RWVCA</t>
  </si>
  <si>
    <t>Available amount:111,142,200RWF/RWVCA</t>
  </si>
  <si>
    <t>Payment of office stationaries</t>
  </si>
  <si>
    <t>Available amount:4,985,641RWF/RWVCA</t>
  </si>
  <si>
    <t>Payment of invoices about refreshment</t>
  </si>
  <si>
    <t>Payment of carwash for September</t>
  </si>
  <si>
    <t>ALKI Ltd</t>
  </si>
  <si>
    <t>Done, on    07/10/2025</t>
  </si>
  <si>
    <t>Payment of Consultancy (Governance document development)</t>
  </si>
  <si>
    <t>Francis Nsengiyumva</t>
  </si>
  <si>
    <t>Payment of Web /Mail Hosting</t>
  </si>
  <si>
    <t>AOS</t>
  </si>
  <si>
    <t>Payment of office equipment</t>
  </si>
  <si>
    <t>SOFA LIGHT BUSINESS LTD</t>
  </si>
  <si>
    <t>Payment of rent for October to December(Bishenyi,Rubavu,Gahanga,Kimironko and Gisozi)</t>
  </si>
  <si>
    <t>Payment for transport RWVCA guests to Akagera National park</t>
  </si>
  <si>
    <t>20132897001/I M BankAldi Tourism Ltd</t>
  </si>
  <si>
    <t>Payment of wage of casual work for Gatsibo(September)</t>
  </si>
  <si>
    <t>Payment of wage of casual work for Rusizi(September)</t>
  </si>
  <si>
    <t>Payment of refreshment fees during meeting guests with EXCO of RWVCA</t>
  </si>
  <si>
    <t>Konvine Boutique Hotel</t>
  </si>
  <si>
    <t>Done, on    09/10/2025</t>
  </si>
  <si>
    <t>Available amount:59,021,327RWF/RWVCA</t>
  </si>
  <si>
    <t>Available amount:7,606,891RWF/RWVCA</t>
  </si>
  <si>
    <t>Done, on    10/10/2025</t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</si>
  <si>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:00049-07774802-50 /GIZ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</si>
  <si>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:00049-07770060-61/BK</t>
    </r>
  </si>
  <si>
    <r>
      <t>Account number:</t>
    </r>
    <r>
      <rPr>
        <b/>
        <sz val="10"/>
        <color theme="1"/>
        <rFont val="Times New Roman"/>
        <family val="1"/>
      </rPr>
      <t>20108534001/I&amp;M BANK</t>
    </r>
  </si>
  <si>
    <r>
      <t>Account number:</t>
    </r>
    <r>
      <rPr>
        <b/>
        <sz val="10"/>
        <color theme="1"/>
        <rFont val="Times New Roman"/>
        <family val="1"/>
      </rPr>
      <t>20108534002/I&amp;M BANK PROJECT</t>
    </r>
  </si>
  <si>
    <r>
      <rPr>
        <b/>
        <u/>
        <sz val="10"/>
        <color theme="1"/>
        <rFont val="Times New Roman"/>
        <family val="1"/>
      </rPr>
      <t>Account numbe</t>
    </r>
    <r>
      <rPr>
        <b/>
        <sz val="10"/>
        <color theme="1"/>
        <rFont val="Times New Roman"/>
        <family val="1"/>
      </rPr>
      <t>r:402010003695600/ACB</t>
    </r>
  </si>
  <si>
    <r>
      <rPr>
        <b/>
        <u/>
        <sz val="10"/>
        <color theme="1"/>
        <rFont val="Times New Roman"/>
        <family val="1"/>
      </rPr>
      <t>Account number</t>
    </r>
    <r>
      <rPr>
        <b/>
        <sz val="10"/>
        <color theme="1"/>
        <rFont val="Times New Roman"/>
        <family val="1"/>
      </rPr>
      <t>:10016-1214471 /RWVCA SCHOOL DESKS</t>
    </r>
  </si>
  <si>
    <t>Payment for accomodation for RWVCA's guests during 6 nights</t>
  </si>
  <si>
    <t>4002201179273/Equity bank/Kigali Paramount Hotel Ltd</t>
  </si>
  <si>
    <t>Payment of  10 vases used in Expo 2025 and will be used in RWVCA's decoration</t>
  </si>
  <si>
    <t>Payment of school desks suplliers invoices</t>
  </si>
  <si>
    <t>Payment for purchase Vehicle for Chairman</t>
  </si>
  <si>
    <t>Available amount:959,021,327RWF/RWVCA</t>
  </si>
  <si>
    <t>Available amount:13,504,431RWF/RWVCA</t>
  </si>
  <si>
    <t>Available amount:124,417,637RWF/RWVCA</t>
  </si>
  <si>
    <t>Gramok Stationaries Ltd</t>
  </si>
  <si>
    <t>H.K BreakDown Service Ltd</t>
  </si>
  <si>
    <t>Available amount:124,416,537RWF/RWVCA</t>
  </si>
  <si>
    <t>Payment of last installemnt of design services (architectural concept design with project description</t>
  </si>
  <si>
    <t>10,000$</t>
  </si>
  <si>
    <t>Payment of 2nd installement for construction project coordination fees</t>
  </si>
  <si>
    <t>D.MUNANA CONSULTANCY LTD</t>
  </si>
  <si>
    <t>YASID Soufi</t>
  </si>
  <si>
    <t xml:space="preserve">Payment of gift </t>
  </si>
  <si>
    <t>Payment  of gift</t>
  </si>
  <si>
    <t>Available amount:13,007,060 RWF/RWVCA</t>
  </si>
  <si>
    <t>Available amount:13,740,803RWF/RWVCA</t>
  </si>
  <si>
    <t>GITI BUYE ART LTD</t>
  </si>
  <si>
    <t>100074982551/BK/Zinaryiza Billy Charmant</t>
  </si>
  <si>
    <t xml:space="preserve">Payment of two  wooden calendars gift </t>
  </si>
  <si>
    <t>Payment of VAT for September,2025</t>
  </si>
  <si>
    <t>Payment of WHT 30% for september,2025</t>
  </si>
  <si>
    <t>0679602996/RRA</t>
  </si>
  <si>
    <t>0678189281/RRA</t>
  </si>
  <si>
    <t>Additiona payment for consultant</t>
  </si>
  <si>
    <t>Payment of WHT 15% for August,2025 (Complimemt)</t>
  </si>
  <si>
    <t>0680721384/RRA</t>
  </si>
  <si>
    <t>Payment of electricity for RWVCA HQ Office</t>
  </si>
  <si>
    <t>14366835180/ELECTRICOM</t>
  </si>
  <si>
    <t>Available amount:142,375,240RWF/RWVCA</t>
  </si>
  <si>
    <t>Done, on    15/10/2025</t>
  </si>
  <si>
    <t>Amount RWVCA/IM BANK PROJECT</t>
  </si>
  <si>
    <t>Payment of WTH 15% for RPL activities</t>
  </si>
  <si>
    <t>Available amount:536,710,349RWF/RWVCA</t>
  </si>
  <si>
    <t>Available amount:1,318,126RWF/RWVCA</t>
  </si>
  <si>
    <t>Available amount:2,467,694RWF/RWVCA</t>
  </si>
  <si>
    <t>Done, on    16/10/2025</t>
  </si>
  <si>
    <t>Member Niyigena Jean Paul</t>
  </si>
  <si>
    <t>Payment of funeral contribution about passed away a wife of our member Niyigena Jean Paul</t>
  </si>
  <si>
    <t>Available amount:87,509RWF/RWVCA</t>
  </si>
  <si>
    <t>Available amount:13,004,935RWF/RWVCA</t>
  </si>
  <si>
    <t>Available amount:98,530RWF/RWVCA</t>
  </si>
  <si>
    <t>Payment of mission fees for 3 staff</t>
  </si>
  <si>
    <t>Payment for fabrication,design post and installation at RWVCA'office</t>
  </si>
  <si>
    <t>BAZA ATELIER LTD</t>
  </si>
  <si>
    <t>Available amount:5,127,587RWF/RWVCA</t>
  </si>
  <si>
    <t>Available amount:14,241,103RWF/RWVCA</t>
  </si>
  <si>
    <t>Done, on    24/10/2025</t>
  </si>
  <si>
    <t>Payment of Net Salaries for October,2025</t>
  </si>
  <si>
    <t>Payment of staff communication fees for November,2025</t>
  </si>
  <si>
    <t>Payment of Fuel for Chairman (November,2025)</t>
  </si>
  <si>
    <t>Payment of casual wage of cleaner (RWVCA HQ) for October,2025</t>
  </si>
  <si>
    <t>Amount RWVCA/ACB Plc</t>
  </si>
  <si>
    <t>Payment of mission fees</t>
  </si>
  <si>
    <t>Twizerimana Noella</t>
  </si>
  <si>
    <t>Payment for purchase laptop for ED</t>
  </si>
  <si>
    <t>100164752927/EVOTECH/BK</t>
  </si>
  <si>
    <t>Available amount:13,005,360RWF/RWVCA</t>
  </si>
  <si>
    <t>Insurance of Chairman's vehicle RAJ 863C</t>
  </si>
  <si>
    <t>Available amount:9,732,121RWF/RWVCA</t>
  </si>
  <si>
    <t>Payment for sitting Allowances (Exco members)</t>
  </si>
  <si>
    <t>Payment for petty cash  (November,2025)</t>
  </si>
  <si>
    <t>Payment of prinitng certificates for assessees</t>
  </si>
  <si>
    <t>40232201208656/Phil Godwin Business Group Ltd</t>
  </si>
  <si>
    <t>Available amount:4,887,509RWF/RWVCA</t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</si>
  <si>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:00049-07774802-50 /GIZ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</si>
  <si>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:00049-07770060-61/BK</t>
    </r>
  </si>
  <si>
    <r>
      <t>Account number:</t>
    </r>
    <r>
      <rPr>
        <b/>
        <sz val="9"/>
        <color theme="1"/>
        <rFont val="Times New Roman"/>
        <family val="1"/>
      </rPr>
      <t>20108534002/I&amp;M BANK PROJECT</t>
    </r>
  </si>
  <si>
    <r>
      <rPr>
        <b/>
        <u/>
        <sz val="9"/>
        <color theme="1"/>
        <rFont val="Times New Roman"/>
        <family val="1"/>
      </rPr>
      <t>Account number</t>
    </r>
    <r>
      <rPr>
        <b/>
        <sz val="9"/>
        <color theme="1"/>
        <rFont val="Times New Roman"/>
        <family val="1"/>
      </rPr>
      <t>:10016-1214471 /RWVCA SCHOOL DESKS</t>
    </r>
  </si>
  <si>
    <t>4022101173797/Nahimana Patrice/Equity Bank</t>
  </si>
  <si>
    <t>Payment of Casual wage for driver (28 days)</t>
  </si>
  <si>
    <t>Done, on    28/10/2025</t>
  </si>
  <si>
    <t>Via momo Acc:4013111586540</t>
  </si>
  <si>
    <t>Payment of Fuel for RAI 905C&amp;868P</t>
  </si>
  <si>
    <t>Available amount:4,919,997RWF/RWVCA</t>
  </si>
  <si>
    <t>Payment of casual wage for ICPC Kayonza (19 days)</t>
  </si>
  <si>
    <t>Payment of cleaning hall for RPL graduation</t>
  </si>
  <si>
    <t>Payment of matt banner and stand during graduation</t>
  </si>
  <si>
    <t>2001161170002027/NCBA Bank/EMA K FAM Ltd</t>
  </si>
  <si>
    <t>Payment water during graduation ceremony</t>
  </si>
  <si>
    <t>Payment for renting graduation gowns</t>
  </si>
  <si>
    <t>Kigali Excellent Tourism and Hospitality Academy</t>
  </si>
  <si>
    <t>Done, on    30/10/2025</t>
  </si>
  <si>
    <t>Payment for petty cash November,2025</t>
  </si>
  <si>
    <t>Via Claudine Mukandayambaje</t>
  </si>
  <si>
    <t>Via momo Julienne Mukankwaya</t>
  </si>
  <si>
    <t>Payment for sonorisation during graduation</t>
  </si>
  <si>
    <t>4004201245106/Equity Bank/Brave JJ77 Ltd</t>
  </si>
  <si>
    <t>Paymenet for coordination RPL graduation</t>
  </si>
  <si>
    <t>Available amount:96,530RWF/RWVCA</t>
  </si>
  <si>
    <t>Available amount:12,138,776RWF/RWVCA</t>
  </si>
  <si>
    <t>Available amount:15,955,018RWF/RWVCA</t>
  </si>
  <si>
    <t>Available amount:2,108,309RWF/RWVCA</t>
  </si>
  <si>
    <t>Available amount:2,326,236RWF/RWVCA</t>
  </si>
  <si>
    <t>Payment for carwash incoive for October,2025</t>
  </si>
  <si>
    <t>Alain Didier Muhizi</t>
  </si>
  <si>
    <r>
      <rPr>
        <b/>
        <u/>
        <sz val="8"/>
        <color theme="1"/>
        <rFont val="Times New Roman"/>
        <family val="1"/>
      </rPr>
      <t>Account number</t>
    </r>
    <r>
      <rPr>
        <b/>
        <sz val="8"/>
        <color theme="1"/>
        <rFont val="Times New Roman"/>
        <family val="1"/>
      </rPr>
      <t>:00049-07774802-50 /GIZ</t>
    </r>
  </si>
  <si>
    <r>
      <rPr>
        <b/>
        <u/>
        <sz val="8"/>
        <color theme="1"/>
        <rFont val="Times New Roman"/>
        <family val="1"/>
      </rPr>
      <t>Account number</t>
    </r>
    <r>
      <rPr>
        <b/>
        <sz val="8"/>
        <color theme="1"/>
        <rFont val="Times New Roman"/>
        <family val="1"/>
      </rPr>
      <t>:00049-07770060-61/BK</t>
    </r>
  </si>
  <si>
    <r>
      <t>Account number:</t>
    </r>
    <r>
      <rPr>
        <b/>
        <sz val="8"/>
        <color theme="1"/>
        <rFont val="Times New Roman"/>
        <family val="1"/>
      </rPr>
      <t>20108534001/I&amp;M BANK</t>
    </r>
  </si>
  <si>
    <r>
      <t>Account number:</t>
    </r>
    <r>
      <rPr>
        <b/>
        <sz val="8"/>
        <color theme="1"/>
        <rFont val="Times New Roman"/>
        <family val="1"/>
      </rPr>
      <t>20108534002/I&amp;M BANK PROJECT</t>
    </r>
  </si>
  <si>
    <r>
      <rPr>
        <b/>
        <u/>
        <sz val="8"/>
        <color theme="1"/>
        <rFont val="Times New Roman"/>
        <family val="1"/>
      </rPr>
      <t>Account numbe</t>
    </r>
    <r>
      <rPr>
        <b/>
        <sz val="8"/>
        <color theme="1"/>
        <rFont val="Times New Roman"/>
        <family val="1"/>
      </rPr>
      <t>r:402010003695600/ACB</t>
    </r>
  </si>
  <si>
    <r>
      <rPr>
        <b/>
        <u/>
        <sz val="8"/>
        <color theme="1"/>
        <rFont val="Times New Roman"/>
        <family val="1"/>
      </rPr>
      <t>Account number</t>
    </r>
    <r>
      <rPr>
        <b/>
        <sz val="8"/>
        <color theme="1"/>
        <rFont val="Times New Roman"/>
        <family val="1"/>
      </rPr>
      <t>:10016-1214471 /RWVCA SCHOOL DESKS</t>
    </r>
  </si>
  <si>
    <t>Payment of Mission order  during PPD</t>
  </si>
  <si>
    <t>Available amount:107,445RWF/RWVCA</t>
  </si>
  <si>
    <t>Available amount:3,554,372RWF/RWVCA</t>
  </si>
  <si>
    <t>Available amount:126,822,285RWF/RWVCA</t>
  </si>
  <si>
    <t>Uwiduhaye Odille</t>
  </si>
  <si>
    <t>Payment of casual worker Rusizi for 25 days (October)</t>
  </si>
  <si>
    <t>Payment of casual worker Gatsibo(October)</t>
  </si>
  <si>
    <t xml:space="preserve">00040-06950720-30/BK/Rusizi Progress Hotel </t>
  </si>
  <si>
    <t>Done, on    11/10/2025</t>
  </si>
  <si>
    <t>Payment of Maternity for October</t>
  </si>
  <si>
    <t>Payment of Pension for October</t>
  </si>
  <si>
    <t>Payment of Hotel invoice consummed by Board Members(Rutsiro)</t>
  </si>
  <si>
    <t>Payment of Hotel invoice consummed by Board Members(Rusizi)</t>
  </si>
  <si>
    <t>KAMDINE COMPANY LTD/4492794573/BPR BANK</t>
  </si>
  <si>
    <r>
      <t>Payment of intern fees for 3 months (From 15</t>
    </r>
    <r>
      <rPr>
        <vertAlign val="superscript"/>
        <sz val="10"/>
        <color theme="1"/>
        <rFont val="Times New Roman"/>
        <family val="1"/>
      </rPr>
      <t>th</t>
    </r>
    <r>
      <rPr>
        <sz val="10"/>
        <color theme="1"/>
        <rFont val="Times New Roman"/>
        <family val="1"/>
      </rPr>
      <t xml:space="preserve"> August to 15</t>
    </r>
    <r>
      <rPr>
        <vertAlign val="superscript"/>
        <sz val="10"/>
        <color theme="1"/>
        <rFont val="Times New Roman"/>
        <family val="1"/>
      </rPr>
      <t xml:space="preserve">th </t>
    </r>
    <r>
      <rPr>
        <sz val="10"/>
        <color theme="1"/>
        <rFont val="Times New Roman"/>
        <family val="1"/>
      </rPr>
      <t>November)</t>
    </r>
  </si>
  <si>
    <t>Payment of transport fees  during acting ICPC Nyarugenge</t>
  </si>
  <si>
    <t>Payment of first installement for PPD</t>
  </si>
  <si>
    <t>Payment for purchase and installation two doors for RWVCA's offices</t>
  </si>
  <si>
    <t>Available amount:909RWF/RWVCA</t>
  </si>
  <si>
    <t>Available amount:2,079,737RWF/RWVCA</t>
  </si>
  <si>
    <t>Payment of mission fees during participation in the burial ceremony for tha family members of RWVCA</t>
  </si>
  <si>
    <t>4004100874264/Equit Bank/Kwihanga Emmanuel</t>
  </si>
  <si>
    <t>Via momo 0788502740/Murekatete Stella</t>
  </si>
  <si>
    <t>Available amount:150,828,496RWF/RWVCA</t>
  </si>
  <si>
    <t>Payment for VAT for October,2025</t>
  </si>
  <si>
    <t>Payment of Payee for October</t>
  </si>
  <si>
    <t>Payment of CBH for October</t>
  </si>
  <si>
    <t>Payment of WHT 15% for October</t>
  </si>
  <si>
    <t>Payment of WHT 30% for October</t>
  </si>
  <si>
    <t>Done, on    13/10/2025</t>
  </si>
  <si>
    <t>Payment for repair RAI 905C for RWVCA</t>
  </si>
  <si>
    <t xml:space="preserve">Payment of transport fees for acting staff </t>
  </si>
  <si>
    <t>Payment for casual worker acting in Rubavu ICPC</t>
  </si>
  <si>
    <t>Doc Number 682318135</t>
  </si>
  <si>
    <t>Doc Number 805032M1A1</t>
  </si>
  <si>
    <t>Doc Number 805033X1A1</t>
  </si>
  <si>
    <t>Doc Number 805034I1A1</t>
  </si>
  <si>
    <t>100169551035/BK/Mwiseneza Alain Fabrice</t>
  </si>
  <si>
    <t>Doc Number 0683116448</t>
  </si>
  <si>
    <t>Doc Number 0682424156</t>
  </si>
  <si>
    <t>Available amount:1,423,357RWF/RWVCA</t>
  </si>
  <si>
    <t>Available amount:11,113,876RWF/RWVCA</t>
  </si>
  <si>
    <t>Doc Number 0683802881</t>
  </si>
  <si>
    <t>Payment for last installement for PPD</t>
  </si>
  <si>
    <t>Payment of Transport fees during RPL</t>
  </si>
  <si>
    <t>Amount RWVCA/I&amp;M BANK PROJECT</t>
  </si>
  <si>
    <t>Done, on    18/10/2025</t>
  </si>
  <si>
    <t>Payment for casual worker acting at Rubavu ICPC</t>
  </si>
  <si>
    <t>Available amount:91,909RWF/RWVCA</t>
  </si>
  <si>
    <t>Available amount:313,808 RWF/RWVCA</t>
  </si>
  <si>
    <t>Available amount:9,892,860RWF/RWVCA</t>
  </si>
  <si>
    <t>Via MOMO</t>
  </si>
  <si>
    <t>0780321994/Ntirenganya Anastase</t>
  </si>
  <si>
    <t>Available amount:36,027,379RWF/RWVCA</t>
  </si>
  <si>
    <t>Payment for transport fees during PPD</t>
  </si>
  <si>
    <t>Payment mission fees for staff</t>
  </si>
  <si>
    <t>Payment of tax advisory service for 3 months</t>
  </si>
  <si>
    <t>4493417145/KEYBUILD AND GREEN ROOF CONSTRUCTION LTD</t>
  </si>
  <si>
    <t>Available amount:5,745,245RWF/RWVCA</t>
  </si>
  <si>
    <t>Available amount:1,909RWF/RWVCA</t>
  </si>
  <si>
    <t>Payment of mission fees  for 2 staff</t>
  </si>
  <si>
    <t>Done, on    21/10/2025</t>
  </si>
  <si>
    <t>SAGA SOLUTIONS&amp;PARTNERS LTD</t>
  </si>
  <si>
    <t>Payment net Salaries for November,2025</t>
  </si>
  <si>
    <t>Payment of Staff communication for December,2025</t>
  </si>
  <si>
    <t>Payment for casual driver employee for November</t>
  </si>
  <si>
    <t>Payment of  wage for casual employee (November)</t>
  </si>
  <si>
    <t>Payment for legal services(September and  October)</t>
  </si>
  <si>
    <t>Available amount:49,027,379RWF/RWVCA</t>
  </si>
  <si>
    <t>Available amount:7,067,010RWF/RWVCA</t>
  </si>
  <si>
    <t>Available amount:16,455,018RWF/RWVCA</t>
  </si>
  <si>
    <t>Available amount:4,802,911RWF/RWVCA</t>
  </si>
  <si>
    <t>Done, on    24/11/2025</t>
  </si>
  <si>
    <t>10000 $</t>
  </si>
  <si>
    <t>YASID SOUFI</t>
  </si>
  <si>
    <t>10000$</t>
  </si>
  <si>
    <t>Payment of German Consultant first installement</t>
  </si>
  <si>
    <t>Payment sitting allowances for comitee (2 days)</t>
  </si>
  <si>
    <t>Payment of Payee for November,2025</t>
  </si>
  <si>
    <t>Payment of Pension  for November,2025</t>
  </si>
  <si>
    <t>928524M1A1</t>
  </si>
  <si>
    <t>0684636085</t>
  </si>
  <si>
    <t>928525x1A1</t>
  </si>
  <si>
    <t>Payment of CBH for November,2025</t>
  </si>
  <si>
    <t>928526I1A1</t>
  </si>
  <si>
    <t>Payment of Maternity leave for November,2025</t>
  </si>
  <si>
    <t>Available amount:54,781,505RWF/RWVCA</t>
  </si>
  <si>
    <t>Payment of fuel for Chairman (December,2025)</t>
  </si>
  <si>
    <t>Pyment of fuel for RAI 905C &amp;RAI 686P for RWVCA</t>
  </si>
  <si>
    <t>Available amount:16,546,530RWF/RWVCA</t>
  </si>
  <si>
    <t>Available amount:4,518RWF/RWVCA</t>
  </si>
  <si>
    <t>Payment for repair RAI 888P (Rimula,Service labour&amp;Sundry)</t>
  </si>
  <si>
    <t>Payment of casual driver employee for November (26 days)</t>
  </si>
  <si>
    <t>Available amount:14,607,975RWF/RWVCA</t>
  </si>
  <si>
    <t>Done, on    28/11/2025</t>
  </si>
  <si>
    <t>Payment for coordination of Wood Technology Hub Construction activities</t>
  </si>
  <si>
    <t>D.MUNANA</t>
  </si>
  <si>
    <t>Available amount:(3,091)RWF/RWVCA</t>
  </si>
  <si>
    <t>Available amount:68,281,380RWF/RWVCA</t>
  </si>
  <si>
    <t>Available amount:5,773,660RWF/RWVCA</t>
  </si>
  <si>
    <t>Available amount:502,528RWF/RWVCA</t>
  </si>
  <si>
    <t>Available amount:1,861,678WF/RWVCA</t>
  </si>
  <si>
    <t>Payment  of mission and transport fees</t>
  </si>
  <si>
    <t>Payment of staffood supplied in November,2025</t>
  </si>
  <si>
    <t>Done, on    03/12/2025</t>
  </si>
  <si>
    <t>Available amount:9,336,124RWF/RWVCA</t>
  </si>
  <si>
    <t>Payment  tax (levy on Motor Vehicle) RAI 905C&amp;RAI868P</t>
  </si>
  <si>
    <t>Payment of tax property for the year 2025</t>
  </si>
  <si>
    <t>Payment intern fees November</t>
  </si>
  <si>
    <t>Payment of wage for casual employee Gatsibo (November,2025)</t>
  </si>
  <si>
    <t>Payment of IQPT-CIT PREPAY Q3</t>
  </si>
  <si>
    <t>Payment of invoice for Hotel during retreat for HQ employees</t>
  </si>
  <si>
    <t>Payment of petty cash for December</t>
  </si>
  <si>
    <t>Available amount:109,277,065RWF/RWVCA</t>
  </si>
  <si>
    <t>Payment of VAT for November,2025</t>
  </si>
  <si>
    <t>Done, on    10/12/2025</t>
  </si>
  <si>
    <t>10400527890017/LOLC UNGUKA FINANCE/KANYINYA HILLS HOTEL</t>
  </si>
  <si>
    <t>Via Bank Account /Mukandayambaje Claudine</t>
  </si>
  <si>
    <t>Available amount:5,416,710RWF/RWVCA</t>
  </si>
  <si>
    <t>Available amount:3,859,018RWF/RWVCA</t>
  </si>
  <si>
    <t>Done, on    12/12/2025</t>
  </si>
  <si>
    <t>Payment wage for casual worker acting Muhanga</t>
  </si>
  <si>
    <t>Payment of transport fee</t>
  </si>
  <si>
    <t>Payment of mission fees  for Board members and staff during retreat</t>
  </si>
  <si>
    <t>Nyiraguhirwa Josiane</t>
  </si>
  <si>
    <t>Payment Hotel invoice during retreat of Board members</t>
  </si>
  <si>
    <t>20125882001/KINGFISHER BYTHE GREEN RESORT</t>
  </si>
  <si>
    <t>ADVANCED TOUR LTD</t>
  </si>
  <si>
    <t>Payment of Staff Net Salaries of 13rd month</t>
  </si>
  <si>
    <t>Payment of Staff net salaries of December,2025</t>
  </si>
  <si>
    <t>Payment of carwash  invoice for November,2025</t>
  </si>
  <si>
    <t>Payment of communication fees for January,2026</t>
  </si>
  <si>
    <t>402520113077/INERVATE LTD/Equity bank</t>
  </si>
  <si>
    <t>Vai Account number of Mukandayambaje Claudine</t>
  </si>
  <si>
    <t>Payment of annual insurance for vehicle RAI 905C</t>
  </si>
  <si>
    <t>Done, on    18/12/2025</t>
  </si>
  <si>
    <t>Payment of consultancy fees 40% of 18,000,000</t>
  </si>
  <si>
    <t>Payment of legal service first installement fees 50% of 1,000,000Rwf inclusive WTH</t>
  </si>
  <si>
    <t>Available amount:5,103,659RWF/RWVCA</t>
  </si>
  <si>
    <t>Me Manishimwe Antoine</t>
  </si>
  <si>
    <t>D.Munana</t>
  </si>
  <si>
    <t>20002069001/I&amp;M Bank</t>
  </si>
  <si>
    <t>Available amount:30,126,683RWF/RWVCA</t>
  </si>
  <si>
    <t>Payment of casual wage of cleaner (RWVCA HQ) for December,2025</t>
  </si>
  <si>
    <t>Available amount:6,109,841RWF/RWVCA</t>
  </si>
  <si>
    <t>Available amount:22,360,882RWF/RWVCA</t>
  </si>
  <si>
    <t>Payment of intern fees for December,2025</t>
  </si>
  <si>
    <t>MUREKATETE STALLA</t>
  </si>
  <si>
    <t>Available amount:7,447,398RWF/RWVCA</t>
  </si>
  <si>
    <t>Payment of electricity for RWVCS HQ</t>
  </si>
  <si>
    <t>Payment of casual employee  for December,2025</t>
  </si>
  <si>
    <t>Available amount:179,998RWF/RWVCA</t>
  </si>
  <si>
    <t>Available amount:2,390,791RWF/RWVCA</t>
  </si>
  <si>
    <t>Available amount:7,445,398RWF/RWVCA</t>
  </si>
  <si>
    <t>Available amount:5,414,710RWF/RWVCA</t>
  </si>
  <si>
    <t>Payment of annual subscription (quickbook)</t>
  </si>
  <si>
    <t>Mugabe Charles</t>
  </si>
  <si>
    <t>Payment of casual employee  for December,2025 (Acting Nyanza&amp;Ruhango)</t>
  </si>
  <si>
    <t>Nyiraguhirwa Odille</t>
  </si>
  <si>
    <t>Payment of tax and contributions for December</t>
  </si>
  <si>
    <t>Payment of sitting allowances for December</t>
  </si>
  <si>
    <t>Available amount:740,900,678WF/RWVCA</t>
  </si>
  <si>
    <t>Payment of  WHT 15% for deecember,2025</t>
  </si>
  <si>
    <t>Payment of VAT for December,2025</t>
  </si>
  <si>
    <t>Available amount:314,744RWF/RWVCA</t>
  </si>
  <si>
    <t>Available amount:179,999RWF/RWVCA</t>
  </si>
  <si>
    <t>Payment of fuel for January (RAI 905C&amp;RAI 686P)</t>
  </si>
  <si>
    <t>Done, on    05/01/2025</t>
  </si>
  <si>
    <t>Available amount:85,535,151RWF/RWVCA</t>
  </si>
  <si>
    <t>Payment of stafffood supplied in December,2025</t>
  </si>
  <si>
    <t>Done, on    14/01/2025</t>
  </si>
  <si>
    <t>Available amount:95,761,157RWF/RWVCA</t>
  </si>
  <si>
    <t>Available amount:556,280,237WF/RWVCA</t>
  </si>
  <si>
    <t>Available amount:8,503,098RWF/RWVCA</t>
  </si>
  <si>
    <t>Via momo 0784297808</t>
  </si>
  <si>
    <t>Payment of  2 Executive Ergonomic Chairs for ED and Chairman</t>
  </si>
  <si>
    <t>Payment of trading license for the year 2026</t>
  </si>
  <si>
    <t>Payment of Net Salaries for January,2026</t>
  </si>
  <si>
    <t>Staff List Attached</t>
  </si>
  <si>
    <t>Payment of Communication fees for February,2026</t>
  </si>
  <si>
    <t>ACB</t>
  </si>
  <si>
    <t xml:space="preserve">Payment of petty cash for January </t>
  </si>
  <si>
    <t>Payment of casual employee cleaner of RWVCA's Office HQ January,2025</t>
  </si>
  <si>
    <t>Nahimana Patrice</t>
  </si>
  <si>
    <t>Payment of annualy security fees for Gisozi ICPC</t>
  </si>
  <si>
    <t>Payment of annualy security fees for Kimironko ICPC</t>
  </si>
  <si>
    <t>Payment of shares to ACB</t>
  </si>
  <si>
    <t>Payment of rent for Gisozi,Kimironko,Bishenyi,Gahanga and Rubavu (Jan-March/2026)</t>
  </si>
  <si>
    <t>Gramok Supply Solutions Ltd</t>
  </si>
  <si>
    <t>Payment of water bill consummed  from August,2025 to January,2026</t>
  </si>
  <si>
    <t>ELECTRICOM</t>
  </si>
  <si>
    <t>Payment of Mission fees for staff</t>
  </si>
  <si>
    <t>Payment of wage for acting Musanze</t>
  </si>
  <si>
    <t>Uwurukundo Odette</t>
  </si>
  <si>
    <t>Available amount:121,840,984RWF/RWVCA</t>
  </si>
  <si>
    <t>Available amount:9,856,535RWF/RWVCA</t>
  </si>
  <si>
    <t>Available amount:554,485,241WF/RWVCA</t>
  </si>
  <si>
    <t>Doc 1340830566</t>
  </si>
  <si>
    <t>Payment of annual subscription fees for the National Post Office</t>
  </si>
  <si>
    <t>Payment of sitting allowances (Exco+Audit committee)</t>
  </si>
  <si>
    <t>Via momo</t>
  </si>
  <si>
    <t>Payment of rent for Gisozi,Kimironko,Gahanga and Rubavu (Jan-March/2026)</t>
  </si>
  <si>
    <t>Payment of Net Salaries  and lump sum for January,2026</t>
  </si>
  <si>
    <t>INTERNAL TRANSFERT FROM RWVCA/SCHOOL DESKS TO ACB AMOUNTING TO 300,000,000RWF</t>
  </si>
  <si>
    <t>408465492710138/Private Sector Federation(PSF) BPR</t>
  </si>
  <si>
    <t>Payment of mission fees for staff (Kirehe)</t>
  </si>
  <si>
    <t>Payment of Consultancy service fees-Management Support (Recovery Support)</t>
  </si>
  <si>
    <t>2500512001/I&amp;M Bank /Francis Nsengiyumva</t>
  </si>
  <si>
    <t>Available amount:141,546,153WF/RWVCA</t>
  </si>
  <si>
    <t>Payment of annual staff medical insurance (24 staff*700,000RWF)</t>
  </si>
  <si>
    <t>Payment of staffood supplied in January,2025</t>
  </si>
  <si>
    <t>Done, on    28/01/2025</t>
  </si>
  <si>
    <t>Available amount:422,158,656RWF/RWVCA</t>
  </si>
  <si>
    <t>Payment of fuel for RWVCA's vehicles(February)</t>
  </si>
  <si>
    <t>Via Bank</t>
  </si>
  <si>
    <t>Payment of  terminal benefit for employee</t>
  </si>
  <si>
    <t>Payment of  50% for developing backend components for RWVCA portal</t>
  </si>
  <si>
    <t>4009100673343/Equity Bank/UWINEZA ALAIN Tresor</t>
  </si>
  <si>
    <t>Available amount:438,158,656RWF/RWVCA</t>
  </si>
  <si>
    <t>Done, on    03/02/2026</t>
  </si>
  <si>
    <t>E.D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</si>
  <si>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</si>
  <si>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</si>
  <si>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</si>
  <si>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</si>
  <si>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</si>
  <si>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</si>
  <si>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Abdul Rahaman Karemera</t>
  </si>
  <si>
    <t>Available amount:5,410,710RWF/RWVCA</t>
  </si>
  <si>
    <t>Available amount:12,745,642RWF/RWVCA</t>
  </si>
  <si>
    <t>Available amount:169,999RWF/RWVCA</t>
  </si>
  <si>
    <t>Available amount:4,857,264RWF/RWVCA</t>
  </si>
  <si>
    <t>100164752927/BK/EVOTECH SOLUTIONS LTD</t>
  </si>
  <si>
    <t>Payment of Staff Net Salaries of March,2026</t>
  </si>
  <si>
    <t>Payment of Communication fees for April,2026</t>
  </si>
  <si>
    <t>Payment of Lumpsump for March 2026</t>
  </si>
  <si>
    <t>Available amount:353,510,516RWF/RWVCA</t>
  </si>
  <si>
    <t>Payment of invoice of repair desk top (Balance)</t>
  </si>
  <si>
    <t>Available amount:39,944,612F/RWVCA</t>
  </si>
  <si>
    <t>Done, on    25/03/2026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</si>
</sst>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u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164" fontId="6" fillId="0" borderId="0" applyFont="0" applyFill="0" applyBorder="0" applyAlignment="0" applyProtection="0"/>
    <xf numFmtId="41" fontId="25" fillId="0" borderId="0" applyFont="0" applyFill="0" applyBorder="0" applyAlignment="0" applyProtection="0"/>
  </cellStyleXfs>
  <cellXfs count="143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165" fontId="9" fillId="0" borderId="0" xfId="0" applyNumberFormat="1" applyFont="1">
      <alignment vertical="center"/>
    </xf>
    <xf numFmtId="0" fontId="11" fillId="0" borderId="0" xfId="0" applyFo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1" xfId="0" quotePrefix="1" applyFont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165" fontId="9" fillId="2" borderId="1" xfId="1" applyNumberFormat="1" applyFont="1" applyFill="1" applyBorder="1" applyAlignment="1">
      <alignment vertical="center"/>
    </xf>
    <xf numFmtId="0" fontId="9" fillId="2" borderId="1" xfId="0" quotePrefix="1" applyFont="1" applyFill="1" applyBorder="1" applyAlignment="1">
      <alignment vertical="center" wrapText="1"/>
    </xf>
    <xf numFmtId="165" fontId="4" fillId="0" borderId="0" xfId="0" applyNumberFormat="1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0" applyFo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165" fontId="7" fillId="2" borderId="1" xfId="1" applyNumberFormat="1" applyFont="1" applyFill="1" applyBorder="1" applyAlignment="1">
      <alignment vertical="center"/>
    </xf>
    <xf numFmtId="0" fontId="7" fillId="0" borderId="1" xfId="0" quotePrefix="1" applyFont="1" applyBorder="1" applyAlignment="1">
      <alignment vertical="center" wrapText="1"/>
    </xf>
    <xf numFmtId="165" fontId="14" fillId="0" borderId="1" xfId="1" applyNumberFormat="1" applyFont="1" applyBorder="1" applyAlignment="1">
      <alignment vertical="center"/>
    </xf>
    <xf numFmtId="0" fontId="7" fillId="0" borderId="0" xfId="0" applyFont="1" applyAlignment="1">
      <alignment horizontal="left" vertical="center"/>
    </xf>
    <xf numFmtId="165" fontId="7" fillId="0" borderId="0" xfId="0" applyNumberFormat="1" applyFo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65" fontId="16" fillId="0" borderId="1" xfId="1" applyNumberFormat="1" applyFont="1" applyBorder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6" fillId="0" borderId="0" xfId="0" applyFont="1">
      <alignment vertical="center"/>
    </xf>
    <xf numFmtId="0" fontId="8" fillId="0" borderId="0" xfId="0" applyFont="1">
      <alignment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165" fontId="8" fillId="2" borderId="1" xfId="1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8" fillId="0" borderId="1" xfId="0" quotePrefix="1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165" fontId="8" fillId="0" borderId="0" xfId="0" applyNumberFormat="1" applyFont="1">
      <alignment vertical="center"/>
    </xf>
    <xf numFmtId="0" fontId="7" fillId="0" borderId="1" xfId="0" applyFont="1" applyBorder="1" applyAlignment="1">
      <alignment vertical="center" wrapText="1"/>
    </xf>
    <xf numFmtId="165" fontId="16" fillId="0" borderId="0" xfId="1" applyNumberFormat="1" applyFont="1" applyBorder="1" applyAlignment="1">
      <alignment vertical="center"/>
    </xf>
    <xf numFmtId="0" fontId="18" fillId="0" borderId="0" xfId="0" applyFont="1">
      <alignment vertical="center"/>
    </xf>
    <xf numFmtId="0" fontId="8" fillId="2" borderId="0" xfId="0" applyFont="1" applyFill="1" applyBorder="1" applyAlignment="1">
      <alignment vertical="center" wrapText="1"/>
    </xf>
    <xf numFmtId="0" fontId="10" fillId="0" borderId="0" xfId="0" applyFont="1">
      <alignment vertical="center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/>
    </xf>
    <xf numFmtId="165" fontId="10" fillId="0" borderId="1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7" fillId="0" borderId="1" xfId="0" applyFont="1" applyBorder="1">
      <alignment vertical="center"/>
    </xf>
    <xf numFmtId="0" fontId="21" fillId="0" borderId="1" xfId="0" applyFont="1" applyBorder="1" applyAlignment="1">
      <alignment vertical="center" wrapText="1"/>
    </xf>
    <xf numFmtId="0" fontId="22" fillId="0" borderId="0" xfId="0" applyFont="1">
      <alignment vertical="center"/>
    </xf>
    <xf numFmtId="0" fontId="21" fillId="0" borderId="0" xfId="0" applyFont="1">
      <alignment vertical="center"/>
    </xf>
    <xf numFmtId="0" fontId="23" fillId="0" borderId="0" xfId="0" applyFont="1">
      <alignment vertical="center"/>
    </xf>
    <xf numFmtId="0" fontId="21" fillId="0" borderId="1" xfId="0" applyFont="1" applyBorder="1" applyAlignment="1">
      <alignment horizontal="left" vertical="center" wrapText="1"/>
    </xf>
    <xf numFmtId="165" fontId="22" fillId="0" borderId="0" xfId="0" applyNumberFormat="1" applyFont="1">
      <alignment vertical="center"/>
    </xf>
    <xf numFmtId="165" fontId="4" fillId="0" borderId="0" xfId="0" applyNumberFormat="1" applyFont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>
      <alignment vertical="center"/>
    </xf>
    <xf numFmtId="0" fontId="5" fillId="0" borderId="0" xfId="0" applyFont="1" applyBorder="1">
      <alignment vertical="center"/>
    </xf>
    <xf numFmtId="165" fontId="8" fillId="2" borderId="2" xfId="1" applyNumberFormat="1" applyFont="1" applyFill="1" applyBorder="1" applyAlignment="1">
      <alignment horizontal="center" vertical="center"/>
    </xf>
    <xf numFmtId="165" fontId="7" fillId="2" borderId="2" xfId="1" applyNumberFormat="1" applyFont="1" applyFill="1" applyBorder="1" applyAlignment="1">
      <alignment horizontal="center" vertical="center"/>
    </xf>
    <xf numFmtId="165" fontId="9" fillId="2" borderId="2" xfId="1" applyNumberFormat="1" applyFont="1" applyFill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165" fontId="9" fillId="2" borderId="1" xfId="1" applyNumberFormat="1" applyFont="1" applyFill="1" applyBorder="1" applyAlignment="1">
      <alignment horizontal="center" vertical="center"/>
    </xf>
    <xf numFmtId="165" fontId="5" fillId="0" borderId="0" xfId="0" applyNumberFormat="1" applyFont="1">
      <alignment vertical="center"/>
    </xf>
    <xf numFmtId="165" fontId="4" fillId="0" borderId="0" xfId="1" applyNumberFormat="1" applyFont="1" applyAlignment="1">
      <alignment vertical="center"/>
    </xf>
    <xf numFmtId="0" fontId="9" fillId="0" borderId="1" xfId="0" quotePrefix="1" applyFont="1" applyBorder="1" applyAlignment="1">
      <alignment horizontal="left" vertical="center" wrapText="1"/>
    </xf>
    <xf numFmtId="0" fontId="14" fillId="0" borderId="0" xfId="0" applyFont="1">
      <alignment vertical="center"/>
    </xf>
    <xf numFmtId="165" fontId="7" fillId="0" borderId="0" xfId="1" applyNumberFormat="1" applyFont="1" applyAlignment="1">
      <alignment vertical="center"/>
    </xf>
    <xf numFmtId="0" fontId="12" fillId="0" borderId="1" xfId="0" applyFont="1" applyBorder="1">
      <alignment vertic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165" fontId="10" fillId="0" borderId="0" xfId="1" applyNumberFormat="1" applyFont="1" applyBorder="1" applyAlignment="1">
      <alignment horizontal="center" vertical="center"/>
    </xf>
    <xf numFmtId="165" fontId="10" fillId="0" borderId="0" xfId="1" applyNumberFormat="1" applyFont="1" applyBorder="1" applyAlignment="1">
      <alignment vertical="center"/>
    </xf>
    <xf numFmtId="0" fontId="9" fillId="2" borderId="0" xfId="0" applyFont="1" applyFill="1" applyBorder="1" applyAlignment="1">
      <alignment vertical="center" wrapText="1"/>
    </xf>
    <xf numFmtId="165" fontId="9" fillId="3" borderId="1" xfId="1" applyNumberFormat="1" applyFont="1" applyFill="1" applyBorder="1" applyAlignment="1">
      <alignment vertical="center"/>
    </xf>
    <xf numFmtId="165" fontId="8" fillId="2" borderId="1" xfId="1" applyNumberFormat="1" applyFont="1" applyFill="1" applyBorder="1" applyAlignment="1">
      <alignment horizontal="center" vertical="center"/>
    </xf>
    <xf numFmtId="165" fontId="16" fillId="0" borderId="2" xfId="1" applyNumberFormat="1" applyFont="1" applyBorder="1" applyAlignment="1">
      <alignment horizontal="center" vertical="center"/>
    </xf>
    <xf numFmtId="0" fontId="3" fillId="0" borderId="0" xfId="0" applyFont="1">
      <alignment vertical="center"/>
    </xf>
    <xf numFmtId="165" fontId="8" fillId="0" borderId="0" xfId="1" applyNumberFormat="1" applyFont="1" applyAlignment="1">
      <alignment vertical="center"/>
    </xf>
    <xf numFmtId="165" fontId="17" fillId="0" borderId="0" xfId="0" applyNumberFormat="1" applyFont="1">
      <alignment vertical="center"/>
    </xf>
    <xf numFmtId="41" fontId="8" fillId="2" borderId="1" xfId="2" applyFont="1" applyFill="1" applyBorder="1" applyAlignment="1">
      <alignment vertical="center"/>
    </xf>
    <xf numFmtId="0" fontId="18" fillId="0" borderId="1" xfId="0" applyFont="1" applyBorder="1">
      <alignment vertical="center"/>
    </xf>
    <xf numFmtId="0" fontId="8" fillId="0" borderId="1" xfId="0" quotePrefix="1" applyFont="1" applyBorder="1" applyAlignment="1">
      <alignment horizontal="left" vertical="center" wrapText="1"/>
    </xf>
    <xf numFmtId="0" fontId="16" fillId="0" borderId="0" xfId="0" applyFont="1" applyBorder="1" applyAlignment="1">
      <alignment vertical="center" wrapText="1"/>
    </xf>
    <xf numFmtId="165" fontId="16" fillId="0" borderId="0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65" fontId="7" fillId="2" borderId="1" xfId="1" applyNumberFormat="1" applyFont="1" applyFill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wrapText="1"/>
    </xf>
    <xf numFmtId="41" fontId="7" fillId="2" borderId="1" xfId="2" applyFont="1" applyFill="1" applyBorder="1" applyAlignment="1">
      <alignment vertical="center"/>
    </xf>
    <xf numFmtId="165" fontId="14" fillId="0" borderId="2" xfId="1" applyNumberFormat="1" applyFont="1" applyBorder="1" applyAlignment="1">
      <alignment horizontal="center" vertical="center"/>
    </xf>
    <xf numFmtId="165" fontId="13" fillId="0" borderId="0" xfId="0" applyNumberFormat="1" applyFont="1">
      <alignment vertical="center"/>
    </xf>
    <xf numFmtId="0" fontId="7" fillId="0" borderId="0" xfId="0" applyFont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165" fontId="14" fillId="0" borderId="0" xfId="1" applyNumberFormat="1" applyFont="1" applyBorder="1" applyAlignment="1">
      <alignment horizontal="center" vertical="center"/>
    </xf>
    <xf numFmtId="165" fontId="14" fillId="0" borderId="0" xfId="1" applyNumberFormat="1" applyFont="1" applyBorder="1" applyAlignment="1">
      <alignment vertical="center"/>
    </xf>
    <xf numFmtId="0" fontId="7" fillId="2" borderId="0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165" fontId="7" fillId="4" borderId="1" xfId="1" applyNumberFormat="1" applyFont="1" applyFill="1" applyBorder="1" applyAlignment="1">
      <alignment vertical="center"/>
    </xf>
    <xf numFmtId="165" fontId="7" fillId="4" borderId="1" xfId="1" applyNumberFormat="1" applyFont="1" applyFill="1" applyBorder="1" applyAlignment="1">
      <alignment horizontal="center" vertical="center"/>
    </xf>
    <xf numFmtId="41" fontId="7" fillId="4" borderId="1" xfId="2" applyFont="1" applyFill="1" applyBorder="1" applyAlignment="1">
      <alignment vertical="center"/>
    </xf>
    <xf numFmtId="0" fontId="26" fillId="0" borderId="0" xfId="0" applyFont="1">
      <alignment vertical="center"/>
    </xf>
    <xf numFmtId="165" fontId="22" fillId="0" borderId="0" xfId="1" applyNumberFormat="1" applyFont="1" applyAlignment="1">
      <alignment vertical="center"/>
    </xf>
    <xf numFmtId="165" fontId="8" fillId="4" borderId="1" xfId="1" applyNumberFormat="1" applyFont="1" applyFill="1" applyBorder="1" applyAlignment="1">
      <alignment vertical="center"/>
    </xf>
    <xf numFmtId="0" fontId="1" fillId="0" borderId="0" xfId="0" applyFont="1">
      <alignment vertical="center"/>
    </xf>
    <xf numFmtId="165" fontId="9" fillId="0" borderId="0" xfId="1" applyNumberFormat="1" applyFont="1" applyAlignment="1">
      <alignment vertical="center"/>
    </xf>
    <xf numFmtId="165" fontId="11" fillId="0" borderId="0" xfId="0" applyNumberFormat="1" applyFont="1">
      <alignment vertical="center"/>
    </xf>
    <xf numFmtId="0" fontId="8" fillId="0" borderId="1" xfId="0" applyFont="1" applyBorder="1">
      <alignment vertical="center"/>
    </xf>
    <xf numFmtId="41" fontId="7" fillId="0" borderId="1" xfId="2" applyFont="1" applyBorder="1" applyAlignment="1">
      <alignment vertical="center"/>
    </xf>
    <xf numFmtId="41" fontId="8" fillId="0" borderId="1" xfId="2" applyFont="1" applyBorder="1" applyAlignment="1">
      <alignment horizontal="left" vertical="center" wrapText="1"/>
    </xf>
    <xf numFmtId="41" fontId="12" fillId="0" borderId="0" xfId="2" quotePrefix="1" applyFont="1" applyAlignment="1">
      <alignment vertical="center"/>
    </xf>
    <xf numFmtId="41" fontId="8" fillId="0" borderId="1" xfId="2" quotePrefix="1" applyFont="1" applyBorder="1" applyAlignment="1">
      <alignment horizontal="center" vertical="center" wrapText="1"/>
    </xf>
    <xf numFmtId="41" fontId="7" fillId="0" borderId="1" xfId="2" quotePrefix="1" applyFont="1" applyBorder="1" applyAlignment="1">
      <alignment horizontal="center" vertical="center" wrapText="1"/>
    </xf>
    <xf numFmtId="41" fontId="7" fillId="0" borderId="1" xfId="2" applyFont="1" applyBorder="1" applyAlignment="1">
      <alignment horizontal="left" vertical="center" wrapText="1"/>
    </xf>
    <xf numFmtId="0" fontId="14" fillId="0" borderId="3" xfId="0" applyFont="1" applyBorder="1" applyAlignment="1">
      <alignment vertical="center" wrapText="1"/>
    </xf>
    <xf numFmtId="165" fontId="14" fillId="0" borderId="3" xfId="1" applyNumberFormat="1" applyFont="1" applyBorder="1" applyAlignment="1">
      <alignment horizontal="center" vertical="center"/>
    </xf>
    <xf numFmtId="165" fontId="14" fillId="0" borderId="3" xfId="1" applyNumberFormat="1" applyFont="1" applyBorder="1" applyAlignment="1">
      <alignment vertical="center"/>
    </xf>
    <xf numFmtId="0" fontId="7" fillId="2" borderId="3" xfId="0" applyFont="1" applyFill="1" applyBorder="1" applyAlignment="1">
      <alignment vertical="center" wrapText="1"/>
    </xf>
    <xf numFmtId="0" fontId="28" fillId="0" borderId="0" xfId="0" applyFont="1">
      <alignment vertical="center"/>
    </xf>
    <xf numFmtId="0" fontId="28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left" vertical="center" wrapText="1"/>
    </xf>
    <xf numFmtId="0" fontId="28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5" fontId="4" fillId="2" borderId="2" xfId="1" applyNumberFormat="1" applyFont="1" applyFill="1" applyBorder="1" applyAlignment="1">
      <alignment vertical="center"/>
    </xf>
    <xf numFmtId="165" fontId="4" fillId="2" borderId="1" xfId="1" applyNumberFormat="1" applyFont="1" applyFill="1" applyBorder="1" applyAlignment="1">
      <alignment vertical="center"/>
    </xf>
    <xf numFmtId="165" fontId="28" fillId="0" borderId="2" xfId="1" applyNumberFormat="1" applyFont="1" applyBorder="1" applyAlignment="1">
      <alignment horizontal="center" vertical="center"/>
    </xf>
    <xf numFmtId="165" fontId="28" fillId="0" borderId="1" xfId="1" applyNumberFormat="1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41" fontId="4" fillId="0" borderId="1" xfId="2" quotePrefix="1" applyFont="1" applyBorder="1" applyAlignment="1">
      <alignment horizontal="left" vertical="center" wrapText="1"/>
    </xf>
    <xf numFmtId="0" fontId="29" fillId="0" borderId="0" xfId="0" applyFont="1">
      <alignment vertical="center"/>
    </xf>
    <xf numFmtId="0" fontId="14" fillId="0" borderId="3" xfId="0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50800</xdr:rowOff>
    </xdr:from>
    <xdr:to>
      <xdr:col>1</xdr:col>
      <xdr:colOff>971549</xdr:colOff>
      <xdr:row>2</xdr:row>
      <xdr:rowOff>50800</xdr:rowOff>
    </xdr:to>
    <xdr:pic>
      <xdr:nvPicPr>
        <xdr:cNvPr id="174" name="Picture 17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50800"/>
          <a:ext cx="1136649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6</xdr:col>
      <xdr:colOff>184151</xdr:colOff>
      <xdr:row>0</xdr:row>
      <xdr:rowOff>12701</xdr:rowOff>
    </xdr:from>
    <xdr:to>
      <xdr:col>7</xdr:col>
      <xdr:colOff>3</xdr:colOff>
      <xdr:row>2</xdr:row>
      <xdr:rowOff>38101</xdr:rowOff>
    </xdr:to>
    <xdr:pic>
      <xdr:nvPicPr>
        <xdr:cNvPr id="176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12701"/>
          <a:ext cx="819152" cy="330200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33</xdr:row>
      <xdr:rowOff>50800</xdr:rowOff>
    </xdr:from>
    <xdr:to>
      <xdr:col>1</xdr:col>
      <xdr:colOff>971549</xdr:colOff>
      <xdr:row>37</xdr:row>
      <xdr:rowOff>47626</xdr:rowOff>
    </xdr:to>
    <xdr:pic>
      <xdr:nvPicPr>
        <xdr:cNvPr id="177" name="Picture 17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93345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38</xdr:row>
      <xdr:rowOff>0</xdr:rowOff>
    </xdr:from>
    <xdr:to>
      <xdr:col>6</xdr:col>
      <xdr:colOff>161925</xdr:colOff>
      <xdr:row>38</xdr:row>
      <xdr:rowOff>0</xdr:rowOff>
    </xdr:to>
    <xdr:cxnSp macro="">
      <xdr:nvCxnSpPr>
        <xdr:cNvPr id="178" name="Straight Arrow Connector 1"/>
        <xdr:cNvCxnSpPr>
          <a:cxnSpLocks noChangeShapeType="1"/>
        </xdr:cNvCxnSpPr>
      </xdr:nvCxnSpPr>
      <xdr:spPr>
        <a:xfrm>
          <a:off x="908050" y="483190550"/>
          <a:ext cx="51466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33</xdr:row>
      <xdr:rowOff>12700</xdr:rowOff>
    </xdr:from>
    <xdr:to>
      <xdr:col>7</xdr:col>
      <xdr:colOff>3</xdr:colOff>
      <xdr:row>37</xdr:row>
      <xdr:rowOff>180975</xdr:rowOff>
    </xdr:to>
    <xdr:pic>
      <xdr:nvPicPr>
        <xdr:cNvPr id="179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929640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70</xdr:row>
      <xdr:rowOff>50800</xdr:rowOff>
    </xdr:from>
    <xdr:to>
      <xdr:col>1</xdr:col>
      <xdr:colOff>971549</xdr:colOff>
      <xdr:row>74</xdr:row>
      <xdr:rowOff>47626</xdr:rowOff>
    </xdr:to>
    <xdr:pic>
      <xdr:nvPicPr>
        <xdr:cNvPr id="8" name="Picture 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93345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75</xdr:row>
      <xdr:rowOff>0</xdr:rowOff>
    </xdr:from>
    <xdr:to>
      <xdr:col>6</xdr:col>
      <xdr:colOff>161925</xdr:colOff>
      <xdr:row>75</xdr:row>
      <xdr:rowOff>0</xdr:rowOff>
    </xdr:to>
    <xdr:cxnSp macro="">
      <xdr:nvCxnSpPr>
        <xdr:cNvPr id="9" name="Straight Arrow Connector 1"/>
        <xdr:cNvCxnSpPr>
          <a:cxnSpLocks noChangeShapeType="1"/>
        </xdr:cNvCxnSpPr>
      </xdr:nvCxnSpPr>
      <xdr:spPr>
        <a:xfrm>
          <a:off x="908050" y="1017905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70</xdr:row>
      <xdr:rowOff>12700</xdr:rowOff>
    </xdr:from>
    <xdr:to>
      <xdr:col>7</xdr:col>
      <xdr:colOff>3</xdr:colOff>
      <xdr:row>74</xdr:row>
      <xdr:rowOff>180975</xdr:rowOff>
    </xdr:to>
    <xdr:pic>
      <xdr:nvPicPr>
        <xdr:cNvPr id="10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929640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105</xdr:row>
      <xdr:rowOff>50800</xdr:rowOff>
    </xdr:from>
    <xdr:to>
      <xdr:col>1</xdr:col>
      <xdr:colOff>971549</xdr:colOff>
      <xdr:row>109</xdr:row>
      <xdr:rowOff>47626</xdr:rowOff>
    </xdr:to>
    <xdr:pic>
      <xdr:nvPicPr>
        <xdr:cNvPr id="11" name="Picture 1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184277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110</xdr:row>
      <xdr:rowOff>0</xdr:rowOff>
    </xdr:from>
    <xdr:to>
      <xdr:col>6</xdr:col>
      <xdr:colOff>161925</xdr:colOff>
      <xdr:row>110</xdr:row>
      <xdr:rowOff>0</xdr:rowOff>
    </xdr:to>
    <xdr:cxnSp macro="">
      <xdr:nvCxnSpPr>
        <xdr:cNvPr id="12" name="Straight Arrow Connector 1"/>
        <xdr:cNvCxnSpPr>
          <a:cxnSpLocks noChangeShapeType="1"/>
        </xdr:cNvCxnSpPr>
      </xdr:nvCxnSpPr>
      <xdr:spPr>
        <a:xfrm>
          <a:off x="908050" y="1927225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105</xdr:row>
      <xdr:rowOff>12700</xdr:rowOff>
    </xdr:from>
    <xdr:to>
      <xdr:col>7</xdr:col>
      <xdr:colOff>3</xdr:colOff>
      <xdr:row>109</xdr:row>
      <xdr:rowOff>180975</xdr:rowOff>
    </xdr:to>
    <xdr:pic>
      <xdr:nvPicPr>
        <xdr:cNvPr id="13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1838960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114300</xdr:colOff>
      <xdr:row>146</xdr:row>
      <xdr:rowOff>50800</xdr:rowOff>
    </xdr:from>
    <xdr:to>
      <xdr:col>1</xdr:col>
      <xdr:colOff>971549</xdr:colOff>
      <xdr:row>150</xdr:row>
      <xdr:rowOff>47626</xdr:rowOff>
    </xdr:to>
    <xdr:pic>
      <xdr:nvPicPr>
        <xdr:cNvPr id="14" name="Picture 1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4300" y="2804795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151</xdr:row>
      <xdr:rowOff>0</xdr:rowOff>
    </xdr:from>
    <xdr:to>
      <xdr:col>6</xdr:col>
      <xdr:colOff>161925</xdr:colOff>
      <xdr:row>151</xdr:row>
      <xdr:rowOff>0</xdr:rowOff>
    </xdr:to>
    <xdr:cxnSp macro="">
      <xdr:nvCxnSpPr>
        <xdr:cNvPr id="15" name="Straight Arrow Connector 1"/>
        <xdr:cNvCxnSpPr>
          <a:cxnSpLocks noChangeShapeType="1"/>
        </xdr:cNvCxnSpPr>
      </xdr:nvCxnSpPr>
      <xdr:spPr>
        <a:xfrm>
          <a:off x="908050" y="2889250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146</xdr:row>
      <xdr:rowOff>12700</xdr:rowOff>
    </xdr:from>
    <xdr:to>
      <xdr:col>7</xdr:col>
      <xdr:colOff>3</xdr:colOff>
      <xdr:row>150</xdr:row>
      <xdr:rowOff>180975</xdr:rowOff>
    </xdr:to>
    <xdr:pic>
      <xdr:nvPicPr>
        <xdr:cNvPr id="16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2800985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189</xdr:row>
      <xdr:rowOff>31750</xdr:rowOff>
    </xdr:from>
    <xdr:to>
      <xdr:col>1</xdr:col>
      <xdr:colOff>984249</xdr:colOff>
      <xdr:row>193</xdr:row>
      <xdr:rowOff>28576</xdr:rowOff>
    </xdr:to>
    <xdr:pic>
      <xdr:nvPicPr>
        <xdr:cNvPr id="17" name="Picture 1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463677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194</xdr:row>
      <xdr:rowOff>0</xdr:rowOff>
    </xdr:from>
    <xdr:to>
      <xdr:col>6</xdr:col>
      <xdr:colOff>161925</xdr:colOff>
      <xdr:row>194</xdr:row>
      <xdr:rowOff>0</xdr:rowOff>
    </xdr:to>
    <xdr:cxnSp macro="">
      <xdr:nvCxnSpPr>
        <xdr:cNvPr id="18" name="Straight Arrow Connector 1"/>
        <xdr:cNvCxnSpPr>
          <a:cxnSpLocks noChangeShapeType="1"/>
        </xdr:cNvCxnSpPr>
      </xdr:nvCxnSpPr>
      <xdr:spPr>
        <a:xfrm>
          <a:off x="908050" y="36563300"/>
          <a:ext cx="43465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189</xdr:row>
      <xdr:rowOff>12700</xdr:rowOff>
    </xdr:from>
    <xdr:to>
      <xdr:col>7</xdr:col>
      <xdr:colOff>3</xdr:colOff>
      <xdr:row>193</xdr:row>
      <xdr:rowOff>180975</xdr:rowOff>
    </xdr:to>
    <xdr:pic>
      <xdr:nvPicPr>
        <xdr:cNvPr id="19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76851" y="3568065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236</xdr:row>
      <xdr:rowOff>31750</xdr:rowOff>
    </xdr:from>
    <xdr:to>
      <xdr:col>1</xdr:col>
      <xdr:colOff>984249</xdr:colOff>
      <xdr:row>240</xdr:row>
      <xdr:rowOff>28576</xdr:rowOff>
    </xdr:to>
    <xdr:pic>
      <xdr:nvPicPr>
        <xdr:cNvPr id="20" name="Picture 1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463677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241</xdr:row>
      <xdr:rowOff>0</xdr:rowOff>
    </xdr:from>
    <xdr:to>
      <xdr:col>6</xdr:col>
      <xdr:colOff>161925</xdr:colOff>
      <xdr:row>241</xdr:row>
      <xdr:rowOff>0</xdr:rowOff>
    </xdr:to>
    <xdr:cxnSp macro="">
      <xdr:nvCxnSpPr>
        <xdr:cNvPr id="21" name="Straight Arrow Connector 1"/>
        <xdr:cNvCxnSpPr>
          <a:cxnSpLocks noChangeShapeType="1"/>
        </xdr:cNvCxnSpPr>
      </xdr:nvCxnSpPr>
      <xdr:spPr>
        <a:xfrm>
          <a:off x="908050" y="472313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236</xdr:row>
      <xdr:rowOff>12700</xdr:rowOff>
    </xdr:from>
    <xdr:to>
      <xdr:col>7</xdr:col>
      <xdr:colOff>3</xdr:colOff>
      <xdr:row>240</xdr:row>
      <xdr:rowOff>180975</xdr:rowOff>
    </xdr:to>
    <xdr:pic>
      <xdr:nvPicPr>
        <xdr:cNvPr id="22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6051" y="46348650"/>
          <a:ext cx="819152" cy="866775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274</xdr:row>
      <xdr:rowOff>31750</xdr:rowOff>
    </xdr:from>
    <xdr:to>
      <xdr:col>1</xdr:col>
      <xdr:colOff>984249</xdr:colOff>
      <xdr:row>278</xdr:row>
      <xdr:rowOff>0</xdr:rowOff>
    </xdr:to>
    <xdr:pic>
      <xdr:nvPicPr>
        <xdr:cNvPr id="23" name="Picture 2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55714900"/>
          <a:ext cx="1136649" cy="69532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278</xdr:row>
      <xdr:rowOff>0</xdr:rowOff>
    </xdr:from>
    <xdr:to>
      <xdr:col>6</xdr:col>
      <xdr:colOff>161925</xdr:colOff>
      <xdr:row>278</xdr:row>
      <xdr:rowOff>0</xdr:rowOff>
    </xdr:to>
    <xdr:cxnSp macro="">
      <xdr:nvCxnSpPr>
        <xdr:cNvPr id="24" name="Straight Arrow Connector 1"/>
        <xdr:cNvCxnSpPr>
          <a:cxnSpLocks noChangeShapeType="1"/>
        </xdr:cNvCxnSpPr>
      </xdr:nvCxnSpPr>
      <xdr:spPr>
        <a:xfrm>
          <a:off x="908050" y="565785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274</xdr:row>
      <xdr:rowOff>12701</xdr:rowOff>
    </xdr:from>
    <xdr:to>
      <xdr:col>7</xdr:col>
      <xdr:colOff>3</xdr:colOff>
      <xdr:row>278</xdr:row>
      <xdr:rowOff>0</xdr:rowOff>
    </xdr:to>
    <xdr:pic>
      <xdr:nvPicPr>
        <xdr:cNvPr id="25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6051" y="64598551"/>
          <a:ext cx="819152" cy="692150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309</xdr:row>
      <xdr:rowOff>31750</xdr:rowOff>
    </xdr:from>
    <xdr:to>
      <xdr:col>1</xdr:col>
      <xdr:colOff>984249</xdr:colOff>
      <xdr:row>313</xdr:row>
      <xdr:rowOff>0</xdr:rowOff>
    </xdr:to>
    <xdr:pic>
      <xdr:nvPicPr>
        <xdr:cNvPr id="26" name="Picture 2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64617600"/>
          <a:ext cx="1136649" cy="6667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313</xdr:row>
      <xdr:rowOff>0</xdr:rowOff>
    </xdr:from>
    <xdr:to>
      <xdr:col>6</xdr:col>
      <xdr:colOff>161925</xdr:colOff>
      <xdr:row>313</xdr:row>
      <xdr:rowOff>0</xdr:rowOff>
    </xdr:to>
    <xdr:cxnSp macro="">
      <xdr:nvCxnSpPr>
        <xdr:cNvPr id="27" name="Straight Arrow Connector 1"/>
        <xdr:cNvCxnSpPr>
          <a:cxnSpLocks noChangeShapeType="1"/>
        </xdr:cNvCxnSpPr>
      </xdr:nvCxnSpPr>
      <xdr:spPr>
        <a:xfrm>
          <a:off x="908050" y="652843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184151</xdr:colOff>
      <xdr:row>309</xdr:row>
      <xdr:rowOff>12701</xdr:rowOff>
    </xdr:from>
    <xdr:to>
      <xdr:col>7</xdr:col>
      <xdr:colOff>3</xdr:colOff>
      <xdr:row>313</xdr:row>
      <xdr:rowOff>0</xdr:rowOff>
    </xdr:to>
    <xdr:pic>
      <xdr:nvPicPr>
        <xdr:cNvPr id="28" name="Image1" descr="logo PSF-FSP (2)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226051" y="64598551"/>
          <a:ext cx="819152" cy="685799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343</xdr:row>
      <xdr:rowOff>63500</xdr:rowOff>
    </xdr:from>
    <xdr:to>
      <xdr:col>1</xdr:col>
      <xdr:colOff>984249</xdr:colOff>
      <xdr:row>347</xdr:row>
      <xdr:rowOff>158750</xdr:rowOff>
    </xdr:to>
    <xdr:pic>
      <xdr:nvPicPr>
        <xdr:cNvPr id="29" name="Picture 2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832675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348</xdr:row>
      <xdr:rowOff>0</xdr:rowOff>
    </xdr:from>
    <xdr:to>
      <xdr:col>6</xdr:col>
      <xdr:colOff>161925</xdr:colOff>
      <xdr:row>348</xdr:row>
      <xdr:rowOff>0</xdr:rowOff>
    </xdr:to>
    <xdr:cxnSp macro="">
      <xdr:nvCxnSpPr>
        <xdr:cNvPr id="30" name="Straight Arrow Connector 1"/>
        <xdr:cNvCxnSpPr>
          <a:cxnSpLocks noChangeShapeType="1"/>
        </xdr:cNvCxnSpPr>
      </xdr:nvCxnSpPr>
      <xdr:spPr>
        <a:xfrm>
          <a:off x="908050" y="745998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0</xdr:colOff>
      <xdr:row>343</xdr:row>
      <xdr:rowOff>0</xdr:rowOff>
    </xdr:from>
    <xdr:to>
      <xdr:col>7</xdr:col>
      <xdr:colOff>133351</xdr:colOff>
      <xdr:row>347</xdr:row>
      <xdr:rowOff>127000</xdr:rowOff>
    </xdr:to>
    <xdr:pic>
      <xdr:nvPicPr>
        <xdr:cNvPr id="32" name="Picture 3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83204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127000</xdr:colOff>
      <xdr:row>382</xdr:row>
      <xdr:rowOff>63500</xdr:rowOff>
    </xdr:from>
    <xdr:to>
      <xdr:col>1</xdr:col>
      <xdr:colOff>984249</xdr:colOff>
      <xdr:row>386</xdr:row>
      <xdr:rowOff>158750</xdr:rowOff>
    </xdr:to>
    <xdr:pic>
      <xdr:nvPicPr>
        <xdr:cNvPr id="31" name="Picture 3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832675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628650</xdr:colOff>
      <xdr:row>387</xdr:row>
      <xdr:rowOff>0</xdr:rowOff>
    </xdr:from>
    <xdr:to>
      <xdr:col>6</xdr:col>
      <xdr:colOff>161925</xdr:colOff>
      <xdr:row>387</xdr:row>
      <xdr:rowOff>0</xdr:rowOff>
    </xdr:to>
    <xdr:cxnSp macro="">
      <xdr:nvCxnSpPr>
        <xdr:cNvPr id="33" name="Straight Arrow Connector 1"/>
        <xdr:cNvCxnSpPr>
          <a:cxnSpLocks noChangeShapeType="1"/>
        </xdr:cNvCxnSpPr>
      </xdr:nvCxnSpPr>
      <xdr:spPr>
        <a:xfrm>
          <a:off x="908050" y="840549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382</xdr:row>
      <xdr:rowOff>0</xdr:rowOff>
    </xdr:from>
    <xdr:ext cx="1136650" cy="781050"/>
    <xdr:pic>
      <xdr:nvPicPr>
        <xdr:cNvPr id="34" name="Picture 3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83204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420</xdr:row>
      <xdr:rowOff>63500</xdr:rowOff>
    </xdr:from>
    <xdr:to>
      <xdr:col>1</xdr:col>
      <xdr:colOff>984249</xdr:colOff>
      <xdr:row>424</xdr:row>
      <xdr:rowOff>158750</xdr:rowOff>
    </xdr:to>
    <xdr:pic>
      <xdr:nvPicPr>
        <xdr:cNvPr id="38" name="Picture 3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925639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425</xdr:row>
      <xdr:rowOff>0</xdr:rowOff>
    </xdr:from>
    <xdr:to>
      <xdr:col>6</xdr:col>
      <xdr:colOff>142875</xdr:colOff>
      <xdr:row>425</xdr:row>
      <xdr:rowOff>0</xdr:rowOff>
    </xdr:to>
    <xdr:cxnSp macro="">
      <xdr:nvCxnSpPr>
        <xdr:cNvPr id="39" name="Straight Arrow Connector 1"/>
        <xdr:cNvCxnSpPr>
          <a:cxnSpLocks noChangeShapeType="1"/>
        </xdr:cNvCxnSpPr>
      </xdr:nvCxnSpPr>
      <xdr:spPr>
        <a:xfrm>
          <a:off x="889000" y="1031494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420</xdr:row>
      <xdr:rowOff>0</xdr:rowOff>
    </xdr:from>
    <xdr:ext cx="1136650" cy="781050"/>
    <xdr:pic>
      <xdr:nvPicPr>
        <xdr:cNvPr id="40" name="Picture 3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925004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457</xdr:row>
      <xdr:rowOff>63500</xdr:rowOff>
    </xdr:from>
    <xdr:to>
      <xdr:col>1</xdr:col>
      <xdr:colOff>984249</xdr:colOff>
      <xdr:row>461</xdr:row>
      <xdr:rowOff>158750</xdr:rowOff>
    </xdr:to>
    <xdr:pic>
      <xdr:nvPicPr>
        <xdr:cNvPr id="37" name="Picture 3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018603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462</xdr:row>
      <xdr:rowOff>0</xdr:rowOff>
    </xdr:from>
    <xdr:to>
      <xdr:col>6</xdr:col>
      <xdr:colOff>142875</xdr:colOff>
      <xdr:row>462</xdr:row>
      <xdr:rowOff>0</xdr:rowOff>
    </xdr:to>
    <xdr:cxnSp macro="">
      <xdr:nvCxnSpPr>
        <xdr:cNvPr id="41" name="Straight Arrow Connector 1"/>
        <xdr:cNvCxnSpPr>
          <a:cxnSpLocks noChangeShapeType="1"/>
        </xdr:cNvCxnSpPr>
      </xdr:nvCxnSpPr>
      <xdr:spPr>
        <a:xfrm>
          <a:off x="889000" y="1026477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457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1017968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493</xdr:row>
      <xdr:rowOff>63500</xdr:rowOff>
    </xdr:from>
    <xdr:to>
      <xdr:col>1</xdr:col>
      <xdr:colOff>984249</xdr:colOff>
      <xdr:row>497</xdr:row>
      <xdr:rowOff>158750</xdr:rowOff>
    </xdr:to>
    <xdr:pic>
      <xdr:nvPicPr>
        <xdr:cNvPr id="43" name="Picture 4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1114405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498</xdr:row>
      <xdr:rowOff>0</xdr:rowOff>
    </xdr:from>
    <xdr:to>
      <xdr:col>6</xdr:col>
      <xdr:colOff>142875</xdr:colOff>
      <xdr:row>498</xdr:row>
      <xdr:rowOff>0</xdr:rowOff>
    </xdr:to>
    <xdr:cxnSp macro="">
      <xdr:nvCxnSpPr>
        <xdr:cNvPr id="44" name="Straight Arrow Connector 1"/>
        <xdr:cNvCxnSpPr>
          <a:cxnSpLocks noChangeShapeType="1"/>
        </xdr:cNvCxnSpPr>
      </xdr:nvCxnSpPr>
      <xdr:spPr>
        <a:xfrm>
          <a:off x="889000" y="11193145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493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1110805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537</xdr:row>
      <xdr:rowOff>63500</xdr:rowOff>
    </xdr:from>
    <xdr:to>
      <xdr:col>1</xdr:col>
      <xdr:colOff>984249</xdr:colOff>
      <xdr:row>541</xdr:row>
      <xdr:rowOff>158750</xdr:rowOff>
    </xdr:to>
    <xdr:pic>
      <xdr:nvPicPr>
        <xdr:cNvPr id="46" name="Picture 4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205611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542</xdr:row>
      <xdr:rowOff>0</xdr:rowOff>
    </xdr:from>
    <xdr:to>
      <xdr:col>6</xdr:col>
      <xdr:colOff>142875</xdr:colOff>
      <xdr:row>542</xdr:row>
      <xdr:rowOff>0</xdr:rowOff>
    </xdr:to>
    <xdr:cxnSp macro="">
      <xdr:nvCxnSpPr>
        <xdr:cNvPr id="47" name="Straight Arrow Connector 1"/>
        <xdr:cNvCxnSpPr>
          <a:cxnSpLocks noChangeShapeType="1"/>
        </xdr:cNvCxnSpPr>
      </xdr:nvCxnSpPr>
      <xdr:spPr>
        <a:xfrm>
          <a:off x="889000" y="121348500"/>
          <a:ext cx="42957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537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41900" y="1204976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575</xdr:row>
      <xdr:rowOff>63500</xdr:rowOff>
    </xdr:from>
    <xdr:to>
      <xdr:col>1</xdr:col>
      <xdr:colOff>984249</xdr:colOff>
      <xdr:row>579</xdr:row>
      <xdr:rowOff>158750</xdr:rowOff>
    </xdr:to>
    <xdr:pic>
      <xdr:nvPicPr>
        <xdr:cNvPr id="49" name="Picture 4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296162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580</xdr:row>
      <xdr:rowOff>0</xdr:rowOff>
    </xdr:from>
    <xdr:to>
      <xdr:col>6</xdr:col>
      <xdr:colOff>142875</xdr:colOff>
      <xdr:row>580</xdr:row>
      <xdr:rowOff>0</xdr:rowOff>
    </xdr:to>
    <xdr:cxnSp macro="">
      <xdr:nvCxnSpPr>
        <xdr:cNvPr id="50" name="Straight Arrow Connector 1"/>
        <xdr:cNvCxnSpPr>
          <a:cxnSpLocks noChangeShapeType="1"/>
        </xdr:cNvCxnSpPr>
      </xdr:nvCxnSpPr>
      <xdr:spPr>
        <a:xfrm>
          <a:off x="889000" y="139661900"/>
          <a:ext cx="43211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575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67300" y="129552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612</xdr:row>
      <xdr:rowOff>63500</xdr:rowOff>
    </xdr:from>
    <xdr:to>
      <xdr:col>1</xdr:col>
      <xdr:colOff>984249</xdr:colOff>
      <xdr:row>616</xdr:row>
      <xdr:rowOff>158750</xdr:rowOff>
    </xdr:to>
    <xdr:pic>
      <xdr:nvPicPr>
        <xdr:cNvPr id="52" name="Picture 5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38874500"/>
          <a:ext cx="1136649" cy="6350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617</xdr:row>
      <xdr:rowOff>0</xdr:rowOff>
    </xdr:from>
    <xdr:to>
      <xdr:col>6</xdr:col>
      <xdr:colOff>142875</xdr:colOff>
      <xdr:row>617</xdr:row>
      <xdr:rowOff>0</xdr:rowOff>
    </xdr:to>
    <xdr:cxnSp macro="">
      <xdr:nvCxnSpPr>
        <xdr:cNvPr id="53" name="Straight Arrow Connector 1"/>
        <xdr:cNvCxnSpPr>
          <a:cxnSpLocks noChangeShapeType="1"/>
        </xdr:cNvCxnSpPr>
      </xdr:nvCxnSpPr>
      <xdr:spPr>
        <a:xfrm>
          <a:off x="889000" y="139509500"/>
          <a:ext cx="43211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612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67300" y="1388110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675</xdr:row>
      <xdr:rowOff>63500</xdr:rowOff>
    </xdr:from>
    <xdr:to>
      <xdr:col>1</xdr:col>
      <xdr:colOff>984249</xdr:colOff>
      <xdr:row>679</xdr:row>
      <xdr:rowOff>158750</xdr:rowOff>
    </xdr:to>
    <xdr:pic>
      <xdr:nvPicPr>
        <xdr:cNvPr id="55" name="Picture 5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511554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680</xdr:row>
      <xdr:rowOff>0</xdr:rowOff>
    </xdr:from>
    <xdr:to>
      <xdr:col>6</xdr:col>
      <xdr:colOff>142875</xdr:colOff>
      <xdr:row>680</xdr:row>
      <xdr:rowOff>0</xdr:rowOff>
    </xdr:to>
    <xdr:cxnSp macro="">
      <xdr:nvCxnSpPr>
        <xdr:cNvPr id="56" name="Straight Arrow Connector 1"/>
        <xdr:cNvCxnSpPr>
          <a:cxnSpLocks noChangeShapeType="1"/>
        </xdr:cNvCxnSpPr>
      </xdr:nvCxnSpPr>
      <xdr:spPr>
        <a:xfrm>
          <a:off x="889000" y="151942800"/>
          <a:ext cx="42830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675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714</xdr:row>
      <xdr:rowOff>63500</xdr:rowOff>
    </xdr:from>
    <xdr:to>
      <xdr:col>1</xdr:col>
      <xdr:colOff>984249</xdr:colOff>
      <xdr:row>718</xdr:row>
      <xdr:rowOff>158750</xdr:rowOff>
    </xdr:to>
    <xdr:pic>
      <xdr:nvPicPr>
        <xdr:cNvPr id="58" name="Picture 5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65023800"/>
          <a:ext cx="1136649" cy="7493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719</xdr:row>
      <xdr:rowOff>0</xdr:rowOff>
    </xdr:from>
    <xdr:to>
      <xdr:col>6</xdr:col>
      <xdr:colOff>142875</xdr:colOff>
      <xdr:row>719</xdr:row>
      <xdr:rowOff>0</xdr:rowOff>
    </xdr:to>
    <xdr:cxnSp macro="">
      <xdr:nvCxnSpPr>
        <xdr:cNvPr id="59" name="Straight Arrow Connector 1"/>
        <xdr:cNvCxnSpPr>
          <a:cxnSpLocks noChangeShapeType="1"/>
        </xdr:cNvCxnSpPr>
      </xdr:nvCxnSpPr>
      <xdr:spPr>
        <a:xfrm>
          <a:off x="889000" y="165811200"/>
          <a:ext cx="42830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714</xdr:row>
      <xdr:rowOff>0</xdr:rowOff>
    </xdr:from>
    <xdr:ext cx="1136650" cy="781050"/>
    <xdr:pic>
      <xdr:nvPicPr>
        <xdr:cNvPr id="60" name="Picture 5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751</xdr:row>
      <xdr:rowOff>11758</xdr:rowOff>
    </xdr:from>
    <xdr:to>
      <xdr:col>1</xdr:col>
      <xdr:colOff>984249</xdr:colOff>
      <xdr:row>754</xdr:row>
      <xdr:rowOff>158749</xdr:rowOff>
    </xdr:to>
    <xdr:pic>
      <xdr:nvPicPr>
        <xdr:cNvPr id="61" name="Picture 6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82121527"/>
          <a:ext cx="1139471" cy="64675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755</xdr:row>
      <xdr:rowOff>0</xdr:rowOff>
    </xdr:from>
    <xdr:to>
      <xdr:col>6</xdr:col>
      <xdr:colOff>142875</xdr:colOff>
      <xdr:row>755</xdr:row>
      <xdr:rowOff>0</xdr:rowOff>
    </xdr:to>
    <xdr:cxnSp macro="">
      <xdr:nvCxnSpPr>
        <xdr:cNvPr id="62" name="Straight Arrow Connector 1"/>
        <xdr:cNvCxnSpPr>
          <a:cxnSpLocks noChangeShapeType="1"/>
        </xdr:cNvCxnSpPr>
      </xdr:nvCxnSpPr>
      <xdr:spPr>
        <a:xfrm>
          <a:off x="889000" y="175209200"/>
          <a:ext cx="4283075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5</xdr:col>
      <xdr:colOff>811390</xdr:colOff>
      <xdr:row>751</xdr:row>
      <xdr:rowOff>0</xdr:rowOff>
    </xdr:from>
    <xdr:ext cx="1136650" cy="670277"/>
    <xdr:pic>
      <xdr:nvPicPr>
        <xdr:cNvPr id="63" name="Picture 62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80047" y="182109769"/>
          <a:ext cx="1136650" cy="67027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789</xdr:row>
      <xdr:rowOff>63500</xdr:rowOff>
    </xdr:from>
    <xdr:to>
      <xdr:col>1</xdr:col>
      <xdr:colOff>984249</xdr:colOff>
      <xdr:row>793</xdr:row>
      <xdr:rowOff>158750</xdr:rowOff>
    </xdr:to>
    <xdr:pic>
      <xdr:nvPicPr>
        <xdr:cNvPr id="64" name="Picture 6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182479009"/>
          <a:ext cx="1139471" cy="7478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794</xdr:row>
      <xdr:rowOff>0</xdr:rowOff>
    </xdr:from>
    <xdr:to>
      <xdr:col>6</xdr:col>
      <xdr:colOff>142875</xdr:colOff>
      <xdr:row>794</xdr:row>
      <xdr:rowOff>0</xdr:rowOff>
    </xdr:to>
    <xdr:cxnSp macro="">
      <xdr:nvCxnSpPr>
        <xdr:cNvPr id="65" name="Straight Arrow Connector 1"/>
        <xdr:cNvCxnSpPr>
          <a:cxnSpLocks noChangeShapeType="1"/>
        </xdr:cNvCxnSpPr>
      </xdr:nvCxnSpPr>
      <xdr:spPr>
        <a:xfrm>
          <a:off x="891822" y="183262176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789</xdr:row>
      <xdr:rowOff>0</xdr:rowOff>
    </xdr:from>
    <xdr:ext cx="1136650" cy="781050"/>
    <xdr:pic>
      <xdr:nvPicPr>
        <xdr:cNvPr id="66" name="Picture 65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2963" y="182415509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127000</xdr:colOff>
      <xdr:row>826</xdr:row>
      <xdr:rowOff>47037</xdr:rowOff>
    </xdr:from>
    <xdr:to>
      <xdr:col>1</xdr:col>
      <xdr:colOff>984249</xdr:colOff>
      <xdr:row>829</xdr:row>
      <xdr:rowOff>182268</xdr:rowOff>
    </xdr:to>
    <xdr:pic>
      <xdr:nvPicPr>
        <xdr:cNvPr id="67" name="Picture 6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0" y="200560046"/>
          <a:ext cx="1139471" cy="67615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609600</xdr:colOff>
      <xdr:row>830</xdr:row>
      <xdr:rowOff>0</xdr:rowOff>
    </xdr:from>
    <xdr:to>
      <xdr:col>6</xdr:col>
      <xdr:colOff>142875</xdr:colOff>
      <xdr:row>830</xdr:row>
      <xdr:rowOff>0</xdr:rowOff>
    </xdr:to>
    <xdr:cxnSp macro="">
      <xdr:nvCxnSpPr>
        <xdr:cNvPr id="68" name="Straight Arrow Connector 1"/>
        <xdr:cNvCxnSpPr>
          <a:cxnSpLocks noChangeShapeType="1"/>
        </xdr:cNvCxnSpPr>
      </xdr:nvCxnSpPr>
      <xdr:spPr>
        <a:xfrm>
          <a:off x="891822" y="201053935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0</xdr:colOff>
      <xdr:row>826</xdr:row>
      <xdr:rowOff>0</xdr:rowOff>
    </xdr:from>
    <xdr:ext cx="1136650" cy="740834"/>
    <xdr:pic>
      <xdr:nvPicPr>
        <xdr:cNvPr id="69" name="Picture 68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2963" y="200513009"/>
          <a:ext cx="1136650" cy="74083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860</xdr:row>
      <xdr:rowOff>41158</xdr:rowOff>
    </xdr:from>
    <xdr:to>
      <xdr:col>1</xdr:col>
      <xdr:colOff>1007767</xdr:colOff>
      <xdr:row>864</xdr:row>
      <xdr:rowOff>146990</xdr:rowOff>
    </xdr:to>
    <xdr:pic>
      <xdr:nvPicPr>
        <xdr:cNvPr id="73" name="Picture 7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09791065"/>
          <a:ext cx="1139471" cy="781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864</xdr:row>
      <xdr:rowOff>170509</xdr:rowOff>
    </xdr:from>
    <xdr:to>
      <xdr:col>6</xdr:col>
      <xdr:colOff>172273</xdr:colOff>
      <xdr:row>864</xdr:row>
      <xdr:rowOff>170509</xdr:rowOff>
    </xdr:to>
    <xdr:cxnSp macro="">
      <xdr:nvCxnSpPr>
        <xdr:cNvPr id="74" name="Straight Arrow Connector 1"/>
        <xdr:cNvCxnSpPr>
          <a:cxnSpLocks noChangeShapeType="1"/>
        </xdr:cNvCxnSpPr>
      </xdr:nvCxnSpPr>
      <xdr:spPr>
        <a:xfrm>
          <a:off x="921220" y="210267315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860</xdr:row>
      <xdr:rowOff>17639</xdr:rowOff>
    </xdr:from>
    <xdr:ext cx="1136650" cy="817268"/>
    <xdr:pic>
      <xdr:nvPicPr>
        <xdr:cNvPr id="75" name="Picture 7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09767546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899</xdr:row>
      <xdr:rowOff>41158</xdr:rowOff>
    </xdr:from>
    <xdr:to>
      <xdr:col>1</xdr:col>
      <xdr:colOff>1007767</xdr:colOff>
      <xdr:row>903</xdr:row>
      <xdr:rowOff>146990</xdr:rowOff>
    </xdr:to>
    <xdr:pic>
      <xdr:nvPicPr>
        <xdr:cNvPr id="70" name="Picture 6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09791065"/>
          <a:ext cx="1139471" cy="781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903</xdr:row>
      <xdr:rowOff>170509</xdr:rowOff>
    </xdr:from>
    <xdr:to>
      <xdr:col>6</xdr:col>
      <xdr:colOff>172273</xdr:colOff>
      <xdr:row>903</xdr:row>
      <xdr:rowOff>170509</xdr:rowOff>
    </xdr:to>
    <xdr:cxnSp macro="">
      <xdr:nvCxnSpPr>
        <xdr:cNvPr id="71" name="Straight Arrow Connector 1"/>
        <xdr:cNvCxnSpPr>
          <a:cxnSpLocks noChangeShapeType="1"/>
        </xdr:cNvCxnSpPr>
      </xdr:nvCxnSpPr>
      <xdr:spPr>
        <a:xfrm>
          <a:off x="921220" y="210596574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899</xdr:row>
      <xdr:rowOff>17639</xdr:rowOff>
    </xdr:from>
    <xdr:ext cx="1136650" cy="817268"/>
    <xdr:pic>
      <xdr:nvPicPr>
        <xdr:cNvPr id="72" name="Picture 7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09767546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940</xdr:row>
      <xdr:rowOff>41158</xdr:rowOff>
    </xdr:from>
    <xdr:to>
      <xdr:col>1</xdr:col>
      <xdr:colOff>1007767</xdr:colOff>
      <xdr:row>944</xdr:row>
      <xdr:rowOff>146990</xdr:rowOff>
    </xdr:to>
    <xdr:pic>
      <xdr:nvPicPr>
        <xdr:cNvPr id="76" name="Picture 7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19069121"/>
          <a:ext cx="1139471" cy="78198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944</xdr:row>
      <xdr:rowOff>170509</xdr:rowOff>
    </xdr:from>
    <xdr:to>
      <xdr:col>6</xdr:col>
      <xdr:colOff>172273</xdr:colOff>
      <xdr:row>944</xdr:row>
      <xdr:rowOff>170509</xdr:rowOff>
    </xdr:to>
    <xdr:cxnSp macro="">
      <xdr:nvCxnSpPr>
        <xdr:cNvPr id="77" name="Straight Arrow Connector 1"/>
        <xdr:cNvCxnSpPr>
          <a:cxnSpLocks noChangeShapeType="1"/>
        </xdr:cNvCxnSpPr>
      </xdr:nvCxnSpPr>
      <xdr:spPr>
        <a:xfrm>
          <a:off x="921220" y="219874629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940</xdr:row>
      <xdr:rowOff>17639</xdr:rowOff>
    </xdr:from>
    <xdr:ext cx="1136650" cy="817268"/>
    <xdr:pic>
      <xdr:nvPicPr>
        <xdr:cNvPr id="78" name="Picture 77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19045602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978</xdr:row>
      <xdr:rowOff>41158</xdr:rowOff>
    </xdr:from>
    <xdr:to>
      <xdr:col>1</xdr:col>
      <xdr:colOff>1007767</xdr:colOff>
      <xdr:row>982</xdr:row>
      <xdr:rowOff>146990</xdr:rowOff>
    </xdr:to>
    <xdr:pic>
      <xdr:nvPicPr>
        <xdr:cNvPr id="79" name="Picture 7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28082593"/>
          <a:ext cx="1139471" cy="78199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982</xdr:row>
      <xdr:rowOff>170509</xdr:rowOff>
    </xdr:from>
    <xdr:to>
      <xdr:col>6</xdr:col>
      <xdr:colOff>172273</xdr:colOff>
      <xdr:row>982</xdr:row>
      <xdr:rowOff>170509</xdr:rowOff>
    </xdr:to>
    <xdr:cxnSp macro="">
      <xdr:nvCxnSpPr>
        <xdr:cNvPr id="80" name="Straight Arrow Connector 1"/>
        <xdr:cNvCxnSpPr>
          <a:cxnSpLocks noChangeShapeType="1"/>
        </xdr:cNvCxnSpPr>
      </xdr:nvCxnSpPr>
      <xdr:spPr>
        <a:xfrm>
          <a:off x="921220" y="228888102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978</xdr:row>
      <xdr:rowOff>17639</xdr:rowOff>
    </xdr:from>
    <xdr:ext cx="1136650" cy="817268"/>
    <xdr:pic>
      <xdr:nvPicPr>
        <xdr:cNvPr id="81" name="Picture 8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28059074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1018</xdr:row>
      <xdr:rowOff>0</xdr:rowOff>
    </xdr:from>
    <xdr:to>
      <xdr:col>1</xdr:col>
      <xdr:colOff>1025406</xdr:colOff>
      <xdr:row>1021</xdr:row>
      <xdr:rowOff>146990</xdr:rowOff>
    </xdr:to>
    <xdr:pic>
      <xdr:nvPicPr>
        <xdr:cNvPr id="82" name="Picture 8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46626944"/>
          <a:ext cx="1139471" cy="6585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1021</xdr:row>
      <xdr:rowOff>170509</xdr:rowOff>
    </xdr:from>
    <xdr:to>
      <xdr:col>6</xdr:col>
      <xdr:colOff>172273</xdr:colOff>
      <xdr:row>1021</xdr:row>
      <xdr:rowOff>170509</xdr:rowOff>
    </xdr:to>
    <xdr:cxnSp macro="">
      <xdr:nvCxnSpPr>
        <xdr:cNvPr id="83" name="Straight Arrow Connector 1"/>
        <xdr:cNvCxnSpPr>
          <a:cxnSpLocks noChangeShapeType="1"/>
        </xdr:cNvCxnSpPr>
      </xdr:nvCxnSpPr>
      <xdr:spPr>
        <a:xfrm>
          <a:off x="921220" y="238371944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1018</xdr:row>
      <xdr:rowOff>0</xdr:rowOff>
    </xdr:from>
    <xdr:ext cx="1136650" cy="817268"/>
    <xdr:pic>
      <xdr:nvPicPr>
        <xdr:cNvPr id="84" name="Picture 8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37542917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150518</xdr:colOff>
      <xdr:row>1060</xdr:row>
      <xdr:rowOff>17638</xdr:rowOff>
    </xdr:from>
    <xdr:to>
      <xdr:col>1</xdr:col>
      <xdr:colOff>1007767</xdr:colOff>
      <xdr:row>1063</xdr:row>
      <xdr:rowOff>146989</xdr:rowOff>
    </xdr:to>
    <xdr:pic>
      <xdr:nvPicPr>
        <xdr:cNvPr id="85" name="Picture 8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0518" y="255622777"/>
          <a:ext cx="1139471" cy="64087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1063</xdr:row>
      <xdr:rowOff>170509</xdr:rowOff>
    </xdr:from>
    <xdr:to>
      <xdr:col>6</xdr:col>
      <xdr:colOff>172273</xdr:colOff>
      <xdr:row>1063</xdr:row>
      <xdr:rowOff>170509</xdr:rowOff>
    </xdr:to>
    <xdr:cxnSp macro="">
      <xdr:nvCxnSpPr>
        <xdr:cNvPr id="86" name="Straight Arrow Connector 1"/>
        <xdr:cNvCxnSpPr>
          <a:cxnSpLocks noChangeShapeType="1"/>
        </xdr:cNvCxnSpPr>
      </xdr:nvCxnSpPr>
      <xdr:spPr>
        <a:xfrm>
          <a:off x="921220" y="24730898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1060</xdr:row>
      <xdr:rowOff>0</xdr:rowOff>
    </xdr:from>
    <xdr:ext cx="1136650" cy="817268"/>
    <xdr:pic>
      <xdr:nvPicPr>
        <xdr:cNvPr id="87" name="Picture 8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46626944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191675</xdr:colOff>
      <xdr:row>1099</xdr:row>
      <xdr:rowOff>0</xdr:rowOff>
    </xdr:from>
    <xdr:to>
      <xdr:col>1</xdr:col>
      <xdr:colOff>1048924</xdr:colOff>
      <xdr:row>1102</xdr:row>
      <xdr:rowOff>123471</xdr:rowOff>
    </xdr:to>
    <xdr:pic>
      <xdr:nvPicPr>
        <xdr:cNvPr id="88" name="Picture 8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91675" y="264812639"/>
          <a:ext cx="1139471" cy="59384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1102</xdr:row>
      <xdr:rowOff>98542</xdr:rowOff>
    </xdr:from>
    <xdr:to>
      <xdr:col>6</xdr:col>
      <xdr:colOff>172273</xdr:colOff>
      <xdr:row>1102</xdr:row>
      <xdr:rowOff>98542</xdr:rowOff>
    </xdr:to>
    <xdr:cxnSp macro="">
      <xdr:nvCxnSpPr>
        <xdr:cNvPr id="89" name="Straight Arrow Connector 1"/>
        <xdr:cNvCxnSpPr>
          <a:cxnSpLocks noChangeShapeType="1"/>
        </xdr:cNvCxnSpPr>
      </xdr:nvCxnSpPr>
      <xdr:spPr>
        <a:xfrm>
          <a:off x="921220" y="26538155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1099</xdr:row>
      <xdr:rowOff>0</xdr:rowOff>
    </xdr:from>
    <xdr:ext cx="1136650" cy="576204"/>
    <xdr:pic>
      <xdr:nvPicPr>
        <xdr:cNvPr id="90" name="Picture 8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64812639"/>
          <a:ext cx="1136650" cy="57620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1141</xdr:row>
      <xdr:rowOff>0</xdr:rowOff>
    </xdr:from>
    <xdr:to>
      <xdr:col>1</xdr:col>
      <xdr:colOff>1025406</xdr:colOff>
      <xdr:row>1144</xdr:row>
      <xdr:rowOff>146990</xdr:rowOff>
    </xdr:to>
    <xdr:pic>
      <xdr:nvPicPr>
        <xdr:cNvPr id="91" name="Picture 9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46626944"/>
          <a:ext cx="1139471" cy="6585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1144</xdr:row>
      <xdr:rowOff>170509</xdr:rowOff>
    </xdr:from>
    <xdr:to>
      <xdr:col>6</xdr:col>
      <xdr:colOff>172273</xdr:colOff>
      <xdr:row>1144</xdr:row>
      <xdr:rowOff>170509</xdr:rowOff>
    </xdr:to>
    <xdr:cxnSp macro="">
      <xdr:nvCxnSpPr>
        <xdr:cNvPr id="92" name="Straight Arrow Connector 1"/>
        <xdr:cNvCxnSpPr>
          <a:cxnSpLocks noChangeShapeType="1"/>
        </xdr:cNvCxnSpPr>
      </xdr:nvCxnSpPr>
      <xdr:spPr>
        <a:xfrm>
          <a:off x="921220" y="24730898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1141</xdr:row>
      <xdr:rowOff>0</xdr:rowOff>
    </xdr:from>
    <xdr:ext cx="1136650" cy="817268"/>
    <xdr:pic>
      <xdr:nvPicPr>
        <xdr:cNvPr id="93" name="Picture 92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46626944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1182</xdr:row>
      <xdr:rowOff>76435</xdr:rowOff>
    </xdr:from>
    <xdr:to>
      <xdr:col>1</xdr:col>
      <xdr:colOff>1025406</xdr:colOff>
      <xdr:row>1185</xdr:row>
      <xdr:rowOff>146990</xdr:rowOff>
    </xdr:to>
    <xdr:pic>
      <xdr:nvPicPr>
        <xdr:cNvPr id="94" name="Picture 9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83292315"/>
          <a:ext cx="1139471" cy="58208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1185</xdr:row>
      <xdr:rowOff>170509</xdr:rowOff>
    </xdr:from>
    <xdr:to>
      <xdr:col>6</xdr:col>
      <xdr:colOff>172273</xdr:colOff>
      <xdr:row>1185</xdr:row>
      <xdr:rowOff>170509</xdr:rowOff>
    </xdr:to>
    <xdr:cxnSp macro="">
      <xdr:nvCxnSpPr>
        <xdr:cNvPr id="95" name="Straight Arrow Connector 1"/>
        <xdr:cNvCxnSpPr>
          <a:cxnSpLocks noChangeShapeType="1"/>
        </xdr:cNvCxnSpPr>
      </xdr:nvCxnSpPr>
      <xdr:spPr>
        <a:xfrm>
          <a:off x="921220" y="275060833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1182</xdr:row>
      <xdr:rowOff>0</xdr:rowOff>
    </xdr:from>
    <xdr:ext cx="1136650" cy="817268"/>
    <xdr:pic>
      <xdr:nvPicPr>
        <xdr:cNvPr id="96" name="Picture 95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74378796"/>
          <a:ext cx="1136650" cy="817268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1214</xdr:row>
      <xdr:rowOff>76436</xdr:rowOff>
    </xdr:from>
    <xdr:to>
      <xdr:col>1</xdr:col>
      <xdr:colOff>1025406</xdr:colOff>
      <xdr:row>1216</xdr:row>
      <xdr:rowOff>146990</xdr:rowOff>
    </xdr:to>
    <xdr:pic>
      <xdr:nvPicPr>
        <xdr:cNvPr id="97" name="Picture 9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92535093"/>
          <a:ext cx="1139471" cy="4174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1216</xdr:row>
      <xdr:rowOff>170509</xdr:rowOff>
    </xdr:from>
    <xdr:to>
      <xdr:col>6</xdr:col>
      <xdr:colOff>172273</xdr:colOff>
      <xdr:row>1216</xdr:row>
      <xdr:rowOff>170509</xdr:rowOff>
    </xdr:to>
    <xdr:cxnSp macro="">
      <xdr:nvCxnSpPr>
        <xdr:cNvPr id="98" name="Straight Arrow Connector 1"/>
        <xdr:cNvCxnSpPr>
          <a:cxnSpLocks noChangeShapeType="1"/>
        </xdr:cNvCxnSpPr>
      </xdr:nvCxnSpPr>
      <xdr:spPr>
        <a:xfrm>
          <a:off x="921220" y="283897916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1214</xdr:row>
      <xdr:rowOff>0</xdr:rowOff>
    </xdr:from>
    <xdr:ext cx="1136650" cy="529167"/>
    <xdr:pic>
      <xdr:nvPicPr>
        <xdr:cNvPr id="99" name="Picture 98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92458657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1251</xdr:row>
      <xdr:rowOff>76436</xdr:rowOff>
    </xdr:from>
    <xdr:to>
      <xdr:col>1</xdr:col>
      <xdr:colOff>1025406</xdr:colOff>
      <xdr:row>1253</xdr:row>
      <xdr:rowOff>146990</xdr:rowOff>
    </xdr:to>
    <xdr:pic>
      <xdr:nvPicPr>
        <xdr:cNvPr id="103" name="Picture 10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292535093"/>
          <a:ext cx="1139471" cy="417453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1253</xdr:row>
      <xdr:rowOff>170509</xdr:rowOff>
    </xdr:from>
    <xdr:to>
      <xdr:col>6</xdr:col>
      <xdr:colOff>172273</xdr:colOff>
      <xdr:row>1253</xdr:row>
      <xdr:rowOff>170509</xdr:rowOff>
    </xdr:to>
    <xdr:cxnSp macro="">
      <xdr:nvCxnSpPr>
        <xdr:cNvPr id="104" name="Straight Arrow Connector 1"/>
        <xdr:cNvCxnSpPr>
          <a:cxnSpLocks noChangeShapeType="1"/>
        </xdr:cNvCxnSpPr>
      </xdr:nvCxnSpPr>
      <xdr:spPr>
        <a:xfrm>
          <a:off x="921220" y="292976065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1251</xdr:row>
      <xdr:rowOff>0</xdr:rowOff>
    </xdr:from>
    <xdr:ext cx="1136650" cy="529167"/>
    <xdr:pic>
      <xdr:nvPicPr>
        <xdr:cNvPr id="105" name="Picture 10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292458657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1292</xdr:row>
      <xdr:rowOff>76436</xdr:rowOff>
    </xdr:from>
    <xdr:to>
      <xdr:col>1</xdr:col>
      <xdr:colOff>1025406</xdr:colOff>
      <xdr:row>1294</xdr:row>
      <xdr:rowOff>146990</xdr:rowOff>
    </xdr:to>
    <xdr:pic>
      <xdr:nvPicPr>
        <xdr:cNvPr id="100" name="Picture 9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01771992"/>
          <a:ext cx="1139471" cy="4174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1294</xdr:row>
      <xdr:rowOff>170509</xdr:rowOff>
    </xdr:from>
    <xdr:to>
      <xdr:col>6</xdr:col>
      <xdr:colOff>172273</xdr:colOff>
      <xdr:row>1294</xdr:row>
      <xdr:rowOff>170509</xdr:rowOff>
    </xdr:to>
    <xdr:cxnSp macro="">
      <xdr:nvCxnSpPr>
        <xdr:cNvPr id="101" name="Straight Arrow Connector 1"/>
        <xdr:cNvCxnSpPr>
          <a:cxnSpLocks noChangeShapeType="1"/>
        </xdr:cNvCxnSpPr>
      </xdr:nvCxnSpPr>
      <xdr:spPr>
        <a:xfrm>
          <a:off x="921220" y="302212963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1292</xdr:row>
      <xdr:rowOff>0</xdr:rowOff>
    </xdr:from>
    <xdr:ext cx="1136650" cy="529167"/>
    <xdr:pic>
      <xdr:nvPicPr>
        <xdr:cNvPr id="102" name="Picture 10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01695556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1339</xdr:row>
      <xdr:rowOff>76436</xdr:rowOff>
    </xdr:from>
    <xdr:to>
      <xdr:col>1</xdr:col>
      <xdr:colOff>1025406</xdr:colOff>
      <xdr:row>1341</xdr:row>
      <xdr:rowOff>146990</xdr:rowOff>
    </xdr:to>
    <xdr:pic>
      <xdr:nvPicPr>
        <xdr:cNvPr id="109" name="Picture 10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10879538"/>
          <a:ext cx="1139471" cy="4174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1341</xdr:row>
      <xdr:rowOff>170509</xdr:rowOff>
    </xdr:from>
    <xdr:to>
      <xdr:col>6</xdr:col>
      <xdr:colOff>172273</xdr:colOff>
      <xdr:row>1341</xdr:row>
      <xdr:rowOff>170509</xdr:rowOff>
    </xdr:to>
    <xdr:cxnSp macro="">
      <xdr:nvCxnSpPr>
        <xdr:cNvPr id="110" name="Straight Arrow Connector 1"/>
        <xdr:cNvCxnSpPr>
          <a:cxnSpLocks noChangeShapeType="1"/>
        </xdr:cNvCxnSpPr>
      </xdr:nvCxnSpPr>
      <xdr:spPr>
        <a:xfrm>
          <a:off x="921220" y="311320509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1339</xdr:row>
      <xdr:rowOff>0</xdr:rowOff>
    </xdr:from>
    <xdr:ext cx="1136650" cy="529167"/>
    <xdr:pic>
      <xdr:nvPicPr>
        <xdr:cNvPr id="111" name="Picture 11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10803102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1375</xdr:row>
      <xdr:rowOff>0</xdr:rowOff>
    </xdr:from>
    <xdr:to>
      <xdr:col>1</xdr:col>
      <xdr:colOff>1025406</xdr:colOff>
      <xdr:row>1376</xdr:row>
      <xdr:rowOff>146990</xdr:rowOff>
    </xdr:to>
    <xdr:pic>
      <xdr:nvPicPr>
        <xdr:cNvPr id="112" name="Picture 11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20128195"/>
          <a:ext cx="1139471" cy="41745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1376</xdr:row>
      <xdr:rowOff>170509</xdr:rowOff>
    </xdr:from>
    <xdr:to>
      <xdr:col>6</xdr:col>
      <xdr:colOff>172273</xdr:colOff>
      <xdr:row>1376</xdr:row>
      <xdr:rowOff>170509</xdr:rowOff>
    </xdr:to>
    <xdr:cxnSp macro="">
      <xdr:nvCxnSpPr>
        <xdr:cNvPr id="113" name="Straight Arrow Connector 1"/>
        <xdr:cNvCxnSpPr>
          <a:cxnSpLocks noChangeShapeType="1"/>
        </xdr:cNvCxnSpPr>
      </xdr:nvCxnSpPr>
      <xdr:spPr>
        <a:xfrm>
          <a:off x="921220" y="320569166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1375</xdr:row>
      <xdr:rowOff>0</xdr:rowOff>
    </xdr:from>
    <xdr:ext cx="1136650" cy="529167"/>
    <xdr:pic>
      <xdr:nvPicPr>
        <xdr:cNvPr id="114" name="Picture 11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20051759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1410</xdr:row>
      <xdr:rowOff>0</xdr:rowOff>
    </xdr:from>
    <xdr:to>
      <xdr:col>1</xdr:col>
      <xdr:colOff>1025406</xdr:colOff>
      <xdr:row>1411</xdr:row>
      <xdr:rowOff>146990</xdr:rowOff>
    </xdr:to>
    <xdr:pic>
      <xdr:nvPicPr>
        <xdr:cNvPr id="115" name="Picture 11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29182824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1411</xdr:row>
      <xdr:rowOff>170509</xdr:rowOff>
    </xdr:from>
    <xdr:to>
      <xdr:col>6</xdr:col>
      <xdr:colOff>172273</xdr:colOff>
      <xdr:row>1411</xdr:row>
      <xdr:rowOff>170509</xdr:rowOff>
    </xdr:to>
    <xdr:cxnSp macro="">
      <xdr:nvCxnSpPr>
        <xdr:cNvPr id="116" name="Straight Arrow Connector 1"/>
        <xdr:cNvCxnSpPr>
          <a:cxnSpLocks noChangeShapeType="1"/>
        </xdr:cNvCxnSpPr>
      </xdr:nvCxnSpPr>
      <xdr:spPr>
        <a:xfrm>
          <a:off x="921220" y="329547361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1410</xdr:row>
      <xdr:rowOff>0</xdr:rowOff>
    </xdr:from>
    <xdr:ext cx="1136650" cy="529167"/>
    <xdr:pic>
      <xdr:nvPicPr>
        <xdr:cNvPr id="117" name="Picture 11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29182824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1450</xdr:row>
      <xdr:rowOff>0</xdr:rowOff>
    </xdr:from>
    <xdr:to>
      <xdr:col>1</xdr:col>
      <xdr:colOff>1025406</xdr:colOff>
      <xdr:row>1451</xdr:row>
      <xdr:rowOff>146990</xdr:rowOff>
    </xdr:to>
    <xdr:pic>
      <xdr:nvPicPr>
        <xdr:cNvPr id="118" name="Picture 117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38443241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1451</xdr:row>
      <xdr:rowOff>170509</xdr:rowOff>
    </xdr:from>
    <xdr:to>
      <xdr:col>6</xdr:col>
      <xdr:colOff>172273</xdr:colOff>
      <xdr:row>1451</xdr:row>
      <xdr:rowOff>170509</xdr:rowOff>
    </xdr:to>
    <xdr:cxnSp macro="">
      <xdr:nvCxnSpPr>
        <xdr:cNvPr id="119" name="Straight Arrow Connector 1"/>
        <xdr:cNvCxnSpPr>
          <a:cxnSpLocks noChangeShapeType="1"/>
        </xdr:cNvCxnSpPr>
      </xdr:nvCxnSpPr>
      <xdr:spPr>
        <a:xfrm>
          <a:off x="921220" y="338807778"/>
          <a:ext cx="4284016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1450</xdr:row>
      <xdr:rowOff>0</xdr:rowOff>
    </xdr:from>
    <xdr:ext cx="1136650" cy="529167"/>
    <xdr:pic>
      <xdr:nvPicPr>
        <xdr:cNvPr id="120" name="Picture 119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38843" y="338443241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1489</xdr:row>
      <xdr:rowOff>0</xdr:rowOff>
    </xdr:from>
    <xdr:to>
      <xdr:col>1</xdr:col>
      <xdr:colOff>1025406</xdr:colOff>
      <xdr:row>1491</xdr:row>
      <xdr:rowOff>146990</xdr:rowOff>
    </xdr:to>
    <xdr:pic>
      <xdr:nvPicPr>
        <xdr:cNvPr id="121" name="Picture 120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56764167"/>
          <a:ext cx="1139471" cy="4938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544924</xdr:colOff>
      <xdr:row>1492</xdr:row>
      <xdr:rowOff>5880</xdr:rowOff>
    </xdr:from>
    <xdr:to>
      <xdr:col>6</xdr:col>
      <xdr:colOff>78199</xdr:colOff>
      <xdr:row>1492</xdr:row>
      <xdr:rowOff>5880</xdr:rowOff>
    </xdr:to>
    <xdr:cxnSp macro="">
      <xdr:nvCxnSpPr>
        <xdr:cNvPr id="122" name="Straight Arrow Connector 1"/>
        <xdr:cNvCxnSpPr>
          <a:cxnSpLocks noChangeShapeType="1"/>
        </xdr:cNvCxnSpPr>
      </xdr:nvCxnSpPr>
      <xdr:spPr>
        <a:xfrm>
          <a:off x="827146" y="357310973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1489</xdr:row>
      <xdr:rowOff>23518</xdr:rowOff>
    </xdr:from>
    <xdr:ext cx="1136650" cy="658519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56787685"/>
          <a:ext cx="1136650" cy="65851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1527</xdr:row>
      <xdr:rowOff>0</xdr:rowOff>
    </xdr:from>
    <xdr:to>
      <xdr:col>1</xdr:col>
      <xdr:colOff>1025406</xdr:colOff>
      <xdr:row>1528</xdr:row>
      <xdr:rowOff>146990</xdr:rowOff>
    </xdr:to>
    <xdr:pic>
      <xdr:nvPicPr>
        <xdr:cNvPr id="124" name="Picture 123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57222778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1528</xdr:row>
      <xdr:rowOff>170509</xdr:rowOff>
    </xdr:from>
    <xdr:to>
      <xdr:col>6</xdr:col>
      <xdr:colOff>172273</xdr:colOff>
      <xdr:row>1528</xdr:row>
      <xdr:rowOff>170509</xdr:rowOff>
    </xdr:to>
    <xdr:cxnSp macro="">
      <xdr:nvCxnSpPr>
        <xdr:cNvPr id="125" name="Straight Arrow Connector 1"/>
        <xdr:cNvCxnSpPr>
          <a:cxnSpLocks noChangeShapeType="1"/>
        </xdr:cNvCxnSpPr>
      </xdr:nvCxnSpPr>
      <xdr:spPr>
        <a:xfrm>
          <a:off x="921220" y="357587315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1527</xdr:row>
      <xdr:rowOff>0</xdr:rowOff>
    </xdr:from>
    <xdr:ext cx="1136650" cy="529167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57222778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1564</xdr:row>
      <xdr:rowOff>0</xdr:rowOff>
    </xdr:from>
    <xdr:to>
      <xdr:col>1</xdr:col>
      <xdr:colOff>1025406</xdr:colOff>
      <xdr:row>1565</xdr:row>
      <xdr:rowOff>146990</xdr:rowOff>
    </xdr:to>
    <xdr:pic>
      <xdr:nvPicPr>
        <xdr:cNvPr id="127" name="Picture 126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66659583"/>
          <a:ext cx="1139471" cy="34101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1565</xdr:row>
      <xdr:rowOff>170509</xdr:rowOff>
    </xdr:from>
    <xdr:to>
      <xdr:col>6</xdr:col>
      <xdr:colOff>172273</xdr:colOff>
      <xdr:row>1565</xdr:row>
      <xdr:rowOff>170509</xdr:rowOff>
    </xdr:to>
    <xdr:cxnSp macro="">
      <xdr:nvCxnSpPr>
        <xdr:cNvPr id="128" name="Straight Arrow Connector 1"/>
        <xdr:cNvCxnSpPr>
          <a:cxnSpLocks noChangeShapeType="1"/>
        </xdr:cNvCxnSpPr>
      </xdr:nvCxnSpPr>
      <xdr:spPr>
        <a:xfrm>
          <a:off x="921220" y="367024120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1564</xdr:row>
      <xdr:rowOff>0</xdr:rowOff>
    </xdr:from>
    <xdr:ext cx="1136650" cy="529167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66659583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1607</xdr:row>
      <xdr:rowOff>5880</xdr:rowOff>
    </xdr:from>
    <xdr:to>
      <xdr:col>1</xdr:col>
      <xdr:colOff>1025406</xdr:colOff>
      <xdr:row>1609</xdr:row>
      <xdr:rowOff>146990</xdr:rowOff>
    </xdr:to>
    <xdr:pic>
      <xdr:nvPicPr>
        <xdr:cNvPr id="130" name="Picture 129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84539537"/>
          <a:ext cx="1139471" cy="48800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1609</xdr:row>
      <xdr:rowOff>170509</xdr:rowOff>
    </xdr:from>
    <xdr:to>
      <xdr:col>6</xdr:col>
      <xdr:colOff>172273</xdr:colOff>
      <xdr:row>1609</xdr:row>
      <xdr:rowOff>170509</xdr:rowOff>
    </xdr:to>
    <xdr:cxnSp macro="">
      <xdr:nvCxnSpPr>
        <xdr:cNvPr id="131" name="Straight Arrow Connector 1"/>
        <xdr:cNvCxnSpPr>
          <a:cxnSpLocks noChangeShapeType="1"/>
        </xdr:cNvCxnSpPr>
      </xdr:nvCxnSpPr>
      <xdr:spPr>
        <a:xfrm>
          <a:off x="921220" y="376884259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5880</xdr:colOff>
      <xdr:row>1607</xdr:row>
      <xdr:rowOff>64677</xdr:rowOff>
    </xdr:from>
    <xdr:ext cx="1136650" cy="440972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1158" y="384598334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1642</xdr:row>
      <xdr:rowOff>29397</xdr:rowOff>
    </xdr:from>
    <xdr:to>
      <xdr:col>1</xdr:col>
      <xdr:colOff>1025406</xdr:colOff>
      <xdr:row>1645</xdr:row>
      <xdr:rowOff>146990</xdr:rowOff>
    </xdr:to>
    <xdr:pic>
      <xdr:nvPicPr>
        <xdr:cNvPr id="133" name="Picture 132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93699999"/>
          <a:ext cx="1139471" cy="617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1645</xdr:row>
      <xdr:rowOff>170509</xdr:rowOff>
    </xdr:from>
    <xdr:to>
      <xdr:col>6</xdr:col>
      <xdr:colOff>172273</xdr:colOff>
      <xdr:row>1645</xdr:row>
      <xdr:rowOff>170509</xdr:rowOff>
    </xdr:to>
    <xdr:cxnSp macro="">
      <xdr:nvCxnSpPr>
        <xdr:cNvPr id="134" name="Straight Arrow Connector 1"/>
        <xdr:cNvCxnSpPr>
          <a:cxnSpLocks noChangeShapeType="1"/>
        </xdr:cNvCxnSpPr>
      </xdr:nvCxnSpPr>
      <xdr:spPr>
        <a:xfrm>
          <a:off x="921220" y="385586111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1642</xdr:row>
      <xdr:rowOff>29399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393700001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1681</xdr:row>
      <xdr:rowOff>29397</xdr:rowOff>
    </xdr:from>
    <xdr:to>
      <xdr:col>1</xdr:col>
      <xdr:colOff>1025406</xdr:colOff>
      <xdr:row>1684</xdr:row>
      <xdr:rowOff>146990</xdr:rowOff>
    </xdr:to>
    <xdr:pic>
      <xdr:nvPicPr>
        <xdr:cNvPr id="136" name="Picture 13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393699999"/>
          <a:ext cx="1139471" cy="617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1684</xdr:row>
      <xdr:rowOff>170509</xdr:rowOff>
    </xdr:from>
    <xdr:to>
      <xdr:col>6</xdr:col>
      <xdr:colOff>172273</xdr:colOff>
      <xdr:row>1684</xdr:row>
      <xdr:rowOff>170509</xdr:rowOff>
    </xdr:to>
    <xdr:cxnSp macro="">
      <xdr:nvCxnSpPr>
        <xdr:cNvPr id="137" name="Straight Arrow Connector 1"/>
        <xdr:cNvCxnSpPr>
          <a:cxnSpLocks noChangeShapeType="1"/>
        </xdr:cNvCxnSpPr>
      </xdr:nvCxnSpPr>
      <xdr:spPr>
        <a:xfrm>
          <a:off x="921220" y="394340879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1681</xdr:row>
      <xdr:rowOff>29399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393700001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1728</xdr:row>
      <xdr:rowOff>29397</xdr:rowOff>
    </xdr:from>
    <xdr:to>
      <xdr:col>1</xdr:col>
      <xdr:colOff>1025406</xdr:colOff>
      <xdr:row>1731</xdr:row>
      <xdr:rowOff>146990</xdr:rowOff>
    </xdr:to>
    <xdr:pic>
      <xdr:nvPicPr>
        <xdr:cNvPr id="139" name="Picture 13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02848703"/>
          <a:ext cx="1139471" cy="61736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1731</xdr:row>
      <xdr:rowOff>170509</xdr:rowOff>
    </xdr:from>
    <xdr:to>
      <xdr:col>6</xdr:col>
      <xdr:colOff>172273</xdr:colOff>
      <xdr:row>1731</xdr:row>
      <xdr:rowOff>170509</xdr:rowOff>
    </xdr:to>
    <xdr:cxnSp macro="">
      <xdr:nvCxnSpPr>
        <xdr:cNvPr id="140" name="Straight Arrow Connector 1"/>
        <xdr:cNvCxnSpPr>
          <a:cxnSpLocks noChangeShapeType="1"/>
        </xdr:cNvCxnSpPr>
      </xdr:nvCxnSpPr>
      <xdr:spPr>
        <a:xfrm>
          <a:off x="921220" y="403489583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1728</xdr:row>
      <xdr:rowOff>29399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402848705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1803</xdr:row>
      <xdr:rowOff>29397</xdr:rowOff>
    </xdr:from>
    <xdr:to>
      <xdr:col>1</xdr:col>
      <xdr:colOff>1025406</xdr:colOff>
      <xdr:row>1806</xdr:row>
      <xdr:rowOff>146990</xdr:rowOff>
    </xdr:to>
    <xdr:pic>
      <xdr:nvPicPr>
        <xdr:cNvPr id="142" name="Picture 141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12632406"/>
          <a:ext cx="1139471" cy="6173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1806</xdr:row>
      <xdr:rowOff>170509</xdr:rowOff>
    </xdr:from>
    <xdr:to>
      <xdr:col>6</xdr:col>
      <xdr:colOff>172273</xdr:colOff>
      <xdr:row>1806</xdr:row>
      <xdr:rowOff>170509</xdr:rowOff>
    </xdr:to>
    <xdr:cxnSp macro="">
      <xdr:nvCxnSpPr>
        <xdr:cNvPr id="143" name="Straight Arrow Connector 1"/>
        <xdr:cNvCxnSpPr>
          <a:cxnSpLocks noChangeShapeType="1"/>
        </xdr:cNvCxnSpPr>
      </xdr:nvCxnSpPr>
      <xdr:spPr>
        <a:xfrm>
          <a:off x="921220" y="413273287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1803</xdr:row>
      <xdr:rowOff>29399</xdr:rowOff>
    </xdr:from>
    <xdr:ext cx="1136650" cy="629120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412632408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168157</xdr:colOff>
      <xdr:row>1842</xdr:row>
      <xdr:rowOff>29397</xdr:rowOff>
    </xdr:from>
    <xdr:to>
      <xdr:col>1</xdr:col>
      <xdr:colOff>1025406</xdr:colOff>
      <xdr:row>1845</xdr:row>
      <xdr:rowOff>146990</xdr:rowOff>
    </xdr:to>
    <xdr:pic>
      <xdr:nvPicPr>
        <xdr:cNvPr id="145" name="Picture 144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8157" y="430441804"/>
          <a:ext cx="1139471" cy="6173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1845</xdr:row>
      <xdr:rowOff>170509</xdr:rowOff>
    </xdr:from>
    <xdr:to>
      <xdr:col>6</xdr:col>
      <xdr:colOff>172273</xdr:colOff>
      <xdr:row>1845</xdr:row>
      <xdr:rowOff>170509</xdr:rowOff>
    </xdr:to>
    <xdr:cxnSp macro="">
      <xdr:nvCxnSpPr>
        <xdr:cNvPr id="146" name="Straight Arrow Connector 1"/>
        <xdr:cNvCxnSpPr>
          <a:cxnSpLocks noChangeShapeType="1"/>
        </xdr:cNvCxnSpPr>
      </xdr:nvCxnSpPr>
      <xdr:spPr>
        <a:xfrm>
          <a:off x="921220" y="431082685"/>
          <a:ext cx="4366331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oneCellAnchor>
    <xdr:from>
      <xdr:col>6</xdr:col>
      <xdr:colOff>17639</xdr:colOff>
      <xdr:row>1842</xdr:row>
      <xdr:rowOff>29399</xdr:rowOff>
    </xdr:from>
    <xdr:ext cx="1136650" cy="629120"/>
    <xdr:pic>
      <xdr:nvPicPr>
        <xdr:cNvPr id="147" name="Picture 146" descr="C:\Users\HP\Downloads\psf_logo_.png"/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2917" y="430441806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1132177</xdr:colOff>
      <xdr:row>3</xdr:row>
      <xdr:rowOff>120141</xdr:rowOff>
    </xdr:to>
    <xdr:pic>
      <xdr:nvPicPr>
        <xdr:cNvPr id="30" name="Picture 29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85001100"/>
          <a:ext cx="1136651" cy="78105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3" name="Picture 3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942975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6" name="Picture 3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037717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39" name="Picture 3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132332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2" name="Picture 4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228280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5" name="Picture 4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320609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48" name="Picture 4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4185265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1" name="Picture 5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510919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4" name="Picture 5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64960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0</xdr:colOff>
      <xdr:row>0</xdr:row>
      <xdr:rowOff>0</xdr:rowOff>
    </xdr:from>
    <xdr:ext cx="1136650" cy="781050"/>
    <xdr:pic>
      <xdr:nvPicPr>
        <xdr:cNvPr id="57" name="Picture 56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1750" y="174358300"/>
          <a:ext cx="1136650" cy="78105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529167"/>
    <xdr:pic>
      <xdr:nvPicPr>
        <xdr:cNvPr id="123" name="Picture 122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77837700"/>
          <a:ext cx="1136650" cy="529167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5880</xdr:colOff>
      <xdr:row>0</xdr:row>
      <xdr:rowOff>0</xdr:rowOff>
    </xdr:from>
    <xdr:ext cx="1136650" cy="440972"/>
    <xdr:pic>
      <xdr:nvPicPr>
        <xdr:cNvPr id="126" name="Picture 125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17630" y="387211477"/>
          <a:ext cx="1136650" cy="44097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29" name="Picture 128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3962185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2" name="Picture 131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054260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5" name="Picture 134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1517969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38" name="Picture 13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331184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629120"/>
    <xdr:pic>
      <xdr:nvPicPr>
        <xdr:cNvPr id="141" name="Picture 1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29389" y="442579949"/>
          <a:ext cx="1136650" cy="62912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144" name="Picture 143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6</xdr:col>
      <xdr:colOff>17639</xdr:colOff>
      <xdr:row>0</xdr:row>
      <xdr:rowOff>0</xdr:rowOff>
    </xdr:from>
    <xdr:ext cx="1136650" cy="786002"/>
    <xdr:pic>
      <xdr:nvPicPr>
        <xdr:cNvPr id="41" name="Picture 40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34992" y="73286471"/>
          <a:ext cx="1136650" cy="78600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205510</xdr:colOff>
      <xdr:row>0</xdr:row>
      <xdr:rowOff>0</xdr:rowOff>
    </xdr:from>
    <xdr:to>
      <xdr:col>1</xdr:col>
      <xdr:colOff>1062759</xdr:colOff>
      <xdr:row>3</xdr:row>
      <xdr:rowOff>134472</xdr:rowOff>
    </xdr:to>
    <xdr:pic>
      <xdr:nvPicPr>
        <xdr:cNvPr id="66" name="Picture 65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05510" y="0"/>
          <a:ext cx="1088837" cy="79188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638998</xdr:colOff>
      <xdr:row>3</xdr:row>
      <xdr:rowOff>170509</xdr:rowOff>
    </xdr:from>
    <xdr:to>
      <xdr:col>6</xdr:col>
      <xdr:colOff>172273</xdr:colOff>
      <xdr:row>3</xdr:row>
      <xdr:rowOff>170509</xdr:rowOff>
    </xdr:to>
    <xdr:cxnSp macro="">
      <xdr:nvCxnSpPr>
        <xdr:cNvPr id="67" name="Straight Arrow Connector 1"/>
        <xdr:cNvCxnSpPr>
          <a:cxnSpLocks noChangeShapeType="1"/>
        </xdr:cNvCxnSpPr>
      </xdr:nvCxnSpPr>
      <xdr:spPr>
        <a:xfrm>
          <a:off x="870586" y="140296333"/>
          <a:ext cx="4187452" cy="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3:I1876"/>
  <sheetViews>
    <sheetView topLeftCell="A1752" zoomScale="108" zoomScaleNormal="108" workbookViewId="0">
      <selection activeCell="L1752" sqref="L1752:L1753"/>
    </sheetView>
  </sheetViews>
  <sheetFormatPr defaultColWidth="9.1796875" defaultRowHeight="12"/>
  <cols>
    <col min="1" max="1" width="4" style="18" customWidth="1"/>
    <col min="2" max="2" width="19.453125" style="18" customWidth="1"/>
    <col min="3" max="3" width="13.54296875" style="18" customWidth="1"/>
    <col min="4" max="4" width="11.6328125" style="20" customWidth="1"/>
    <col min="5" max="5" width="12.1796875" style="18" customWidth="1"/>
    <col min="6" max="6" width="12.36328125" style="18" customWidth="1"/>
    <col min="7" max="7" width="14.36328125" style="18" customWidth="1"/>
    <col min="8" max="8" width="7.54296875" style="18" customWidth="1"/>
    <col min="9" max="9" width="20.26953125" style="18" customWidth="1"/>
    <col min="10" max="16384" width="9.1796875" style="18"/>
  </cols>
  <sheetData>
    <row r="3" spans="1:7" ht="15.5">
      <c r="A3" s="36"/>
      <c r="B3" s="1"/>
      <c r="C3" s="1"/>
      <c r="D3" s="1"/>
      <c r="E3" s="1"/>
      <c r="F3" s="1"/>
      <c r="G3" s="1"/>
    </row>
    <row r="4" spans="1:7" ht="42">
      <c r="A4" s="31" t="s">
        <v>16</v>
      </c>
      <c r="B4" s="32" t="s">
        <v>0</v>
      </c>
      <c r="C4" s="33" t="s">
        <v>41</v>
      </c>
      <c r="D4" s="33" t="s">
        <v>32</v>
      </c>
      <c r="E4" s="33" t="s">
        <v>48</v>
      </c>
      <c r="F4" s="33" t="s">
        <v>44</v>
      </c>
      <c r="G4" s="33" t="s">
        <v>14</v>
      </c>
    </row>
    <row r="5" spans="1:7" ht="60" customHeight="1">
      <c r="A5" s="31">
        <v>1</v>
      </c>
      <c r="B5" s="14" t="s">
        <v>56</v>
      </c>
      <c r="C5" s="75">
        <v>0</v>
      </c>
      <c r="D5" s="15">
        <v>0</v>
      </c>
      <c r="E5" s="15">
        <v>60000</v>
      </c>
      <c r="F5" s="15">
        <v>0</v>
      </c>
      <c r="G5" s="13" t="s">
        <v>57</v>
      </c>
    </row>
    <row r="6" spans="1:7" ht="20" customHeight="1">
      <c r="A6" s="31"/>
      <c r="B6" s="56"/>
      <c r="C6" s="75">
        <v>0</v>
      </c>
      <c r="D6" s="15">
        <v>0</v>
      </c>
      <c r="E6" s="15">
        <v>0</v>
      </c>
      <c r="F6" s="15">
        <v>0</v>
      </c>
      <c r="G6" s="13"/>
    </row>
    <row r="7" spans="1:7" ht="20" customHeight="1">
      <c r="A7" s="31"/>
      <c r="B7" s="14"/>
      <c r="C7" s="75">
        <v>0</v>
      </c>
      <c r="D7" s="15">
        <v>0</v>
      </c>
      <c r="E7" s="15">
        <v>0</v>
      </c>
      <c r="F7" s="15">
        <v>0</v>
      </c>
      <c r="G7" s="16"/>
    </row>
    <row r="8" spans="1:7" ht="20" customHeight="1">
      <c r="A8" s="31"/>
      <c r="B8" s="14"/>
      <c r="C8" s="75">
        <v>0</v>
      </c>
      <c r="D8" s="15">
        <v>0</v>
      </c>
      <c r="E8" s="15">
        <v>0</v>
      </c>
      <c r="F8" s="15">
        <v>0</v>
      </c>
      <c r="G8" s="78"/>
    </row>
    <row r="9" spans="1:7" ht="20" customHeight="1">
      <c r="A9" s="31"/>
      <c r="B9" s="81"/>
      <c r="C9" s="81"/>
      <c r="D9" s="60"/>
      <c r="E9" s="81"/>
      <c r="F9" s="81"/>
      <c r="G9" s="81"/>
    </row>
    <row r="10" spans="1:7" ht="20" customHeight="1">
      <c r="A10" s="31"/>
      <c r="B10" s="56"/>
      <c r="C10" s="75">
        <v>0</v>
      </c>
      <c r="D10" s="15">
        <v>0</v>
      </c>
      <c r="E10" s="15">
        <v>0</v>
      </c>
      <c r="F10" s="15">
        <v>0</v>
      </c>
      <c r="G10" s="13"/>
    </row>
    <row r="11" spans="1:7" ht="20" customHeight="1">
      <c r="A11" s="31"/>
      <c r="B11" s="56"/>
      <c r="C11" s="75">
        <v>0</v>
      </c>
      <c r="D11" s="15">
        <v>0</v>
      </c>
      <c r="E11" s="15">
        <v>0</v>
      </c>
      <c r="F11" s="15">
        <v>0</v>
      </c>
      <c r="G11" s="13"/>
    </row>
    <row r="12" spans="1:7" ht="20" customHeight="1">
      <c r="A12" s="31"/>
      <c r="B12" s="56"/>
      <c r="C12" s="75">
        <v>0</v>
      </c>
      <c r="D12" s="15">
        <v>0</v>
      </c>
      <c r="E12" s="15">
        <v>0</v>
      </c>
      <c r="F12" s="15">
        <v>0</v>
      </c>
      <c r="G12" s="8"/>
    </row>
    <row r="13" spans="1:7" ht="28">
      <c r="A13" s="34"/>
      <c r="B13" s="33" t="s">
        <v>1</v>
      </c>
      <c r="C13" s="74">
        <f>SUM(C5:C12)</f>
        <v>0</v>
      </c>
      <c r="D13" s="35">
        <f>SUM(D5:D12)</f>
        <v>0</v>
      </c>
      <c r="E13" s="58">
        <f>+E5</f>
        <v>60000</v>
      </c>
      <c r="F13" s="58">
        <f>SUM(F5:F12)</f>
        <v>0</v>
      </c>
      <c r="G13" s="14"/>
    </row>
    <row r="14" spans="1:7" ht="14">
      <c r="A14" s="82"/>
      <c r="B14" s="83"/>
      <c r="C14" s="84"/>
      <c r="D14" s="52"/>
      <c r="E14" s="85"/>
      <c r="F14" s="85"/>
      <c r="G14" s="86"/>
    </row>
    <row r="15" spans="1:7" ht="15.5">
      <c r="A15" s="59" t="s">
        <v>37</v>
      </c>
      <c r="B15" s="3"/>
      <c r="C15" s="3"/>
      <c r="D15" s="67"/>
      <c r="E15" s="67"/>
      <c r="F15" s="67"/>
      <c r="G15" s="1"/>
    </row>
    <row r="16" spans="1:7" ht="15.5">
      <c r="A16" s="59"/>
      <c r="B16" s="3" t="s">
        <v>10</v>
      </c>
      <c r="C16" s="1"/>
      <c r="D16" s="1"/>
      <c r="E16" s="1"/>
      <c r="F16" s="1"/>
      <c r="G16" s="17"/>
    </row>
    <row r="17" spans="1:7" ht="15.5">
      <c r="A17" s="1"/>
      <c r="B17" s="59" t="s">
        <v>58</v>
      </c>
      <c r="C17" s="2"/>
      <c r="D17" s="2"/>
      <c r="E17" s="2"/>
      <c r="F17" s="2"/>
      <c r="G17" s="76"/>
    </row>
    <row r="18" spans="1:7" ht="15.5">
      <c r="A18" s="2" t="s">
        <v>2</v>
      </c>
      <c r="B18" s="1"/>
      <c r="C18" s="1"/>
      <c r="D18" s="2" t="s">
        <v>3</v>
      </c>
      <c r="E18" s="2"/>
      <c r="F18" s="2"/>
      <c r="G18" s="1"/>
    </row>
    <row r="19" spans="1:7" ht="15.5">
      <c r="A19" s="1" t="s">
        <v>4</v>
      </c>
      <c r="B19" s="1"/>
      <c r="C19" s="3"/>
      <c r="D19" s="1" t="s">
        <v>7</v>
      </c>
      <c r="E19" s="1"/>
      <c r="F19" s="1"/>
      <c r="G19" s="1"/>
    </row>
    <row r="20" spans="1:7" ht="15.5">
      <c r="A20" s="3" t="s">
        <v>5</v>
      </c>
      <c r="B20" s="3"/>
      <c r="C20" s="3"/>
      <c r="D20" s="1" t="s">
        <v>8</v>
      </c>
      <c r="E20" s="1"/>
      <c r="F20" s="1"/>
      <c r="G20" s="1"/>
    </row>
    <row r="21" spans="1:7" ht="15.5">
      <c r="A21" s="3"/>
      <c r="B21" s="3"/>
      <c r="C21" s="2" t="s">
        <v>6</v>
      </c>
      <c r="D21" s="3"/>
      <c r="E21" s="3"/>
      <c r="F21" s="3"/>
      <c r="G21" s="3"/>
    </row>
    <row r="22" spans="1:7" ht="15.5">
      <c r="A22" s="2"/>
      <c r="B22" s="1"/>
      <c r="C22" s="1" t="s">
        <v>15</v>
      </c>
      <c r="D22" s="2"/>
      <c r="E22" s="2"/>
      <c r="F22" s="2"/>
      <c r="G22" s="2"/>
    </row>
    <row r="23" spans="1:7" ht="15.5">
      <c r="A23" s="2"/>
      <c r="B23" s="1"/>
      <c r="C23" s="1" t="s">
        <v>9</v>
      </c>
      <c r="D23" s="2"/>
      <c r="E23" s="2"/>
      <c r="F23" s="2"/>
      <c r="G23" s="2"/>
    </row>
    <row r="24" spans="1:7" ht="15.5">
      <c r="A24" s="2"/>
      <c r="B24" s="1"/>
      <c r="C24" s="1"/>
      <c r="D24" s="2"/>
      <c r="E24" s="2"/>
      <c r="F24" s="2"/>
      <c r="G24" s="2"/>
    </row>
    <row r="25" spans="1:7" ht="15.5">
      <c r="A25" s="2"/>
      <c r="B25" s="1"/>
      <c r="C25" s="1"/>
      <c r="D25" s="2"/>
      <c r="E25" s="2"/>
      <c r="F25" s="2"/>
      <c r="G25" s="2"/>
    </row>
    <row r="26" spans="1:7" ht="15.5">
      <c r="A26" s="2"/>
      <c r="B26" s="1"/>
      <c r="C26" s="1"/>
      <c r="D26" s="2"/>
      <c r="E26" s="2"/>
      <c r="F26" s="2"/>
      <c r="G26" s="2"/>
    </row>
    <row r="27" spans="1:7" ht="15.5">
      <c r="A27" s="2"/>
      <c r="B27" s="1"/>
      <c r="C27" s="1"/>
      <c r="D27" s="2"/>
      <c r="E27" s="2"/>
      <c r="F27" s="2"/>
      <c r="G27" s="2"/>
    </row>
    <row r="28" spans="1:7" ht="15.5">
      <c r="A28" s="2"/>
      <c r="B28" s="1"/>
      <c r="C28" s="1"/>
      <c r="D28" s="2"/>
      <c r="E28" s="2"/>
      <c r="F28" s="2"/>
      <c r="G28" s="2"/>
    </row>
    <row r="29" spans="1:7" ht="15.5">
      <c r="A29" s="2"/>
      <c r="B29" s="1"/>
      <c r="C29" s="1"/>
      <c r="D29" s="2"/>
      <c r="E29" s="2"/>
      <c r="F29" s="2"/>
      <c r="G29" s="2"/>
    </row>
    <row r="30" spans="1:7" ht="15.5">
      <c r="A30" s="2"/>
      <c r="B30" s="1"/>
      <c r="C30" s="1"/>
      <c r="D30" s="2"/>
      <c r="E30" s="2"/>
      <c r="F30" s="2"/>
      <c r="G30" s="2"/>
    </row>
    <row r="31" spans="1:7" ht="15.5">
      <c r="A31" s="2"/>
      <c r="B31" s="1"/>
      <c r="C31" s="1"/>
      <c r="D31" s="2"/>
      <c r="E31" s="2"/>
      <c r="F31" s="2"/>
      <c r="G31" s="2"/>
    </row>
    <row r="32" spans="1:7" ht="15.5">
      <c r="A32" s="2"/>
      <c r="B32" s="1"/>
      <c r="C32" s="1"/>
      <c r="D32" s="2"/>
      <c r="E32" s="2"/>
      <c r="F32" s="2"/>
      <c r="G32" s="2"/>
    </row>
    <row r="33" spans="1:7" ht="15.5">
      <c r="A33" s="2"/>
      <c r="B33" s="1"/>
      <c r="C33" s="1"/>
      <c r="D33" s="2"/>
      <c r="E33" s="2"/>
      <c r="F33" s="2"/>
      <c r="G33" s="2"/>
    </row>
    <row r="36" spans="1:7" ht="15.5">
      <c r="A36" s="36"/>
      <c r="B36" s="1"/>
      <c r="C36" s="1"/>
      <c r="D36" s="1"/>
      <c r="E36" s="1"/>
      <c r="F36" s="1"/>
      <c r="G36" s="1"/>
    </row>
    <row r="37" spans="1:7" ht="15.5">
      <c r="A37" s="36"/>
      <c r="B37" s="1"/>
      <c r="C37" s="1"/>
      <c r="D37" s="1"/>
      <c r="E37" s="1"/>
      <c r="F37" s="1"/>
      <c r="G37" s="1"/>
    </row>
    <row r="38" spans="1:7" ht="15.5">
      <c r="A38" s="36"/>
      <c r="B38" s="1"/>
      <c r="C38" s="1"/>
      <c r="D38" s="1"/>
      <c r="E38" s="1"/>
      <c r="F38" s="1"/>
      <c r="G38" s="1"/>
    </row>
    <row r="39" spans="1:7" ht="15.5">
      <c r="A39" s="36"/>
      <c r="B39" s="55" t="s">
        <v>17</v>
      </c>
      <c r="C39" s="39"/>
      <c r="D39" s="39"/>
      <c r="E39" s="39"/>
      <c r="F39" s="1"/>
      <c r="G39" s="1"/>
    </row>
    <row r="40" spans="1:7" ht="15.5">
      <c r="A40" s="36"/>
      <c r="B40" s="55" t="s">
        <v>64</v>
      </c>
      <c r="C40" s="39"/>
      <c r="D40" s="39"/>
      <c r="E40" s="39"/>
      <c r="F40" s="1"/>
      <c r="G40" s="17"/>
    </row>
    <row r="41" spans="1:7" ht="15.5">
      <c r="A41" s="68"/>
      <c r="B41" s="10" t="s">
        <v>45</v>
      </c>
      <c r="C41" s="39"/>
      <c r="D41" s="39"/>
      <c r="E41" s="39"/>
      <c r="F41" s="1"/>
      <c r="G41" s="77"/>
    </row>
    <row r="42" spans="1:7" ht="15.5">
      <c r="A42" s="68"/>
      <c r="B42" s="55" t="s">
        <v>63</v>
      </c>
      <c r="C42" s="39"/>
      <c r="D42" s="39"/>
      <c r="E42" s="39"/>
      <c r="F42" s="1"/>
      <c r="G42" s="17"/>
    </row>
    <row r="43" spans="1:7" ht="15.5">
      <c r="A43" s="69"/>
      <c r="B43" s="10" t="s">
        <v>52</v>
      </c>
      <c r="C43" s="39"/>
      <c r="D43" s="39"/>
      <c r="E43" s="39"/>
      <c r="F43" s="1"/>
      <c r="G43" s="17"/>
    </row>
    <row r="44" spans="1:7" ht="15.5">
      <c r="A44" s="70"/>
      <c r="B44" s="55" t="s">
        <v>47</v>
      </c>
      <c r="C44" s="39"/>
      <c r="D44" s="39"/>
      <c r="E44" s="39"/>
      <c r="F44" s="1"/>
      <c r="G44" s="17"/>
    </row>
    <row r="45" spans="1:7" ht="15.5">
      <c r="A45" s="70"/>
      <c r="B45" s="55" t="s">
        <v>46</v>
      </c>
      <c r="C45" s="39"/>
      <c r="D45" s="39"/>
      <c r="E45" s="39"/>
      <c r="F45" s="1"/>
      <c r="G45" s="17"/>
    </row>
    <row r="46" spans="1:7" ht="15.5">
      <c r="A46" s="70"/>
      <c r="B46" s="55" t="s">
        <v>51</v>
      </c>
      <c r="C46" s="39"/>
      <c r="D46" s="39"/>
      <c r="E46" s="39"/>
      <c r="F46" s="1"/>
      <c r="G46" s="17"/>
    </row>
    <row r="47" spans="1:7" ht="15.5">
      <c r="A47" s="70"/>
      <c r="B47" s="55" t="s">
        <v>61</v>
      </c>
      <c r="C47" s="39"/>
      <c r="D47" s="39"/>
      <c r="E47" s="39"/>
      <c r="F47" s="1"/>
      <c r="G47" s="17"/>
    </row>
    <row r="48" spans="1:7" ht="15.5">
      <c r="A48" s="70"/>
      <c r="B48" s="55" t="s">
        <v>67</v>
      </c>
      <c r="C48" s="39"/>
      <c r="D48" s="39"/>
      <c r="E48" s="39"/>
      <c r="F48" s="1"/>
      <c r="G48" s="17"/>
    </row>
    <row r="49" spans="1:8" ht="42">
      <c r="A49" s="31" t="s">
        <v>16</v>
      </c>
      <c r="B49" s="32" t="s">
        <v>0</v>
      </c>
      <c r="C49" s="33" t="s">
        <v>41</v>
      </c>
      <c r="D49" s="33" t="s">
        <v>32</v>
      </c>
      <c r="E49" s="33" t="s">
        <v>48</v>
      </c>
      <c r="F49" s="33" t="s">
        <v>44</v>
      </c>
      <c r="G49" s="33" t="s">
        <v>14</v>
      </c>
    </row>
    <row r="50" spans="1:8" ht="42">
      <c r="A50" s="31">
        <v>1</v>
      </c>
      <c r="B50" s="14" t="s">
        <v>53</v>
      </c>
      <c r="C50" s="75">
        <v>9708830</v>
      </c>
      <c r="D50" s="15">
        <v>0</v>
      </c>
      <c r="E50" s="15">
        <v>0</v>
      </c>
      <c r="F50" s="15">
        <v>0</v>
      </c>
      <c r="G50" s="78" t="s">
        <v>62</v>
      </c>
    </row>
    <row r="51" spans="1:8" ht="56">
      <c r="A51" s="31">
        <v>2</v>
      </c>
      <c r="B51" s="56" t="s">
        <v>54</v>
      </c>
      <c r="C51" s="75">
        <v>0</v>
      </c>
      <c r="D51" s="15">
        <v>620000</v>
      </c>
      <c r="E51" s="15">
        <v>0</v>
      </c>
      <c r="F51" s="15">
        <v>0</v>
      </c>
      <c r="G51" s="13" t="s">
        <v>62</v>
      </c>
    </row>
    <row r="52" spans="1:8" ht="42">
      <c r="A52" s="31">
        <v>3</v>
      </c>
      <c r="B52" s="14" t="s">
        <v>55</v>
      </c>
      <c r="C52" s="75">
        <v>0</v>
      </c>
      <c r="D52" s="87">
        <f>317916*60%</f>
        <v>190749.6</v>
      </c>
      <c r="E52" s="15">
        <v>0</v>
      </c>
      <c r="F52" s="15">
        <v>0</v>
      </c>
      <c r="G52" s="16" t="s">
        <v>59</v>
      </c>
    </row>
    <row r="53" spans="1:8" ht="42">
      <c r="A53" s="31">
        <v>4</v>
      </c>
      <c r="B53" s="14" t="s">
        <v>60</v>
      </c>
      <c r="C53" s="75">
        <v>0</v>
      </c>
      <c r="D53" s="15">
        <f>236000*3</f>
        <v>708000</v>
      </c>
      <c r="E53" s="15">
        <v>0</v>
      </c>
      <c r="F53" s="15">
        <v>0</v>
      </c>
      <c r="G53" s="78" t="s">
        <v>30</v>
      </c>
    </row>
    <row r="54" spans="1:8" ht="56">
      <c r="A54" s="31">
        <v>5</v>
      </c>
      <c r="B54" s="14" t="s">
        <v>65</v>
      </c>
      <c r="C54" s="75">
        <v>0</v>
      </c>
      <c r="D54" s="15">
        <v>4000000</v>
      </c>
      <c r="E54" s="15">
        <v>0</v>
      </c>
      <c r="F54" s="15">
        <v>0</v>
      </c>
      <c r="G54" s="13" t="s">
        <v>66</v>
      </c>
    </row>
    <row r="55" spans="1:8" ht="52">
      <c r="A55" s="31">
        <v>6</v>
      </c>
      <c r="B55" s="56" t="s">
        <v>69</v>
      </c>
      <c r="C55" s="75">
        <v>0</v>
      </c>
      <c r="D55" s="15">
        <v>800000</v>
      </c>
      <c r="E55" s="15">
        <v>0</v>
      </c>
      <c r="F55" s="15">
        <v>0</v>
      </c>
      <c r="G55" s="47" t="s">
        <v>12</v>
      </c>
    </row>
    <row r="56" spans="1:8" ht="56">
      <c r="A56" s="31">
        <v>7</v>
      </c>
      <c r="B56" s="56" t="s">
        <v>70</v>
      </c>
      <c r="C56" s="75">
        <v>0</v>
      </c>
      <c r="D56" s="15">
        <f>8000+12000</f>
        <v>20000</v>
      </c>
      <c r="E56" s="15">
        <v>0</v>
      </c>
      <c r="F56" s="15">
        <v>0</v>
      </c>
      <c r="G56" s="13" t="s">
        <v>11</v>
      </c>
    </row>
    <row r="57" spans="1:8" ht="15.5">
      <c r="A57" s="31"/>
      <c r="B57" s="56"/>
      <c r="C57" s="75"/>
      <c r="D57" s="15"/>
      <c r="E57" s="15"/>
      <c r="F57" s="15"/>
      <c r="G57" s="8"/>
    </row>
    <row r="58" spans="1:8" ht="28">
      <c r="A58" s="34"/>
      <c r="B58" s="33" t="s">
        <v>1</v>
      </c>
      <c r="C58" s="74">
        <f>SUM(C50:C57)</f>
        <v>9708830</v>
      </c>
      <c r="D58" s="35">
        <f>SUM(D50:D57)</f>
        <v>6338749.5999999996</v>
      </c>
      <c r="E58" s="58"/>
      <c r="F58" s="58">
        <f>SUM(F50:F57)</f>
        <v>0</v>
      </c>
      <c r="G58" s="14"/>
    </row>
    <row r="59" spans="1:8" ht="15.5">
      <c r="A59" s="59" t="s">
        <v>37</v>
      </c>
      <c r="B59" s="3"/>
      <c r="C59" s="3"/>
      <c r="D59" s="67"/>
      <c r="E59" s="67"/>
      <c r="F59" s="67"/>
      <c r="G59" s="1"/>
    </row>
    <row r="60" spans="1:8" ht="15.5">
      <c r="A60" s="59"/>
      <c r="B60" s="3" t="s">
        <v>10</v>
      </c>
      <c r="C60" s="1"/>
      <c r="D60" s="1"/>
      <c r="E60" s="1"/>
      <c r="F60" s="1"/>
      <c r="G60" s="17"/>
    </row>
    <row r="61" spans="1:8" ht="15.5">
      <c r="A61" s="1"/>
      <c r="B61" s="59" t="s">
        <v>68</v>
      </c>
      <c r="C61" s="2"/>
      <c r="D61" s="2"/>
      <c r="E61" s="2"/>
      <c r="F61" s="2"/>
      <c r="G61" s="76"/>
    </row>
    <row r="62" spans="1:8" ht="15.5">
      <c r="A62" s="2" t="s">
        <v>2</v>
      </c>
      <c r="B62" s="1"/>
      <c r="C62" s="1"/>
      <c r="F62" s="2" t="s">
        <v>3</v>
      </c>
      <c r="G62" s="2"/>
      <c r="H62" s="2"/>
    </row>
    <row r="63" spans="1:8" ht="15.5">
      <c r="A63" s="1" t="s">
        <v>4</v>
      </c>
      <c r="B63" s="1"/>
      <c r="C63" s="3"/>
      <c r="F63" s="1" t="s">
        <v>7</v>
      </c>
      <c r="G63" s="1"/>
      <c r="H63" s="1"/>
    </row>
    <row r="64" spans="1:8" ht="15.5">
      <c r="A64" s="3" t="s">
        <v>5</v>
      </c>
      <c r="B64" s="3"/>
      <c r="C64" s="3"/>
      <c r="F64" s="1" t="s">
        <v>8</v>
      </c>
      <c r="G64" s="1"/>
      <c r="H64" s="1"/>
    </row>
    <row r="65" spans="1:7" ht="15.5">
      <c r="A65" s="3"/>
      <c r="B65" s="3"/>
      <c r="D65" s="2" t="s">
        <v>6</v>
      </c>
      <c r="E65" s="3"/>
      <c r="F65" s="3"/>
      <c r="G65" s="3"/>
    </row>
    <row r="66" spans="1:7" ht="15.5">
      <c r="A66" s="2"/>
      <c r="B66" s="1"/>
      <c r="D66" s="1" t="s">
        <v>15</v>
      </c>
      <c r="E66" s="2"/>
      <c r="F66" s="2"/>
      <c r="G66" s="2"/>
    </row>
    <row r="67" spans="1:7" ht="15.5">
      <c r="A67" s="2"/>
      <c r="B67" s="1"/>
      <c r="D67" s="1" t="s">
        <v>9</v>
      </c>
      <c r="E67" s="2"/>
      <c r="F67" s="2"/>
      <c r="G67" s="2"/>
    </row>
    <row r="68" spans="1:7" ht="15.5">
      <c r="A68" s="2"/>
      <c r="B68" s="1"/>
      <c r="D68" s="1"/>
      <c r="E68" s="2"/>
      <c r="F68" s="2"/>
      <c r="G68" s="2"/>
    </row>
    <row r="69" spans="1:7" ht="15.5">
      <c r="A69" s="2"/>
      <c r="B69" s="1"/>
      <c r="D69" s="1"/>
      <c r="E69" s="2"/>
      <c r="F69" s="2"/>
      <c r="G69" s="2"/>
    </row>
    <row r="70" spans="1:7" ht="15.5">
      <c r="A70" s="2"/>
      <c r="B70" s="1"/>
      <c r="D70" s="1"/>
      <c r="E70" s="2"/>
      <c r="F70" s="2"/>
      <c r="G70" s="2"/>
    </row>
    <row r="73" spans="1:7" ht="15.5">
      <c r="A73" s="36"/>
      <c r="B73" s="1"/>
      <c r="C73" s="1"/>
      <c r="D73" s="1"/>
      <c r="E73" s="1"/>
      <c r="F73" s="1"/>
      <c r="G73" s="1"/>
    </row>
    <row r="74" spans="1:7" ht="15.5">
      <c r="A74" s="36"/>
      <c r="B74" s="1"/>
      <c r="C74" s="1"/>
      <c r="D74" s="1"/>
      <c r="E74" s="1"/>
      <c r="F74" s="1"/>
      <c r="G74" s="1"/>
    </row>
    <row r="75" spans="1:7" ht="15.5">
      <c r="A75" s="36"/>
      <c r="B75" s="1"/>
      <c r="C75" s="1"/>
      <c r="D75" s="1"/>
      <c r="E75" s="1"/>
      <c r="F75" s="1"/>
      <c r="G75" s="1"/>
    </row>
    <row r="76" spans="1:7" ht="14" customHeight="1">
      <c r="A76" s="36"/>
      <c r="B76" s="55" t="s">
        <v>80</v>
      </c>
      <c r="C76" s="39"/>
      <c r="D76" s="39"/>
      <c r="E76" s="39"/>
      <c r="F76" s="1"/>
      <c r="G76" s="1"/>
    </row>
    <row r="77" spans="1:7" ht="14" customHeight="1">
      <c r="A77" s="36"/>
      <c r="B77" s="55" t="s">
        <v>81</v>
      </c>
      <c r="C77" s="39"/>
      <c r="D77" s="39"/>
      <c r="E77" s="39"/>
      <c r="F77" s="1"/>
      <c r="G77" s="17"/>
    </row>
    <row r="78" spans="1:7" ht="14" customHeight="1">
      <c r="A78" s="68"/>
      <c r="B78" s="10" t="s">
        <v>45</v>
      </c>
      <c r="C78" s="39"/>
      <c r="D78" s="39"/>
      <c r="E78" s="39"/>
      <c r="F78" s="1"/>
      <c r="G78" s="77"/>
    </row>
    <row r="79" spans="1:7" ht="14" customHeight="1">
      <c r="A79" s="68"/>
      <c r="B79" s="55" t="s">
        <v>82</v>
      </c>
      <c r="C79" s="39"/>
      <c r="D79" s="39"/>
      <c r="E79" s="39"/>
      <c r="F79" s="1"/>
      <c r="G79" s="17"/>
    </row>
    <row r="80" spans="1:7" ht="14" customHeight="1">
      <c r="A80" s="69"/>
      <c r="B80" s="10" t="s">
        <v>52</v>
      </c>
      <c r="C80" s="39"/>
      <c r="D80" s="39"/>
      <c r="E80" s="39"/>
      <c r="F80" s="1"/>
      <c r="G80" s="17"/>
    </row>
    <row r="81" spans="1:7" ht="14" customHeight="1">
      <c r="A81" s="70"/>
      <c r="B81" s="55" t="s">
        <v>73</v>
      </c>
      <c r="C81" s="39"/>
      <c r="D81" s="39"/>
      <c r="E81" s="39"/>
      <c r="F81" s="1"/>
      <c r="G81" s="17"/>
    </row>
    <row r="82" spans="1:7" ht="14" customHeight="1">
      <c r="A82" s="70"/>
      <c r="B82" s="55" t="s">
        <v>46</v>
      </c>
      <c r="C82" s="39"/>
      <c r="D82" s="39"/>
      <c r="E82" s="39"/>
      <c r="F82" s="1"/>
      <c r="G82" s="17"/>
    </row>
    <row r="83" spans="1:7" ht="14" customHeight="1">
      <c r="A83" s="70"/>
      <c r="B83" s="55" t="s">
        <v>83</v>
      </c>
      <c r="C83" s="39"/>
      <c r="D83" s="39"/>
      <c r="E83" s="39"/>
      <c r="F83" s="1"/>
      <c r="G83" s="17"/>
    </row>
    <row r="84" spans="1:7" ht="14" customHeight="1">
      <c r="A84" s="70"/>
      <c r="B84" s="55" t="s">
        <v>61</v>
      </c>
      <c r="C84" s="39"/>
      <c r="D84" s="39"/>
      <c r="E84" s="39"/>
      <c r="F84" s="1"/>
      <c r="G84" s="17"/>
    </row>
    <row r="85" spans="1:7" ht="14" customHeight="1">
      <c r="A85" s="70"/>
      <c r="B85" s="55" t="s">
        <v>79</v>
      </c>
      <c r="C85" s="39"/>
      <c r="D85" s="39"/>
      <c r="E85" s="39"/>
      <c r="F85" s="1"/>
      <c r="G85" s="17"/>
    </row>
    <row r="86" spans="1:7" ht="42">
      <c r="A86" s="31" t="s">
        <v>16</v>
      </c>
      <c r="B86" s="32" t="s">
        <v>0</v>
      </c>
      <c r="C86" s="33" t="s">
        <v>85</v>
      </c>
      <c r="D86" s="33" t="s">
        <v>32</v>
      </c>
      <c r="E86" s="33" t="s">
        <v>48</v>
      </c>
      <c r="F86" s="33" t="s">
        <v>44</v>
      </c>
      <c r="G86" s="33" t="s">
        <v>14</v>
      </c>
    </row>
    <row r="87" spans="1:7" ht="56">
      <c r="A87" s="31">
        <v>1</v>
      </c>
      <c r="B87" s="56" t="s">
        <v>90</v>
      </c>
      <c r="C87" s="75">
        <v>0</v>
      </c>
      <c r="D87" s="15">
        <f>8000+12000</f>
        <v>20000</v>
      </c>
      <c r="E87" s="15">
        <v>0</v>
      </c>
      <c r="F87" s="15">
        <v>0</v>
      </c>
      <c r="G87" s="13" t="s">
        <v>11</v>
      </c>
    </row>
    <row r="88" spans="1:7" ht="28">
      <c r="A88" s="31">
        <v>2</v>
      </c>
      <c r="B88" s="56" t="s">
        <v>71</v>
      </c>
      <c r="C88" s="75">
        <v>0</v>
      </c>
      <c r="D88" s="15">
        <v>150000</v>
      </c>
      <c r="E88" s="15">
        <v>0</v>
      </c>
      <c r="F88" s="15">
        <v>0</v>
      </c>
      <c r="G88" s="13" t="s">
        <v>74</v>
      </c>
    </row>
    <row r="89" spans="1:7" ht="42">
      <c r="A89" s="31">
        <v>3</v>
      </c>
      <c r="B89" s="14" t="s">
        <v>89</v>
      </c>
      <c r="C89" s="75">
        <v>0</v>
      </c>
      <c r="D89" s="15">
        <v>280000</v>
      </c>
      <c r="E89" s="15">
        <v>0</v>
      </c>
      <c r="F89" s="15">
        <v>0</v>
      </c>
      <c r="G89" s="16" t="s">
        <v>72</v>
      </c>
    </row>
    <row r="90" spans="1:7" ht="56">
      <c r="A90" s="31">
        <v>4</v>
      </c>
      <c r="B90" s="14" t="s">
        <v>88</v>
      </c>
      <c r="C90" s="75">
        <v>74000000</v>
      </c>
      <c r="D90" s="15">
        <v>0</v>
      </c>
      <c r="E90" s="15">
        <v>0</v>
      </c>
      <c r="F90" s="15">
        <v>0</v>
      </c>
      <c r="G90" s="78" t="s">
        <v>86</v>
      </c>
    </row>
    <row r="91" spans="1:7" ht="56">
      <c r="A91" s="31">
        <v>5</v>
      </c>
      <c r="B91" s="14" t="s">
        <v>87</v>
      </c>
      <c r="C91" s="75">
        <v>0</v>
      </c>
      <c r="D91" s="15">
        <f>15000+8000</f>
        <v>23000</v>
      </c>
      <c r="E91" s="15">
        <v>0</v>
      </c>
      <c r="F91" s="15">
        <v>0</v>
      </c>
      <c r="G91" s="13" t="s">
        <v>75</v>
      </c>
    </row>
    <row r="92" spans="1:7" ht="42">
      <c r="A92" s="31">
        <v>6</v>
      </c>
      <c r="B92" s="56" t="s">
        <v>76</v>
      </c>
      <c r="C92" s="75">
        <v>15612000</v>
      </c>
      <c r="D92" s="15">
        <v>0</v>
      </c>
      <c r="E92" s="15">
        <v>0</v>
      </c>
      <c r="F92" s="15">
        <v>0</v>
      </c>
      <c r="G92" s="47" t="s">
        <v>84</v>
      </c>
    </row>
    <row r="93" spans="1:7" ht="56">
      <c r="A93" s="31"/>
      <c r="B93" s="56" t="s">
        <v>78</v>
      </c>
      <c r="C93" s="75"/>
      <c r="D93" s="15">
        <v>1400000</v>
      </c>
      <c r="E93" s="15"/>
      <c r="F93" s="15"/>
      <c r="G93" s="8" t="s">
        <v>34</v>
      </c>
    </row>
    <row r="94" spans="1:7" ht="28">
      <c r="A94" s="34"/>
      <c r="B94" s="33" t="s">
        <v>1</v>
      </c>
      <c r="C94" s="74">
        <f>SUM(C87:C93)</f>
        <v>89612000</v>
      </c>
      <c r="D94" s="35">
        <f>SUM(D87:D93)</f>
        <v>1873000</v>
      </c>
      <c r="E94" s="58"/>
      <c r="F94" s="58">
        <f>SUM(F87:F93)</f>
        <v>0</v>
      </c>
      <c r="G94" s="14"/>
    </row>
    <row r="95" spans="1:7" ht="14" customHeight="1">
      <c r="A95" s="59" t="s">
        <v>37</v>
      </c>
      <c r="B95" s="3"/>
      <c r="C95" s="3"/>
      <c r="D95" s="67"/>
      <c r="E95" s="67"/>
      <c r="F95" s="67"/>
      <c r="G95" s="1"/>
    </row>
    <row r="96" spans="1:7" ht="14" customHeight="1">
      <c r="A96" s="59"/>
      <c r="B96" s="3" t="s">
        <v>10</v>
      </c>
      <c r="C96" s="1"/>
      <c r="D96" s="1"/>
      <c r="E96" s="1"/>
      <c r="F96" s="1"/>
      <c r="G96" s="17"/>
    </row>
    <row r="97" spans="1:7" ht="14" customHeight="1">
      <c r="A97" s="1"/>
      <c r="B97" s="59" t="s">
        <v>77</v>
      </c>
      <c r="C97" s="2"/>
      <c r="D97" s="2"/>
      <c r="E97" s="2"/>
      <c r="F97" s="2"/>
      <c r="G97" s="76"/>
    </row>
    <row r="98" spans="1:7" ht="14" customHeight="1">
      <c r="A98" s="2" t="s">
        <v>2</v>
      </c>
      <c r="B98" s="1"/>
      <c r="C98" s="1"/>
      <c r="F98" s="2" t="s">
        <v>3</v>
      </c>
      <c r="G98" s="2"/>
    </row>
    <row r="99" spans="1:7" ht="14" customHeight="1">
      <c r="A99" s="1" t="s">
        <v>4</v>
      </c>
      <c r="B99" s="1"/>
      <c r="C99" s="3"/>
      <c r="F99" s="1" t="s">
        <v>7</v>
      </c>
      <c r="G99" s="1"/>
    </row>
    <row r="100" spans="1:7" ht="14" customHeight="1">
      <c r="A100" s="3" t="s">
        <v>5</v>
      </c>
      <c r="B100" s="3"/>
      <c r="C100" s="3"/>
      <c r="F100" s="1" t="s">
        <v>8</v>
      </c>
      <c r="G100" s="1"/>
    </row>
    <row r="101" spans="1:7" ht="14" customHeight="1">
      <c r="A101" s="3"/>
      <c r="B101" s="3"/>
      <c r="D101" s="2" t="s">
        <v>6</v>
      </c>
      <c r="E101" s="3"/>
      <c r="F101" s="3"/>
      <c r="G101" s="3"/>
    </row>
    <row r="102" spans="1:7" ht="14" customHeight="1">
      <c r="A102" s="2"/>
      <c r="B102" s="1"/>
      <c r="D102" s="1" t="s">
        <v>15</v>
      </c>
      <c r="E102" s="2"/>
      <c r="F102" s="2"/>
      <c r="G102" s="2"/>
    </row>
    <row r="103" spans="1:7" ht="15.5">
      <c r="A103" s="2"/>
      <c r="B103" s="1"/>
      <c r="D103" s="1" t="s">
        <v>9</v>
      </c>
      <c r="E103" s="2"/>
      <c r="F103" s="2"/>
      <c r="G103" s="2"/>
    </row>
    <row r="105" spans="1:7" ht="15.5">
      <c r="A105" s="2"/>
      <c r="B105" s="1"/>
      <c r="D105" s="1"/>
      <c r="E105" s="2"/>
      <c r="F105" s="2"/>
      <c r="G105" s="2"/>
    </row>
    <row r="108" spans="1:7" ht="15.5">
      <c r="A108" s="36"/>
      <c r="B108" s="1"/>
      <c r="C108" s="1"/>
      <c r="D108" s="1"/>
      <c r="E108" s="1"/>
      <c r="F108" s="1"/>
      <c r="G108" s="1"/>
    </row>
    <row r="109" spans="1:7" ht="15.5">
      <c r="A109" s="36"/>
      <c r="B109" s="1"/>
      <c r="C109" s="1"/>
      <c r="D109" s="1"/>
      <c r="E109" s="1"/>
      <c r="F109" s="1"/>
      <c r="G109" s="1"/>
    </row>
    <row r="110" spans="1:7" ht="15.5">
      <c r="A110" s="36"/>
      <c r="B110" s="1"/>
      <c r="C110" s="1"/>
      <c r="D110" s="1"/>
      <c r="E110" s="1"/>
      <c r="F110" s="1"/>
      <c r="G110" s="1"/>
    </row>
    <row r="111" spans="1:7" ht="15.5">
      <c r="A111" s="36"/>
      <c r="B111" s="55" t="s">
        <v>80</v>
      </c>
      <c r="C111" s="39"/>
      <c r="D111" s="39"/>
      <c r="E111" s="39"/>
      <c r="F111" s="1"/>
      <c r="G111" s="1"/>
    </row>
    <row r="112" spans="1:7" ht="15.5">
      <c r="A112" s="36"/>
      <c r="B112" s="55" t="s">
        <v>96</v>
      </c>
      <c r="C112" s="39"/>
      <c r="D112" s="39"/>
      <c r="E112" s="39"/>
      <c r="F112" s="1"/>
      <c r="G112" s="17"/>
    </row>
    <row r="113" spans="1:7" ht="15.5">
      <c r="A113" s="68"/>
      <c r="B113" s="10" t="s">
        <v>45</v>
      </c>
      <c r="C113" s="39"/>
      <c r="D113" s="39"/>
      <c r="E113" s="39"/>
      <c r="F113" s="1"/>
      <c r="G113" s="77"/>
    </row>
    <row r="114" spans="1:7" ht="15.5">
      <c r="A114" s="68"/>
      <c r="B114" s="55" t="s">
        <v>94</v>
      </c>
      <c r="C114" s="39"/>
      <c r="D114" s="39"/>
      <c r="E114" s="39"/>
      <c r="F114" s="1"/>
      <c r="G114" s="17"/>
    </row>
    <row r="115" spans="1:7" ht="15.5">
      <c r="A115" s="69"/>
      <c r="B115" s="10" t="s">
        <v>52</v>
      </c>
      <c r="C115" s="39"/>
      <c r="D115" s="39"/>
      <c r="E115" s="39"/>
      <c r="F115" s="1"/>
      <c r="G115" s="17"/>
    </row>
    <row r="116" spans="1:7" ht="15.5">
      <c r="A116" s="70"/>
      <c r="B116" s="55" t="s">
        <v>95</v>
      </c>
      <c r="C116" s="39"/>
      <c r="D116" s="39"/>
      <c r="E116" s="39"/>
      <c r="F116" s="1"/>
      <c r="G116" s="17"/>
    </row>
    <row r="117" spans="1:7" ht="15.5">
      <c r="A117" s="70"/>
      <c r="B117" s="55" t="s">
        <v>46</v>
      </c>
      <c r="C117" s="39"/>
      <c r="D117" s="39"/>
      <c r="E117" s="39"/>
      <c r="F117" s="1"/>
      <c r="G117" s="17"/>
    </row>
    <row r="118" spans="1:7" ht="15.5">
      <c r="A118" s="70"/>
      <c r="B118" s="55" t="s">
        <v>93</v>
      </c>
      <c r="C118" s="39"/>
      <c r="D118" s="39"/>
      <c r="E118" s="39"/>
      <c r="F118" s="1"/>
      <c r="G118" s="17"/>
    </row>
    <row r="119" spans="1:7" ht="15.5">
      <c r="A119" s="70"/>
      <c r="B119" s="55" t="s">
        <v>61</v>
      </c>
      <c r="C119" s="39"/>
      <c r="D119" s="39"/>
      <c r="E119" s="39"/>
      <c r="F119" s="1"/>
      <c r="G119" s="17"/>
    </row>
    <row r="120" spans="1:7" ht="15.5">
      <c r="A120" s="70"/>
      <c r="B120" s="55" t="s">
        <v>97</v>
      </c>
      <c r="C120" s="39"/>
      <c r="D120" s="39"/>
      <c r="E120" s="39"/>
      <c r="F120" s="1"/>
      <c r="G120" s="17"/>
    </row>
    <row r="121" spans="1:7" ht="42">
      <c r="A121" s="31" t="s">
        <v>16</v>
      </c>
      <c r="B121" s="32" t="s">
        <v>0</v>
      </c>
      <c r="C121" s="33" t="s">
        <v>41</v>
      </c>
      <c r="D121" s="33" t="s">
        <v>32</v>
      </c>
      <c r="E121" s="33" t="s">
        <v>48</v>
      </c>
      <c r="F121" s="33" t="s">
        <v>44</v>
      </c>
      <c r="G121" s="33" t="s">
        <v>14</v>
      </c>
    </row>
    <row r="122" spans="1:7" ht="42">
      <c r="A122" s="31">
        <v>1</v>
      </c>
      <c r="B122" s="56" t="s">
        <v>91</v>
      </c>
      <c r="C122" s="75">
        <v>1024021521</v>
      </c>
      <c r="D122" s="15">
        <v>0</v>
      </c>
      <c r="E122" s="15">
        <v>0</v>
      </c>
      <c r="F122" s="15">
        <v>0</v>
      </c>
      <c r="G122" s="13" t="s">
        <v>11</v>
      </c>
    </row>
    <row r="123" spans="1:7" ht="14">
      <c r="A123" s="31"/>
      <c r="B123" s="56"/>
      <c r="C123" s="75"/>
      <c r="D123" s="15"/>
      <c r="E123" s="15"/>
      <c r="F123" s="15"/>
      <c r="G123" s="13"/>
    </row>
    <row r="124" spans="1:7" ht="14">
      <c r="A124" s="31"/>
      <c r="B124" s="14"/>
      <c r="C124" s="75"/>
      <c r="D124" s="15"/>
      <c r="E124" s="15"/>
      <c r="F124" s="15"/>
      <c r="G124" s="16"/>
    </row>
    <row r="125" spans="1:7" ht="14">
      <c r="A125" s="31"/>
      <c r="B125" s="14"/>
      <c r="C125" s="75"/>
      <c r="D125" s="15"/>
      <c r="E125" s="15"/>
      <c r="F125" s="15"/>
      <c r="G125" s="78"/>
    </row>
    <row r="126" spans="1:7" ht="14">
      <c r="A126" s="31"/>
      <c r="B126" s="14"/>
      <c r="C126" s="75"/>
      <c r="D126" s="15"/>
      <c r="E126" s="15"/>
      <c r="F126" s="15"/>
      <c r="G126" s="13"/>
    </row>
    <row r="127" spans="1:7" ht="14">
      <c r="A127" s="31"/>
      <c r="B127" s="56"/>
      <c r="C127" s="75"/>
      <c r="D127" s="15"/>
      <c r="E127" s="15"/>
      <c r="F127" s="15"/>
      <c r="G127" s="47"/>
    </row>
    <row r="128" spans="1:7" ht="15.5">
      <c r="A128" s="31"/>
      <c r="B128" s="56"/>
      <c r="C128" s="75"/>
      <c r="D128" s="15"/>
      <c r="E128" s="15"/>
      <c r="F128" s="15"/>
      <c r="G128" s="8"/>
    </row>
    <row r="129" spans="1:7" ht="28">
      <c r="A129" s="34"/>
      <c r="B129" s="33" t="s">
        <v>1</v>
      </c>
      <c r="C129" s="74">
        <f>SUM(C122:C128)</f>
        <v>1024021521</v>
      </c>
      <c r="D129" s="35">
        <f>SUM(D122:D128)</f>
        <v>0</v>
      </c>
      <c r="E129" s="58"/>
      <c r="F129" s="58">
        <f>SUM(F122:F128)</f>
        <v>0</v>
      </c>
      <c r="G129" s="14"/>
    </row>
    <row r="130" spans="1:7" ht="15.5">
      <c r="A130" s="59" t="s">
        <v>37</v>
      </c>
      <c r="B130" s="3"/>
      <c r="C130" s="3"/>
      <c r="D130" s="67"/>
      <c r="E130" s="67"/>
      <c r="F130" s="67"/>
      <c r="G130" s="1"/>
    </row>
    <row r="131" spans="1:7" ht="15.5">
      <c r="A131" s="59"/>
      <c r="B131" s="3" t="s">
        <v>10</v>
      </c>
      <c r="C131" s="1"/>
      <c r="D131" s="1"/>
      <c r="E131" s="1"/>
      <c r="F131" s="1"/>
      <c r="G131" s="17"/>
    </row>
    <row r="132" spans="1:7" ht="15.5">
      <c r="A132" s="1"/>
      <c r="B132" s="59" t="s">
        <v>92</v>
      </c>
      <c r="C132" s="2"/>
      <c r="D132" s="2"/>
      <c r="E132" s="2"/>
      <c r="F132" s="2"/>
      <c r="G132" s="76"/>
    </row>
    <row r="133" spans="1:7" ht="15.5">
      <c r="A133" s="2" t="s">
        <v>2</v>
      </c>
      <c r="B133" s="1"/>
      <c r="C133" s="1"/>
      <c r="F133" s="2" t="s">
        <v>3</v>
      </c>
      <c r="G133" s="2"/>
    </row>
    <row r="134" spans="1:7" ht="15.5">
      <c r="A134" s="1" t="s">
        <v>4</v>
      </c>
      <c r="B134" s="1"/>
      <c r="C134" s="3"/>
      <c r="F134" s="1" t="s">
        <v>7</v>
      </c>
      <c r="G134" s="1"/>
    </row>
    <row r="135" spans="1:7" ht="15.5">
      <c r="A135" s="3" t="s">
        <v>5</v>
      </c>
      <c r="B135" s="3"/>
      <c r="C135" s="3"/>
      <c r="F135" s="1" t="s">
        <v>8</v>
      </c>
      <c r="G135" s="1"/>
    </row>
    <row r="136" spans="1:7" ht="15.5">
      <c r="A136" s="3"/>
      <c r="B136" s="3"/>
      <c r="D136" s="2" t="s">
        <v>6</v>
      </c>
      <c r="E136" s="3"/>
      <c r="F136" s="3"/>
      <c r="G136" s="3"/>
    </row>
    <row r="137" spans="1:7" ht="15.5">
      <c r="A137" s="2"/>
      <c r="B137" s="1"/>
      <c r="D137" s="1" t="s">
        <v>15</v>
      </c>
      <c r="E137" s="2"/>
      <c r="F137" s="2"/>
      <c r="G137" s="2"/>
    </row>
    <row r="138" spans="1:7" ht="15.5">
      <c r="A138" s="2"/>
      <c r="B138" s="1"/>
      <c r="D138" s="1" t="s">
        <v>9</v>
      </c>
      <c r="E138" s="2"/>
      <c r="F138" s="2"/>
      <c r="G138" s="2"/>
    </row>
    <row r="139" spans="1:7" ht="15.5">
      <c r="A139" s="2"/>
      <c r="B139" s="1"/>
      <c r="D139" s="1"/>
      <c r="E139" s="2"/>
      <c r="F139" s="2"/>
      <c r="G139" s="2"/>
    </row>
    <row r="140" spans="1:7" ht="15.5">
      <c r="A140" s="2"/>
      <c r="B140" s="1"/>
      <c r="D140" s="1"/>
      <c r="E140" s="2"/>
      <c r="F140" s="2"/>
      <c r="G140" s="2"/>
    </row>
    <row r="141" spans="1:7" ht="15.5">
      <c r="A141" s="2"/>
      <c r="B141" s="1"/>
      <c r="D141" s="1"/>
      <c r="E141" s="2"/>
      <c r="F141" s="2"/>
      <c r="G141" s="2"/>
    </row>
    <row r="142" spans="1:7" ht="15.5">
      <c r="A142" s="2"/>
      <c r="B142" s="1"/>
      <c r="D142" s="1"/>
      <c r="E142" s="2"/>
      <c r="F142" s="2"/>
      <c r="G142" s="2"/>
    </row>
    <row r="143" spans="1:7" ht="15.5">
      <c r="A143" s="2"/>
      <c r="B143" s="1"/>
      <c r="D143" s="1"/>
      <c r="E143" s="2"/>
      <c r="F143" s="2"/>
      <c r="G143" s="2"/>
    </row>
    <row r="144" spans="1:7" ht="15.5">
      <c r="A144" s="2"/>
      <c r="B144" s="1"/>
      <c r="D144" s="1"/>
      <c r="E144" s="2"/>
      <c r="F144" s="2"/>
      <c r="G144" s="2"/>
    </row>
    <row r="145" spans="1:7" ht="15.5">
      <c r="A145" s="2"/>
      <c r="B145" s="1"/>
      <c r="D145" s="1"/>
      <c r="E145" s="2"/>
      <c r="F145" s="2"/>
      <c r="G145" s="2"/>
    </row>
    <row r="146" spans="1:7" ht="15.5">
      <c r="A146" s="2"/>
      <c r="B146" s="1"/>
      <c r="D146" s="1"/>
      <c r="E146" s="2"/>
      <c r="F146" s="2"/>
      <c r="G146" s="2"/>
    </row>
    <row r="149" spans="1:7" ht="15.5">
      <c r="A149" s="36"/>
      <c r="B149" s="1"/>
      <c r="C149" s="1"/>
      <c r="D149" s="1"/>
      <c r="E149" s="1"/>
      <c r="F149" s="1"/>
      <c r="G149" s="1"/>
    </row>
    <row r="150" spans="1:7" ht="15.5">
      <c r="A150" s="36"/>
      <c r="B150" s="1"/>
      <c r="C150" s="1"/>
      <c r="D150" s="1"/>
      <c r="E150" s="1"/>
      <c r="F150" s="1"/>
      <c r="G150" s="1"/>
    </row>
    <row r="151" spans="1:7" ht="15.5">
      <c r="A151" s="36"/>
      <c r="B151" s="1"/>
      <c r="C151" s="1"/>
      <c r="D151" s="1"/>
      <c r="E151" s="1"/>
      <c r="F151" s="1"/>
      <c r="G151" s="1"/>
    </row>
    <row r="152" spans="1:7" ht="15.5">
      <c r="A152" s="36"/>
      <c r="B152" s="55" t="s">
        <v>80</v>
      </c>
      <c r="C152" s="39"/>
      <c r="D152" s="39"/>
      <c r="E152" s="39"/>
      <c r="F152" s="1"/>
      <c r="G152" s="1"/>
    </row>
    <row r="153" spans="1:7" ht="15.5">
      <c r="A153" s="36"/>
      <c r="B153" s="55" t="s">
        <v>96</v>
      </c>
      <c r="C153" s="39"/>
      <c r="D153" s="39"/>
      <c r="E153" s="39"/>
      <c r="F153" s="1"/>
      <c r="G153" s="17"/>
    </row>
    <row r="154" spans="1:7" ht="15.5">
      <c r="A154" s="68"/>
      <c r="B154" s="10" t="s">
        <v>45</v>
      </c>
      <c r="C154" s="39"/>
      <c r="D154" s="39"/>
      <c r="E154" s="39"/>
      <c r="F154" s="1"/>
      <c r="G154" s="77"/>
    </row>
    <row r="155" spans="1:7" ht="15.5">
      <c r="A155" s="68"/>
      <c r="B155" s="55" t="s">
        <v>94</v>
      </c>
      <c r="C155" s="39"/>
      <c r="D155" s="39"/>
      <c r="E155" s="39"/>
      <c r="F155" s="1"/>
      <c r="G155" s="17"/>
    </row>
    <row r="156" spans="1:7" ht="15.5">
      <c r="A156" s="69"/>
      <c r="B156" s="10" t="s">
        <v>52</v>
      </c>
      <c r="C156" s="39"/>
      <c r="D156" s="39"/>
      <c r="E156" s="39"/>
      <c r="F156" s="1"/>
      <c r="G156" s="17"/>
    </row>
    <row r="157" spans="1:7" ht="15.5">
      <c r="A157" s="70"/>
      <c r="B157" s="55" t="s">
        <v>95</v>
      </c>
      <c r="C157" s="39"/>
      <c r="D157" s="39"/>
      <c r="E157" s="39"/>
      <c r="F157" s="1"/>
      <c r="G157" s="17"/>
    </row>
    <row r="158" spans="1:7" ht="15.5">
      <c r="A158" s="70"/>
      <c r="B158" s="55" t="s">
        <v>46</v>
      </c>
      <c r="C158" s="39"/>
      <c r="D158" s="39"/>
      <c r="E158" s="39"/>
      <c r="F158" s="1"/>
      <c r="G158" s="17"/>
    </row>
    <row r="159" spans="1:7" ht="15.5">
      <c r="A159" s="70"/>
      <c r="B159" s="55" t="s">
        <v>104</v>
      </c>
      <c r="C159" s="39"/>
      <c r="D159" s="39"/>
      <c r="E159" s="39"/>
      <c r="F159" s="1"/>
      <c r="G159" s="17"/>
    </row>
    <row r="160" spans="1:7" ht="15.5">
      <c r="A160" s="70"/>
      <c r="B160" s="55" t="s">
        <v>61</v>
      </c>
      <c r="C160" s="39"/>
      <c r="D160" s="39"/>
      <c r="E160" s="39"/>
      <c r="F160" s="1"/>
      <c r="G160" s="17"/>
    </row>
    <row r="161" spans="1:7" ht="15.5">
      <c r="A161" s="70"/>
      <c r="B161" s="55" t="s">
        <v>97</v>
      </c>
      <c r="C161" s="39"/>
      <c r="D161" s="39"/>
      <c r="E161" s="39"/>
      <c r="F161" s="1"/>
      <c r="G161" s="17"/>
    </row>
    <row r="162" spans="1:7" ht="42">
      <c r="A162" s="31" t="s">
        <v>16</v>
      </c>
      <c r="B162" s="32" t="s">
        <v>0</v>
      </c>
      <c r="C162" s="33" t="s">
        <v>41</v>
      </c>
      <c r="D162" s="33" t="s">
        <v>32</v>
      </c>
      <c r="E162" s="33" t="s">
        <v>48</v>
      </c>
      <c r="F162" s="33" t="s">
        <v>44</v>
      </c>
      <c r="G162" s="33" t="s">
        <v>14</v>
      </c>
    </row>
    <row r="163" spans="1:7" ht="42">
      <c r="A163" s="31">
        <v>1</v>
      </c>
      <c r="B163" s="56" t="s">
        <v>99</v>
      </c>
      <c r="C163" s="75">
        <v>0</v>
      </c>
      <c r="D163" s="87">
        <v>864484</v>
      </c>
      <c r="E163" s="15">
        <v>0</v>
      </c>
      <c r="F163" s="15">
        <v>0</v>
      </c>
      <c r="G163" s="13" t="s">
        <v>35</v>
      </c>
    </row>
    <row r="164" spans="1:7" ht="56">
      <c r="A164" s="31">
        <v>2</v>
      </c>
      <c r="B164" s="56" t="s">
        <v>101</v>
      </c>
      <c r="C164" s="75"/>
      <c r="D164" s="15">
        <f>3488760+2067226+76956+48567</f>
        <v>5681509</v>
      </c>
      <c r="E164" s="15">
        <v>0</v>
      </c>
      <c r="F164" s="15">
        <v>0</v>
      </c>
      <c r="G164" s="13" t="s">
        <v>102</v>
      </c>
    </row>
    <row r="165" spans="1:7" ht="28">
      <c r="A165" s="31">
        <v>3</v>
      </c>
      <c r="B165" s="14" t="s">
        <v>100</v>
      </c>
      <c r="C165" s="75">
        <v>0</v>
      </c>
      <c r="D165" s="87">
        <v>685714</v>
      </c>
      <c r="E165" s="15">
        <v>0</v>
      </c>
      <c r="F165" s="15">
        <v>0</v>
      </c>
      <c r="G165" s="78" t="s">
        <v>103</v>
      </c>
    </row>
    <row r="166" spans="1:7" ht="42">
      <c r="A166" s="31">
        <v>4</v>
      </c>
      <c r="B166" s="14" t="s">
        <v>105</v>
      </c>
      <c r="C166" s="75">
        <v>0</v>
      </c>
      <c r="D166" s="87">
        <f>368622*60%</f>
        <v>221173.19999999998</v>
      </c>
      <c r="E166" s="15">
        <v>0</v>
      </c>
      <c r="F166" s="15">
        <v>0</v>
      </c>
      <c r="G166" s="13" t="s">
        <v>106</v>
      </c>
    </row>
    <row r="167" spans="1:7" ht="28">
      <c r="A167" s="31">
        <v>5</v>
      </c>
      <c r="B167" s="56" t="s">
        <v>108</v>
      </c>
      <c r="C167" s="75">
        <v>0</v>
      </c>
      <c r="D167" s="87">
        <v>172000</v>
      </c>
      <c r="E167" s="15">
        <v>0</v>
      </c>
      <c r="F167" s="15">
        <v>0</v>
      </c>
      <c r="G167" s="47" t="s">
        <v>107</v>
      </c>
    </row>
    <row r="168" spans="1:7" ht="15.5">
      <c r="A168" s="31"/>
      <c r="B168" s="56"/>
      <c r="C168" s="75">
        <v>0</v>
      </c>
      <c r="D168" s="15"/>
      <c r="E168" s="15">
        <v>0</v>
      </c>
      <c r="F168" s="15">
        <v>0</v>
      </c>
      <c r="G168" s="8"/>
    </row>
    <row r="169" spans="1:7" ht="28">
      <c r="A169" s="34"/>
      <c r="B169" s="33" t="s">
        <v>1</v>
      </c>
      <c r="C169" s="74">
        <f>SUM(C163:C168)</f>
        <v>0</v>
      </c>
      <c r="D169" s="35">
        <f>SUM(D163:D168)</f>
        <v>7624880.2000000002</v>
      </c>
      <c r="E169" s="58"/>
      <c r="F169" s="58">
        <f>SUM(F163:F168)</f>
        <v>0</v>
      </c>
      <c r="G169" s="14"/>
    </row>
    <row r="170" spans="1:7" ht="15.5">
      <c r="A170" s="59" t="s">
        <v>37</v>
      </c>
      <c r="B170" s="3"/>
      <c r="C170" s="3"/>
      <c r="D170" s="67"/>
      <c r="E170" s="67"/>
      <c r="F170" s="67"/>
      <c r="G170" s="1"/>
    </row>
    <row r="171" spans="1:7" ht="15.5">
      <c r="A171" s="59"/>
      <c r="B171" s="3" t="s">
        <v>10</v>
      </c>
      <c r="C171" s="1"/>
      <c r="D171" s="1"/>
      <c r="E171" s="1"/>
      <c r="F171" s="1"/>
      <c r="G171" s="17"/>
    </row>
    <row r="172" spans="1:7" ht="15.5">
      <c r="A172" s="1"/>
      <c r="B172" s="59" t="s">
        <v>98</v>
      </c>
      <c r="C172" s="2"/>
      <c r="D172" s="2"/>
      <c r="E172" s="2"/>
      <c r="F172" s="2"/>
      <c r="G172" s="76"/>
    </row>
    <row r="173" spans="1:7" ht="15.5">
      <c r="A173" s="2" t="s">
        <v>2</v>
      </c>
      <c r="B173" s="1"/>
      <c r="C173" s="1"/>
      <c r="F173" s="2" t="s">
        <v>3</v>
      </c>
      <c r="G173" s="2"/>
    </row>
    <row r="174" spans="1:7" ht="15.5">
      <c r="A174" s="1" t="s">
        <v>4</v>
      </c>
      <c r="B174" s="1"/>
      <c r="C174" s="3"/>
      <c r="F174" s="1" t="s">
        <v>7</v>
      </c>
      <c r="G174" s="1"/>
    </row>
    <row r="175" spans="1:7" ht="15.5">
      <c r="A175" s="3" t="s">
        <v>5</v>
      </c>
      <c r="B175" s="3"/>
      <c r="C175" s="3"/>
      <c r="F175" s="1" t="s">
        <v>8</v>
      </c>
      <c r="G175" s="1"/>
    </row>
    <row r="176" spans="1:7" ht="15.5">
      <c r="A176" s="3"/>
      <c r="B176" s="3"/>
      <c r="D176" s="2" t="s">
        <v>6</v>
      </c>
      <c r="E176" s="3"/>
      <c r="F176" s="3"/>
      <c r="G176" s="3"/>
    </row>
    <row r="177" spans="1:7" ht="15.5">
      <c r="A177" s="2"/>
      <c r="B177" s="1"/>
      <c r="D177" s="1" t="s">
        <v>15</v>
      </c>
      <c r="E177" s="2"/>
      <c r="F177" s="2"/>
      <c r="G177" s="2"/>
    </row>
    <row r="178" spans="1:7" ht="15.5">
      <c r="A178" s="2"/>
      <c r="B178" s="1"/>
      <c r="D178" s="1" t="s">
        <v>9</v>
      </c>
      <c r="E178" s="2"/>
      <c r="F178" s="2"/>
      <c r="G178" s="2"/>
    </row>
    <row r="179" spans="1:7" ht="15.5">
      <c r="A179" s="2"/>
      <c r="B179" s="1"/>
      <c r="D179" s="1"/>
      <c r="E179" s="2"/>
      <c r="F179" s="2"/>
      <c r="G179" s="2"/>
    </row>
    <row r="180" spans="1:7" ht="15.5">
      <c r="A180" s="2"/>
      <c r="B180" s="1"/>
      <c r="D180" s="1"/>
      <c r="E180" s="2"/>
      <c r="F180" s="2"/>
      <c r="G180" s="2"/>
    </row>
    <row r="181" spans="1:7" ht="15.5">
      <c r="A181" s="2"/>
      <c r="B181" s="1"/>
      <c r="D181" s="1"/>
      <c r="E181" s="2"/>
      <c r="F181" s="2"/>
      <c r="G181" s="2"/>
    </row>
    <row r="182" spans="1:7" ht="15.5">
      <c r="A182" s="2"/>
      <c r="B182" s="1"/>
      <c r="D182" s="1"/>
      <c r="E182" s="2"/>
      <c r="F182" s="2"/>
      <c r="G182" s="2"/>
    </row>
    <row r="183" spans="1:7" ht="15.5">
      <c r="A183" s="2"/>
      <c r="B183" s="1"/>
      <c r="D183" s="1"/>
      <c r="E183" s="2"/>
      <c r="F183" s="2"/>
      <c r="G183" s="2"/>
    </row>
    <row r="184" spans="1:7" ht="15.5">
      <c r="A184" s="2"/>
      <c r="B184" s="1"/>
      <c r="D184" s="1"/>
      <c r="E184" s="2"/>
      <c r="F184" s="2"/>
      <c r="G184" s="2"/>
    </row>
    <row r="185" spans="1:7" ht="15.5">
      <c r="A185" s="2"/>
      <c r="B185" s="1"/>
      <c r="D185" s="1"/>
      <c r="E185" s="2"/>
      <c r="F185" s="2"/>
      <c r="G185" s="2"/>
    </row>
    <row r="186" spans="1:7" ht="15.5">
      <c r="A186" s="2"/>
      <c r="B186" s="1"/>
      <c r="D186" s="1"/>
      <c r="E186" s="2"/>
      <c r="F186" s="2"/>
      <c r="G186" s="2"/>
    </row>
    <row r="187" spans="1:7" ht="15.5">
      <c r="A187" s="2"/>
      <c r="B187" s="1"/>
      <c r="D187" s="1"/>
      <c r="E187" s="2"/>
      <c r="F187" s="2"/>
      <c r="G187" s="2"/>
    </row>
    <row r="189" spans="1:7" ht="15.5">
      <c r="A189" s="2"/>
      <c r="B189" s="1"/>
      <c r="D189" s="1"/>
      <c r="E189" s="2"/>
      <c r="F189" s="2"/>
      <c r="G189" s="2"/>
    </row>
    <row r="192" spans="1:7" ht="15.5">
      <c r="A192" s="36"/>
      <c r="B192" s="1"/>
      <c r="C192" s="1"/>
      <c r="D192" s="1"/>
      <c r="E192" s="1"/>
      <c r="F192" s="1"/>
      <c r="G192" s="1"/>
    </row>
    <row r="193" spans="1:7" ht="15.5">
      <c r="A193" s="36"/>
      <c r="B193" s="1"/>
      <c r="C193" s="1"/>
      <c r="D193" s="1"/>
      <c r="E193" s="1"/>
      <c r="F193" s="1"/>
      <c r="G193" s="1"/>
    </row>
    <row r="194" spans="1:7" ht="15.5">
      <c r="A194" s="36"/>
      <c r="B194" s="1"/>
      <c r="C194" s="1"/>
      <c r="D194" s="1"/>
      <c r="E194" s="1"/>
      <c r="F194" s="1"/>
      <c r="G194" s="1"/>
    </row>
    <row r="195" spans="1:7" ht="15.5">
      <c r="A195" s="36"/>
      <c r="B195" s="55" t="s">
        <v>80</v>
      </c>
      <c r="C195" s="39"/>
      <c r="D195" s="39"/>
      <c r="E195" s="39"/>
      <c r="F195" s="1"/>
      <c r="G195" s="1"/>
    </row>
    <row r="196" spans="1:7" ht="15.5">
      <c r="A196" s="36"/>
      <c r="B196" s="55" t="s">
        <v>96</v>
      </c>
      <c r="C196" s="39"/>
      <c r="D196" s="39"/>
      <c r="E196" s="39"/>
      <c r="F196" s="1"/>
      <c r="G196" s="17"/>
    </row>
    <row r="197" spans="1:7" ht="15.5">
      <c r="A197" s="68"/>
      <c r="B197" s="10" t="s">
        <v>45</v>
      </c>
      <c r="C197" s="39"/>
      <c r="D197" s="39"/>
      <c r="E197" s="39"/>
      <c r="F197" s="1"/>
      <c r="G197" s="77"/>
    </row>
    <row r="198" spans="1:7" ht="15.5">
      <c r="A198" s="68"/>
      <c r="B198" s="55" t="s">
        <v>111</v>
      </c>
      <c r="C198" s="39"/>
      <c r="D198" s="39"/>
      <c r="E198" s="39"/>
      <c r="F198" s="1"/>
      <c r="G198" s="17"/>
    </row>
    <row r="199" spans="1:7" ht="15.5">
      <c r="A199" s="69"/>
      <c r="B199" s="10" t="s">
        <v>52</v>
      </c>
      <c r="C199" s="39"/>
      <c r="D199" s="39"/>
      <c r="E199" s="39"/>
      <c r="F199" s="1"/>
      <c r="G199" s="17"/>
    </row>
    <row r="200" spans="1:7" ht="15.5">
      <c r="A200" s="70"/>
      <c r="B200" s="55" t="s">
        <v>95</v>
      </c>
      <c r="C200" s="39"/>
      <c r="D200" s="39"/>
      <c r="E200" s="39"/>
      <c r="F200" s="1"/>
      <c r="G200" s="17"/>
    </row>
    <row r="201" spans="1:7" ht="15.5">
      <c r="A201" s="70"/>
      <c r="B201" s="55" t="s">
        <v>46</v>
      </c>
      <c r="C201" s="39"/>
      <c r="D201" s="39"/>
      <c r="E201" s="39"/>
      <c r="F201" s="1"/>
      <c r="G201" s="17"/>
    </row>
    <row r="202" spans="1:7" ht="15.5">
      <c r="A202" s="70"/>
      <c r="B202" s="55" t="s">
        <v>112</v>
      </c>
      <c r="C202" s="39"/>
      <c r="D202" s="39"/>
      <c r="E202" s="39"/>
      <c r="F202" s="1"/>
      <c r="G202" s="17"/>
    </row>
    <row r="203" spans="1:7" ht="15.5">
      <c r="A203" s="70"/>
      <c r="B203" s="55" t="s">
        <v>61</v>
      </c>
      <c r="C203" s="39"/>
      <c r="D203" s="39"/>
      <c r="E203" s="39"/>
      <c r="F203" s="1"/>
      <c r="G203" s="17"/>
    </row>
    <row r="204" spans="1:7" ht="15.5">
      <c r="A204" s="70"/>
      <c r="B204" s="55" t="s">
        <v>97</v>
      </c>
      <c r="C204" s="39"/>
      <c r="D204" s="39"/>
      <c r="E204" s="39"/>
      <c r="F204" s="1"/>
      <c r="G204" s="17"/>
    </row>
    <row r="205" spans="1:7" ht="42">
      <c r="A205" s="31" t="s">
        <v>16</v>
      </c>
      <c r="B205" s="32" t="s">
        <v>0</v>
      </c>
      <c r="C205" s="33" t="s">
        <v>41</v>
      </c>
      <c r="D205" s="33" t="s">
        <v>32</v>
      </c>
      <c r="E205" s="33" t="s">
        <v>48</v>
      </c>
      <c r="F205" s="33" t="s">
        <v>44</v>
      </c>
      <c r="G205" s="33" t="s">
        <v>14</v>
      </c>
    </row>
    <row r="206" spans="1:7" ht="42">
      <c r="A206" s="31">
        <v>1</v>
      </c>
      <c r="B206" s="56" t="s">
        <v>109</v>
      </c>
      <c r="C206" s="75">
        <v>0</v>
      </c>
      <c r="D206" s="15"/>
      <c r="E206" s="15">
        <v>1394786</v>
      </c>
      <c r="F206" s="15">
        <v>0</v>
      </c>
      <c r="G206" s="13" t="s">
        <v>24</v>
      </c>
    </row>
    <row r="207" spans="1:7" ht="14">
      <c r="A207" s="31"/>
      <c r="B207" s="56"/>
      <c r="C207" s="75"/>
      <c r="D207" s="15"/>
      <c r="E207" s="15"/>
      <c r="F207" s="15"/>
      <c r="G207" s="13"/>
    </row>
    <row r="208" spans="1:7" ht="14">
      <c r="A208" s="31"/>
      <c r="B208" s="14"/>
      <c r="C208" s="75"/>
      <c r="D208" s="15"/>
      <c r="E208" s="15"/>
      <c r="F208" s="15"/>
      <c r="G208" s="16"/>
    </row>
    <row r="209" spans="1:7" ht="14">
      <c r="A209" s="31"/>
      <c r="B209" s="14"/>
      <c r="C209" s="75"/>
      <c r="D209" s="15"/>
      <c r="E209" s="15"/>
      <c r="F209" s="15"/>
      <c r="G209" s="78"/>
    </row>
    <row r="210" spans="1:7" ht="14">
      <c r="A210" s="31"/>
      <c r="B210" s="14"/>
      <c r="C210" s="75"/>
      <c r="D210" s="15"/>
      <c r="E210" s="15"/>
      <c r="F210" s="15"/>
      <c r="G210" s="13"/>
    </row>
    <row r="211" spans="1:7" ht="14">
      <c r="A211" s="31"/>
      <c r="B211" s="56"/>
      <c r="C211" s="75"/>
      <c r="D211" s="15"/>
      <c r="E211" s="15"/>
      <c r="F211" s="15"/>
      <c r="G211" s="47"/>
    </row>
    <row r="212" spans="1:7" ht="15.5">
      <c r="A212" s="31"/>
      <c r="B212" s="56"/>
      <c r="C212" s="75"/>
      <c r="D212" s="15"/>
      <c r="E212" s="15"/>
      <c r="F212" s="15"/>
      <c r="G212" s="8"/>
    </row>
    <row r="213" spans="1:7" ht="28">
      <c r="A213" s="34"/>
      <c r="B213" s="33" t="s">
        <v>1</v>
      </c>
      <c r="C213" s="74">
        <f>SUM(C206:C212)</f>
        <v>0</v>
      </c>
      <c r="D213" s="35"/>
      <c r="E213" s="58">
        <f>SUM(E206:E212)</f>
        <v>1394786</v>
      </c>
      <c r="F213" s="58">
        <f>SUM(F206:F212)</f>
        <v>0</v>
      </c>
      <c r="G213" s="14"/>
    </row>
    <row r="214" spans="1:7" ht="14">
      <c r="A214" s="82"/>
      <c r="B214" s="83"/>
      <c r="C214" s="84"/>
      <c r="D214" s="52"/>
      <c r="E214" s="85"/>
      <c r="F214" s="85"/>
      <c r="G214" s="86"/>
    </row>
    <row r="215" spans="1:7" ht="15.5">
      <c r="A215" s="59" t="s">
        <v>37</v>
      </c>
      <c r="B215" s="3"/>
      <c r="C215" s="3"/>
      <c r="D215" s="67"/>
      <c r="E215" s="67"/>
      <c r="F215" s="67"/>
      <c r="G215" s="1"/>
    </row>
    <row r="216" spans="1:7" ht="15.5">
      <c r="A216" s="59"/>
      <c r="B216" s="3" t="s">
        <v>10</v>
      </c>
      <c r="C216" s="1"/>
      <c r="D216" s="1"/>
      <c r="E216" s="1"/>
      <c r="F216" s="1"/>
      <c r="G216" s="17"/>
    </row>
    <row r="217" spans="1:7" ht="15.5">
      <c r="A217" s="1"/>
      <c r="B217" s="59" t="s">
        <v>110</v>
      </c>
      <c r="C217" s="2"/>
      <c r="D217" s="2"/>
      <c r="E217" s="2"/>
      <c r="F217" s="2"/>
      <c r="G217" s="76"/>
    </row>
    <row r="218" spans="1:7" ht="15.5">
      <c r="A218" s="2" t="s">
        <v>2</v>
      </c>
      <c r="B218" s="1"/>
      <c r="C218" s="1"/>
      <c r="F218" s="2" t="s">
        <v>3</v>
      </c>
      <c r="G218" s="2"/>
    </row>
    <row r="219" spans="1:7" ht="15.5">
      <c r="A219" s="1" t="s">
        <v>4</v>
      </c>
      <c r="B219" s="1"/>
      <c r="C219" s="3"/>
      <c r="F219" s="1" t="s">
        <v>7</v>
      </c>
      <c r="G219" s="1"/>
    </row>
    <row r="220" spans="1:7" ht="15.5">
      <c r="A220" s="3" t="s">
        <v>5</v>
      </c>
      <c r="B220" s="3"/>
      <c r="C220" s="3"/>
      <c r="F220" s="1" t="s">
        <v>8</v>
      </c>
      <c r="G220" s="1"/>
    </row>
    <row r="221" spans="1:7" ht="15.5">
      <c r="A221" s="3"/>
      <c r="B221" s="3"/>
      <c r="D221" s="2" t="s">
        <v>6</v>
      </c>
      <c r="E221" s="3"/>
      <c r="F221" s="3"/>
      <c r="G221" s="3"/>
    </row>
    <row r="222" spans="1:7" ht="15.5">
      <c r="A222" s="2"/>
      <c r="B222" s="1"/>
      <c r="D222" s="1" t="s">
        <v>15</v>
      </c>
      <c r="E222" s="2"/>
      <c r="F222" s="2"/>
      <c r="G222" s="2"/>
    </row>
    <row r="223" spans="1:7" ht="15.5">
      <c r="A223" s="2"/>
      <c r="B223" s="1"/>
      <c r="D223" s="1" t="s">
        <v>9</v>
      </c>
      <c r="E223" s="2"/>
      <c r="F223" s="2"/>
      <c r="G223" s="2"/>
    </row>
    <row r="236" spans="1:7" ht="15.5">
      <c r="A236" s="2"/>
      <c r="B236" s="1"/>
      <c r="D236" s="1"/>
      <c r="E236" s="2"/>
      <c r="F236" s="2"/>
      <c r="G236" s="2"/>
    </row>
    <row r="239" spans="1:7" ht="15.5">
      <c r="A239" s="36"/>
      <c r="B239" s="1"/>
      <c r="C239" s="1"/>
      <c r="D239" s="1"/>
      <c r="E239" s="1"/>
      <c r="F239" s="1"/>
      <c r="G239" s="1"/>
    </row>
    <row r="240" spans="1:7" ht="15.5">
      <c r="A240" s="36"/>
      <c r="B240" s="1"/>
      <c r="C240" s="1"/>
      <c r="D240" s="1"/>
      <c r="E240" s="1"/>
      <c r="F240" s="1"/>
      <c r="G240" s="1"/>
    </row>
    <row r="241" spans="1:7" ht="15.5">
      <c r="A241" s="36"/>
      <c r="B241" s="1"/>
      <c r="C241" s="1"/>
      <c r="D241" s="1"/>
      <c r="E241" s="1"/>
      <c r="F241" s="1"/>
      <c r="G241" s="1"/>
    </row>
    <row r="242" spans="1:7" ht="15.5">
      <c r="A242" s="36"/>
      <c r="B242" s="55" t="s">
        <v>80</v>
      </c>
      <c r="C242" s="39"/>
      <c r="D242" s="39"/>
      <c r="E242" s="39"/>
      <c r="F242" s="1"/>
      <c r="G242" s="1"/>
    </row>
    <row r="243" spans="1:7" ht="15.5">
      <c r="A243" s="36"/>
      <c r="B243" s="55" t="s">
        <v>96</v>
      </c>
      <c r="C243" s="39"/>
      <c r="D243" s="39"/>
      <c r="E243" s="39"/>
      <c r="F243" s="1"/>
      <c r="G243" s="17"/>
    </row>
    <row r="244" spans="1:7" ht="15.5">
      <c r="A244" s="68"/>
      <c r="B244" s="10" t="s">
        <v>45</v>
      </c>
      <c r="C244" s="39"/>
      <c r="D244" s="39"/>
      <c r="E244" s="39"/>
      <c r="F244" s="1"/>
      <c r="G244" s="77"/>
    </row>
    <row r="245" spans="1:7" ht="15.5">
      <c r="A245" s="68"/>
      <c r="B245" s="55" t="s">
        <v>118</v>
      </c>
      <c r="C245" s="39"/>
      <c r="D245" s="39"/>
      <c r="E245" s="39"/>
      <c r="F245" s="1"/>
      <c r="G245" s="17"/>
    </row>
    <row r="246" spans="1:7" ht="15.5">
      <c r="A246" s="69"/>
      <c r="B246" s="10" t="s">
        <v>52</v>
      </c>
      <c r="C246" s="39"/>
      <c r="D246" s="39"/>
      <c r="E246" s="39"/>
      <c r="F246" s="1"/>
      <c r="G246" s="17"/>
    </row>
    <row r="247" spans="1:7" ht="15.5">
      <c r="A247" s="70"/>
      <c r="B247" s="55" t="s">
        <v>95</v>
      </c>
      <c r="C247" s="39"/>
      <c r="D247" s="39"/>
      <c r="E247" s="39"/>
      <c r="F247" s="1"/>
      <c r="G247" s="17"/>
    </row>
    <row r="248" spans="1:7" ht="15.5">
      <c r="A248" s="70"/>
      <c r="B248" s="55" t="s">
        <v>46</v>
      </c>
      <c r="C248" s="39"/>
      <c r="D248" s="39"/>
      <c r="E248" s="39"/>
      <c r="F248" s="1"/>
      <c r="G248" s="17"/>
    </row>
    <row r="249" spans="1:7" ht="15.5">
      <c r="A249" s="70"/>
      <c r="B249" s="55" t="s">
        <v>117</v>
      </c>
      <c r="C249" s="39"/>
      <c r="D249" s="39"/>
      <c r="E249" s="39"/>
      <c r="F249" s="1"/>
      <c r="G249" s="17"/>
    </row>
    <row r="250" spans="1:7" ht="15.5">
      <c r="A250" s="70"/>
      <c r="B250" s="55" t="s">
        <v>61</v>
      </c>
      <c r="C250" s="39"/>
      <c r="D250" s="39"/>
      <c r="E250" s="39"/>
      <c r="F250" s="1"/>
      <c r="G250" s="17"/>
    </row>
    <row r="251" spans="1:7" ht="15.5">
      <c r="A251" s="70"/>
      <c r="B251" s="55" t="s">
        <v>116</v>
      </c>
      <c r="C251" s="39"/>
      <c r="D251" s="39"/>
      <c r="E251" s="39"/>
      <c r="F251" s="1"/>
      <c r="G251" s="17"/>
    </row>
    <row r="252" spans="1:7" ht="42">
      <c r="A252" s="31" t="s">
        <v>16</v>
      </c>
      <c r="B252" s="32" t="s">
        <v>0</v>
      </c>
      <c r="C252" s="33" t="s">
        <v>41</v>
      </c>
      <c r="D252" s="33" t="s">
        <v>32</v>
      </c>
      <c r="E252" s="33" t="s">
        <v>48</v>
      </c>
      <c r="F252" s="33" t="s">
        <v>44</v>
      </c>
      <c r="G252" s="33" t="s">
        <v>14</v>
      </c>
    </row>
    <row r="253" spans="1:7" ht="28">
      <c r="A253" s="31"/>
      <c r="B253" s="14" t="s">
        <v>113</v>
      </c>
      <c r="C253" s="75">
        <v>0</v>
      </c>
      <c r="D253" s="15">
        <f>12000+8000</f>
        <v>20000</v>
      </c>
      <c r="E253" s="15">
        <v>0</v>
      </c>
      <c r="F253" s="15">
        <v>0</v>
      </c>
      <c r="G253" s="16" t="s">
        <v>11</v>
      </c>
    </row>
    <row r="254" spans="1:7" ht="124">
      <c r="A254" s="31"/>
      <c r="B254" s="4" t="s">
        <v>119</v>
      </c>
      <c r="C254" s="75">
        <v>0</v>
      </c>
      <c r="D254" s="15">
        <v>108851</v>
      </c>
      <c r="E254" s="15"/>
      <c r="F254" s="15"/>
      <c r="G254" s="78" t="s">
        <v>115</v>
      </c>
    </row>
    <row r="255" spans="1:7" ht="14">
      <c r="A255" s="31"/>
      <c r="B255" s="14"/>
      <c r="C255" s="75"/>
      <c r="D255" s="15"/>
      <c r="E255" s="15"/>
      <c r="F255" s="15"/>
      <c r="G255" s="13"/>
    </row>
    <row r="256" spans="1:7" ht="14">
      <c r="A256" s="31"/>
      <c r="B256" s="56"/>
      <c r="C256" s="75"/>
      <c r="D256" s="15"/>
      <c r="E256" s="15"/>
      <c r="F256" s="15"/>
      <c r="G256" s="47"/>
    </row>
    <row r="257" spans="1:7" ht="15.5">
      <c r="A257" s="31"/>
      <c r="B257" s="56"/>
      <c r="C257" s="75"/>
      <c r="D257" s="15"/>
      <c r="E257" s="15"/>
      <c r="F257" s="15"/>
      <c r="G257" s="8"/>
    </row>
    <row r="258" spans="1:7" ht="28">
      <c r="A258" s="34"/>
      <c r="B258" s="33" t="s">
        <v>1</v>
      </c>
      <c r="C258" s="74">
        <f>SUM(C253:C257)</f>
        <v>0</v>
      </c>
      <c r="D258" s="35">
        <f>SUM(D253:D257)</f>
        <v>128851</v>
      </c>
      <c r="E258" s="58">
        <f>SUM(E253:E257)</f>
        <v>0</v>
      </c>
      <c r="F258" s="58">
        <f>SUM(F253:F257)</f>
        <v>0</v>
      </c>
      <c r="G258" s="14"/>
    </row>
    <row r="259" spans="1:7" ht="14">
      <c r="A259" s="82"/>
      <c r="B259" s="83"/>
      <c r="C259" s="84"/>
      <c r="D259" s="52"/>
      <c r="E259" s="85"/>
      <c r="F259" s="85"/>
      <c r="G259" s="86"/>
    </row>
    <row r="260" spans="1:7" ht="15.5">
      <c r="A260" s="59" t="s">
        <v>37</v>
      </c>
      <c r="B260" s="3"/>
      <c r="C260" s="3"/>
      <c r="D260" s="67"/>
      <c r="E260" s="67"/>
      <c r="F260" s="67"/>
      <c r="G260" s="1"/>
    </row>
    <row r="261" spans="1:7" ht="15.5">
      <c r="A261" s="59"/>
      <c r="B261" s="3" t="s">
        <v>10</v>
      </c>
      <c r="C261" s="1"/>
      <c r="D261" s="1"/>
      <c r="E261" s="1"/>
      <c r="F261" s="1"/>
      <c r="G261" s="17"/>
    </row>
    <row r="262" spans="1:7" ht="15.5">
      <c r="A262" s="1"/>
      <c r="B262" s="59" t="s">
        <v>114</v>
      </c>
      <c r="C262" s="2"/>
      <c r="D262" s="2"/>
      <c r="E262" s="2"/>
      <c r="F262" s="2"/>
      <c r="G262" s="76"/>
    </row>
    <row r="263" spans="1:7" ht="15.5">
      <c r="A263" s="2" t="s">
        <v>2</v>
      </c>
      <c r="B263" s="1"/>
      <c r="C263" s="1"/>
      <c r="F263" s="2" t="s">
        <v>3</v>
      </c>
      <c r="G263" s="2"/>
    </row>
    <row r="264" spans="1:7" ht="15.5">
      <c r="A264" s="1" t="s">
        <v>4</v>
      </c>
      <c r="B264" s="1"/>
      <c r="C264" s="3"/>
      <c r="F264" s="1" t="s">
        <v>7</v>
      </c>
      <c r="G264" s="1"/>
    </row>
    <row r="265" spans="1:7" ht="15.5">
      <c r="A265" s="3" t="s">
        <v>5</v>
      </c>
      <c r="B265" s="3"/>
      <c r="C265" s="3"/>
      <c r="F265" s="1" t="s">
        <v>8</v>
      </c>
      <c r="G265" s="1"/>
    </row>
    <row r="266" spans="1:7" ht="15.5">
      <c r="A266" s="3"/>
      <c r="B266" s="3"/>
      <c r="D266" s="2" t="s">
        <v>6</v>
      </c>
      <c r="E266" s="3"/>
      <c r="F266" s="3"/>
      <c r="G266" s="3"/>
    </row>
    <row r="267" spans="1:7" ht="15.5">
      <c r="A267" s="2"/>
      <c r="B267" s="1"/>
      <c r="D267" s="1" t="s">
        <v>15</v>
      </c>
      <c r="E267" s="2"/>
      <c r="F267" s="2"/>
      <c r="G267" s="2"/>
    </row>
    <row r="268" spans="1:7" ht="15.5">
      <c r="A268" s="2"/>
      <c r="B268" s="1"/>
      <c r="D268" s="1" t="s">
        <v>9</v>
      </c>
      <c r="E268" s="2"/>
      <c r="F268" s="2"/>
      <c r="G268" s="2"/>
    </row>
    <row r="277" spans="1:7" ht="15.5">
      <c r="A277" s="36"/>
      <c r="B277" s="1"/>
      <c r="C277" s="1"/>
      <c r="D277" s="1"/>
      <c r="E277" s="1"/>
      <c r="F277" s="1"/>
      <c r="G277" s="1"/>
    </row>
    <row r="278" spans="1:7" ht="15.5">
      <c r="A278" s="36"/>
      <c r="B278" s="1"/>
      <c r="C278" s="1"/>
      <c r="D278" s="1"/>
      <c r="E278" s="1"/>
      <c r="F278" s="1"/>
      <c r="G278" s="1"/>
    </row>
    <row r="279" spans="1:7" ht="15.5">
      <c r="A279" s="36"/>
      <c r="B279" s="55" t="s">
        <v>17</v>
      </c>
      <c r="C279" s="39"/>
      <c r="D279" s="39"/>
      <c r="E279" s="39"/>
      <c r="F279" s="1"/>
      <c r="G279" s="1"/>
    </row>
    <row r="280" spans="1:7" ht="15.5">
      <c r="A280" s="36"/>
      <c r="B280" s="55" t="s">
        <v>129</v>
      </c>
      <c r="C280" s="39"/>
      <c r="D280" s="39"/>
      <c r="E280" s="39"/>
      <c r="F280" s="1"/>
      <c r="G280" s="1"/>
    </row>
    <row r="281" spans="1:7" ht="15.5">
      <c r="A281" s="36"/>
      <c r="B281" s="55" t="s">
        <v>80</v>
      </c>
      <c r="C281" s="39"/>
      <c r="D281" s="39"/>
      <c r="E281" s="39"/>
      <c r="F281" s="1"/>
      <c r="G281" s="1"/>
    </row>
    <row r="282" spans="1:7" ht="15.5">
      <c r="A282" s="36"/>
      <c r="B282" s="55" t="s">
        <v>96</v>
      </c>
      <c r="C282" s="39"/>
      <c r="D282" s="39"/>
      <c r="E282" s="39"/>
      <c r="F282" s="1"/>
      <c r="G282" s="17"/>
    </row>
    <row r="283" spans="1:7" ht="15.5">
      <c r="A283" s="68"/>
      <c r="B283" s="10" t="s">
        <v>45</v>
      </c>
      <c r="C283" s="39"/>
      <c r="D283" s="39"/>
      <c r="E283" s="39"/>
      <c r="F283" s="1"/>
      <c r="G283" s="77"/>
    </row>
    <row r="284" spans="1:7" ht="15.5">
      <c r="A284" s="68"/>
      <c r="B284" s="55" t="s">
        <v>134</v>
      </c>
      <c r="C284" s="39"/>
      <c r="D284" s="39"/>
      <c r="E284" s="39"/>
      <c r="F284" s="1"/>
      <c r="G284" s="17"/>
    </row>
    <row r="285" spans="1:7" ht="15.5">
      <c r="A285" s="69"/>
      <c r="B285" s="10" t="s">
        <v>52</v>
      </c>
      <c r="C285" s="39"/>
      <c r="D285" s="39"/>
      <c r="E285" s="39"/>
      <c r="F285" s="1"/>
      <c r="G285" s="17"/>
    </row>
    <row r="286" spans="1:7" ht="15.5">
      <c r="A286" s="70"/>
      <c r="B286" s="55" t="s">
        <v>95</v>
      </c>
      <c r="C286" s="39"/>
      <c r="D286" s="39"/>
      <c r="E286" s="39"/>
      <c r="F286" s="1"/>
      <c r="G286" s="17"/>
    </row>
    <row r="287" spans="1:7" ht="15.5">
      <c r="A287" s="70"/>
      <c r="B287" s="55" t="s">
        <v>46</v>
      </c>
      <c r="C287" s="39"/>
      <c r="D287" s="39"/>
      <c r="E287" s="39"/>
      <c r="F287" s="1"/>
      <c r="G287" s="17"/>
    </row>
    <row r="288" spans="1:7" ht="15.5">
      <c r="A288" s="70"/>
      <c r="B288" s="55" t="s">
        <v>133</v>
      </c>
      <c r="C288" s="39"/>
      <c r="D288" s="39"/>
      <c r="E288" s="39"/>
      <c r="F288" s="1"/>
      <c r="G288" s="17"/>
    </row>
    <row r="289" spans="1:7" ht="15.5">
      <c r="A289" s="70"/>
      <c r="B289" s="55" t="s">
        <v>61</v>
      </c>
      <c r="C289" s="39"/>
      <c r="D289" s="39"/>
      <c r="E289" s="39"/>
      <c r="F289" s="1"/>
      <c r="G289" s="17"/>
    </row>
    <row r="290" spans="1:7" ht="15.5">
      <c r="A290" s="70"/>
      <c r="B290" s="55" t="s">
        <v>116</v>
      </c>
      <c r="C290" s="39"/>
      <c r="D290" s="39"/>
      <c r="E290" s="39"/>
      <c r="F290" s="1"/>
      <c r="G290" s="17"/>
    </row>
    <row r="291" spans="1:7" ht="42">
      <c r="A291" s="31" t="s">
        <v>16</v>
      </c>
      <c r="B291" s="32" t="s">
        <v>0</v>
      </c>
      <c r="C291" s="33" t="s">
        <v>41</v>
      </c>
      <c r="D291" s="33" t="s">
        <v>32</v>
      </c>
      <c r="E291" s="33" t="s">
        <v>48</v>
      </c>
      <c r="F291" s="33" t="s">
        <v>44</v>
      </c>
      <c r="G291" s="33" t="s">
        <v>14</v>
      </c>
    </row>
    <row r="292" spans="1:7" ht="28">
      <c r="A292" s="31">
        <v>1</v>
      </c>
      <c r="B292" s="14" t="s">
        <v>120</v>
      </c>
      <c r="C292" s="75">
        <v>121542140</v>
      </c>
      <c r="D292" s="15">
        <v>0</v>
      </c>
      <c r="E292" s="15">
        <v>0</v>
      </c>
      <c r="F292" s="15">
        <v>0</v>
      </c>
      <c r="G292" s="16" t="s">
        <v>28</v>
      </c>
    </row>
    <row r="293" spans="1:7" ht="31">
      <c r="A293" s="31">
        <v>2</v>
      </c>
      <c r="B293" s="4" t="s">
        <v>121</v>
      </c>
      <c r="C293" s="75">
        <v>0</v>
      </c>
      <c r="D293" s="15">
        <v>2796184</v>
      </c>
      <c r="E293" s="15">
        <v>0</v>
      </c>
      <c r="F293" s="15">
        <v>748500</v>
      </c>
      <c r="G293" s="78" t="s">
        <v>28</v>
      </c>
    </row>
    <row r="294" spans="1:7" ht="42">
      <c r="A294" s="31">
        <v>3</v>
      </c>
      <c r="B294" s="14" t="s">
        <v>122</v>
      </c>
      <c r="C294" s="75">
        <v>0</v>
      </c>
      <c r="D294" s="15">
        <v>20000</v>
      </c>
      <c r="E294" s="15">
        <v>0</v>
      </c>
      <c r="F294" s="15">
        <v>0</v>
      </c>
      <c r="G294" s="13" t="s">
        <v>131</v>
      </c>
    </row>
    <row r="295" spans="1:7" ht="42">
      <c r="A295" s="31">
        <v>4</v>
      </c>
      <c r="B295" s="56" t="s">
        <v>135</v>
      </c>
      <c r="C295" s="75">
        <v>0</v>
      </c>
      <c r="D295" s="15">
        <v>4500000</v>
      </c>
      <c r="E295" s="15">
        <v>0</v>
      </c>
      <c r="F295" s="15">
        <v>0</v>
      </c>
      <c r="G295" s="47" t="s">
        <v>124</v>
      </c>
    </row>
    <row r="296" spans="1:7" ht="28">
      <c r="A296" s="31">
        <v>5</v>
      </c>
      <c r="B296" s="56" t="s">
        <v>125</v>
      </c>
      <c r="C296" s="75">
        <v>0</v>
      </c>
      <c r="D296" s="15">
        <v>240000</v>
      </c>
      <c r="E296" s="15">
        <v>0</v>
      </c>
      <c r="F296" s="15">
        <v>0</v>
      </c>
      <c r="G296" s="8" t="s">
        <v>132</v>
      </c>
    </row>
    <row r="297" spans="1:7" ht="42">
      <c r="A297" s="31">
        <v>6</v>
      </c>
      <c r="B297" s="56" t="s">
        <v>126</v>
      </c>
      <c r="C297" s="73">
        <v>0</v>
      </c>
      <c r="D297" s="15">
        <v>0</v>
      </c>
      <c r="E297" s="15">
        <v>0</v>
      </c>
      <c r="F297" s="15">
        <v>442016</v>
      </c>
      <c r="G297" s="8" t="s">
        <v>28</v>
      </c>
    </row>
    <row r="298" spans="1:7" ht="42">
      <c r="A298" s="31">
        <v>7</v>
      </c>
      <c r="B298" s="56" t="s">
        <v>127</v>
      </c>
      <c r="C298" s="73">
        <v>0</v>
      </c>
      <c r="D298" s="15">
        <v>0</v>
      </c>
      <c r="E298" s="15">
        <v>0</v>
      </c>
      <c r="F298" s="15">
        <v>864484</v>
      </c>
      <c r="G298" s="8" t="s">
        <v>128</v>
      </c>
    </row>
    <row r="299" spans="1:7" ht="42">
      <c r="A299" s="31">
        <v>8</v>
      </c>
      <c r="B299" s="56" t="s">
        <v>130</v>
      </c>
      <c r="C299" s="73">
        <v>0</v>
      </c>
      <c r="D299" s="15">
        <v>0</v>
      </c>
      <c r="E299" s="15">
        <v>0</v>
      </c>
      <c r="F299" s="15">
        <v>1750000</v>
      </c>
      <c r="G299" s="8" t="s">
        <v>22</v>
      </c>
    </row>
    <row r="300" spans="1:7" ht="28">
      <c r="A300" s="34"/>
      <c r="B300" s="33" t="s">
        <v>1</v>
      </c>
      <c r="C300" s="74">
        <f>SUM(C292:C299)</f>
        <v>121542140</v>
      </c>
      <c r="D300" s="35">
        <f>SUM(D292:D299)</f>
        <v>7556184</v>
      </c>
      <c r="E300" s="58">
        <f>SUM(E292:E299)</f>
        <v>0</v>
      </c>
      <c r="F300" s="58">
        <f>SUM(F292:F299)</f>
        <v>3805000</v>
      </c>
      <c r="G300" s="14"/>
    </row>
    <row r="301" spans="1:7" ht="15.5">
      <c r="A301" s="59" t="s">
        <v>37</v>
      </c>
      <c r="B301" s="3"/>
      <c r="C301" s="3"/>
      <c r="D301" s="67"/>
      <c r="E301" s="67"/>
      <c r="F301" s="67"/>
      <c r="G301" s="17"/>
    </row>
    <row r="302" spans="1:7" ht="15.5">
      <c r="A302" s="59"/>
      <c r="B302" s="3" t="s">
        <v>10</v>
      </c>
      <c r="C302" s="1"/>
      <c r="D302" s="1"/>
      <c r="E302" s="1"/>
      <c r="F302" s="1"/>
      <c r="G302" s="17"/>
    </row>
    <row r="303" spans="1:7" ht="15.5">
      <c r="A303" s="1"/>
      <c r="B303" s="59" t="s">
        <v>123</v>
      </c>
      <c r="C303" s="2"/>
      <c r="D303" s="2"/>
      <c r="E303" s="2"/>
      <c r="F303" s="2"/>
      <c r="G303" s="76"/>
    </row>
    <row r="304" spans="1:7" ht="15.5">
      <c r="A304" s="2" t="s">
        <v>2</v>
      </c>
      <c r="B304" s="1"/>
      <c r="C304" s="1"/>
      <c r="F304" s="2" t="s">
        <v>3</v>
      </c>
      <c r="G304" s="2"/>
    </row>
    <row r="305" spans="1:7" ht="15.5">
      <c r="A305" s="1" t="s">
        <v>4</v>
      </c>
      <c r="B305" s="1"/>
      <c r="C305" s="3"/>
      <c r="F305" s="1" t="s">
        <v>7</v>
      </c>
      <c r="G305" s="1"/>
    </row>
    <row r="306" spans="1:7" ht="15.5">
      <c r="A306" s="3" t="s">
        <v>5</v>
      </c>
      <c r="B306" s="3"/>
      <c r="C306" s="3"/>
      <c r="F306" s="1" t="s">
        <v>8</v>
      </c>
      <c r="G306" s="1"/>
    </row>
    <row r="307" spans="1:7" ht="15.5">
      <c r="A307" s="3"/>
      <c r="B307" s="3"/>
      <c r="D307" s="2" t="s">
        <v>6</v>
      </c>
      <c r="E307" s="3"/>
      <c r="F307" s="3"/>
      <c r="G307" s="3"/>
    </row>
    <row r="308" spans="1:7" ht="15.5">
      <c r="A308" s="2"/>
      <c r="B308" s="1"/>
      <c r="D308" s="1" t="s">
        <v>15</v>
      </c>
      <c r="E308" s="2"/>
      <c r="F308" s="2"/>
      <c r="G308" s="2"/>
    </row>
    <row r="309" spans="1:7" ht="15.5">
      <c r="A309" s="2"/>
      <c r="B309" s="1"/>
      <c r="D309" s="1" t="s">
        <v>9</v>
      </c>
      <c r="E309" s="2"/>
      <c r="F309" s="2"/>
      <c r="G309" s="2"/>
    </row>
    <row r="312" spans="1:7" ht="15.5">
      <c r="A312" s="36"/>
      <c r="B312" s="1"/>
      <c r="C312" s="1"/>
      <c r="D312" s="1"/>
      <c r="E312" s="1"/>
      <c r="F312" s="1"/>
      <c r="G312" s="1"/>
    </row>
    <row r="313" spans="1:7" ht="15.5">
      <c r="A313" s="36"/>
      <c r="B313" s="1"/>
      <c r="C313" s="1"/>
      <c r="D313" s="1"/>
      <c r="E313" s="1"/>
      <c r="F313" s="1"/>
      <c r="G313" s="1"/>
    </row>
    <row r="314" spans="1:7" ht="14" customHeight="1">
      <c r="A314" s="36"/>
      <c r="B314" s="55" t="s">
        <v>17</v>
      </c>
      <c r="C314" s="62"/>
      <c r="D314" s="39"/>
      <c r="E314" s="39"/>
      <c r="F314" s="1"/>
      <c r="G314" s="1"/>
    </row>
    <row r="315" spans="1:7" ht="14" customHeight="1">
      <c r="A315" s="36"/>
      <c r="B315" s="55" t="s">
        <v>145</v>
      </c>
      <c r="C315" s="62"/>
      <c r="D315" s="39"/>
      <c r="E315" s="39"/>
      <c r="F315" s="1"/>
      <c r="G315" s="1"/>
    </row>
    <row r="316" spans="1:7" ht="14" customHeight="1">
      <c r="A316" s="36"/>
      <c r="B316" s="55" t="s">
        <v>80</v>
      </c>
      <c r="C316" s="62"/>
      <c r="D316" s="39"/>
      <c r="E316" s="39"/>
      <c r="F316" s="1"/>
      <c r="G316" s="1"/>
    </row>
    <row r="317" spans="1:7" ht="14" customHeight="1">
      <c r="A317" s="36"/>
      <c r="B317" s="55" t="s">
        <v>146</v>
      </c>
      <c r="C317" s="62"/>
      <c r="D317" s="39"/>
      <c r="E317" s="39"/>
      <c r="F317" s="1"/>
      <c r="G317" s="17"/>
    </row>
    <row r="318" spans="1:7" ht="14" customHeight="1">
      <c r="A318" s="68"/>
      <c r="B318" s="10" t="s">
        <v>45</v>
      </c>
      <c r="C318" s="62"/>
      <c r="D318" s="39"/>
      <c r="E318" s="39"/>
      <c r="F318" s="1"/>
      <c r="G318" s="77"/>
    </row>
    <row r="319" spans="1:7" ht="14" customHeight="1">
      <c r="A319" s="68"/>
      <c r="B319" s="55" t="s">
        <v>153</v>
      </c>
      <c r="C319" s="62"/>
      <c r="D319" s="39"/>
      <c r="E319" s="39"/>
      <c r="F319" s="1"/>
      <c r="G319" s="17"/>
    </row>
    <row r="320" spans="1:7" ht="14" customHeight="1">
      <c r="A320" s="69"/>
      <c r="B320" s="10" t="s">
        <v>52</v>
      </c>
      <c r="C320" s="62"/>
      <c r="D320" s="39"/>
      <c r="E320" s="39"/>
      <c r="F320" s="1"/>
      <c r="G320" s="17"/>
    </row>
    <row r="321" spans="1:7" ht="14" customHeight="1">
      <c r="A321" s="70"/>
      <c r="B321" s="55" t="s">
        <v>95</v>
      </c>
      <c r="C321" s="62"/>
      <c r="D321" s="39"/>
      <c r="E321" s="39"/>
      <c r="F321" s="1"/>
      <c r="G321" s="17"/>
    </row>
    <row r="322" spans="1:7" ht="14" customHeight="1">
      <c r="A322" s="70"/>
      <c r="B322" s="55" t="s">
        <v>46</v>
      </c>
      <c r="C322" s="62"/>
      <c r="D322" s="39"/>
      <c r="E322" s="39"/>
      <c r="F322" s="1"/>
      <c r="G322" s="17"/>
    </row>
    <row r="323" spans="1:7" ht="14" customHeight="1">
      <c r="A323" s="70"/>
      <c r="B323" s="55" t="s">
        <v>133</v>
      </c>
      <c r="C323" s="62"/>
      <c r="D323" s="39"/>
      <c r="E323" s="39"/>
      <c r="F323" s="1"/>
      <c r="G323" s="17"/>
    </row>
    <row r="324" spans="1:7" ht="14" customHeight="1">
      <c r="A324" s="70"/>
      <c r="B324" s="55" t="s">
        <v>61</v>
      </c>
      <c r="C324" s="62"/>
      <c r="D324" s="39"/>
      <c r="E324" s="39"/>
      <c r="F324" s="1"/>
      <c r="G324" s="17"/>
    </row>
    <row r="325" spans="1:7" ht="14" customHeight="1">
      <c r="A325" s="70"/>
      <c r="B325" s="55" t="s">
        <v>147</v>
      </c>
      <c r="C325" s="62"/>
      <c r="D325" s="39"/>
      <c r="E325" s="39"/>
      <c r="F325" s="1"/>
      <c r="G325" s="17"/>
    </row>
    <row r="326" spans="1:7" ht="42">
      <c r="A326" s="31" t="s">
        <v>16</v>
      </c>
      <c r="B326" s="32" t="s">
        <v>0</v>
      </c>
      <c r="C326" s="33" t="s">
        <v>41</v>
      </c>
      <c r="D326" s="33" t="s">
        <v>32</v>
      </c>
      <c r="E326" s="33" t="s">
        <v>48</v>
      </c>
      <c r="F326" s="33" t="s">
        <v>44</v>
      </c>
      <c r="G326" s="33" t="s">
        <v>14</v>
      </c>
    </row>
    <row r="327" spans="1:7" ht="14">
      <c r="A327" s="31">
        <v>1</v>
      </c>
      <c r="B327" s="14" t="s">
        <v>136</v>
      </c>
      <c r="C327" s="75">
        <v>0</v>
      </c>
      <c r="D327" s="15">
        <v>34070</v>
      </c>
      <c r="E327" s="15">
        <v>0</v>
      </c>
      <c r="F327" s="15">
        <v>0</v>
      </c>
      <c r="G327" s="16" t="s">
        <v>137</v>
      </c>
    </row>
    <row r="328" spans="1:7" ht="46.5">
      <c r="A328" s="31">
        <v>2</v>
      </c>
      <c r="B328" s="4" t="s">
        <v>138</v>
      </c>
      <c r="C328" s="75">
        <v>0</v>
      </c>
      <c r="D328" s="15">
        <v>800000</v>
      </c>
      <c r="E328" s="15">
        <v>0</v>
      </c>
      <c r="F328" s="15">
        <v>0</v>
      </c>
      <c r="G328" s="78" t="s">
        <v>139</v>
      </c>
    </row>
    <row r="329" spans="1:7" ht="56">
      <c r="A329" s="31">
        <v>3</v>
      </c>
      <c r="B329" s="14" t="s">
        <v>140</v>
      </c>
      <c r="C329" s="75">
        <v>0</v>
      </c>
      <c r="D329" s="15">
        <v>15000</v>
      </c>
      <c r="E329" s="15">
        <v>0</v>
      </c>
      <c r="F329" s="15">
        <v>0</v>
      </c>
      <c r="G329" s="13" t="s">
        <v>141</v>
      </c>
    </row>
    <row r="330" spans="1:7" ht="56">
      <c r="A330" s="31">
        <v>4</v>
      </c>
      <c r="B330" s="56" t="s">
        <v>142</v>
      </c>
      <c r="C330" s="75">
        <v>0</v>
      </c>
      <c r="D330" s="15">
        <v>40000</v>
      </c>
      <c r="E330" s="15">
        <v>0</v>
      </c>
      <c r="F330" s="15">
        <v>0</v>
      </c>
      <c r="G330" s="47" t="s">
        <v>143</v>
      </c>
    </row>
    <row r="331" spans="1:7" ht="58">
      <c r="A331" s="31">
        <v>6</v>
      </c>
      <c r="B331" s="56" t="s">
        <v>148</v>
      </c>
      <c r="C331" s="73">
        <v>0</v>
      </c>
      <c r="D331" s="15">
        <v>0</v>
      </c>
      <c r="E331" s="15">
        <v>0</v>
      </c>
      <c r="F331" s="15">
        <f>5554500*85%</f>
        <v>4721325</v>
      </c>
      <c r="G331" s="8" t="s">
        <v>149</v>
      </c>
    </row>
    <row r="332" spans="1:7" ht="55" customHeight="1">
      <c r="A332" s="31">
        <v>7</v>
      </c>
      <c r="B332" s="56" t="s">
        <v>150</v>
      </c>
      <c r="C332" s="73">
        <v>0</v>
      </c>
      <c r="D332" s="15">
        <v>0</v>
      </c>
      <c r="E332" s="15">
        <v>0</v>
      </c>
      <c r="F332" s="15">
        <f>2712000*85%</f>
        <v>2305200</v>
      </c>
      <c r="G332" s="8" t="s">
        <v>151</v>
      </c>
    </row>
    <row r="333" spans="1:7" ht="56">
      <c r="A333" s="31">
        <v>8</v>
      </c>
      <c r="B333" s="56" t="s">
        <v>152</v>
      </c>
      <c r="C333" s="73">
        <v>0</v>
      </c>
      <c r="D333" s="15">
        <v>2240000</v>
      </c>
      <c r="E333" s="15">
        <v>0</v>
      </c>
      <c r="F333" s="15">
        <v>0</v>
      </c>
      <c r="G333" s="8" t="s">
        <v>34</v>
      </c>
    </row>
    <row r="334" spans="1:7" ht="28">
      <c r="A334" s="34"/>
      <c r="B334" s="33" t="s">
        <v>1</v>
      </c>
      <c r="C334" s="74">
        <f>SUM(C327:C333)</f>
        <v>0</v>
      </c>
      <c r="D334" s="35">
        <f>SUM(D327:D333)</f>
        <v>3129070</v>
      </c>
      <c r="E334" s="58">
        <f>SUM(E327:E333)</f>
        <v>0</v>
      </c>
      <c r="F334" s="58">
        <f>SUM(F327:F333)</f>
        <v>7026525</v>
      </c>
      <c r="G334" s="14"/>
    </row>
    <row r="335" spans="1:7" ht="14" customHeight="1">
      <c r="A335" s="59" t="s">
        <v>37</v>
      </c>
      <c r="B335" s="3"/>
      <c r="C335" s="3"/>
      <c r="D335" s="67"/>
      <c r="E335" s="67"/>
      <c r="F335" s="67"/>
      <c r="G335" s="17"/>
    </row>
    <row r="336" spans="1:7" ht="14" customHeight="1">
      <c r="A336" s="59"/>
      <c r="B336" s="3" t="s">
        <v>10</v>
      </c>
      <c r="C336" s="1"/>
      <c r="D336" s="1"/>
      <c r="E336" s="1"/>
      <c r="F336" s="1"/>
      <c r="G336" s="17"/>
    </row>
    <row r="337" spans="1:7" ht="14" customHeight="1">
      <c r="A337" s="1"/>
      <c r="B337" s="59" t="s">
        <v>144</v>
      </c>
      <c r="C337" s="2"/>
      <c r="D337" s="2"/>
      <c r="E337" s="2"/>
      <c r="F337" s="2"/>
      <c r="G337" s="76"/>
    </row>
    <row r="338" spans="1:7" ht="14" customHeight="1">
      <c r="A338" s="2" t="s">
        <v>2</v>
      </c>
      <c r="B338" s="1"/>
      <c r="C338" s="1"/>
      <c r="F338" s="2" t="s">
        <v>3</v>
      </c>
      <c r="G338" s="2"/>
    </row>
    <row r="339" spans="1:7" ht="14" customHeight="1">
      <c r="A339" s="1" t="s">
        <v>4</v>
      </c>
      <c r="B339" s="1"/>
      <c r="C339" s="3"/>
      <c r="F339" s="1" t="s">
        <v>7</v>
      </c>
      <c r="G339" s="1"/>
    </row>
    <row r="340" spans="1:7" ht="14" customHeight="1">
      <c r="A340" s="3" t="s">
        <v>5</v>
      </c>
      <c r="B340" s="3"/>
      <c r="C340" s="3"/>
      <c r="F340" s="1" t="s">
        <v>8</v>
      </c>
      <c r="G340" s="1"/>
    </row>
    <row r="341" spans="1:7" ht="14" customHeight="1">
      <c r="A341" s="3"/>
      <c r="B341" s="3"/>
      <c r="D341" s="2" t="s">
        <v>6</v>
      </c>
      <c r="E341" s="3"/>
      <c r="F341" s="3"/>
      <c r="G341" s="3"/>
    </row>
    <row r="342" spans="1:7" ht="14" customHeight="1">
      <c r="A342" s="2"/>
      <c r="B342" s="1"/>
      <c r="D342" s="1" t="s">
        <v>15</v>
      </c>
      <c r="E342" s="2"/>
      <c r="F342" s="2"/>
      <c r="G342" s="2"/>
    </row>
    <row r="343" spans="1:7" ht="14" customHeight="1">
      <c r="A343" s="2"/>
      <c r="B343" s="1"/>
      <c r="D343" s="1" t="s">
        <v>9</v>
      </c>
      <c r="E343" s="2"/>
      <c r="F343" s="2"/>
      <c r="G343" s="2"/>
    </row>
    <row r="347" spans="1:7" ht="15.5">
      <c r="A347" s="36"/>
      <c r="B347" s="1"/>
      <c r="C347" s="1"/>
      <c r="D347" s="1"/>
      <c r="E347" s="1"/>
      <c r="F347" s="1"/>
      <c r="G347" s="1"/>
    </row>
    <row r="348" spans="1:7" ht="15.5">
      <c r="A348" s="36"/>
      <c r="B348" s="1"/>
      <c r="C348" s="1"/>
      <c r="D348" s="1"/>
      <c r="E348" s="1"/>
      <c r="F348" s="1"/>
      <c r="G348" s="1"/>
    </row>
    <row r="349" spans="1:7" ht="15.5">
      <c r="A349" s="36"/>
      <c r="B349" s="55"/>
      <c r="C349" s="62"/>
      <c r="D349" s="39"/>
      <c r="E349" s="39"/>
      <c r="F349" s="1"/>
      <c r="G349" s="1"/>
    </row>
    <row r="350" spans="1:7" ht="15.5">
      <c r="A350" s="36"/>
      <c r="B350" s="55" t="s">
        <v>17</v>
      </c>
      <c r="C350" s="62"/>
      <c r="D350" s="39"/>
      <c r="E350" s="39"/>
      <c r="F350" s="1"/>
      <c r="G350" s="1"/>
    </row>
    <row r="351" spans="1:7" ht="15.5">
      <c r="A351" s="36"/>
      <c r="B351" s="55" t="s">
        <v>160</v>
      </c>
      <c r="C351" s="62"/>
      <c r="D351" s="39"/>
      <c r="E351" s="39"/>
      <c r="F351" s="1"/>
      <c r="G351" s="1"/>
    </row>
    <row r="352" spans="1:7" ht="15.5">
      <c r="A352" s="36"/>
      <c r="B352" s="55" t="s">
        <v>80</v>
      </c>
      <c r="C352" s="62"/>
      <c r="D352" s="39"/>
      <c r="E352" s="39"/>
      <c r="F352" s="1"/>
      <c r="G352" s="1"/>
    </row>
    <row r="353" spans="1:7" ht="15.5">
      <c r="A353" s="36"/>
      <c r="B353" s="55" t="s">
        <v>161</v>
      </c>
      <c r="C353" s="62"/>
      <c r="D353" s="39"/>
      <c r="E353" s="39"/>
      <c r="F353" s="1"/>
      <c r="G353" s="17"/>
    </row>
    <row r="354" spans="1:7" ht="15.5">
      <c r="A354" s="68"/>
      <c r="B354" s="10" t="s">
        <v>45</v>
      </c>
      <c r="C354" s="62"/>
      <c r="D354" s="39"/>
      <c r="E354" s="39"/>
      <c r="F354" s="1"/>
      <c r="G354" s="77"/>
    </row>
    <row r="355" spans="1:7" ht="15.5">
      <c r="A355" s="68"/>
      <c r="B355" s="55" t="s">
        <v>157</v>
      </c>
      <c r="C355" s="62"/>
      <c r="D355" s="39"/>
      <c r="E355" s="39"/>
      <c r="F355" s="1"/>
      <c r="G355" s="17"/>
    </row>
    <row r="356" spans="1:7" ht="15.5">
      <c r="A356" s="69"/>
      <c r="B356" s="10" t="s">
        <v>52</v>
      </c>
      <c r="C356" s="62"/>
      <c r="D356" s="39"/>
      <c r="E356" s="39"/>
      <c r="F356" s="1"/>
      <c r="G356" s="17"/>
    </row>
    <row r="357" spans="1:7" ht="15.5">
      <c r="A357" s="70"/>
      <c r="B357" s="55" t="s">
        <v>158</v>
      </c>
      <c r="C357" s="62"/>
      <c r="D357" s="39"/>
      <c r="E357" s="39"/>
      <c r="F357" s="1"/>
      <c r="G357" s="17"/>
    </row>
    <row r="358" spans="1:7" ht="15.5">
      <c r="A358" s="70"/>
      <c r="B358" s="55" t="s">
        <v>46</v>
      </c>
      <c r="C358" s="62"/>
      <c r="D358" s="39"/>
      <c r="E358" s="39"/>
      <c r="F358" s="1"/>
      <c r="G358" s="17"/>
    </row>
    <row r="359" spans="1:7" ht="15.5">
      <c r="A359" s="70"/>
      <c r="B359" s="55" t="s">
        <v>159</v>
      </c>
      <c r="C359" s="62"/>
      <c r="D359" s="39"/>
      <c r="E359" s="39"/>
      <c r="F359" s="1"/>
      <c r="G359" s="17"/>
    </row>
    <row r="360" spans="1:7" ht="15.5">
      <c r="A360" s="70"/>
      <c r="B360" s="55" t="s">
        <v>162</v>
      </c>
      <c r="C360" s="62"/>
      <c r="D360" s="39"/>
      <c r="E360" s="39"/>
      <c r="F360" s="1"/>
      <c r="G360" s="17"/>
    </row>
    <row r="361" spans="1:7" ht="15.5">
      <c r="A361" s="70"/>
      <c r="B361" s="55" t="s">
        <v>147</v>
      </c>
      <c r="C361" s="62"/>
      <c r="D361" s="39"/>
      <c r="E361" s="39"/>
      <c r="F361" s="1"/>
      <c r="G361" s="17"/>
    </row>
    <row r="362" spans="1:7" ht="42">
      <c r="A362" s="31" t="s">
        <v>16</v>
      </c>
      <c r="B362" s="32" t="s">
        <v>0</v>
      </c>
      <c r="C362" s="33" t="s">
        <v>41</v>
      </c>
      <c r="D362" s="33" t="s">
        <v>32</v>
      </c>
      <c r="E362" s="33" t="s">
        <v>48</v>
      </c>
      <c r="F362" s="33" t="s">
        <v>44</v>
      </c>
      <c r="G362" s="33" t="s">
        <v>14</v>
      </c>
    </row>
    <row r="363" spans="1:7" ht="56">
      <c r="A363" s="31">
        <v>1</v>
      </c>
      <c r="B363" s="14" t="s">
        <v>163</v>
      </c>
      <c r="C363" s="75">
        <v>0</v>
      </c>
      <c r="D363" s="15"/>
      <c r="E363" s="15">
        <v>0</v>
      </c>
      <c r="F363" s="15">
        <f>90000*15</f>
        <v>1350000</v>
      </c>
      <c r="G363" s="16" t="s">
        <v>155</v>
      </c>
    </row>
    <row r="364" spans="1:7" ht="42">
      <c r="A364" s="31">
        <v>2</v>
      </c>
      <c r="B364" s="14" t="s">
        <v>164</v>
      </c>
      <c r="C364" s="75">
        <v>0</v>
      </c>
      <c r="D364" s="15">
        <v>100000</v>
      </c>
      <c r="E364" s="15">
        <v>0</v>
      </c>
      <c r="F364" s="15">
        <v>0</v>
      </c>
      <c r="G364" s="13" t="s">
        <v>22</v>
      </c>
    </row>
    <row r="365" spans="1:7" ht="56">
      <c r="A365" s="31">
        <v>3</v>
      </c>
      <c r="B365" s="56" t="s">
        <v>165</v>
      </c>
      <c r="C365" s="75">
        <v>0</v>
      </c>
      <c r="D365" s="15">
        <v>543529</v>
      </c>
      <c r="E365" s="15">
        <v>0</v>
      </c>
      <c r="F365" s="15">
        <v>0</v>
      </c>
      <c r="G365" s="13" t="s">
        <v>154</v>
      </c>
    </row>
    <row r="366" spans="1:7" ht="15.5">
      <c r="A366" s="31"/>
      <c r="B366" s="56"/>
      <c r="C366" s="73"/>
      <c r="D366" s="15"/>
      <c r="E366" s="15"/>
      <c r="F366" s="15"/>
      <c r="G366" s="8"/>
    </row>
    <row r="367" spans="1:7" ht="15.5">
      <c r="A367" s="31"/>
      <c r="B367" s="56"/>
      <c r="C367" s="73"/>
      <c r="D367" s="15"/>
      <c r="E367" s="15"/>
      <c r="F367" s="15"/>
      <c r="G367" s="8"/>
    </row>
    <row r="368" spans="1:7" ht="15.5">
      <c r="A368" s="31"/>
      <c r="B368" s="56"/>
      <c r="C368" s="73"/>
      <c r="D368" s="15"/>
      <c r="E368" s="15"/>
      <c r="F368" s="15"/>
      <c r="G368" s="8"/>
    </row>
    <row r="369" spans="1:7" ht="28">
      <c r="A369" s="34"/>
      <c r="B369" s="33" t="s">
        <v>1</v>
      </c>
      <c r="C369" s="74">
        <f>SUM(C363:C368)</f>
        <v>0</v>
      </c>
      <c r="D369" s="35">
        <f>SUM(D363:D368)</f>
        <v>643529</v>
      </c>
      <c r="E369" s="58">
        <f>SUM(E363:E368)</f>
        <v>0</v>
      </c>
      <c r="F369" s="58">
        <f>SUM(F363:F368)</f>
        <v>1350000</v>
      </c>
      <c r="G369" s="14"/>
    </row>
    <row r="370" spans="1:7" ht="14">
      <c r="A370" s="82"/>
      <c r="B370" s="83"/>
      <c r="C370" s="84"/>
      <c r="D370" s="52"/>
      <c r="E370" s="85"/>
      <c r="F370" s="85"/>
      <c r="G370" s="86"/>
    </row>
    <row r="371" spans="1:7" ht="15.5">
      <c r="A371" s="59" t="s">
        <v>37</v>
      </c>
      <c r="B371" s="3"/>
      <c r="C371" s="3"/>
      <c r="D371" s="67"/>
      <c r="E371" s="67"/>
      <c r="F371" s="67"/>
      <c r="G371" s="17"/>
    </row>
    <row r="372" spans="1:7" ht="15.5">
      <c r="A372" s="59"/>
      <c r="B372" s="3" t="s">
        <v>10</v>
      </c>
      <c r="C372" s="1"/>
      <c r="D372" s="1"/>
      <c r="E372" s="1"/>
      <c r="F372" s="1"/>
      <c r="G372" s="17"/>
    </row>
    <row r="373" spans="1:7" ht="15.5">
      <c r="A373" s="1"/>
      <c r="B373" s="59" t="s">
        <v>156</v>
      </c>
      <c r="C373" s="2"/>
      <c r="D373" s="2"/>
      <c r="E373" s="2"/>
      <c r="F373" s="2"/>
      <c r="G373" s="76"/>
    </row>
    <row r="374" spans="1:7" ht="15.5">
      <c r="A374" s="2" t="s">
        <v>2</v>
      </c>
      <c r="B374" s="1"/>
      <c r="C374" s="1"/>
      <c r="F374" s="2" t="s">
        <v>3</v>
      </c>
      <c r="G374" s="2"/>
    </row>
    <row r="375" spans="1:7" ht="15.5">
      <c r="A375" s="1" t="s">
        <v>4</v>
      </c>
      <c r="B375" s="1"/>
      <c r="C375" s="3"/>
      <c r="F375" s="1" t="s">
        <v>7</v>
      </c>
      <c r="G375" s="1"/>
    </row>
    <row r="376" spans="1:7" ht="15.5">
      <c r="A376" s="3" t="s">
        <v>5</v>
      </c>
      <c r="B376" s="3"/>
      <c r="C376" s="3"/>
      <c r="F376" s="1" t="s">
        <v>8</v>
      </c>
      <c r="G376" s="1"/>
    </row>
    <row r="377" spans="1:7" ht="15.5">
      <c r="A377" s="3"/>
      <c r="B377" s="3"/>
      <c r="D377" s="2" t="s">
        <v>6</v>
      </c>
      <c r="E377" s="3"/>
      <c r="F377" s="3"/>
      <c r="G377" s="3"/>
    </row>
    <row r="378" spans="1:7" ht="15.5">
      <c r="A378" s="2"/>
      <c r="B378" s="1"/>
      <c r="D378" s="1" t="s">
        <v>15</v>
      </c>
      <c r="E378" s="2"/>
      <c r="F378" s="2"/>
      <c r="G378" s="2"/>
    </row>
    <row r="379" spans="1:7" ht="15.5">
      <c r="A379" s="2"/>
      <c r="B379" s="1"/>
      <c r="D379" s="1" t="s">
        <v>9</v>
      </c>
      <c r="E379" s="2"/>
      <c r="F379" s="2"/>
      <c r="G379" s="2"/>
    </row>
    <row r="382" spans="1:7" ht="15.5">
      <c r="A382" s="2"/>
      <c r="B382" s="1"/>
      <c r="D382" s="1"/>
      <c r="E382" s="2"/>
      <c r="F382" s="2"/>
      <c r="G382" s="2"/>
    </row>
    <row r="386" spans="1:7" ht="15.5">
      <c r="A386" s="36"/>
      <c r="B386" s="1"/>
      <c r="C386" s="1"/>
      <c r="D386" s="1"/>
      <c r="E386" s="1"/>
      <c r="F386" s="1"/>
      <c r="G386" s="1"/>
    </row>
    <row r="387" spans="1:7" ht="15.5">
      <c r="A387" s="36"/>
      <c r="B387" s="1"/>
      <c r="C387" s="1"/>
      <c r="D387" s="1"/>
      <c r="E387" s="1"/>
      <c r="F387" s="1"/>
      <c r="G387" s="1"/>
    </row>
    <row r="388" spans="1:7" ht="15.5">
      <c r="A388" s="36"/>
      <c r="B388" s="55"/>
      <c r="C388" s="62"/>
      <c r="D388" s="39"/>
      <c r="E388" s="39"/>
      <c r="F388" s="1"/>
      <c r="G388" s="1"/>
    </row>
    <row r="389" spans="1:7" ht="15.5">
      <c r="A389" s="36"/>
      <c r="B389" s="55" t="s">
        <v>17</v>
      </c>
      <c r="C389" s="62"/>
      <c r="D389" s="39"/>
      <c r="E389" s="39"/>
      <c r="F389" s="1"/>
      <c r="G389" s="1"/>
    </row>
    <row r="390" spans="1:7" ht="15.5">
      <c r="A390" s="36"/>
      <c r="B390" s="55" t="s">
        <v>160</v>
      </c>
      <c r="C390" s="62"/>
      <c r="D390" s="39"/>
      <c r="E390" s="39"/>
      <c r="F390" s="1"/>
      <c r="G390" s="1"/>
    </row>
    <row r="391" spans="1:7" ht="15.5">
      <c r="A391" s="36"/>
      <c r="B391" s="55" t="s">
        <v>80</v>
      </c>
      <c r="C391" s="62"/>
      <c r="D391" s="39"/>
      <c r="E391" s="39"/>
      <c r="F391" s="1"/>
      <c r="G391" s="1"/>
    </row>
    <row r="392" spans="1:7" ht="15.5">
      <c r="A392" s="36"/>
      <c r="B392" s="55" t="s">
        <v>173</v>
      </c>
      <c r="C392" s="62"/>
      <c r="D392" s="39"/>
      <c r="E392" s="39"/>
      <c r="F392" s="1"/>
      <c r="G392" s="17"/>
    </row>
    <row r="393" spans="1:7" ht="15.5">
      <c r="A393" s="68"/>
      <c r="B393" s="10" t="s">
        <v>45</v>
      </c>
      <c r="C393" s="62"/>
      <c r="D393" s="39"/>
      <c r="E393" s="39"/>
      <c r="F393" s="1"/>
      <c r="G393" s="77"/>
    </row>
    <row r="394" spans="1:7" ht="15.5">
      <c r="A394" s="68"/>
      <c r="B394" s="55" t="s">
        <v>157</v>
      </c>
      <c r="C394" s="62"/>
      <c r="D394" s="39"/>
      <c r="E394" s="39"/>
      <c r="F394" s="1"/>
      <c r="G394" s="17"/>
    </row>
    <row r="395" spans="1:7" ht="15.5">
      <c r="A395" s="69"/>
      <c r="B395" s="10" t="s">
        <v>52</v>
      </c>
      <c r="C395" s="62"/>
      <c r="D395" s="39"/>
      <c r="E395" s="39"/>
      <c r="F395" s="1"/>
      <c r="G395" s="17"/>
    </row>
    <row r="396" spans="1:7" ht="15.5">
      <c r="A396" s="70"/>
      <c r="B396" s="55" t="s">
        <v>158</v>
      </c>
      <c r="C396" s="62"/>
      <c r="D396" s="39"/>
      <c r="E396" s="39"/>
      <c r="F396" s="1"/>
      <c r="G396" s="17"/>
    </row>
    <row r="397" spans="1:7" ht="15.5">
      <c r="A397" s="70"/>
      <c r="B397" s="55" t="s">
        <v>46</v>
      </c>
      <c r="C397" s="62"/>
      <c r="D397" s="39"/>
      <c r="E397" s="39"/>
      <c r="F397" s="1"/>
      <c r="G397" s="17"/>
    </row>
    <row r="398" spans="1:7" ht="15.5">
      <c r="A398" s="70"/>
      <c r="B398" s="55" t="s">
        <v>175</v>
      </c>
      <c r="C398" s="62"/>
      <c r="D398" s="39"/>
      <c r="E398" s="39"/>
      <c r="F398" s="1"/>
      <c r="G398" s="17"/>
    </row>
    <row r="399" spans="1:7" ht="15.5">
      <c r="A399" s="70"/>
      <c r="B399" s="55" t="s">
        <v>162</v>
      </c>
      <c r="C399" s="62"/>
      <c r="D399" s="39"/>
      <c r="E399" s="39"/>
      <c r="F399" s="1"/>
      <c r="G399" s="17"/>
    </row>
    <row r="400" spans="1:7" ht="15.5">
      <c r="A400" s="70"/>
      <c r="B400" s="55" t="s">
        <v>174</v>
      </c>
      <c r="C400" s="62"/>
      <c r="D400" s="39"/>
      <c r="E400" s="39"/>
      <c r="F400" s="1"/>
      <c r="G400" s="17"/>
    </row>
    <row r="401" spans="1:7" ht="56">
      <c r="A401" s="31" t="s">
        <v>16</v>
      </c>
      <c r="B401" s="32" t="s">
        <v>0</v>
      </c>
      <c r="C401" s="33" t="s">
        <v>41</v>
      </c>
      <c r="D401" s="33" t="s">
        <v>32</v>
      </c>
      <c r="E401" s="33" t="s">
        <v>38</v>
      </c>
      <c r="F401" s="33" t="s">
        <v>44</v>
      </c>
      <c r="G401" s="33" t="s">
        <v>14</v>
      </c>
    </row>
    <row r="402" spans="1:7" ht="42">
      <c r="A402" s="31">
        <v>1</v>
      </c>
      <c r="B402" s="14" t="s">
        <v>166</v>
      </c>
      <c r="C402" s="75">
        <f>9824701</f>
        <v>9824701</v>
      </c>
      <c r="D402" s="15"/>
      <c r="E402" s="15">
        <v>0</v>
      </c>
      <c r="F402" s="15">
        <v>864484</v>
      </c>
      <c r="G402" s="16" t="s">
        <v>11</v>
      </c>
    </row>
    <row r="403" spans="1:7" ht="42">
      <c r="A403" s="31">
        <v>2</v>
      </c>
      <c r="B403" s="14" t="s">
        <v>167</v>
      </c>
      <c r="C403" s="75">
        <v>0</v>
      </c>
      <c r="D403" s="15">
        <v>630000</v>
      </c>
      <c r="E403" s="15">
        <v>0</v>
      </c>
      <c r="F403" s="15">
        <v>0</v>
      </c>
      <c r="G403" s="13" t="s">
        <v>11</v>
      </c>
    </row>
    <row r="404" spans="1:7" ht="42">
      <c r="A404" s="31">
        <v>3</v>
      </c>
      <c r="B404" s="56" t="s">
        <v>168</v>
      </c>
      <c r="C404" s="75">
        <v>0</v>
      </c>
      <c r="D404" s="15">
        <v>800000</v>
      </c>
      <c r="E404" s="15">
        <v>0</v>
      </c>
      <c r="F404" s="15">
        <v>0</v>
      </c>
      <c r="G404" s="13" t="s">
        <v>169</v>
      </c>
    </row>
    <row r="405" spans="1:7" ht="46.5">
      <c r="A405" s="31">
        <v>4</v>
      </c>
      <c r="B405" s="56" t="s">
        <v>171</v>
      </c>
      <c r="C405" s="73">
        <v>24000000</v>
      </c>
      <c r="D405" s="15">
        <v>0</v>
      </c>
      <c r="E405" s="45">
        <v>0</v>
      </c>
      <c r="F405" s="15">
        <v>0</v>
      </c>
      <c r="G405" s="8" t="s">
        <v>172</v>
      </c>
    </row>
    <row r="406" spans="1:7" ht="28">
      <c r="A406" s="31">
        <v>5</v>
      </c>
      <c r="B406" s="56" t="s">
        <v>176</v>
      </c>
      <c r="C406" s="73">
        <v>0</v>
      </c>
      <c r="D406" s="15">
        <v>200000</v>
      </c>
      <c r="E406" s="45">
        <v>0</v>
      </c>
      <c r="F406" s="15">
        <v>0</v>
      </c>
      <c r="G406" s="8" t="s">
        <v>177</v>
      </c>
    </row>
    <row r="407" spans="1:7" ht="15.5">
      <c r="A407" s="31"/>
      <c r="B407" s="56"/>
      <c r="C407" s="73"/>
      <c r="D407" s="15"/>
      <c r="E407" s="15"/>
      <c r="F407" s="15"/>
      <c r="G407" s="8"/>
    </row>
    <row r="408" spans="1:7" ht="28">
      <c r="A408" s="34"/>
      <c r="B408" s="33" t="s">
        <v>1</v>
      </c>
      <c r="C408" s="74">
        <f>SUM(C402:C407)</f>
        <v>33824701</v>
      </c>
      <c r="D408" s="35">
        <f>SUM(D402:D407)</f>
        <v>1630000</v>
      </c>
      <c r="E408" s="35">
        <f>SUM(E402:E407)</f>
        <v>0</v>
      </c>
      <c r="F408" s="58">
        <f>SUM(F402:F407)</f>
        <v>864484</v>
      </c>
      <c r="G408" s="14"/>
    </row>
    <row r="409" spans="1:7" ht="14">
      <c r="A409" s="82"/>
      <c r="B409" s="83"/>
      <c r="C409" s="84"/>
      <c r="D409" s="52"/>
      <c r="E409" s="85"/>
      <c r="F409" s="85"/>
      <c r="G409" s="86"/>
    </row>
    <row r="410" spans="1:7" ht="15.5">
      <c r="A410" s="59" t="s">
        <v>37</v>
      </c>
      <c r="B410" s="3"/>
      <c r="C410" s="3"/>
      <c r="D410" s="67"/>
      <c r="E410" s="67"/>
      <c r="F410" s="67"/>
      <c r="G410" s="17"/>
    </row>
    <row r="411" spans="1:7" ht="15.5">
      <c r="A411" s="59"/>
      <c r="B411" s="3" t="s">
        <v>10</v>
      </c>
      <c r="C411" s="1"/>
      <c r="D411" s="1"/>
      <c r="E411" s="1"/>
      <c r="F411" s="1"/>
      <c r="G411" s="17"/>
    </row>
    <row r="412" spans="1:7" ht="15.5">
      <c r="A412" s="1"/>
      <c r="B412" s="59" t="s">
        <v>170</v>
      </c>
      <c r="C412" s="2"/>
      <c r="D412" s="2"/>
      <c r="E412" s="2"/>
      <c r="F412" s="2"/>
      <c r="G412" s="76"/>
    </row>
    <row r="413" spans="1:7" ht="15.5">
      <c r="A413" s="2" t="s">
        <v>2</v>
      </c>
      <c r="B413" s="1"/>
      <c r="C413" s="1"/>
      <c r="F413" s="2" t="s">
        <v>3</v>
      </c>
      <c r="G413" s="2"/>
    </row>
    <row r="414" spans="1:7" ht="15.5">
      <c r="A414" s="1" t="s">
        <v>4</v>
      </c>
      <c r="B414" s="1"/>
      <c r="C414" s="3"/>
      <c r="F414" s="1" t="s">
        <v>7</v>
      </c>
      <c r="G414" s="1"/>
    </row>
    <row r="415" spans="1:7" ht="15.5">
      <c r="A415" s="3" t="s">
        <v>5</v>
      </c>
      <c r="B415" s="3"/>
      <c r="C415" s="3"/>
      <c r="F415" s="1" t="s">
        <v>8</v>
      </c>
      <c r="G415" s="1"/>
    </row>
    <row r="416" spans="1:7" ht="15.5">
      <c r="A416" s="3"/>
      <c r="B416" s="3"/>
      <c r="D416" s="2" t="s">
        <v>6</v>
      </c>
      <c r="E416" s="3"/>
      <c r="F416" s="3"/>
      <c r="G416" s="3"/>
    </row>
    <row r="417" spans="1:7" ht="15.5">
      <c r="A417" s="2"/>
      <c r="B417" s="1"/>
      <c r="D417" s="1" t="s">
        <v>15</v>
      </c>
      <c r="E417" s="2"/>
      <c r="F417" s="2"/>
      <c r="G417" s="2"/>
    </row>
    <row r="418" spans="1:7" ht="15.5">
      <c r="A418" s="2"/>
      <c r="B418" s="1"/>
      <c r="D418" s="1" t="s">
        <v>9</v>
      </c>
      <c r="E418" s="2"/>
      <c r="F418" s="2"/>
      <c r="G418" s="2"/>
    </row>
    <row r="424" spans="1:7" ht="15.5">
      <c r="B424" s="1"/>
      <c r="C424" s="1"/>
      <c r="D424" s="1"/>
      <c r="E424" s="1"/>
      <c r="F424" s="1"/>
      <c r="G424" s="1"/>
    </row>
    <row r="425" spans="1:7" ht="15.5">
      <c r="B425" s="1"/>
      <c r="C425" s="1"/>
      <c r="D425" s="1"/>
      <c r="E425" s="1"/>
      <c r="F425" s="1"/>
      <c r="G425" s="1"/>
    </row>
    <row r="426" spans="1:7" ht="15.5">
      <c r="B426" s="55"/>
      <c r="C426" s="62"/>
      <c r="D426" s="39"/>
      <c r="E426" s="39"/>
      <c r="F426" s="1"/>
      <c r="G426" s="1"/>
    </row>
    <row r="427" spans="1:7" ht="15.5">
      <c r="B427" s="55" t="s">
        <v>17</v>
      </c>
      <c r="C427" s="62"/>
      <c r="D427" s="39"/>
      <c r="E427" s="39"/>
      <c r="F427" s="1"/>
      <c r="G427" s="1"/>
    </row>
    <row r="428" spans="1:7" ht="15.5">
      <c r="B428" s="55" t="s">
        <v>183</v>
      </c>
      <c r="C428" s="62"/>
      <c r="D428" s="39"/>
      <c r="E428" s="39"/>
      <c r="F428" s="1"/>
      <c r="G428" s="1"/>
    </row>
    <row r="429" spans="1:7" ht="15.5">
      <c r="B429" s="55" t="s">
        <v>80</v>
      </c>
      <c r="C429" s="62"/>
      <c r="D429" s="39"/>
      <c r="E429" s="39"/>
      <c r="F429" s="1"/>
      <c r="G429" s="1"/>
    </row>
    <row r="430" spans="1:7" ht="15.5">
      <c r="B430" s="55" t="s">
        <v>173</v>
      </c>
      <c r="C430" s="62"/>
      <c r="D430" s="39"/>
      <c r="E430" s="39"/>
      <c r="F430" s="1"/>
      <c r="G430" s="17"/>
    </row>
    <row r="431" spans="1:7" ht="15.5">
      <c r="B431" s="10" t="s">
        <v>45</v>
      </c>
      <c r="C431" s="62"/>
      <c r="D431" s="39"/>
      <c r="E431" s="39"/>
      <c r="F431" s="1"/>
      <c r="G431" s="77"/>
    </row>
    <row r="432" spans="1:7" ht="15.5">
      <c r="B432" s="55" t="s">
        <v>182</v>
      </c>
      <c r="C432" s="62"/>
      <c r="D432" s="39"/>
      <c r="E432" s="39"/>
      <c r="F432" s="1"/>
      <c r="G432" s="17"/>
    </row>
    <row r="433" spans="1:7" ht="15.5">
      <c r="B433" s="10" t="s">
        <v>52</v>
      </c>
      <c r="C433" s="62"/>
      <c r="D433" s="39"/>
      <c r="E433" s="39"/>
      <c r="F433" s="1"/>
      <c r="G433" s="17"/>
    </row>
    <row r="434" spans="1:7" ht="15.5">
      <c r="B434" s="55" t="s">
        <v>95</v>
      </c>
      <c r="C434" s="62"/>
      <c r="D434" s="39"/>
      <c r="E434" s="39"/>
      <c r="F434" s="1"/>
      <c r="G434" s="17"/>
    </row>
    <row r="435" spans="1:7" ht="15.5">
      <c r="B435" s="55" t="s">
        <v>46</v>
      </c>
      <c r="C435" s="62"/>
      <c r="D435" s="39"/>
      <c r="E435" s="39"/>
      <c r="F435" s="1"/>
      <c r="G435" s="17"/>
    </row>
    <row r="436" spans="1:7" ht="15.5">
      <c r="B436" s="55" t="s">
        <v>185</v>
      </c>
      <c r="C436" s="62"/>
      <c r="D436" s="39"/>
      <c r="E436" s="39"/>
      <c r="F436" s="1"/>
      <c r="G436" s="17"/>
    </row>
    <row r="437" spans="1:7" ht="15.5">
      <c r="B437" s="55" t="s">
        <v>162</v>
      </c>
      <c r="C437" s="62"/>
      <c r="D437" s="39"/>
      <c r="E437" s="39"/>
      <c r="F437" s="1"/>
      <c r="G437" s="17"/>
    </row>
    <row r="438" spans="1:7" ht="15.5">
      <c r="B438" s="55" t="s">
        <v>184</v>
      </c>
      <c r="C438" s="62"/>
      <c r="D438" s="39"/>
      <c r="E438" s="39"/>
      <c r="F438" s="1"/>
      <c r="G438" s="17"/>
    </row>
    <row r="439" spans="1:7" ht="56">
      <c r="A439" s="31" t="s">
        <v>179</v>
      </c>
      <c r="B439" s="32" t="s">
        <v>0</v>
      </c>
      <c r="C439" s="33" t="s">
        <v>41</v>
      </c>
      <c r="D439" s="33" t="s">
        <v>32</v>
      </c>
      <c r="E439" s="33" t="s">
        <v>186</v>
      </c>
      <c r="F439" s="33" t="s">
        <v>44</v>
      </c>
      <c r="G439" s="33" t="s">
        <v>14</v>
      </c>
    </row>
    <row r="440" spans="1:7" ht="28">
      <c r="A440" s="31">
        <v>1</v>
      </c>
      <c r="B440" s="14" t="s">
        <v>180</v>
      </c>
      <c r="C440" s="75">
        <v>0</v>
      </c>
      <c r="D440" s="15">
        <v>150000</v>
      </c>
      <c r="E440" s="15">
        <v>0</v>
      </c>
      <c r="F440" s="15">
        <v>0</v>
      </c>
      <c r="G440" s="16" t="s">
        <v>42</v>
      </c>
    </row>
    <row r="441" spans="1:7" ht="42">
      <c r="A441" s="31">
        <v>2</v>
      </c>
      <c r="B441" s="14" t="s">
        <v>181</v>
      </c>
      <c r="C441" s="75">
        <v>0</v>
      </c>
      <c r="D441" s="15">
        <f>22*10000</f>
        <v>220000</v>
      </c>
      <c r="E441" s="15">
        <v>0</v>
      </c>
      <c r="F441" s="15">
        <v>0</v>
      </c>
      <c r="G441" s="16" t="s">
        <v>72</v>
      </c>
    </row>
    <row r="442" spans="1:7" ht="84">
      <c r="A442" s="31">
        <v>3</v>
      </c>
      <c r="B442" s="56" t="s">
        <v>187</v>
      </c>
      <c r="C442" s="75">
        <v>0</v>
      </c>
      <c r="D442" s="15">
        <v>0</v>
      </c>
      <c r="E442" s="15">
        <v>2092500</v>
      </c>
      <c r="F442" s="15">
        <v>0</v>
      </c>
      <c r="G442" s="13" t="s">
        <v>11</v>
      </c>
    </row>
    <row r="443" spans="1:7" ht="42">
      <c r="A443" s="31">
        <v>4</v>
      </c>
      <c r="B443" s="56" t="s">
        <v>178</v>
      </c>
      <c r="C443" s="73">
        <v>0</v>
      </c>
      <c r="D443" s="15">
        <v>100000</v>
      </c>
      <c r="E443" s="45">
        <v>0</v>
      </c>
      <c r="F443" s="15">
        <v>0</v>
      </c>
      <c r="G443" s="8" t="s">
        <v>13</v>
      </c>
    </row>
    <row r="444" spans="1:7" ht="15.5">
      <c r="A444" s="31"/>
      <c r="B444" s="56"/>
      <c r="C444" s="73">
        <v>0</v>
      </c>
      <c r="D444" s="15">
        <v>0</v>
      </c>
      <c r="E444" s="45">
        <v>0</v>
      </c>
      <c r="F444" s="15">
        <v>0</v>
      </c>
      <c r="G444" s="8"/>
    </row>
    <row r="445" spans="1:7" ht="15.5">
      <c r="A445" s="31"/>
      <c r="B445" s="56"/>
      <c r="C445" s="73"/>
      <c r="D445" s="15"/>
      <c r="E445" s="15"/>
      <c r="F445" s="15"/>
      <c r="G445" s="8"/>
    </row>
    <row r="446" spans="1:7" ht="28">
      <c r="A446" s="34"/>
      <c r="B446" s="33" t="s">
        <v>1</v>
      </c>
      <c r="C446" s="74">
        <f>SUM(C440:C445)</f>
        <v>0</v>
      </c>
      <c r="D446" s="35">
        <f>SUM(D440:D445)</f>
        <v>470000</v>
      </c>
      <c r="E446" s="35">
        <f>SUM(E440:E445)</f>
        <v>2092500</v>
      </c>
      <c r="F446" s="58">
        <f>SUM(F440:F445)</f>
        <v>0</v>
      </c>
      <c r="G446" s="14"/>
    </row>
    <row r="447" spans="1:7" ht="14">
      <c r="B447" s="83"/>
      <c r="C447" s="84"/>
      <c r="D447" s="52"/>
      <c r="E447" s="85"/>
      <c r="F447" s="85"/>
      <c r="G447" s="86"/>
    </row>
    <row r="448" spans="1:7" ht="15.5">
      <c r="B448" s="3"/>
      <c r="C448" s="3"/>
      <c r="D448" s="67"/>
      <c r="E448" s="67"/>
      <c r="F448" s="67"/>
      <c r="G448" s="17"/>
    </row>
    <row r="449" spans="1:7" ht="15.5">
      <c r="B449" s="3" t="s">
        <v>10</v>
      </c>
      <c r="C449" s="1"/>
      <c r="D449" s="1"/>
      <c r="E449" s="1"/>
      <c r="F449" s="1"/>
      <c r="G449" s="17"/>
    </row>
    <row r="450" spans="1:7" ht="15.5">
      <c r="B450" s="59" t="s">
        <v>188</v>
      </c>
      <c r="C450" s="2"/>
      <c r="D450" s="2"/>
      <c r="E450" s="2"/>
      <c r="F450" s="2"/>
      <c r="G450" s="76"/>
    </row>
    <row r="451" spans="1:7" ht="15.5">
      <c r="A451" s="2" t="s">
        <v>2</v>
      </c>
      <c r="B451" s="1"/>
      <c r="C451" s="1"/>
      <c r="F451" s="2" t="s">
        <v>3</v>
      </c>
      <c r="G451" s="2"/>
    </row>
    <row r="452" spans="1:7" ht="15.5">
      <c r="A452" s="1" t="s">
        <v>4</v>
      </c>
      <c r="B452" s="1"/>
      <c r="C452" s="3"/>
      <c r="F452" s="1" t="s">
        <v>7</v>
      </c>
      <c r="G452" s="1"/>
    </row>
    <row r="453" spans="1:7" ht="15.5">
      <c r="A453" s="3" t="s">
        <v>5</v>
      </c>
      <c r="B453" s="3"/>
      <c r="C453" s="3"/>
      <c r="F453" s="1" t="s">
        <v>8</v>
      </c>
      <c r="G453" s="1"/>
    </row>
    <row r="454" spans="1:7" ht="15.5">
      <c r="A454" s="3"/>
      <c r="B454" s="3"/>
      <c r="D454" s="2" t="s">
        <v>6</v>
      </c>
      <c r="E454" s="3"/>
      <c r="F454" s="3"/>
      <c r="G454" s="3"/>
    </row>
    <row r="455" spans="1:7" ht="15.5">
      <c r="B455" s="1"/>
      <c r="D455" s="1" t="s">
        <v>15</v>
      </c>
      <c r="E455" s="2"/>
      <c r="F455" s="2"/>
      <c r="G455" s="2"/>
    </row>
    <row r="456" spans="1:7" ht="15.5">
      <c r="B456" s="1"/>
      <c r="D456" s="1" t="s">
        <v>9</v>
      </c>
      <c r="E456" s="2"/>
      <c r="F456" s="2"/>
      <c r="G456" s="2"/>
    </row>
    <row r="461" spans="1:7" ht="15.5">
      <c r="B461" s="1"/>
      <c r="C461" s="1"/>
      <c r="D461" s="1"/>
      <c r="E461" s="1"/>
      <c r="F461" s="1"/>
      <c r="G461" s="1"/>
    </row>
    <row r="462" spans="1:7" ht="15.5">
      <c r="B462" s="1"/>
      <c r="C462" s="1"/>
      <c r="D462" s="1"/>
      <c r="E462" s="1"/>
      <c r="F462" s="1"/>
      <c r="G462" s="1"/>
    </row>
    <row r="463" spans="1:7" ht="15.5">
      <c r="B463" s="55"/>
      <c r="C463" s="62"/>
      <c r="D463" s="39"/>
      <c r="E463" s="39"/>
      <c r="F463" s="1"/>
      <c r="G463" s="1"/>
    </row>
    <row r="464" spans="1:7" ht="15.5">
      <c r="B464" s="55" t="s">
        <v>17</v>
      </c>
      <c r="C464" s="62"/>
      <c r="D464" s="39"/>
      <c r="E464" s="39"/>
      <c r="F464" s="1"/>
      <c r="G464" s="1"/>
    </row>
    <row r="465" spans="1:7" ht="15.5">
      <c r="B465" s="55" t="s">
        <v>183</v>
      </c>
      <c r="C465" s="62"/>
      <c r="D465" s="39"/>
      <c r="E465" s="39"/>
      <c r="F465" s="1"/>
      <c r="G465" s="1"/>
    </row>
    <row r="466" spans="1:7" ht="15.5">
      <c r="B466" s="55" t="s">
        <v>80</v>
      </c>
      <c r="C466" s="62"/>
      <c r="D466" s="39"/>
      <c r="E466" s="39"/>
      <c r="F466" s="1"/>
      <c r="G466" s="1"/>
    </row>
    <row r="467" spans="1:7" ht="15.5">
      <c r="B467" s="55" t="s">
        <v>173</v>
      </c>
      <c r="C467" s="62"/>
      <c r="D467" s="39"/>
      <c r="E467" s="39"/>
      <c r="F467" s="1"/>
      <c r="G467" s="17"/>
    </row>
    <row r="468" spans="1:7" ht="15.5">
      <c r="B468" s="10" t="s">
        <v>45</v>
      </c>
      <c r="C468" s="62"/>
      <c r="D468" s="39"/>
      <c r="E468" s="39"/>
      <c r="F468" s="1"/>
      <c r="G468" s="77"/>
    </row>
    <row r="469" spans="1:7" ht="15.5">
      <c r="B469" s="55" t="s">
        <v>182</v>
      </c>
      <c r="C469" s="62"/>
      <c r="D469" s="39"/>
      <c r="E469" s="39"/>
      <c r="F469" s="1"/>
      <c r="G469" s="17"/>
    </row>
    <row r="470" spans="1:7" ht="15.5">
      <c r="B470" s="10" t="s">
        <v>52</v>
      </c>
      <c r="C470" s="62"/>
      <c r="D470" s="39"/>
      <c r="E470" s="39"/>
      <c r="F470" s="1"/>
      <c r="G470" s="17"/>
    </row>
    <row r="471" spans="1:7" ht="15.5">
      <c r="B471" s="55" t="s">
        <v>95</v>
      </c>
      <c r="C471" s="62"/>
      <c r="D471" s="39"/>
      <c r="E471" s="39"/>
      <c r="F471" s="1"/>
      <c r="G471" s="17"/>
    </row>
    <row r="472" spans="1:7" ht="15.5">
      <c r="B472" s="55" t="s">
        <v>46</v>
      </c>
      <c r="C472" s="62"/>
      <c r="D472" s="39"/>
      <c r="E472" s="39"/>
      <c r="F472" s="1"/>
      <c r="G472" s="17"/>
    </row>
    <row r="473" spans="1:7" ht="15.5">
      <c r="B473" s="55" t="s">
        <v>185</v>
      </c>
      <c r="C473" s="62"/>
      <c r="D473" s="39"/>
      <c r="E473" s="39"/>
      <c r="F473" s="1"/>
      <c r="G473" s="17"/>
    </row>
    <row r="474" spans="1:7" ht="15.5">
      <c r="B474" s="55" t="s">
        <v>162</v>
      </c>
      <c r="C474" s="62"/>
      <c r="D474" s="39"/>
      <c r="E474" s="39"/>
      <c r="F474" s="1"/>
      <c r="G474" s="17"/>
    </row>
    <row r="475" spans="1:7" ht="15.5">
      <c r="B475" s="55" t="s">
        <v>184</v>
      </c>
      <c r="C475" s="62"/>
      <c r="D475" s="39"/>
      <c r="E475" s="39"/>
      <c r="F475" s="1"/>
      <c r="G475" s="17"/>
    </row>
    <row r="476" spans="1:7" ht="56">
      <c r="A476" s="31" t="s">
        <v>179</v>
      </c>
      <c r="B476" s="32" t="s">
        <v>0</v>
      </c>
      <c r="C476" s="33" t="s">
        <v>41</v>
      </c>
      <c r="D476" s="33" t="s">
        <v>32</v>
      </c>
      <c r="E476" s="33" t="s">
        <v>186</v>
      </c>
      <c r="F476" s="33" t="s">
        <v>44</v>
      </c>
      <c r="G476" s="33" t="s">
        <v>14</v>
      </c>
    </row>
    <row r="477" spans="1:7" ht="70">
      <c r="A477" s="31">
        <v>1</v>
      </c>
      <c r="B477" s="14" t="s">
        <v>189</v>
      </c>
      <c r="C477" s="75">
        <v>0</v>
      </c>
      <c r="D477" s="15">
        <v>725600</v>
      </c>
      <c r="E477" s="15">
        <v>0</v>
      </c>
      <c r="F477" s="15">
        <v>0</v>
      </c>
      <c r="G477" s="16" t="s">
        <v>190</v>
      </c>
    </row>
    <row r="478" spans="1:7" ht="70">
      <c r="A478" s="31">
        <v>2</v>
      </c>
      <c r="B478" s="14" t="s">
        <v>192</v>
      </c>
      <c r="C478" s="75">
        <v>0</v>
      </c>
      <c r="D478" s="15">
        <v>600000</v>
      </c>
      <c r="E478" s="15">
        <v>0</v>
      </c>
      <c r="F478" s="15">
        <v>0</v>
      </c>
      <c r="G478" s="16" t="s">
        <v>193</v>
      </c>
    </row>
    <row r="479" spans="1:7" ht="42">
      <c r="A479" s="31">
        <v>3</v>
      </c>
      <c r="B479" s="56" t="s">
        <v>195</v>
      </c>
      <c r="C479" s="75">
        <v>0</v>
      </c>
      <c r="D479" s="15">
        <v>0</v>
      </c>
      <c r="E479" s="15">
        <v>0</v>
      </c>
      <c r="F479" s="15">
        <v>1195720</v>
      </c>
      <c r="G479" s="13" t="s">
        <v>196</v>
      </c>
    </row>
    <row r="480" spans="1:7" ht="42">
      <c r="A480" s="31">
        <v>4</v>
      </c>
      <c r="B480" s="56" t="s">
        <v>194</v>
      </c>
      <c r="C480" s="73"/>
      <c r="D480" s="15">
        <v>500000</v>
      </c>
      <c r="E480" s="45">
        <v>0</v>
      </c>
      <c r="F480" s="15">
        <v>0</v>
      </c>
      <c r="G480" s="8"/>
    </row>
    <row r="481" spans="1:7" ht="15.5">
      <c r="A481" s="31"/>
      <c r="B481" s="56"/>
      <c r="C481" s="73">
        <v>0</v>
      </c>
      <c r="D481" s="15">
        <v>0</v>
      </c>
      <c r="E481" s="45">
        <v>0</v>
      </c>
      <c r="F481" s="15">
        <v>0</v>
      </c>
      <c r="G481" s="8"/>
    </row>
    <row r="482" spans="1:7" ht="15.5">
      <c r="A482" s="31"/>
      <c r="B482" s="56"/>
      <c r="C482" s="73"/>
      <c r="D482" s="15"/>
      <c r="E482" s="15"/>
      <c r="F482" s="15"/>
      <c r="G482" s="8"/>
    </row>
    <row r="483" spans="1:7" ht="28">
      <c r="A483" s="34"/>
      <c r="B483" s="33" t="s">
        <v>1</v>
      </c>
      <c r="C483" s="74">
        <f>SUM(C477:C482)</f>
        <v>0</v>
      </c>
      <c r="D483" s="35">
        <f>SUM(D477:D482)</f>
        <v>1825600</v>
      </c>
      <c r="E483" s="35">
        <f>SUM(E477:E482)</f>
        <v>0</v>
      </c>
      <c r="F483" s="58">
        <f>SUM(F477:F482)</f>
        <v>1195720</v>
      </c>
      <c r="G483" s="14"/>
    </row>
    <row r="484" spans="1:7" ht="15.5">
      <c r="B484" s="3" t="s">
        <v>10</v>
      </c>
      <c r="C484" s="1"/>
      <c r="D484" s="1"/>
      <c r="E484" s="1"/>
      <c r="F484" s="1"/>
      <c r="G484" s="17"/>
    </row>
    <row r="485" spans="1:7" ht="15.5">
      <c r="B485" s="59" t="s">
        <v>191</v>
      </c>
      <c r="C485" s="2"/>
      <c r="D485" s="2"/>
      <c r="E485" s="2"/>
      <c r="F485" s="2"/>
      <c r="G485" s="76"/>
    </row>
    <row r="486" spans="1:7" ht="15.5">
      <c r="A486" s="2" t="s">
        <v>2</v>
      </c>
      <c r="B486" s="1"/>
      <c r="C486" s="1"/>
      <c r="F486" s="2" t="s">
        <v>3</v>
      </c>
      <c r="G486" s="2"/>
    </row>
    <row r="487" spans="1:7" ht="15.5">
      <c r="A487" s="1" t="s">
        <v>4</v>
      </c>
      <c r="B487" s="1"/>
      <c r="C487" s="3"/>
      <c r="F487" s="1" t="s">
        <v>7</v>
      </c>
      <c r="G487" s="1"/>
    </row>
    <row r="488" spans="1:7" ht="15.5">
      <c r="A488" s="3" t="s">
        <v>5</v>
      </c>
      <c r="B488" s="3"/>
      <c r="C488" s="3"/>
      <c r="F488" s="1" t="s">
        <v>8</v>
      </c>
      <c r="G488" s="1"/>
    </row>
    <row r="489" spans="1:7" ht="15.5">
      <c r="A489" s="3"/>
      <c r="B489" s="3"/>
      <c r="D489" s="2" t="s">
        <v>6</v>
      </c>
      <c r="E489" s="3"/>
      <c r="F489" s="3"/>
      <c r="G489" s="3"/>
    </row>
    <row r="490" spans="1:7" ht="15.5">
      <c r="B490" s="1"/>
      <c r="D490" s="1" t="s">
        <v>15</v>
      </c>
      <c r="E490" s="2"/>
      <c r="F490" s="2"/>
      <c r="G490" s="2"/>
    </row>
    <row r="491" spans="1:7" ht="15.5">
      <c r="B491" s="1"/>
      <c r="D491" s="1" t="s">
        <v>9</v>
      </c>
      <c r="E491" s="2"/>
      <c r="F491" s="2"/>
      <c r="G491" s="2"/>
    </row>
    <row r="497" spans="1:7" ht="15.5">
      <c r="B497" s="1"/>
      <c r="C497" s="1"/>
      <c r="D497" s="1"/>
      <c r="E497" s="1"/>
      <c r="F497" s="1"/>
      <c r="G497" s="1"/>
    </row>
    <row r="498" spans="1:7" ht="15.5">
      <c r="B498" s="1"/>
      <c r="C498" s="1"/>
      <c r="D498" s="1"/>
      <c r="E498" s="1"/>
      <c r="F498" s="1"/>
      <c r="G498" s="1"/>
    </row>
    <row r="499" spans="1:7" ht="15.5">
      <c r="B499" s="55"/>
      <c r="C499" s="62"/>
      <c r="D499" s="39"/>
      <c r="E499" s="39"/>
      <c r="F499" s="1"/>
      <c r="G499" s="1"/>
    </row>
    <row r="500" spans="1:7" ht="15.5">
      <c r="B500" s="55" t="s">
        <v>17</v>
      </c>
      <c r="C500" s="62"/>
      <c r="D500" s="39"/>
      <c r="E500" s="39"/>
      <c r="F500" s="1"/>
      <c r="G500" s="1"/>
    </row>
    <row r="501" spans="1:7" ht="15.5">
      <c r="B501" s="55" t="s">
        <v>183</v>
      </c>
      <c r="C501" s="62"/>
      <c r="D501" s="39"/>
      <c r="E501" s="39"/>
      <c r="F501" s="1"/>
      <c r="G501" s="1"/>
    </row>
    <row r="502" spans="1:7" ht="15.5">
      <c r="B502" s="55" t="s">
        <v>80</v>
      </c>
      <c r="C502" s="62"/>
      <c r="D502" s="39"/>
      <c r="E502" s="39"/>
      <c r="F502" s="1"/>
      <c r="G502" s="1"/>
    </row>
    <row r="503" spans="1:7" ht="15.5">
      <c r="B503" s="55" t="s">
        <v>173</v>
      </c>
      <c r="C503" s="62"/>
      <c r="D503" s="39"/>
      <c r="E503" s="39"/>
      <c r="F503" s="1"/>
      <c r="G503" s="17"/>
    </row>
    <row r="504" spans="1:7" ht="15.5">
      <c r="B504" s="10" t="s">
        <v>45</v>
      </c>
      <c r="C504" s="62"/>
      <c r="D504" s="39"/>
      <c r="E504" s="39"/>
      <c r="F504" s="1"/>
      <c r="G504" s="77"/>
    </row>
    <row r="505" spans="1:7" ht="15.5">
      <c r="B505" s="55" t="s">
        <v>182</v>
      </c>
      <c r="C505" s="62"/>
      <c r="D505" s="39"/>
      <c r="E505" s="39"/>
      <c r="F505" s="1"/>
      <c r="G505" s="17"/>
    </row>
    <row r="506" spans="1:7" ht="15.5">
      <c r="B506" s="10" t="s">
        <v>52</v>
      </c>
      <c r="C506" s="62"/>
      <c r="D506" s="39"/>
      <c r="E506" s="39"/>
      <c r="F506" s="1"/>
      <c r="G506" s="17"/>
    </row>
    <row r="507" spans="1:7" ht="15.5">
      <c r="B507" s="55" t="s">
        <v>95</v>
      </c>
      <c r="C507" s="62"/>
      <c r="D507" s="39"/>
      <c r="E507" s="39"/>
      <c r="F507" s="1"/>
      <c r="G507" s="17"/>
    </row>
    <row r="508" spans="1:7" ht="15.5">
      <c r="B508" s="55" t="s">
        <v>46</v>
      </c>
      <c r="C508" s="62"/>
      <c r="D508" s="39"/>
      <c r="E508" s="39"/>
      <c r="F508" s="1"/>
      <c r="G508" s="17"/>
    </row>
    <row r="509" spans="1:7" ht="15.5">
      <c r="B509" s="55" t="s">
        <v>185</v>
      </c>
      <c r="C509" s="62"/>
      <c r="D509" s="39"/>
      <c r="E509" s="39"/>
      <c r="F509" s="1"/>
      <c r="G509" s="17"/>
    </row>
    <row r="510" spans="1:7" ht="15.5">
      <c r="B510" s="55" t="s">
        <v>162</v>
      </c>
      <c r="C510" s="62"/>
      <c r="D510" s="39"/>
      <c r="E510" s="39"/>
      <c r="F510" s="1"/>
      <c r="G510" s="17"/>
    </row>
    <row r="511" spans="1:7" ht="15.5">
      <c r="B511" s="55" t="s">
        <v>184</v>
      </c>
      <c r="C511" s="62"/>
      <c r="D511" s="39"/>
      <c r="E511" s="39"/>
      <c r="F511" s="1"/>
      <c r="G511" s="17"/>
    </row>
    <row r="512" spans="1:7" ht="56">
      <c r="A512" s="31" t="s">
        <v>179</v>
      </c>
      <c r="B512" s="32" t="s">
        <v>0</v>
      </c>
      <c r="C512" s="33" t="s">
        <v>41</v>
      </c>
      <c r="D512" s="33" t="s">
        <v>32</v>
      </c>
      <c r="E512" s="33" t="s">
        <v>186</v>
      </c>
      <c r="F512" s="33" t="s">
        <v>44</v>
      </c>
      <c r="G512" s="33" t="s">
        <v>14</v>
      </c>
    </row>
    <row r="513" spans="1:7" ht="28">
      <c r="A513" s="31">
        <v>1</v>
      </c>
      <c r="B513" s="14" t="s">
        <v>198</v>
      </c>
      <c r="C513" s="75">
        <v>0</v>
      </c>
      <c r="D513" s="15">
        <v>0</v>
      </c>
      <c r="E513" s="15">
        <v>4000000</v>
      </c>
      <c r="F513" s="15">
        <v>0</v>
      </c>
      <c r="G513" s="16" t="s">
        <v>197</v>
      </c>
    </row>
    <row r="514" spans="1:7" ht="42">
      <c r="A514" s="31">
        <v>2</v>
      </c>
      <c r="B514" s="14" t="s">
        <v>199</v>
      </c>
      <c r="C514" s="75">
        <v>0</v>
      </c>
      <c r="D514" s="15">
        <v>1489082</v>
      </c>
      <c r="E514" s="15">
        <v>0</v>
      </c>
      <c r="F514" s="15">
        <v>0</v>
      </c>
      <c r="G514" s="16" t="s">
        <v>200</v>
      </c>
    </row>
    <row r="515" spans="1:7" ht="14">
      <c r="A515" s="31"/>
      <c r="B515" s="56"/>
      <c r="C515" s="75">
        <v>0</v>
      </c>
      <c r="D515" s="15">
        <v>0</v>
      </c>
      <c r="E515" s="15">
        <v>0</v>
      </c>
      <c r="F515" s="15"/>
      <c r="G515" s="13"/>
    </row>
    <row r="516" spans="1:7" ht="15.5">
      <c r="A516" s="31"/>
      <c r="B516" s="56"/>
      <c r="C516" s="73"/>
      <c r="D516" s="15"/>
      <c r="E516" s="45">
        <v>0</v>
      </c>
      <c r="F516" s="15">
        <v>0</v>
      </c>
      <c r="G516" s="8"/>
    </row>
    <row r="517" spans="1:7" ht="15.5">
      <c r="A517" s="31"/>
      <c r="B517" s="56"/>
      <c r="C517" s="73">
        <v>0</v>
      </c>
      <c r="D517" s="15">
        <v>0</v>
      </c>
      <c r="E517" s="45">
        <v>0</v>
      </c>
      <c r="F517" s="15">
        <v>0</v>
      </c>
      <c r="G517" s="8"/>
    </row>
    <row r="518" spans="1:7" ht="15.5">
      <c r="A518" s="31"/>
      <c r="B518" s="56"/>
      <c r="C518" s="73"/>
      <c r="D518" s="15"/>
      <c r="E518" s="15"/>
      <c r="F518" s="15"/>
      <c r="G518" s="8"/>
    </row>
    <row r="519" spans="1:7" ht="28">
      <c r="A519" s="34"/>
      <c r="B519" s="33" t="s">
        <v>1</v>
      </c>
      <c r="C519" s="74">
        <f>SUM(C513:C518)</f>
        <v>0</v>
      </c>
      <c r="D519" s="35">
        <f>SUM(D513:D518)</f>
        <v>1489082</v>
      </c>
      <c r="E519" s="35">
        <f>SUM(E513:E518)</f>
        <v>4000000</v>
      </c>
      <c r="F519" s="58">
        <f>SUM(F513:F518)</f>
        <v>0</v>
      </c>
      <c r="G519" s="14"/>
    </row>
    <row r="520" spans="1:7" ht="15.5">
      <c r="B520" s="3" t="s">
        <v>10</v>
      </c>
      <c r="C520" s="1"/>
      <c r="D520" s="1"/>
      <c r="E520" s="1"/>
      <c r="F520" s="1"/>
      <c r="G520" s="17"/>
    </row>
    <row r="521" spans="1:7" ht="15.5">
      <c r="B521" s="59" t="s">
        <v>191</v>
      </c>
      <c r="C521" s="2"/>
      <c r="D521" s="2"/>
      <c r="E521" s="2"/>
      <c r="F521" s="2"/>
      <c r="G521" s="76"/>
    </row>
    <row r="522" spans="1:7" ht="15.5">
      <c r="A522" s="2" t="s">
        <v>2</v>
      </c>
      <c r="B522" s="1"/>
      <c r="C522" s="1"/>
      <c r="F522" s="2" t="s">
        <v>3</v>
      </c>
      <c r="G522" s="2"/>
    </row>
    <row r="523" spans="1:7" ht="15.5">
      <c r="A523" s="1" t="s">
        <v>4</v>
      </c>
      <c r="B523" s="1"/>
      <c r="C523" s="3"/>
      <c r="F523" s="1" t="s">
        <v>7</v>
      </c>
      <c r="G523" s="1"/>
    </row>
    <row r="524" spans="1:7" ht="15.5">
      <c r="A524" s="3" t="s">
        <v>5</v>
      </c>
      <c r="B524" s="3"/>
      <c r="C524" s="3"/>
      <c r="F524" s="1" t="s">
        <v>8</v>
      </c>
      <c r="G524" s="1"/>
    </row>
    <row r="525" spans="1:7" ht="15.5">
      <c r="A525" s="3"/>
      <c r="B525" s="3"/>
      <c r="D525" s="2" t="s">
        <v>6</v>
      </c>
      <c r="E525" s="3"/>
      <c r="F525" s="3"/>
      <c r="G525" s="3"/>
    </row>
    <row r="526" spans="1:7" ht="15.5">
      <c r="B526" s="1"/>
      <c r="D526" s="1" t="s">
        <v>15</v>
      </c>
      <c r="E526" s="2"/>
      <c r="F526" s="2"/>
      <c r="G526" s="2"/>
    </row>
    <row r="527" spans="1:7" ht="15.5">
      <c r="B527" s="1"/>
      <c r="D527" s="1" t="s">
        <v>9</v>
      </c>
      <c r="E527" s="2"/>
      <c r="F527" s="2"/>
      <c r="G527" s="2"/>
    </row>
    <row r="541" spans="2:7" ht="15.5">
      <c r="B541" s="1"/>
      <c r="C541" s="1"/>
      <c r="D541" s="1"/>
      <c r="E541" s="1"/>
      <c r="F541" s="1"/>
      <c r="G541" s="1"/>
    </row>
    <row r="542" spans="2:7" ht="15.5">
      <c r="B542" s="1"/>
      <c r="C542" s="1"/>
      <c r="D542" s="1"/>
      <c r="E542" s="1"/>
      <c r="F542" s="1"/>
      <c r="G542" s="1"/>
    </row>
    <row r="543" spans="2:7" ht="15.5">
      <c r="B543" s="55"/>
      <c r="C543" s="62"/>
      <c r="D543" s="39"/>
      <c r="E543" s="39"/>
      <c r="F543" s="1"/>
      <c r="G543" s="1"/>
    </row>
    <row r="544" spans="2:7" ht="15.5">
      <c r="B544" s="55" t="s">
        <v>17</v>
      </c>
      <c r="C544" s="62"/>
      <c r="D544" s="39"/>
      <c r="E544" s="39"/>
      <c r="F544" s="1"/>
      <c r="G544" s="1"/>
    </row>
    <row r="545" spans="1:7" ht="15.5">
      <c r="B545" s="55" t="s">
        <v>183</v>
      </c>
      <c r="C545" s="62"/>
      <c r="D545" s="39"/>
      <c r="E545" s="39"/>
      <c r="F545" s="1"/>
      <c r="G545" s="1"/>
    </row>
    <row r="546" spans="1:7" ht="15.5">
      <c r="B546" s="55" t="s">
        <v>80</v>
      </c>
      <c r="C546" s="62"/>
      <c r="D546" s="39"/>
      <c r="E546" s="39"/>
      <c r="F546" s="1"/>
      <c r="G546" s="1"/>
    </row>
    <row r="547" spans="1:7" ht="15.5">
      <c r="B547" s="55" t="s">
        <v>173</v>
      </c>
      <c r="C547" s="62"/>
      <c r="D547" s="39"/>
      <c r="E547" s="39"/>
      <c r="F547" s="1"/>
      <c r="G547" s="17"/>
    </row>
    <row r="548" spans="1:7" ht="15.5">
      <c r="B548" s="10" t="s">
        <v>45</v>
      </c>
      <c r="C548" s="62"/>
      <c r="D548" s="39"/>
      <c r="E548" s="39"/>
      <c r="F548" s="1"/>
      <c r="G548" s="77"/>
    </row>
    <row r="549" spans="1:7" ht="15.5">
      <c r="B549" s="55" t="s">
        <v>201</v>
      </c>
      <c r="C549" s="62"/>
      <c r="D549" s="39"/>
      <c r="E549" s="39"/>
      <c r="F549" s="1"/>
      <c r="G549" s="17"/>
    </row>
    <row r="550" spans="1:7" ht="15.5">
      <c r="B550" s="10" t="s">
        <v>52</v>
      </c>
      <c r="C550" s="62"/>
      <c r="D550" s="39"/>
      <c r="E550" s="39"/>
      <c r="F550" s="1"/>
      <c r="G550" s="17"/>
    </row>
    <row r="551" spans="1:7" ht="15.5">
      <c r="B551" s="55" t="s">
        <v>202</v>
      </c>
      <c r="C551" s="62"/>
      <c r="D551" s="39"/>
      <c r="E551" s="39"/>
      <c r="F551" s="1"/>
      <c r="G551" s="17"/>
    </row>
    <row r="552" spans="1:7" ht="15.5">
      <c r="B552" s="55" t="s">
        <v>46</v>
      </c>
      <c r="C552" s="62"/>
      <c r="D552" s="39"/>
      <c r="E552" s="39"/>
      <c r="F552" s="1"/>
      <c r="G552" s="17"/>
    </row>
    <row r="553" spans="1:7" ht="15.5">
      <c r="B553" s="55" t="s">
        <v>185</v>
      </c>
      <c r="C553" s="62"/>
      <c r="D553" s="39"/>
      <c r="E553" s="39"/>
      <c r="F553" s="1"/>
      <c r="G553" s="17"/>
    </row>
    <row r="554" spans="1:7" ht="15.5">
      <c r="B554" s="55" t="s">
        <v>162</v>
      </c>
      <c r="C554" s="62"/>
      <c r="D554" s="39"/>
      <c r="E554" s="39"/>
      <c r="F554" s="1"/>
      <c r="G554" s="17"/>
    </row>
    <row r="555" spans="1:7" ht="15.5">
      <c r="B555" s="55" t="s">
        <v>184</v>
      </c>
      <c r="C555" s="62"/>
      <c r="D555" s="39"/>
      <c r="E555" s="39"/>
      <c r="F555" s="1"/>
      <c r="G555" s="17"/>
    </row>
    <row r="556" spans="1:7" ht="56">
      <c r="A556" s="31" t="s">
        <v>179</v>
      </c>
      <c r="B556" s="32" t="s">
        <v>0</v>
      </c>
      <c r="C556" s="33" t="s">
        <v>41</v>
      </c>
      <c r="D556" s="33" t="s">
        <v>32</v>
      </c>
      <c r="E556" s="33" t="s">
        <v>186</v>
      </c>
      <c r="F556" s="33" t="s">
        <v>44</v>
      </c>
      <c r="G556" s="33" t="s">
        <v>14</v>
      </c>
    </row>
    <row r="557" spans="1:7" ht="56">
      <c r="A557" s="31">
        <v>1</v>
      </c>
      <c r="B557" s="14" t="s">
        <v>205</v>
      </c>
      <c r="C557" s="75">
        <v>0</v>
      </c>
      <c r="D557" s="15">
        <v>0</v>
      </c>
      <c r="E557" s="15">
        <f>12*46000*5</f>
        <v>2760000</v>
      </c>
      <c r="F557" s="15">
        <v>0</v>
      </c>
      <c r="G557" s="16" t="s">
        <v>11</v>
      </c>
    </row>
    <row r="558" spans="1:7" ht="56">
      <c r="A558" s="31">
        <v>2</v>
      </c>
      <c r="B558" s="14" t="s">
        <v>204</v>
      </c>
      <c r="C558" s="75">
        <v>0</v>
      </c>
      <c r="D558" s="15">
        <v>0</v>
      </c>
      <c r="E558" s="15">
        <f>50000*6*2</f>
        <v>600000</v>
      </c>
      <c r="F558" s="15">
        <v>0</v>
      </c>
      <c r="G558" s="16" t="s">
        <v>11</v>
      </c>
    </row>
    <row r="559" spans="1:7" ht="70">
      <c r="A559" s="31">
        <v>3</v>
      </c>
      <c r="B559" s="56" t="s">
        <v>206</v>
      </c>
      <c r="C559" s="75">
        <v>0</v>
      </c>
      <c r="D559" s="15">
        <v>0</v>
      </c>
      <c r="E559" s="15">
        <v>4386707</v>
      </c>
      <c r="F559" s="15">
        <v>0</v>
      </c>
      <c r="G559" s="13" t="s">
        <v>11</v>
      </c>
    </row>
    <row r="560" spans="1:7" ht="28">
      <c r="A560" s="31">
        <v>4</v>
      </c>
      <c r="B560" s="56" t="s">
        <v>207</v>
      </c>
      <c r="C560" s="73">
        <v>0</v>
      </c>
      <c r="D560" s="15">
        <v>0</v>
      </c>
      <c r="E560" s="15">
        <v>651000</v>
      </c>
      <c r="F560" s="15">
        <v>0</v>
      </c>
      <c r="G560" s="8" t="s">
        <v>11</v>
      </c>
    </row>
    <row r="561" spans="1:7" ht="15.5">
      <c r="A561" s="31"/>
      <c r="B561" s="56"/>
      <c r="C561" s="73">
        <v>0</v>
      </c>
      <c r="D561" s="15">
        <v>0</v>
      </c>
      <c r="E561" s="45">
        <v>0</v>
      </c>
      <c r="F561" s="15">
        <v>0</v>
      </c>
      <c r="G561" s="8"/>
    </row>
    <row r="562" spans="1:7" ht="15.5">
      <c r="A562" s="31"/>
      <c r="B562" s="56"/>
      <c r="C562" s="73"/>
      <c r="D562" s="15"/>
      <c r="E562" s="15"/>
      <c r="F562" s="15"/>
      <c r="G562" s="8"/>
    </row>
    <row r="563" spans="1:7" ht="28">
      <c r="A563" s="34"/>
      <c r="B563" s="33" t="s">
        <v>1</v>
      </c>
      <c r="C563" s="74">
        <f>SUM(C557:C562)</f>
        <v>0</v>
      </c>
      <c r="D563" s="35">
        <f>SUM(D557:D562)</f>
        <v>0</v>
      </c>
      <c r="E563" s="35">
        <f>SUM(E557:E562)</f>
        <v>8397707</v>
      </c>
      <c r="F563" s="58">
        <f>SUM(F557:F562)</f>
        <v>0</v>
      </c>
      <c r="G563" s="14"/>
    </row>
    <row r="564" spans="1:7" ht="14">
      <c r="A564" s="82"/>
      <c r="B564" s="83"/>
      <c r="C564" s="84"/>
      <c r="D564" s="52"/>
      <c r="E564" s="52"/>
      <c r="F564" s="85"/>
      <c r="G564" s="86"/>
    </row>
    <row r="565" spans="1:7" ht="15.5">
      <c r="B565" s="3" t="s">
        <v>10</v>
      </c>
      <c r="C565" s="1"/>
      <c r="D565" s="1"/>
      <c r="E565" s="1"/>
      <c r="F565" s="1"/>
      <c r="G565" s="17"/>
    </row>
    <row r="566" spans="1:7" ht="15.5">
      <c r="B566" s="59" t="s">
        <v>203</v>
      </c>
      <c r="C566" s="2"/>
      <c r="D566" s="2"/>
      <c r="E566" s="2"/>
      <c r="F566" s="2"/>
      <c r="G566" s="76"/>
    </row>
    <row r="567" spans="1:7" ht="15.5">
      <c r="B567" s="59"/>
      <c r="C567" s="2"/>
      <c r="D567" s="2"/>
      <c r="E567" s="2"/>
      <c r="F567" s="2"/>
      <c r="G567" s="76"/>
    </row>
    <row r="568" spans="1:7" ht="15.5">
      <c r="A568" s="2" t="s">
        <v>2</v>
      </c>
      <c r="B568" s="1"/>
      <c r="C568" s="1"/>
      <c r="F568" s="2" t="s">
        <v>3</v>
      </c>
      <c r="G568" s="2"/>
    </row>
    <row r="569" spans="1:7" ht="15.5">
      <c r="A569" s="1" t="s">
        <v>4</v>
      </c>
      <c r="B569" s="1"/>
      <c r="C569" s="3"/>
      <c r="F569" s="1" t="s">
        <v>7</v>
      </c>
      <c r="G569" s="1"/>
    </row>
    <row r="570" spans="1:7" ht="15.5">
      <c r="A570" s="3" t="s">
        <v>5</v>
      </c>
      <c r="B570" s="3"/>
      <c r="C570" s="3"/>
      <c r="F570" s="1" t="s">
        <v>8</v>
      </c>
      <c r="G570" s="1"/>
    </row>
    <row r="571" spans="1:7" ht="15.5">
      <c r="A571" s="3"/>
      <c r="B571" s="3"/>
      <c r="D571" s="2" t="s">
        <v>6</v>
      </c>
      <c r="E571" s="3"/>
      <c r="F571" s="3"/>
      <c r="G571" s="3"/>
    </row>
    <row r="572" spans="1:7" ht="15.5">
      <c r="B572" s="1"/>
      <c r="D572" s="1" t="s">
        <v>15</v>
      </c>
      <c r="E572" s="2"/>
      <c r="F572" s="2"/>
      <c r="G572" s="2"/>
    </row>
    <row r="573" spans="1:7" ht="15.5">
      <c r="B573" s="1"/>
      <c r="D573" s="1" t="s">
        <v>9</v>
      </c>
      <c r="E573" s="2"/>
      <c r="F573" s="2"/>
      <c r="G573" s="2"/>
    </row>
    <row r="576" spans="1:7" ht="11" customHeight="1"/>
    <row r="577" spans="2:7" ht="11" customHeight="1"/>
    <row r="578" spans="2:7" ht="11" customHeight="1"/>
    <row r="579" spans="2:7" ht="11" customHeight="1">
      <c r="B579" s="1"/>
      <c r="C579" s="1"/>
      <c r="D579" s="1"/>
      <c r="E579" s="1"/>
      <c r="F579" s="1"/>
      <c r="G579" s="1"/>
    </row>
    <row r="580" spans="2:7" ht="11" customHeight="1">
      <c r="B580" s="1"/>
      <c r="C580" s="1"/>
      <c r="D580" s="1"/>
      <c r="E580" s="1"/>
      <c r="F580" s="1"/>
      <c r="G580" s="1"/>
    </row>
    <row r="581" spans="2:7" ht="12" customHeight="1">
      <c r="B581" s="55"/>
      <c r="C581" s="62"/>
      <c r="D581" s="39"/>
      <c r="E581" s="39"/>
      <c r="F581" s="1"/>
      <c r="G581" s="1"/>
    </row>
    <row r="582" spans="2:7" ht="12" customHeight="1">
      <c r="B582" s="55" t="s">
        <v>17</v>
      </c>
      <c r="C582" s="62"/>
      <c r="D582" s="39"/>
      <c r="E582" s="39"/>
      <c r="F582" s="1"/>
      <c r="G582" s="1"/>
    </row>
    <row r="583" spans="2:7" ht="12" customHeight="1">
      <c r="B583" s="55" t="s">
        <v>183</v>
      </c>
      <c r="C583" s="62"/>
      <c r="D583" s="39"/>
      <c r="E583" s="39"/>
      <c r="F583" s="1"/>
      <c r="G583" s="1"/>
    </row>
    <row r="584" spans="2:7" ht="12" customHeight="1">
      <c r="B584" s="55" t="s">
        <v>80</v>
      </c>
      <c r="C584" s="62"/>
      <c r="D584" s="39"/>
      <c r="E584" s="39"/>
      <c r="F584" s="1"/>
      <c r="G584" s="1"/>
    </row>
    <row r="585" spans="2:7" ht="12" customHeight="1">
      <c r="B585" s="55" t="s">
        <v>173</v>
      </c>
      <c r="C585" s="62"/>
      <c r="D585" s="39"/>
      <c r="E585" s="39"/>
      <c r="F585" s="1"/>
      <c r="G585" s="17"/>
    </row>
    <row r="586" spans="2:7" ht="12" customHeight="1">
      <c r="B586" s="10" t="s">
        <v>45</v>
      </c>
      <c r="C586" s="62"/>
      <c r="D586" s="39"/>
      <c r="E586" s="39"/>
      <c r="F586" s="1"/>
      <c r="G586" s="77"/>
    </row>
    <row r="587" spans="2:7" ht="12" customHeight="1">
      <c r="B587" s="55" t="s">
        <v>219</v>
      </c>
      <c r="C587" s="62"/>
      <c r="D587" s="39"/>
      <c r="E587" s="39"/>
      <c r="F587" s="1"/>
      <c r="G587" s="17"/>
    </row>
    <row r="588" spans="2:7" ht="12" customHeight="1">
      <c r="B588" s="10" t="s">
        <v>52</v>
      </c>
      <c r="C588" s="62"/>
      <c r="D588" s="39"/>
      <c r="E588" s="39"/>
      <c r="F588" s="1"/>
      <c r="G588" s="17"/>
    </row>
    <row r="589" spans="2:7" ht="12" customHeight="1">
      <c r="B589" s="55" t="s">
        <v>220</v>
      </c>
      <c r="C589" s="62"/>
      <c r="D589" s="39"/>
      <c r="E589" s="39"/>
      <c r="F589" s="1"/>
      <c r="G589" s="17"/>
    </row>
    <row r="590" spans="2:7" ht="12" customHeight="1">
      <c r="B590" s="55" t="s">
        <v>46</v>
      </c>
      <c r="C590" s="62"/>
      <c r="D590" s="39"/>
      <c r="E590" s="39"/>
      <c r="F590" s="1"/>
      <c r="G590" s="17"/>
    </row>
    <row r="591" spans="2:7" ht="12" customHeight="1">
      <c r="B591" s="55" t="s">
        <v>221</v>
      </c>
      <c r="C591" s="62"/>
      <c r="D591" s="39"/>
      <c r="E591" s="39"/>
      <c r="F591" s="1"/>
      <c r="G591" s="17"/>
    </row>
    <row r="592" spans="2:7" ht="12" customHeight="1">
      <c r="B592" s="55" t="s">
        <v>162</v>
      </c>
      <c r="C592" s="62"/>
      <c r="D592" s="39"/>
      <c r="E592" s="39"/>
      <c r="F592" s="1"/>
      <c r="G592" s="17"/>
    </row>
    <row r="593" spans="1:7" ht="12" customHeight="1">
      <c r="B593" s="55" t="s">
        <v>184</v>
      </c>
      <c r="C593" s="62"/>
      <c r="D593" s="39"/>
      <c r="E593" s="39"/>
      <c r="F593" s="1"/>
      <c r="G593" s="17"/>
    </row>
    <row r="594" spans="1:7" ht="56">
      <c r="A594" s="31" t="s">
        <v>179</v>
      </c>
      <c r="B594" s="32" t="s">
        <v>0</v>
      </c>
      <c r="C594" s="33" t="s">
        <v>41</v>
      </c>
      <c r="D594" s="33" t="s">
        <v>32</v>
      </c>
      <c r="E594" s="33" t="s">
        <v>186</v>
      </c>
      <c r="F594" s="33" t="s">
        <v>44</v>
      </c>
      <c r="G594" s="33" t="s">
        <v>14</v>
      </c>
    </row>
    <row r="595" spans="1:7" ht="20" customHeight="1">
      <c r="A595" s="31">
        <v>1</v>
      </c>
      <c r="B595" s="46" t="s">
        <v>214</v>
      </c>
      <c r="C595" s="88">
        <v>0</v>
      </c>
      <c r="D595" s="45">
        <v>94000</v>
      </c>
      <c r="E595" s="15">
        <v>0</v>
      </c>
      <c r="F595" s="15">
        <v>0</v>
      </c>
      <c r="G595" s="16" t="s">
        <v>107</v>
      </c>
    </row>
    <row r="596" spans="1:7" ht="39">
      <c r="A596" s="31">
        <v>2</v>
      </c>
      <c r="B596" s="46" t="s">
        <v>208</v>
      </c>
      <c r="C596" s="88">
        <v>0</v>
      </c>
      <c r="D596" s="45">
        <v>0</v>
      </c>
      <c r="E596" s="15">
        <v>933000</v>
      </c>
      <c r="F596" s="15">
        <v>0</v>
      </c>
      <c r="G596" s="16" t="s">
        <v>11</v>
      </c>
    </row>
    <row r="597" spans="1:7" ht="42">
      <c r="A597" s="31">
        <v>3</v>
      </c>
      <c r="B597" s="48" t="s">
        <v>209</v>
      </c>
      <c r="C597" s="88">
        <v>0</v>
      </c>
      <c r="D597" s="45">
        <v>0</v>
      </c>
      <c r="E597" s="15">
        <v>1200000</v>
      </c>
      <c r="F597" s="15">
        <v>0</v>
      </c>
      <c r="G597" s="13" t="s">
        <v>210</v>
      </c>
    </row>
    <row r="598" spans="1:7" ht="50" customHeight="1">
      <c r="A598" s="31">
        <v>4</v>
      </c>
      <c r="B598" s="48" t="s">
        <v>209</v>
      </c>
      <c r="C598" s="71"/>
      <c r="D598" s="45"/>
      <c r="E598" s="15">
        <v>1200000</v>
      </c>
      <c r="F598" s="15">
        <v>0</v>
      </c>
      <c r="G598" s="13" t="s">
        <v>222</v>
      </c>
    </row>
    <row r="599" spans="1:7" ht="50" customHeight="1">
      <c r="A599" s="31">
        <v>5</v>
      </c>
      <c r="B599" s="48" t="s">
        <v>223</v>
      </c>
      <c r="C599" s="71">
        <v>0</v>
      </c>
      <c r="D599" s="45">
        <v>128500</v>
      </c>
      <c r="E599" s="15">
        <v>0</v>
      </c>
      <c r="F599" s="15">
        <v>0</v>
      </c>
      <c r="G599" s="8" t="s">
        <v>224</v>
      </c>
    </row>
    <row r="600" spans="1:7" ht="62">
      <c r="A600" s="31">
        <v>6</v>
      </c>
      <c r="B600" s="48" t="s">
        <v>212</v>
      </c>
      <c r="C600" s="71">
        <v>0</v>
      </c>
      <c r="D600" s="45">
        <v>1180000</v>
      </c>
      <c r="E600" s="45">
        <v>0</v>
      </c>
      <c r="F600" s="15">
        <v>0</v>
      </c>
      <c r="G600" s="8" t="s">
        <v>213</v>
      </c>
    </row>
    <row r="601" spans="1:7" ht="26">
      <c r="A601" s="31">
        <v>7</v>
      </c>
      <c r="B601" s="48" t="s">
        <v>215</v>
      </c>
      <c r="C601" s="71">
        <v>0</v>
      </c>
      <c r="D601" s="45">
        <f>330190*60%</f>
        <v>198114</v>
      </c>
      <c r="E601" s="15">
        <v>0</v>
      </c>
      <c r="F601" s="15">
        <v>0</v>
      </c>
      <c r="G601" s="8" t="s">
        <v>217</v>
      </c>
    </row>
    <row r="602" spans="1:7" ht="46.5">
      <c r="A602" s="31">
        <v>8</v>
      </c>
      <c r="B602" s="48" t="s">
        <v>216</v>
      </c>
      <c r="C602" s="71">
        <v>0</v>
      </c>
      <c r="D602" s="45">
        <f>460323*60%</f>
        <v>276193.8</v>
      </c>
      <c r="E602" s="15">
        <v>0</v>
      </c>
      <c r="F602" s="15">
        <v>0</v>
      </c>
      <c r="G602" s="8" t="s">
        <v>218</v>
      </c>
    </row>
    <row r="603" spans="1:7" ht="26">
      <c r="A603" s="34"/>
      <c r="B603" s="42" t="s">
        <v>1</v>
      </c>
      <c r="C603" s="89">
        <f>SUM(C595:C602)</f>
        <v>0</v>
      </c>
      <c r="D603" s="35">
        <f>SUM(D595:D602)</f>
        <v>1876807.8</v>
      </c>
      <c r="E603" s="35">
        <f>SUM(E595:E602)</f>
        <v>3333000</v>
      </c>
      <c r="F603" s="58">
        <f>SUM(F595:F602)</f>
        <v>0</v>
      </c>
      <c r="G603" s="14"/>
    </row>
    <row r="604" spans="1:7" ht="11" customHeight="1">
      <c r="B604" s="6" t="s">
        <v>10</v>
      </c>
      <c r="C604" s="39"/>
      <c r="D604" s="39"/>
      <c r="E604" s="1"/>
      <c r="F604" s="1"/>
      <c r="G604" s="17"/>
    </row>
    <row r="605" spans="1:7" ht="11" customHeight="1">
      <c r="B605" s="49" t="s">
        <v>211</v>
      </c>
      <c r="C605" s="37"/>
      <c r="D605" s="37"/>
      <c r="E605" s="2"/>
      <c r="F605" s="2"/>
      <c r="G605" s="76"/>
    </row>
    <row r="606" spans="1:7" ht="11" customHeight="1">
      <c r="B606" s="49"/>
      <c r="C606" s="37"/>
      <c r="D606" s="37"/>
      <c r="E606" s="2"/>
      <c r="F606" s="2"/>
      <c r="G606" s="76"/>
    </row>
    <row r="607" spans="1:7" s="90" customFormat="1" ht="11" customHeight="1">
      <c r="A607" s="10" t="s">
        <v>2</v>
      </c>
      <c r="B607" s="7"/>
      <c r="C607" s="7"/>
      <c r="D607" s="7"/>
      <c r="F607" s="10" t="s">
        <v>3</v>
      </c>
      <c r="G607" s="10"/>
    </row>
    <row r="608" spans="1:7" s="90" customFormat="1" ht="11" customHeight="1">
      <c r="A608" s="7" t="s">
        <v>4</v>
      </c>
      <c r="B608" s="7"/>
      <c r="C608" s="11"/>
      <c r="D608" s="7"/>
      <c r="F608" s="7" t="s">
        <v>7</v>
      </c>
      <c r="G608" s="7"/>
    </row>
    <row r="609" spans="1:7" s="90" customFormat="1" ht="11" customHeight="1">
      <c r="A609" s="11" t="s">
        <v>5</v>
      </c>
      <c r="B609" s="11"/>
      <c r="C609" s="11"/>
      <c r="D609" s="7"/>
      <c r="F609" s="7" t="s">
        <v>8</v>
      </c>
      <c r="G609" s="7"/>
    </row>
    <row r="610" spans="1:7" s="90" customFormat="1" ht="11" customHeight="1">
      <c r="A610" s="11"/>
      <c r="B610" s="11"/>
      <c r="D610" s="10" t="s">
        <v>6</v>
      </c>
      <c r="E610" s="11"/>
      <c r="F610" s="11"/>
      <c r="G610" s="11"/>
    </row>
    <row r="611" spans="1:7" s="90" customFormat="1" ht="11" customHeight="1">
      <c r="B611" s="7"/>
      <c r="D611" s="7" t="s">
        <v>15</v>
      </c>
      <c r="E611" s="10"/>
      <c r="F611" s="10"/>
      <c r="G611" s="10"/>
    </row>
    <row r="612" spans="1:7" s="90" customFormat="1" ht="11" customHeight="1">
      <c r="B612" s="7"/>
      <c r="D612" s="7" t="s">
        <v>9</v>
      </c>
      <c r="E612" s="10"/>
      <c r="F612" s="10"/>
      <c r="G612" s="10"/>
    </row>
    <row r="616" spans="1:7" ht="15.5">
      <c r="B616" s="1"/>
      <c r="C616" s="1"/>
      <c r="D616" s="1"/>
      <c r="E616" s="1"/>
      <c r="F616" s="1"/>
      <c r="G616" s="1"/>
    </row>
    <row r="617" spans="1:7" ht="15.5">
      <c r="B617" s="1"/>
      <c r="C617" s="1"/>
      <c r="D617" s="1"/>
      <c r="E617" s="1"/>
      <c r="F617" s="1"/>
      <c r="G617" s="1"/>
    </row>
    <row r="618" spans="1:7" ht="15.5">
      <c r="B618" s="55"/>
      <c r="C618" s="62"/>
      <c r="D618" s="39"/>
      <c r="E618" s="39"/>
      <c r="F618" s="1"/>
      <c r="G618" s="1"/>
    </row>
    <row r="619" spans="1:7" ht="15.5">
      <c r="B619" s="55" t="s">
        <v>17</v>
      </c>
      <c r="C619" s="62"/>
      <c r="D619" s="39"/>
      <c r="E619" s="39"/>
      <c r="F619" s="1"/>
      <c r="G619" s="1"/>
    </row>
    <row r="620" spans="1:7" ht="15.5">
      <c r="B620" s="55" t="s">
        <v>233</v>
      </c>
      <c r="C620" s="62"/>
      <c r="D620" s="39"/>
      <c r="E620" s="39"/>
      <c r="F620" s="1"/>
      <c r="G620" s="1"/>
    </row>
    <row r="621" spans="1:7" ht="15.5">
      <c r="B621" s="55" t="s">
        <v>80</v>
      </c>
      <c r="C621" s="62"/>
      <c r="D621" s="39"/>
      <c r="E621" s="39"/>
      <c r="F621" s="1"/>
      <c r="G621" s="1"/>
    </row>
    <row r="622" spans="1:7" ht="15.5">
      <c r="B622" s="55" t="s">
        <v>234</v>
      </c>
      <c r="C622" s="62"/>
      <c r="D622" s="39"/>
      <c r="E622" s="39"/>
      <c r="F622" s="1"/>
      <c r="G622" s="17"/>
    </row>
    <row r="623" spans="1:7" ht="15.5">
      <c r="B623" s="10" t="s">
        <v>45</v>
      </c>
      <c r="C623" s="62"/>
      <c r="D623" s="39"/>
      <c r="E623" s="39"/>
      <c r="F623" s="1"/>
      <c r="G623" s="77"/>
    </row>
    <row r="624" spans="1:7" ht="15.5">
      <c r="B624" s="55" t="s">
        <v>240</v>
      </c>
      <c r="C624" s="62"/>
      <c r="D624" s="39"/>
      <c r="E624" s="39"/>
      <c r="F624" s="1"/>
      <c r="G624" s="17"/>
    </row>
    <row r="625" spans="1:7" ht="15.5">
      <c r="B625" s="10" t="s">
        <v>52</v>
      </c>
      <c r="C625" s="62"/>
      <c r="D625" s="39"/>
      <c r="E625" s="39"/>
      <c r="F625" s="1"/>
      <c r="G625" s="17"/>
    </row>
    <row r="626" spans="1:7" ht="15.5">
      <c r="B626" s="55" t="s">
        <v>232</v>
      </c>
      <c r="C626" s="62"/>
      <c r="D626" s="39"/>
      <c r="E626" s="39"/>
      <c r="F626" s="1"/>
      <c r="G626" s="17"/>
    </row>
    <row r="627" spans="1:7" ht="15.5">
      <c r="B627" s="55" t="s">
        <v>46</v>
      </c>
      <c r="C627" s="62"/>
      <c r="D627" s="39"/>
      <c r="E627" s="39"/>
      <c r="F627" s="1"/>
      <c r="G627" s="17"/>
    </row>
    <row r="628" spans="1:7" ht="15.5">
      <c r="B628" s="55" t="s">
        <v>239</v>
      </c>
      <c r="C628" s="62"/>
      <c r="D628" s="39"/>
      <c r="E628" s="39"/>
      <c r="F628" s="1"/>
      <c r="G628" s="17"/>
    </row>
    <row r="629" spans="1:7" ht="15.5">
      <c r="B629" s="55" t="s">
        <v>162</v>
      </c>
      <c r="C629" s="62"/>
      <c r="D629" s="39"/>
      <c r="E629" s="39"/>
      <c r="F629" s="1"/>
      <c r="G629" s="17"/>
    </row>
    <row r="630" spans="1:7" ht="15.5">
      <c r="B630" s="55" t="s">
        <v>184</v>
      </c>
      <c r="C630" s="62"/>
      <c r="D630" s="39"/>
      <c r="E630" s="39"/>
      <c r="F630" s="1"/>
      <c r="G630" s="17"/>
    </row>
    <row r="631" spans="1:7" ht="56">
      <c r="A631" s="31" t="s">
        <v>179</v>
      </c>
      <c r="B631" s="32" t="s">
        <v>0</v>
      </c>
      <c r="C631" s="33" t="s">
        <v>41</v>
      </c>
      <c r="D631" s="33" t="s">
        <v>32</v>
      </c>
      <c r="E631" s="33" t="s">
        <v>186</v>
      </c>
      <c r="F631" s="33" t="s">
        <v>44</v>
      </c>
      <c r="G631" s="33" t="s">
        <v>14</v>
      </c>
    </row>
    <row r="632" spans="1:7" ht="42">
      <c r="A632" s="31">
        <v>1</v>
      </c>
      <c r="B632" s="46" t="s">
        <v>227</v>
      </c>
      <c r="C632" s="88">
        <v>0</v>
      </c>
      <c r="D632" s="45">
        <f>236000*2</f>
        <v>472000</v>
      </c>
      <c r="E632" s="15">
        <v>0</v>
      </c>
      <c r="F632" s="15">
        <v>0</v>
      </c>
      <c r="G632" s="16" t="s">
        <v>225</v>
      </c>
    </row>
    <row r="633" spans="1:7" ht="42">
      <c r="A633" s="31">
        <v>2</v>
      </c>
      <c r="B633" s="46" t="s">
        <v>226</v>
      </c>
      <c r="C633" s="88">
        <v>0</v>
      </c>
      <c r="D633" s="45">
        <v>20000</v>
      </c>
      <c r="E633" s="15">
        <v>0</v>
      </c>
      <c r="F633" s="15">
        <v>0</v>
      </c>
      <c r="G633" s="16" t="s">
        <v>237</v>
      </c>
    </row>
    <row r="634" spans="1:7" ht="26">
      <c r="A634" s="31">
        <v>3</v>
      </c>
      <c r="B634" s="48" t="s">
        <v>228</v>
      </c>
      <c r="C634" s="88">
        <v>0</v>
      </c>
      <c r="D634" s="45">
        <v>60000</v>
      </c>
      <c r="E634" s="15">
        <v>0</v>
      </c>
      <c r="F634" s="15">
        <v>0</v>
      </c>
      <c r="G634" s="13" t="s">
        <v>217</v>
      </c>
    </row>
    <row r="635" spans="1:7" ht="26">
      <c r="A635" s="31">
        <v>4</v>
      </c>
      <c r="B635" s="48" t="s">
        <v>229</v>
      </c>
      <c r="C635" s="71"/>
      <c r="D635" s="45">
        <v>5320784</v>
      </c>
      <c r="E635" s="15">
        <v>0</v>
      </c>
      <c r="F635" s="15">
        <v>442016</v>
      </c>
      <c r="G635" s="13" t="s">
        <v>29</v>
      </c>
    </row>
    <row r="636" spans="1:7" ht="26">
      <c r="A636" s="31">
        <v>5</v>
      </c>
      <c r="B636" s="48" t="s">
        <v>231</v>
      </c>
      <c r="C636" s="71">
        <v>0</v>
      </c>
      <c r="D636" s="45">
        <v>164778</v>
      </c>
      <c r="E636" s="15">
        <v>0</v>
      </c>
      <c r="F636" s="15">
        <v>1239975</v>
      </c>
      <c r="G636" s="8" t="s">
        <v>28</v>
      </c>
    </row>
    <row r="637" spans="1:7" ht="26">
      <c r="A637" s="31">
        <v>6</v>
      </c>
      <c r="B637" s="48" t="s">
        <v>235</v>
      </c>
      <c r="C637" s="71">
        <v>0</v>
      </c>
      <c r="D637" s="45">
        <v>136874601</v>
      </c>
      <c r="E637" s="45">
        <v>0</v>
      </c>
      <c r="F637" s="15">
        <v>0</v>
      </c>
      <c r="G637" s="8" t="s">
        <v>28</v>
      </c>
    </row>
    <row r="638" spans="1:7" ht="31">
      <c r="A638" s="31">
        <v>7</v>
      </c>
      <c r="B638" s="48" t="s">
        <v>236</v>
      </c>
      <c r="C638" s="71">
        <v>0</v>
      </c>
      <c r="D638" s="45">
        <v>45000</v>
      </c>
      <c r="E638" s="15">
        <v>0</v>
      </c>
      <c r="F638" s="15">
        <v>0</v>
      </c>
      <c r="G638" s="8" t="s">
        <v>238</v>
      </c>
    </row>
    <row r="639" spans="1:7" ht="15.5">
      <c r="A639" s="31">
        <v>8</v>
      </c>
      <c r="B639" s="48"/>
      <c r="C639" s="71"/>
      <c r="D639" s="45"/>
      <c r="E639" s="15"/>
      <c r="F639" s="15"/>
      <c r="G639" s="8"/>
    </row>
    <row r="640" spans="1:7" ht="26">
      <c r="A640" s="34"/>
      <c r="B640" s="42" t="s">
        <v>1</v>
      </c>
      <c r="C640" s="89">
        <f>SUM(C632:C639)</f>
        <v>0</v>
      </c>
      <c r="D640" s="35">
        <f>SUM(D632:D639)</f>
        <v>142957163</v>
      </c>
      <c r="E640" s="35">
        <f>SUM(E632:E639)</f>
        <v>0</v>
      </c>
      <c r="F640" s="58">
        <f>SUM(F632:F639)</f>
        <v>1681991</v>
      </c>
      <c r="G640" s="14"/>
    </row>
    <row r="641" spans="1:7" ht="15.5">
      <c r="B641" s="6" t="s">
        <v>10</v>
      </c>
      <c r="C641" s="39"/>
      <c r="D641" s="39"/>
      <c r="E641" s="1"/>
      <c r="F641" s="1"/>
      <c r="G641" s="17"/>
    </row>
    <row r="642" spans="1:7" ht="15">
      <c r="B642" s="49" t="s">
        <v>230</v>
      </c>
      <c r="C642" s="37"/>
      <c r="D642" s="37"/>
      <c r="E642" s="2"/>
      <c r="F642" s="2"/>
      <c r="G642" s="76"/>
    </row>
    <row r="643" spans="1:7" ht="15">
      <c r="B643" s="49"/>
      <c r="C643" s="37"/>
      <c r="D643" s="37"/>
      <c r="E643" s="2"/>
      <c r="F643" s="2"/>
      <c r="G643" s="76"/>
    </row>
    <row r="644" spans="1:7" ht="14.5">
      <c r="A644" s="10" t="s">
        <v>2</v>
      </c>
      <c r="B644" s="7"/>
      <c r="C644" s="7"/>
      <c r="D644" s="7"/>
      <c r="E644" s="90"/>
      <c r="F644" s="10" t="s">
        <v>3</v>
      </c>
      <c r="G644" s="10"/>
    </row>
    <row r="645" spans="1:7" ht="14.5">
      <c r="A645" s="7" t="s">
        <v>4</v>
      </c>
      <c r="B645" s="7"/>
      <c r="C645" s="11"/>
      <c r="D645" s="7"/>
      <c r="E645" s="90"/>
      <c r="F645" s="7" t="s">
        <v>7</v>
      </c>
      <c r="G645" s="7"/>
    </row>
    <row r="646" spans="1:7" ht="14.5">
      <c r="A646" s="11" t="s">
        <v>5</v>
      </c>
      <c r="B646" s="11"/>
      <c r="C646" s="11"/>
      <c r="D646" s="7"/>
      <c r="E646" s="90"/>
      <c r="F646" s="7" t="s">
        <v>8</v>
      </c>
      <c r="G646" s="7"/>
    </row>
    <row r="647" spans="1:7" ht="14.5">
      <c r="A647" s="11"/>
      <c r="B647" s="11"/>
      <c r="C647" s="90"/>
      <c r="D647" s="10" t="s">
        <v>6</v>
      </c>
      <c r="E647" s="11"/>
      <c r="F647" s="11"/>
      <c r="G647" s="11"/>
    </row>
    <row r="648" spans="1:7" ht="14.5">
      <c r="A648" s="90"/>
      <c r="B648" s="7"/>
      <c r="C648" s="90"/>
      <c r="D648" s="7" t="s">
        <v>15</v>
      </c>
      <c r="E648" s="10"/>
      <c r="F648" s="10"/>
      <c r="G648" s="10"/>
    </row>
    <row r="649" spans="1:7" ht="14.5">
      <c r="A649" s="90"/>
      <c r="B649" s="7"/>
      <c r="C649" s="90"/>
      <c r="D649" s="7" t="s">
        <v>9</v>
      </c>
      <c r="E649" s="10"/>
      <c r="F649" s="10"/>
      <c r="G649" s="10"/>
    </row>
    <row r="650" spans="1:7" ht="14.5">
      <c r="A650" s="90"/>
      <c r="B650" s="7"/>
      <c r="C650" s="90"/>
      <c r="D650" s="7"/>
      <c r="E650" s="10"/>
      <c r="F650" s="10"/>
      <c r="G650" s="10"/>
    </row>
    <row r="651" spans="1:7" ht="14.5">
      <c r="A651" s="90"/>
      <c r="B651" s="7"/>
      <c r="C651" s="90"/>
      <c r="D651" s="7"/>
      <c r="E651" s="10"/>
      <c r="F651" s="10"/>
      <c r="G651" s="10"/>
    </row>
    <row r="652" spans="1:7" ht="14.5">
      <c r="A652" s="90"/>
      <c r="B652" s="7"/>
      <c r="C652" s="90"/>
      <c r="D652" s="7"/>
      <c r="E652" s="10"/>
      <c r="F652" s="10"/>
      <c r="G652" s="10"/>
    </row>
    <row r="653" spans="1:7" ht="14.5">
      <c r="A653" s="90"/>
      <c r="B653" s="7"/>
      <c r="C653" s="90"/>
      <c r="D653" s="7"/>
      <c r="E653" s="10"/>
      <c r="F653" s="10"/>
      <c r="G653" s="10"/>
    </row>
    <row r="654" spans="1:7" ht="14.5">
      <c r="A654" s="90"/>
      <c r="B654" s="7"/>
      <c r="C654" s="90"/>
      <c r="D654" s="7"/>
      <c r="E654" s="10"/>
      <c r="F654" s="10"/>
      <c r="G654" s="10"/>
    </row>
    <row r="655" spans="1:7" ht="14.5">
      <c r="A655" s="90"/>
      <c r="B655" s="7"/>
      <c r="C655" s="90"/>
      <c r="D655" s="7"/>
      <c r="E655" s="10"/>
      <c r="F655" s="10"/>
      <c r="G655" s="10"/>
    </row>
    <row r="656" spans="1:7" ht="14.5">
      <c r="A656" s="90"/>
      <c r="B656" s="7"/>
      <c r="C656" s="90"/>
      <c r="D656" s="7"/>
      <c r="E656" s="10"/>
      <c r="F656" s="10"/>
      <c r="G656" s="10"/>
    </row>
    <row r="657" spans="1:7" ht="14.5">
      <c r="A657" s="90"/>
      <c r="B657" s="7"/>
      <c r="C657" s="90"/>
      <c r="D657" s="7"/>
      <c r="E657" s="10"/>
      <c r="F657" s="10"/>
      <c r="G657" s="10"/>
    </row>
    <row r="658" spans="1:7" ht="14.5">
      <c r="A658" s="90"/>
      <c r="B658" s="7"/>
      <c r="C658" s="90"/>
      <c r="D658" s="7"/>
      <c r="E658" s="10"/>
      <c r="F658" s="10"/>
      <c r="G658" s="10"/>
    </row>
    <row r="659" spans="1:7" ht="14.5">
      <c r="A659" s="90"/>
      <c r="B659" s="7"/>
      <c r="C659" s="90"/>
      <c r="D659" s="7"/>
      <c r="E659" s="10"/>
      <c r="F659" s="10"/>
      <c r="G659" s="10"/>
    </row>
    <row r="660" spans="1:7" ht="14.5">
      <c r="A660" s="90"/>
      <c r="B660" s="7"/>
      <c r="C660" s="90"/>
      <c r="D660" s="7"/>
      <c r="E660" s="10"/>
      <c r="F660" s="10"/>
      <c r="G660" s="10"/>
    </row>
    <row r="661" spans="1:7" ht="14.5">
      <c r="A661" s="90"/>
      <c r="B661" s="7"/>
      <c r="C661" s="90"/>
      <c r="D661" s="7"/>
      <c r="E661" s="10"/>
      <c r="F661" s="10"/>
      <c r="G661" s="10"/>
    </row>
    <row r="662" spans="1:7" ht="14.5">
      <c r="A662" s="90"/>
      <c r="B662" s="7"/>
      <c r="C662" s="90"/>
      <c r="D662" s="7"/>
      <c r="E662" s="10"/>
      <c r="F662" s="10"/>
      <c r="G662" s="10"/>
    </row>
    <row r="663" spans="1:7" ht="14.5">
      <c r="A663" s="90"/>
      <c r="B663" s="7"/>
      <c r="C663" s="90"/>
      <c r="D663" s="7"/>
      <c r="E663" s="10"/>
      <c r="F663" s="10"/>
      <c r="G663" s="10"/>
    </row>
    <row r="664" spans="1:7" ht="14.5">
      <c r="A664" s="90"/>
      <c r="B664" s="7"/>
      <c r="C664" s="90"/>
      <c r="D664" s="7"/>
      <c r="E664" s="10"/>
      <c r="F664" s="10"/>
      <c r="G664" s="10"/>
    </row>
    <row r="665" spans="1:7" ht="14.5">
      <c r="A665" s="90"/>
      <c r="B665" s="7"/>
      <c r="C665" s="90"/>
      <c r="D665" s="7"/>
      <c r="E665" s="10"/>
      <c r="F665" s="10"/>
      <c r="G665" s="10"/>
    </row>
    <row r="666" spans="1:7" ht="14.5">
      <c r="A666" s="90"/>
      <c r="B666" s="7"/>
      <c r="C666" s="90"/>
      <c r="D666" s="7"/>
      <c r="E666" s="10"/>
      <c r="F666" s="10"/>
      <c r="G666" s="10"/>
    </row>
    <row r="667" spans="1:7" ht="14.5">
      <c r="A667" s="90"/>
      <c r="B667" s="7"/>
      <c r="C667" s="90"/>
      <c r="D667" s="7"/>
      <c r="E667" s="10"/>
      <c r="F667" s="10"/>
      <c r="G667" s="10"/>
    </row>
    <row r="668" spans="1:7" ht="14.5">
      <c r="A668" s="90"/>
      <c r="B668" s="7"/>
      <c r="C668" s="90"/>
      <c r="D668" s="7"/>
      <c r="E668" s="10"/>
      <c r="F668" s="10"/>
      <c r="G668" s="10"/>
    </row>
    <row r="669" spans="1:7" ht="14.5">
      <c r="A669" s="90"/>
      <c r="B669" s="7"/>
      <c r="C669" s="90"/>
      <c r="D669" s="7"/>
      <c r="E669" s="10"/>
      <c r="F669" s="10"/>
      <c r="G669" s="10"/>
    </row>
    <row r="670" spans="1:7" ht="14.5">
      <c r="A670" s="90"/>
      <c r="B670" s="7"/>
      <c r="C670" s="90"/>
      <c r="D670" s="7"/>
      <c r="E670" s="10"/>
      <c r="F670" s="10"/>
      <c r="G670" s="10"/>
    </row>
    <row r="671" spans="1:7" ht="14.5">
      <c r="A671" s="90"/>
      <c r="B671" s="7"/>
      <c r="C671" s="90"/>
      <c r="D671" s="7"/>
      <c r="E671" s="10"/>
      <c r="F671" s="10"/>
      <c r="G671" s="10"/>
    </row>
    <row r="672" spans="1:7" ht="14.5">
      <c r="A672" s="90"/>
      <c r="B672" s="7"/>
      <c r="C672" s="90"/>
      <c r="D672" s="7"/>
      <c r="E672" s="10"/>
      <c r="F672" s="10"/>
      <c r="G672" s="10"/>
    </row>
    <row r="673" spans="1:7" ht="14.5">
      <c r="A673" s="90"/>
      <c r="B673" s="7"/>
      <c r="C673" s="90"/>
      <c r="D673" s="7"/>
      <c r="E673" s="10"/>
      <c r="F673" s="10"/>
      <c r="G673" s="10"/>
    </row>
    <row r="674" spans="1:7" ht="14.5">
      <c r="A674" s="90"/>
      <c r="B674" s="7"/>
      <c r="C674" s="90"/>
      <c r="D674" s="7"/>
      <c r="E674" s="10"/>
      <c r="F674" s="10"/>
      <c r="G674" s="10"/>
    </row>
    <row r="679" spans="1:7" ht="15.5">
      <c r="B679" s="1"/>
      <c r="C679" s="1"/>
      <c r="D679" s="1"/>
      <c r="E679" s="1"/>
      <c r="F679" s="1"/>
      <c r="G679" s="1"/>
    </row>
    <row r="680" spans="1:7" ht="15.5">
      <c r="B680" s="1"/>
      <c r="C680" s="1"/>
      <c r="D680" s="1"/>
      <c r="E680" s="1"/>
      <c r="F680" s="1"/>
      <c r="G680" s="1"/>
    </row>
    <row r="681" spans="1:7" ht="15.5">
      <c r="B681" s="55"/>
      <c r="C681" s="62"/>
      <c r="D681" s="39"/>
      <c r="E681" s="39"/>
      <c r="F681" s="1"/>
      <c r="G681" s="1"/>
    </row>
    <row r="682" spans="1:7" ht="15.5">
      <c r="B682" s="55" t="s">
        <v>17</v>
      </c>
      <c r="C682" s="62"/>
      <c r="D682" s="39"/>
      <c r="E682" s="39"/>
      <c r="F682" s="1"/>
      <c r="G682" s="1"/>
    </row>
    <row r="683" spans="1:7" ht="15.5">
      <c r="B683" s="55" t="s">
        <v>250</v>
      </c>
      <c r="C683" s="62"/>
      <c r="D683" s="39"/>
      <c r="E683" s="39"/>
      <c r="F683" s="1"/>
      <c r="G683" s="1"/>
    </row>
    <row r="684" spans="1:7" ht="15.5">
      <c r="B684" s="55" t="s">
        <v>80</v>
      </c>
      <c r="C684" s="62"/>
      <c r="D684" s="39"/>
      <c r="E684" s="39"/>
      <c r="F684" s="1"/>
      <c r="G684" s="1"/>
    </row>
    <row r="685" spans="1:7" ht="15.5">
      <c r="B685" s="55" t="s">
        <v>251</v>
      </c>
      <c r="C685" s="62"/>
      <c r="D685" s="39"/>
      <c r="E685" s="39"/>
      <c r="F685" s="1"/>
      <c r="G685" s="17"/>
    </row>
    <row r="686" spans="1:7" ht="15.5">
      <c r="B686" s="10" t="s">
        <v>45</v>
      </c>
      <c r="C686" s="62"/>
      <c r="D686" s="39"/>
      <c r="E686" s="39"/>
      <c r="F686" s="1"/>
      <c r="G686" s="77"/>
    </row>
    <row r="687" spans="1:7" ht="15.5">
      <c r="B687" s="55" t="s">
        <v>249</v>
      </c>
      <c r="C687" s="62"/>
      <c r="D687" s="39"/>
      <c r="E687" s="39"/>
      <c r="F687" s="1"/>
      <c r="G687" s="17"/>
    </row>
    <row r="688" spans="1:7" ht="15.5">
      <c r="B688" s="10" t="s">
        <v>52</v>
      </c>
      <c r="C688" s="62"/>
      <c r="D688" s="39"/>
      <c r="E688" s="39"/>
      <c r="F688" s="1"/>
      <c r="G688" s="17"/>
    </row>
    <row r="689" spans="1:7" ht="15.5">
      <c r="B689" s="55" t="s">
        <v>248</v>
      </c>
      <c r="C689" s="62"/>
      <c r="D689" s="39"/>
      <c r="E689" s="39"/>
      <c r="F689" s="1"/>
      <c r="G689" s="17"/>
    </row>
    <row r="690" spans="1:7" ht="15.5">
      <c r="B690" s="55" t="s">
        <v>46</v>
      </c>
      <c r="C690" s="62"/>
      <c r="D690" s="39"/>
      <c r="E690" s="39"/>
      <c r="F690" s="1"/>
      <c r="G690" s="17"/>
    </row>
    <row r="691" spans="1:7" ht="15.5">
      <c r="B691" s="55" t="s">
        <v>239</v>
      </c>
      <c r="C691" s="62"/>
      <c r="D691" s="39"/>
      <c r="E691" s="39"/>
      <c r="F691" s="1"/>
      <c r="G691" s="17"/>
    </row>
    <row r="692" spans="1:7" ht="15.5">
      <c r="B692" s="55" t="s">
        <v>162</v>
      </c>
      <c r="C692" s="62"/>
      <c r="D692" s="39"/>
      <c r="E692" s="39"/>
      <c r="F692" s="1"/>
      <c r="G692" s="17"/>
    </row>
    <row r="693" spans="1:7" ht="15.5">
      <c r="B693" s="55" t="s">
        <v>252</v>
      </c>
      <c r="C693" s="62"/>
      <c r="D693" s="39"/>
      <c r="E693" s="39"/>
      <c r="F693" s="1"/>
      <c r="G693" s="17"/>
    </row>
    <row r="694" spans="1:7" ht="56">
      <c r="A694" s="31" t="s">
        <v>179</v>
      </c>
      <c r="B694" s="32" t="s">
        <v>0</v>
      </c>
      <c r="C694" s="33" t="s">
        <v>41</v>
      </c>
      <c r="D694" s="33" t="s">
        <v>32</v>
      </c>
      <c r="E694" s="33" t="s">
        <v>186</v>
      </c>
      <c r="F694" s="33" t="s">
        <v>44</v>
      </c>
      <c r="G694" s="33" t="s">
        <v>14</v>
      </c>
    </row>
    <row r="695" spans="1:7" ht="39">
      <c r="A695" s="31">
        <v>1</v>
      </c>
      <c r="B695" s="46" t="s">
        <v>242</v>
      </c>
      <c r="C695" s="88">
        <v>0</v>
      </c>
      <c r="D695" s="45">
        <v>0</v>
      </c>
      <c r="E695" s="15">
        <v>416000</v>
      </c>
      <c r="F695" s="15">
        <v>0</v>
      </c>
      <c r="G695" s="16" t="s">
        <v>241</v>
      </c>
    </row>
    <row r="696" spans="1:7" ht="52">
      <c r="A696" s="31">
        <v>2</v>
      </c>
      <c r="B696" s="46" t="s">
        <v>243</v>
      </c>
      <c r="C696" s="88">
        <v>0</v>
      </c>
      <c r="D696" s="45">
        <v>0</v>
      </c>
      <c r="E696" s="15">
        <v>0</v>
      </c>
      <c r="F696" s="15">
        <v>2712500</v>
      </c>
      <c r="G696" s="16" t="s">
        <v>245</v>
      </c>
    </row>
    <row r="697" spans="1:7" ht="52">
      <c r="A697" s="31">
        <v>3</v>
      </c>
      <c r="B697" s="46" t="s">
        <v>244</v>
      </c>
      <c r="C697" s="88">
        <v>0</v>
      </c>
      <c r="D697" s="45">
        <v>0</v>
      </c>
      <c r="E697" s="15">
        <v>0</v>
      </c>
      <c r="F697" s="15">
        <v>5554500</v>
      </c>
      <c r="G697" s="13" t="s">
        <v>246</v>
      </c>
    </row>
    <row r="698" spans="1:7" ht="28">
      <c r="A698" s="31">
        <v>4</v>
      </c>
      <c r="B698" s="48" t="s">
        <v>247</v>
      </c>
      <c r="C698" s="71">
        <v>0</v>
      </c>
      <c r="D698" s="45">
        <v>0</v>
      </c>
      <c r="E698" s="15">
        <v>1950000</v>
      </c>
      <c r="F698" s="15">
        <v>0</v>
      </c>
      <c r="G698" s="13" t="s">
        <v>40</v>
      </c>
    </row>
    <row r="699" spans="1:7" ht="15.5">
      <c r="A699" s="31">
        <v>5</v>
      </c>
      <c r="B699" s="48"/>
      <c r="C699" s="71">
        <v>0</v>
      </c>
      <c r="D699" s="45">
        <v>0</v>
      </c>
      <c r="E699" s="15">
        <v>0</v>
      </c>
      <c r="F699" s="15">
        <v>0</v>
      </c>
      <c r="G699" s="8"/>
    </row>
    <row r="700" spans="1:7" ht="15.5">
      <c r="A700" s="31">
        <v>6</v>
      </c>
      <c r="B700" s="48"/>
      <c r="C700" s="71">
        <v>0</v>
      </c>
      <c r="D700" s="45">
        <v>0</v>
      </c>
      <c r="E700" s="45">
        <v>0</v>
      </c>
      <c r="F700" s="15">
        <v>0</v>
      </c>
      <c r="G700" s="8"/>
    </row>
    <row r="701" spans="1:7" ht="15.5">
      <c r="A701" s="31">
        <v>7</v>
      </c>
      <c r="B701" s="48"/>
      <c r="C701" s="71">
        <v>0</v>
      </c>
      <c r="D701" s="45">
        <v>0</v>
      </c>
      <c r="E701" s="15">
        <v>0</v>
      </c>
      <c r="F701" s="15">
        <v>0</v>
      </c>
      <c r="G701" s="8"/>
    </row>
    <row r="702" spans="1:7" ht="15.5">
      <c r="A702" s="31">
        <v>8</v>
      </c>
      <c r="B702" s="48"/>
      <c r="C702" s="71"/>
      <c r="D702" s="45"/>
      <c r="E702" s="15"/>
      <c r="F702" s="15"/>
      <c r="G702" s="8"/>
    </row>
    <row r="703" spans="1:7" ht="26">
      <c r="A703" s="34"/>
      <c r="B703" s="42" t="s">
        <v>1</v>
      </c>
      <c r="C703" s="89">
        <f>SUM(C695:C702)</f>
        <v>0</v>
      </c>
      <c r="D703" s="35">
        <f>SUM(D695:D702)</f>
        <v>0</v>
      </c>
      <c r="E703" s="35">
        <f>SUM(E695:E702)</f>
        <v>2366000</v>
      </c>
      <c r="F703" s="58">
        <f>SUM(F695:F702)</f>
        <v>8267000</v>
      </c>
      <c r="G703" s="14"/>
    </row>
    <row r="704" spans="1:7" ht="15.5">
      <c r="B704" s="6" t="s">
        <v>10</v>
      </c>
      <c r="C704" s="39"/>
      <c r="D704" s="39"/>
      <c r="E704" s="1"/>
      <c r="F704" s="1"/>
      <c r="G704" s="17"/>
    </row>
    <row r="705" spans="1:7" ht="15">
      <c r="B705" s="49" t="s">
        <v>253</v>
      </c>
      <c r="C705" s="37"/>
      <c r="D705" s="37"/>
      <c r="E705" s="2"/>
      <c r="F705" s="2"/>
      <c r="G705" s="76"/>
    </row>
    <row r="706" spans="1:7" ht="15">
      <c r="B706" s="49"/>
      <c r="C706" s="37"/>
      <c r="D706" s="37"/>
      <c r="E706" s="2"/>
      <c r="F706" s="2"/>
      <c r="G706" s="76"/>
    </row>
    <row r="707" spans="1:7" ht="14.5">
      <c r="A707" s="10" t="s">
        <v>2</v>
      </c>
      <c r="B707" s="7"/>
      <c r="C707" s="7"/>
      <c r="D707" s="7"/>
      <c r="E707" s="90"/>
      <c r="F707" s="10" t="s">
        <v>3</v>
      </c>
      <c r="G707" s="10"/>
    </row>
    <row r="708" spans="1:7" ht="14.5">
      <c r="A708" s="7" t="s">
        <v>4</v>
      </c>
      <c r="B708" s="7"/>
      <c r="C708" s="11"/>
      <c r="D708" s="7"/>
      <c r="E708" s="90"/>
      <c r="F708" s="7" t="s">
        <v>7</v>
      </c>
      <c r="G708" s="7"/>
    </row>
    <row r="709" spans="1:7" ht="14.5">
      <c r="A709" s="11" t="s">
        <v>5</v>
      </c>
      <c r="B709" s="11"/>
      <c r="C709" s="11"/>
      <c r="D709" s="7"/>
      <c r="E709" s="90"/>
      <c r="F709" s="7" t="s">
        <v>8</v>
      </c>
      <c r="G709" s="7"/>
    </row>
    <row r="710" spans="1:7" ht="14.5">
      <c r="A710" s="11"/>
      <c r="B710" s="11"/>
      <c r="C710" s="90"/>
      <c r="D710" s="10" t="s">
        <v>6</v>
      </c>
      <c r="E710" s="11"/>
      <c r="F710" s="11"/>
      <c r="G710" s="11"/>
    </row>
    <row r="711" spans="1:7" ht="14.5">
      <c r="A711" s="90"/>
      <c r="B711" s="7"/>
      <c r="C711" s="90"/>
      <c r="D711" s="7" t="s">
        <v>15</v>
      </c>
      <c r="E711" s="10"/>
      <c r="F711" s="10"/>
      <c r="G711" s="10"/>
    </row>
    <row r="712" spans="1:7" ht="14.5">
      <c r="A712" s="90"/>
      <c r="B712" s="7"/>
      <c r="C712" s="90"/>
      <c r="D712" s="7" t="s">
        <v>9</v>
      </c>
      <c r="E712" s="10"/>
      <c r="F712" s="10"/>
      <c r="G712" s="10"/>
    </row>
    <row r="718" spans="1:7" ht="15.5">
      <c r="B718" s="1"/>
      <c r="C718" s="1"/>
      <c r="D718" s="1"/>
      <c r="E718" s="1"/>
      <c r="F718" s="1"/>
      <c r="G718" s="1"/>
    </row>
    <row r="719" spans="1:7" ht="15.5">
      <c r="B719" s="1"/>
      <c r="C719" s="1"/>
      <c r="D719" s="1"/>
      <c r="E719" s="1"/>
      <c r="F719" s="1"/>
      <c r="G719" s="1"/>
    </row>
    <row r="720" spans="1:7" ht="15.5">
      <c r="B720" s="55"/>
      <c r="C720" s="62"/>
      <c r="D720" s="39"/>
      <c r="E720" s="39"/>
      <c r="F720" s="1"/>
      <c r="G720" s="1"/>
    </row>
    <row r="721" spans="1:7" ht="15.5">
      <c r="B721" s="55" t="s">
        <v>265</v>
      </c>
      <c r="C721" s="62"/>
      <c r="D721" s="39"/>
      <c r="E721" s="39"/>
      <c r="F721" s="1"/>
      <c r="G721" s="1"/>
    </row>
    <row r="722" spans="1:7" ht="15.5">
      <c r="B722" s="55" t="s">
        <v>269</v>
      </c>
      <c r="C722" s="62"/>
      <c r="D722" s="39"/>
      <c r="E722" s="39"/>
      <c r="F722" s="1"/>
      <c r="G722" s="1"/>
    </row>
    <row r="723" spans="1:7" ht="15.5">
      <c r="B723" s="55" t="s">
        <v>266</v>
      </c>
      <c r="C723" s="62"/>
      <c r="D723" s="39"/>
      <c r="E723" s="39"/>
      <c r="F723" s="1"/>
      <c r="G723" s="1"/>
    </row>
    <row r="724" spans="1:7" ht="15.5">
      <c r="B724" s="55" t="s">
        <v>268</v>
      </c>
      <c r="C724" s="62"/>
      <c r="D724" s="39"/>
      <c r="E724" s="39"/>
      <c r="F724" s="1"/>
      <c r="G724" s="17"/>
    </row>
    <row r="725" spans="1:7" ht="15.5">
      <c r="B725" s="10" t="s">
        <v>45</v>
      </c>
      <c r="C725" s="62"/>
      <c r="D725" s="39"/>
      <c r="E725" s="39"/>
      <c r="F725" s="1"/>
      <c r="G725" s="77"/>
    </row>
    <row r="726" spans="1:7" ht="15.5">
      <c r="B726" s="55" t="s">
        <v>267</v>
      </c>
      <c r="C726" s="62"/>
      <c r="D726" s="39"/>
      <c r="E726" s="39"/>
      <c r="F726" s="1"/>
      <c r="G726" s="17"/>
    </row>
    <row r="727" spans="1:7" ht="15.5">
      <c r="B727" s="10" t="s">
        <v>52</v>
      </c>
      <c r="C727" s="62"/>
      <c r="D727" s="39"/>
      <c r="E727" s="39"/>
      <c r="F727" s="1"/>
      <c r="G727" s="17"/>
    </row>
    <row r="728" spans="1:7" ht="15.5">
      <c r="B728" s="55" t="s">
        <v>264</v>
      </c>
      <c r="C728" s="62"/>
      <c r="D728" s="39"/>
      <c r="E728" s="39"/>
      <c r="F728" s="1"/>
      <c r="G728" s="17"/>
    </row>
    <row r="729" spans="1:7" ht="15.5">
      <c r="B729" s="55" t="s">
        <v>46</v>
      </c>
      <c r="C729" s="62"/>
      <c r="D729" s="39"/>
      <c r="E729" s="39"/>
      <c r="F729" s="1"/>
      <c r="G729" s="17"/>
    </row>
    <row r="730" spans="1:7" ht="15.5">
      <c r="B730" s="55" t="s">
        <v>271</v>
      </c>
      <c r="C730" s="62"/>
      <c r="D730" s="39"/>
      <c r="E730" s="39"/>
      <c r="F730" s="1"/>
      <c r="G730" s="17"/>
    </row>
    <row r="731" spans="1:7" ht="15.5">
      <c r="B731" s="55" t="s">
        <v>162</v>
      </c>
      <c r="C731" s="62"/>
      <c r="D731" s="39"/>
      <c r="E731" s="39"/>
      <c r="F731" s="1"/>
      <c r="G731" s="17"/>
    </row>
    <row r="732" spans="1:7" ht="15.5">
      <c r="B732" s="55" t="s">
        <v>270</v>
      </c>
      <c r="C732" s="62"/>
      <c r="D732" s="39"/>
      <c r="E732" s="39"/>
      <c r="F732" s="1"/>
      <c r="G732" s="17"/>
    </row>
    <row r="733" spans="1:7" ht="56">
      <c r="A733" s="31" t="s">
        <v>179</v>
      </c>
      <c r="B733" s="32" t="s">
        <v>0</v>
      </c>
      <c r="C733" s="33" t="s">
        <v>41</v>
      </c>
      <c r="D733" s="33" t="s">
        <v>32</v>
      </c>
      <c r="E733" s="33" t="s">
        <v>186</v>
      </c>
      <c r="F733" s="33" t="s">
        <v>44</v>
      </c>
      <c r="G733" s="33" t="s">
        <v>14</v>
      </c>
    </row>
    <row r="734" spans="1:7" ht="26">
      <c r="A734" s="31">
        <v>1</v>
      </c>
      <c r="B734" s="46" t="s">
        <v>263</v>
      </c>
      <c r="C734" s="88">
        <v>9824701</v>
      </c>
      <c r="D734" s="45">
        <v>0</v>
      </c>
      <c r="E734" s="15">
        <v>0</v>
      </c>
      <c r="F734" s="15">
        <v>864484</v>
      </c>
      <c r="G734" s="16" t="s">
        <v>11</v>
      </c>
    </row>
    <row r="735" spans="1:7" ht="26">
      <c r="A735" s="31">
        <v>2</v>
      </c>
      <c r="B735" s="46" t="s">
        <v>254</v>
      </c>
      <c r="C735" s="88">
        <v>0</v>
      </c>
      <c r="D735" s="45">
        <v>630000</v>
      </c>
      <c r="E735" s="15">
        <v>0</v>
      </c>
      <c r="F735" s="15">
        <v>0</v>
      </c>
      <c r="G735" s="16" t="s">
        <v>11</v>
      </c>
    </row>
    <row r="736" spans="1:7" ht="26">
      <c r="A736" s="31">
        <v>3</v>
      </c>
      <c r="B736" s="46" t="s">
        <v>255</v>
      </c>
      <c r="C736" s="88">
        <v>0</v>
      </c>
      <c r="D736" s="45">
        <v>3752874</v>
      </c>
      <c r="E736" s="15">
        <v>0</v>
      </c>
      <c r="F736" s="15">
        <v>0</v>
      </c>
      <c r="G736" s="13" t="s">
        <v>28</v>
      </c>
    </row>
    <row r="737" spans="1:7" ht="39">
      <c r="A737" s="31">
        <v>4</v>
      </c>
      <c r="B737" s="48" t="s">
        <v>257</v>
      </c>
      <c r="C737" s="71">
        <v>0</v>
      </c>
      <c r="D737" s="45">
        <v>270000</v>
      </c>
      <c r="E737" s="15">
        <v>0</v>
      </c>
      <c r="F737" s="15">
        <v>0</v>
      </c>
      <c r="G737" s="13" t="s">
        <v>259</v>
      </c>
    </row>
    <row r="738" spans="1:7" ht="31">
      <c r="A738" s="31">
        <v>5</v>
      </c>
      <c r="B738" s="48" t="s">
        <v>258</v>
      </c>
      <c r="C738" s="71">
        <v>0</v>
      </c>
      <c r="D738" s="45">
        <v>150000</v>
      </c>
      <c r="E738" s="15">
        <v>0</v>
      </c>
      <c r="F738" s="15">
        <v>0</v>
      </c>
      <c r="G738" s="8" t="s">
        <v>33</v>
      </c>
    </row>
    <row r="739" spans="1:7" ht="26">
      <c r="A739" s="31">
        <v>6</v>
      </c>
      <c r="B739" s="48" t="s">
        <v>260</v>
      </c>
      <c r="C739" s="71">
        <v>0</v>
      </c>
      <c r="D739" s="45">
        <v>0</v>
      </c>
      <c r="E739" s="45">
        <v>0</v>
      </c>
      <c r="F739" s="15">
        <f>833175+406375</f>
        <v>1239550</v>
      </c>
      <c r="G739" s="8" t="s">
        <v>28</v>
      </c>
    </row>
    <row r="740" spans="1:7" ht="39">
      <c r="A740" s="31">
        <v>7</v>
      </c>
      <c r="B740" s="48" t="s">
        <v>261</v>
      </c>
      <c r="C740" s="71">
        <v>0</v>
      </c>
      <c r="D740" s="45">
        <v>0</v>
      </c>
      <c r="E740" s="15">
        <v>0</v>
      </c>
      <c r="F740" s="15">
        <v>442016</v>
      </c>
      <c r="G740" s="8" t="s">
        <v>262</v>
      </c>
    </row>
    <row r="741" spans="1:7" ht="15.5">
      <c r="A741" s="31">
        <v>8</v>
      </c>
      <c r="B741" s="48"/>
      <c r="C741" s="71"/>
      <c r="D741" s="45"/>
      <c r="E741" s="15"/>
      <c r="F741" s="15"/>
      <c r="G741" s="8"/>
    </row>
    <row r="742" spans="1:7" ht="26">
      <c r="A742" s="34"/>
      <c r="B742" s="42" t="s">
        <v>1</v>
      </c>
      <c r="C742" s="89">
        <f>SUM(C734:C741)</f>
        <v>9824701</v>
      </c>
      <c r="D742" s="35">
        <f>SUM(D734:D741)</f>
        <v>4802874</v>
      </c>
      <c r="E742" s="35">
        <v>0</v>
      </c>
      <c r="F742" s="58">
        <f>SUM(F734:F741)</f>
        <v>2546050</v>
      </c>
      <c r="G742" s="14"/>
    </row>
    <row r="743" spans="1:7" ht="15.5">
      <c r="B743" s="6" t="s">
        <v>10</v>
      </c>
      <c r="C743" s="39"/>
      <c r="D743" s="39"/>
      <c r="E743" s="1"/>
      <c r="F743" s="1"/>
      <c r="G743" s="17"/>
    </row>
    <row r="744" spans="1:7" ht="15">
      <c r="B744" s="49" t="s">
        <v>256</v>
      </c>
      <c r="C744" s="37"/>
      <c r="D744" s="37"/>
      <c r="E744" s="2"/>
      <c r="F744" s="2"/>
      <c r="G744" s="76"/>
    </row>
    <row r="745" spans="1:7" ht="15">
      <c r="B745" s="49"/>
      <c r="C745" s="37"/>
      <c r="D745" s="37"/>
      <c r="E745" s="2"/>
      <c r="F745" s="2"/>
      <c r="G745" s="76"/>
    </row>
    <row r="746" spans="1:7" ht="14.5">
      <c r="A746" s="10" t="s">
        <v>2</v>
      </c>
      <c r="B746" s="7"/>
      <c r="C746" s="7"/>
      <c r="D746" s="7"/>
      <c r="E746" s="90"/>
      <c r="F746" s="10" t="s">
        <v>3</v>
      </c>
      <c r="G746" s="10"/>
    </row>
    <row r="747" spans="1:7" ht="14.5">
      <c r="A747" s="7" t="s">
        <v>4</v>
      </c>
      <c r="B747" s="7"/>
      <c r="C747" s="11"/>
      <c r="D747" s="7"/>
      <c r="E747" s="90"/>
      <c r="F747" s="7" t="s">
        <v>7</v>
      </c>
      <c r="G747" s="7"/>
    </row>
    <row r="748" spans="1:7" ht="14.5">
      <c r="A748" s="11" t="s">
        <v>5</v>
      </c>
      <c r="B748" s="11"/>
      <c r="C748" s="11"/>
      <c r="D748" s="7"/>
      <c r="E748" s="90"/>
      <c r="F748" s="7" t="s">
        <v>8</v>
      </c>
      <c r="G748" s="7"/>
    </row>
    <row r="749" spans="1:7" ht="14.5">
      <c r="A749" s="11"/>
      <c r="B749" s="11"/>
      <c r="C749" s="90"/>
      <c r="D749" s="10" t="s">
        <v>6</v>
      </c>
      <c r="E749" s="11"/>
      <c r="F749" s="11"/>
      <c r="G749" s="11"/>
    </row>
    <row r="750" spans="1:7" ht="14.5">
      <c r="A750" s="90"/>
      <c r="B750" s="7"/>
      <c r="C750" s="90"/>
      <c r="D750" s="7" t="s">
        <v>15</v>
      </c>
      <c r="E750" s="10"/>
      <c r="F750" s="10"/>
      <c r="G750" s="10"/>
    </row>
    <row r="751" spans="1:7" ht="14.5">
      <c r="A751" s="90"/>
      <c r="B751" s="7"/>
      <c r="C751" s="90"/>
      <c r="D751" s="7" t="s">
        <v>9</v>
      </c>
      <c r="E751" s="10"/>
      <c r="F751" s="10"/>
      <c r="G751" s="10"/>
    </row>
    <row r="754" spans="2:7" ht="15.5">
      <c r="B754" s="1"/>
      <c r="C754" s="1"/>
      <c r="D754" s="1"/>
      <c r="E754" s="1"/>
      <c r="F754" s="1"/>
      <c r="G754" s="1"/>
    </row>
    <row r="755" spans="2:7" ht="15.5">
      <c r="B755" s="1"/>
      <c r="C755" s="1"/>
      <c r="D755" s="1"/>
      <c r="E755" s="1"/>
      <c r="F755" s="1"/>
      <c r="G755" s="1"/>
    </row>
    <row r="756" spans="2:7" ht="15.5">
      <c r="B756" s="55"/>
      <c r="C756" s="62"/>
      <c r="D756" s="39"/>
      <c r="E756" s="39"/>
      <c r="F756" s="1"/>
      <c r="G756" s="1"/>
    </row>
    <row r="757" spans="2:7" ht="15.5">
      <c r="B757" s="55" t="s">
        <v>265</v>
      </c>
      <c r="C757" s="62"/>
      <c r="D757" s="39"/>
      <c r="E757" s="39"/>
      <c r="F757" s="1"/>
      <c r="G757" s="1"/>
    </row>
    <row r="758" spans="2:7" ht="15.5">
      <c r="B758" s="55" t="s">
        <v>280</v>
      </c>
      <c r="C758" s="62"/>
      <c r="D758" s="39"/>
      <c r="E758" s="39"/>
      <c r="F758" s="1"/>
      <c r="G758" s="1"/>
    </row>
    <row r="759" spans="2:7" ht="15.5">
      <c r="B759" s="55" t="s">
        <v>266</v>
      </c>
      <c r="C759" s="62"/>
      <c r="D759" s="39"/>
      <c r="E759" s="39"/>
      <c r="F759" s="1"/>
      <c r="G759" s="1"/>
    </row>
    <row r="760" spans="2:7" ht="15.5">
      <c r="B760" s="55" t="s">
        <v>281</v>
      </c>
      <c r="C760" s="62"/>
      <c r="D760" s="39"/>
      <c r="E760" s="39"/>
      <c r="F760" s="1"/>
      <c r="G760" s="17"/>
    </row>
    <row r="761" spans="2:7" ht="15.5">
      <c r="B761" s="10" t="s">
        <v>45</v>
      </c>
      <c r="C761" s="62"/>
      <c r="D761" s="39"/>
      <c r="E761" s="39"/>
      <c r="F761" s="1"/>
      <c r="G761" s="77"/>
    </row>
    <row r="762" spans="2:7" ht="15.5">
      <c r="B762" s="55" t="s">
        <v>286</v>
      </c>
      <c r="C762" s="62"/>
      <c r="D762" s="39"/>
      <c r="E762" s="39"/>
      <c r="F762" s="1"/>
      <c r="G762" s="17"/>
    </row>
    <row r="763" spans="2:7" ht="15.5">
      <c r="B763" s="10" t="s">
        <v>52</v>
      </c>
      <c r="C763" s="62"/>
      <c r="D763" s="39"/>
      <c r="E763" s="39"/>
      <c r="F763" s="1"/>
      <c r="G763" s="17"/>
    </row>
    <row r="764" spans="2:7" ht="15.5">
      <c r="B764" s="55" t="s">
        <v>284</v>
      </c>
      <c r="C764" s="62"/>
      <c r="D764" s="39"/>
      <c r="E764" s="39"/>
      <c r="F764" s="1"/>
      <c r="G764" s="17"/>
    </row>
    <row r="765" spans="2:7" ht="15.5">
      <c r="B765" s="55" t="s">
        <v>46</v>
      </c>
      <c r="C765" s="62"/>
      <c r="D765" s="39"/>
      <c r="E765" s="39"/>
      <c r="F765" s="1"/>
      <c r="G765" s="17"/>
    </row>
    <row r="766" spans="2:7" ht="15.5">
      <c r="B766" s="55" t="s">
        <v>283</v>
      </c>
      <c r="C766" s="62"/>
      <c r="D766" s="39"/>
      <c r="E766" s="39"/>
      <c r="F766" s="1"/>
      <c r="G766" s="17"/>
    </row>
    <row r="767" spans="2:7" ht="15.5">
      <c r="B767" s="55" t="s">
        <v>162</v>
      </c>
      <c r="C767" s="62"/>
      <c r="D767" s="39"/>
      <c r="E767" s="39"/>
      <c r="F767" s="1"/>
      <c r="G767" s="17"/>
    </row>
    <row r="768" spans="2:7" ht="15.5">
      <c r="B768" s="55" t="s">
        <v>282</v>
      </c>
      <c r="C768" s="62"/>
      <c r="D768" s="39"/>
      <c r="E768" s="39"/>
      <c r="F768" s="1"/>
      <c r="G768" s="17"/>
    </row>
    <row r="769" spans="1:7" ht="42">
      <c r="A769" s="31" t="s">
        <v>179</v>
      </c>
      <c r="B769" s="32" t="s">
        <v>0</v>
      </c>
      <c r="C769" s="33" t="s">
        <v>41</v>
      </c>
      <c r="D769" s="33" t="s">
        <v>32</v>
      </c>
      <c r="E769" s="33" t="s">
        <v>278</v>
      </c>
      <c r="F769" s="33" t="s">
        <v>44</v>
      </c>
      <c r="G769" s="33" t="s">
        <v>14</v>
      </c>
    </row>
    <row r="770" spans="1:7" ht="26">
      <c r="A770" s="31">
        <v>1</v>
      </c>
      <c r="B770" s="46" t="s">
        <v>273</v>
      </c>
      <c r="C770" s="88">
        <v>0</v>
      </c>
      <c r="D770" s="45">
        <v>400000</v>
      </c>
      <c r="E770" s="15">
        <v>0</v>
      </c>
      <c r="F770" s="15">
        <v>0</v>
      </c>
      <c r="G770" s="16" t="s">
        <v>11</v>
      </c>
    </row>
    <row r="771" spans="1:7" ht="52">
      <c r="A771" s="31">
        <v>2</v>
      </c>
      <c r="B771" s="46" t="s">
        <v>275</v>
      </c>
      <c r="C771" s="88">
        <v>0</v>
      </c>
      <c r="D771" s="45">
        <v>90000</v>
      </c>
      <c r="E771" s="15">
        <v>0</v>
      </c>
      <c r="F771" s="15">
        <v>0</v>
      </c>
      <c r="G771" s="13" t="s">
        <v>277</v>
      </c>
    </row>
    <row r="772" spans="1:7" ht="42">
      <c r="A772" s="31">
        <v>3</v>
      </c>
      <c r="B772" s="48" t="s">
        <v>276</v>
      </c>
      <c r="C772" s="71">
        <v>0</v>
      </c>
      <c r="D772" s="45">
        <v>340000</v>
      </c>
      <c r="E772" s="15">
        <v>0</v>
      </c>
      <c r="F772" s="15">
        <v>0</v>
      </c>
      <c r="G772" s="13" t="s">
        <v>279</v>
      </c>
    </row>
    <row r="773" spans="1:7" ht="39">
      <c r="A773" s="31">
        <v>4</v>
      </c>
      <c r="B773" s="48" t="s">
        <v>285</v>
      </c>
      <c r="C773" s="71">
        <v>0</v>
      </c>
      <c r="D773" s="45">
        <f>274820*60%</f>
        <v>164892</v>
      </c>
      <c r="E773" s="15">
        <v>0</v>
      </c>
      <c r="F773" s="15">
        <v>0</v>
      </c>
      <c r="G773" s="8" t="s">
        <v>287</v>
      </c>
    </row>
    <row r="774" spans="1:7" ht="46.5">
      <c r="A774" s="31">
        <v>5</v>
      </c>
      <c r="B774" s="48" t="s">
        <v>288</v>
      </c>
      <c r="C774" s="71">
        <v>0</v>
      </c>
      <c r="D774" s="45">
        <v>236000</v>
      </c>
      <c r="E774" s="45">
        <v>0</v>
      </c>
      <c r="F774" s="15">
        <v>0</v>
      </c>
      <c r="G774" s="8" t="s">
        <v>30</v>
      </c>
    </row>
    <row r="775" spans="1:7" ht="26">
      <c r="A775" s="34"/>
      <c r="B775" s="42" t="s">
        <v>1</v>
      </c>
      <c r="C775" s="89">
        <f>SUM(C770:C774)</f>
        <v>0</v>
      </c>
      <c r="D775" s="35">
        <f>SUM(D770:D774)</f>
        <v>1230892</v>
      </c>
      <c r="E775" s="35">
        <f>SUM(E770:E774)</f>
        <v>0</v>
      </c>
      <c r="F775" s="58">
        <f>SUM(F770:F774)</f>
        <v>0</v>
      </c>
      <c r="G775" s="14"/>
    </row>
    <row r="776" spans="1:7" ht="15.5">
      <c r="B776" s="6" t="s">
        <v>10</v>
      </c>
      <c r="C776" s="39"/>
      <c r="D776" s="39"/>
      <c r="E776" s="1"/>
      <c r="F776" s="1"/>
      <c r="G776" s="17"/>
    </row>
    <row r="777" spans="1:7" ht="15">
      <c r="B777" s="49" t="s">
        <v>274</v>
      </c>
      <c r="C777" s="37"/>
      <c r="D777" s="37"/>
      <c r="E777" s="2"/>
      <c r="F777" s="2"/>
      <c r="G777" s="76"/>
    </row>
    <row r="778" spans="1:7" ht="15">
      <c r="B778" s="49"/>
      <c r="C778" s="37"/>
      <c r="D778" s="37"/>
      <c r="E778" s="2"/>
      <c r="F778" s="2"/>
      <c r="G778" s="76"/>
    </row>
    <row r="779" spans="1:7" ht="14.5">
      <c r="A779" s="10" t="s">
        <v>2</v>
      </c>
      <c r="B779" s="7"/>
      <c r="C779" s="7"/>
      <c r="D779" s="7"/>
      <c r="E779" s="90"/>
      <c r="F779" s="10" t="s">
        <v>3</v>
      </c>
      <c r="G779" s="10"/>
    </row>
    <row r="780" spans="1:7" ht="14.5">
      <c r="A780" s="7" t="s">
        <v>4</v>
      </c>
      <c r="B780" s="7"/>
      <c r="C780" s="11"/>
      <c r="D780" s="7"/>
      <c r="E780" s="90"/>
      <c r="F780" s="7" t="s">
        <v>7</v>
      </c>
      <c r="G780" s="7"/>
    </row>
    <row r="781" spans="1:7" ht="14.5">
      <c r="A781" s="11" t="s">
        <v>5</v>
      </c>
      <c r="B781" s="11"/>
      <c r="C781" s="11"/>
      <c r="D781" s="7"/>
      <c r="E781" s="90"/>
      <c r="F781" s="7" t="s">
        <v>8</v>
      </c>
      <c r="G781" s="7"/>
    </row>
    <row r="782" spans="1:7" ht="14.5">
      <c r="A782" s="11"/>
      <c r="B782" s="11"/>
      <c r="C782" s="90"/>
      <c r="D782" s="10" t="s">
        <v>6</v>
      </c>
      <c r="E782" s="11"/>
      <c r="F782" s="11"/>
      <c r="G782" s="11"/>
    </row>
    <row r="783" spans="1:7" ht="14.5">
      <c r="A783" s="90"/>
      <c r="B783" s="7"/>
      <c r="C783" s="90"/>
      <c r="D783" s="7" t="s">
        <v>15</v>
      </c>
      <c r="E783" s="10"/>
      <c r="F783" s="10"/>
      <c r="G783" s="10"/>
    </row>
    <row r="784" spans="1:7" ht="14.5">
      <c r="A784" s="90"/>
      <c r="B784" s="7"/>
      <c r="C784" s="90"/>
      <c r="D784" s="7" t="s">
        <v>9</v>
      </c>
      <c r="E784" s="10"/>
      <c r="F784" s="10"/>
      <c r="G784" s="10"/>
    </row>
    <row r="785" spans="1:7" ht="14.5">
      <c r="A785" s="90"/>
      <c r="B785" s="7"/>
      <c r="C785" s="90"/>
      <c r="D785" s="7"/>
      <c r="E785" s="10"/>
      <c r="F785" s="10"/>
      <c r="G785" s="10"/>
    </row>
    <row r="786" spans="1:7" ht="14.5">
      <c r="A786" s="90"/>
      <c r="B786" s="7"/>
      <c r="C786" s="90"/>
      <c r="D786" s="7"/>
      <c r="E786" s="10"/>
      <c r="F786" s="10"/>
      <c r="G786" s="10"/>
    </row>
    <row r="787" spans="1:7" ht="14.5">
      <c r="A787" s="90"/>
      <c r="B787" s="7"/>
      <c r="C787" s="90"/>
      <c r="D787" s="7"/>
      <c r="E787" s="10"/>
      <c r="F787" s="10"/>
      <c r="G787" s="10"/>
    </row>
    <row r="793" spans="1:7" ht="15.5">
      <c r="B793" s="1"/>
      <c r="C793" s="1"/>
      <c r="D793" s="1"/>
      <c r="E793" s="1"/>
      <c r="F793" s="1"/>
      <c r="G793" s="1"/>
    </row>
    <row r="794" spans="1:7" ht="15.5">
      <c r="B794" s="1"/>
      <c r="C794" s="1"/>
      <c r="D794" s="1"/>
      <c r="E794" s="1"/>
      <c r="F794" s="1"/>
      <c r="G794" s="1"/>
    </row>
    <row r="795" spans="1:7" ht="15.5">
      <c r="B795" s="55"/>
      <c r="C795" s="62"/>
      <c r="D795" s="39"/>
      <c r="E795" s="39"/>
      <c r="F795" s="1"/>
      <c r="G795" s="1"/>
    </row>
    <row r="796" spans="1:7" ht="15.5">
      <c r="B796" s="55" t="s">
        <v>265</v>
      </c>
      <c r="C796" s="62"/>
      <c r="D796" s="39"/>
      <c r="E796" s="39"/>
      <c r="F796" s="1"/>
      <c r="G796" s="1"/>
    </row>
    <row r="797" spans="1:7" ht="15.5">
      <c r="B797" s="55" t="s">
        <v>280</v>
      </c>
      <c r="C797" s="62"/>
      <c r="D797" s="39"/>
      <c r="E797" s="39"/>
      <c r="F797" s="1"/>
      <c r="G797" s="1"/>
    </row>
    <row r="798" spans="1:7" ht="15.5">
      <c r="B798" s="55" t="s">
        <v>266</v>
      </c>
      <c r="C798" s="62"/>
      <c r="D798" s="39"/>
      <c r="E798" s="39"/>
      <c r="F798" s="1"/>
      <c r="G798" s="1"/>
    </row>
    <row r="799" spans="1:7" ht="15.5">
      <c r="B799" s="55" t="s">
        <v>293</v>
      </c>
      <c r="C799" s="62"/>
      <c r="D799" s="39"/>
      <c r="E799" s="39"/>
      <c r="F799" s="1"/>
      <c r="G799" s="17"/>
    </row>
    <row r="800" spans="1:7" ht="15.5">
      <c r="B800" s="10" t="s">
        <v>45</v>
      </c>
      <c r="C800" s="62"/>
      <c r="D800" s="39"/>
      <c r="E800" s="39"/>
      <c r="F800" s="1"/>
      <c r="G800" s="77"/>
    </row>
    <row r="801" spans="1:7" ht="15.5">
      <c r="B801" s="55" t="s">
        <v>296</v>
      </c>
      <c r="C801" s="62"/>
      <c r="D801" s="39"/>
      <c r="E801" s="39"/>
      <c r="F801" s="1"/>
      <c r="G801" s="17"/>
    </row>
    <row r="802" spans="1:7" ht="15.5">
      <c r="B802" s="10" t="s">
        <v>52</v>
      </c>
      <c r="C802" s="62"/>
      <c r="D802" s="39"/>
      <c r="E802" s="39"/>
      <c r="F802" s="1"/>
      <c r="G802" s="17"/>
    </row>
    <row r="803" spans="1:7" ht="15.5">
      <c r="B803" s="55" t="s">
        <v>284</v>
      </c>
      <c r="C803" s="62"/>
      <c r="D803" s="39"/>
      <c r="E803" s="39"/>
      <c r="F803" s="1"/>
      <c r="G803" s="17"/>
    </row>
    <row r="804" spans="1:7" ht="15.5">
      <c r="B804" s="55" t="s">
        <v>46</v>
      </c>
      <c r="C804" s="62"/>
      <c r="D804" s="39"/>
      <c r="E804" s="39"/>
      <c r="F804" s="1"/>
      <c r="G804" s="17"/>
    </row>
    <row r="805" spans="1:7" ht="15.5">
      <c r="B805" s="55" t="s">
        <v>294</v>
      </c>
      <c r="C805" s="62"/>
      <c r="D805" s="39"/>
      <c r="E805" s="39"/>
      <c r="F805" s="1"/>
      <c r="G805" s="17"/>
    </row>
    <row r="806" spans="1:7" ht="15.5">
      <c r="B806" s="55" t="s">
        <v>162</v>
      </c>
      <c r="C806" s="62"/>
      <c r="D806" s="39"/>
      <c r="E806" s="39"/>
      <c r="F806" s="1"/>
      <c r="G806" s="17"/>
    </row>
    <row r="807" spans="1:7" ht="15.5">
      <c r="B807" s="55" t="s">
        <v>282</v>
      </c>
      <c r="C807" s="62"/>
      <c r="D807" s="39"/>
      <c r="E807" s="39"/>
      <c r="F807" s="1"/>
      <c r="G807" s="17"/>
    </row>
    <row r="808" spans="1:7" ht="42">
      <c r="A808" s="31" t="s">
        <v>179</v>
      </c>
      <c r="B808" s="32" t="s">
        <v>0</v>
      </c>
      <c r="C808" s="33" t="s">
        <v>41</v>
      </c>
      <c r="D808" s="33" t="s">
        <v>32</v>
      </c>
      <c r="E808" s="33" t="s">
        <v>278</v>
      </c>
      <c r="F808" s="33" t="s">
        <v>44</v>
      </c>
      <c r="G808" s="33" t="s">
        <v>14</v>
      </c>
    </row>
    <row r="809" spans="1:7" ht="28">
      <c r="A809" s="31">
        <v>1</v>
      </c>
      <c r="B809" s="46" t="s">
        <v>289</v>
      </c>
      <c r="C809" s="88">
        <v>0</v>
      </c>
      <c r="D809" s="45">
        <v>800000</v>
      </c>
      <c r="E809" s="15">
        <v>0</v>
      </c>
      <c r="F809" s="15">
        <v>0</v>
      </c>
      <c r="G809" s="16" t="s">
        <v>39</v>
      </c>
    </row>
    <row r="810" spans="1:7" ht="28">
      <c r="A810" s="31">
        <v>2</v>
      </c>
      <c r="B810" s="46" t="s">
        <v>290</v>
      </c>
      <c r="C810" s="88">
        <v>0</v>
      </c>
      <c r="D810" s="45">
        <v>800000</v>
      </c>
      <c r="E810" s="15">
        <v>0</v>
      </c>
      <c r="F810" s="15">
        <v>0</v>
      </c>
      <c r="G810" s="16" t="s">
        <v>39</v>
      </c>
    </row>
    <row r="811" spans="1:7" ht="31">
      <c r="A811" s="31">
        <v>3</v>
      </c>
      <c r="B811" s="46" t="s">
        <v>25</v>
      </c>
      <c r="C811" s="88">
        <v>0</v>
      </c>
      <c r="D811" s="45">
        <v>150000</v>
      </c>
      <c r="E811" s="15">
        <v>0</v>
      </c>
      <c r="F811" s="15">
        <v>0</v>
      </c>
      <c r="G811" s="8" t="s">
        <v>33</v>
      </c>
    </row>
    <row r="812" spans="1:7" ht="39">
      <c r="A812" s="31">
        <v>4</v>
      </c>
      <c r="B812" s="48" t="s">
        <v>291</v>
      </c>
      <c r="C812" s="71">
        <v>0</v>
      </c>
      <c r="D812" s="45">
        <v>570422</v>
      </c>
      <c r="E812" s="15">
        <v>0</v>
      </c>
      <c r="F812" s="15">
        <v>0</v>
      </c>
      <c r="G812" s="13" t="s">
        <v>24</v>
      </c>
    </row>
    <row r="813" spans="1:7" ht="52">
      <c r="A813" s="31">
        <v>5</v>
      </c>
      <c r="B813" s="48" t="s">
        <v>292</v>
      </c>
      <c r="C813" s="71">
        <v>0</v>
      </c>
      <c r="D813" s="45">
        <v>890436</v>
      </c>
      <c r="E813" s="15">
        <v>0</v>
      </c>
      <c r="F813" s="15">
        <v>0</v>
      </c>
      <c r="G813" s="13" t="s">
        <v>24</v>
      </c>
    </row>
    <row r="814" spans="1:7" ht="31">
      <c r="A814" s="31">
        <v>6</v>
      </c>
      <c r="B814" s="48" t="s">
        <v>297</v>
      </c>
      <c r="C814" s="71">
        <v>0</v>
      </c>
      <c r="D814" s="45">
        <v>40500</v>
      </c>
      <c r="E814" s="15">
        <v>0</v>
      </c>
      <c r="F814" s="15">
        <v>0</v>
      </c>
      <c r="G814" s="8" t="s">
        <v>33</v>
      </c>
    </row>
    <row r="815" spans="1:7" ht="26">
      <c r="A815" s="31">
        <v>7</v>
      </c>
      <c r="B815" s="48" t="s">
        <v>298</v>
      </c>
      <c r="C815" s="71">
        <v>0</v>
      </c>
      <c r="D815" s="45">
        <v>139500</v>
      </c>
      <c r="E815" s="15">
        <v>0</v>
      </c>
      <c r="F815" s="15">
        <v>0</v>
      </c>
      <c r="G815" s="8" t="s">
        <v>299</v>
      </c>
    </row>
    <row r="816" spans="1:7" ht="26">
      <c r="A816" s="31">
        <v>8</v>
      </c>
      <c r="B816" s="48" t="s">
        <v>303</v>
      </c>
      <c r="C816" s="71"/>
      <c r="D816" s="45">
        <v>286872</v>
      </c>
      <c r="E816" s="15">
        <v>0</v>
      </c>
      <c r="F816" s="15">
        <v>0</v>
      </c>
      <c r="G816" s="8" t="s">
        <v>304</v>
      </c>
    </row>
    <row r="817" spans="1:7" ht="26">
      <c r="A817" s="34"/>
      <c r="B817" s="42" t="s">
        <v>1</v>
      </c>
      <c r="C817" s="89">
        <f>SUM(C809:C815)</f>
        <v>0</v>
      </c>
      <c r="D817" s="35">
        <f>SUM(D809:D816)</f>
        <v>3677730</v>
      </c>
      <c r="E817" s="35">
        <f>SUM(E809:E816)</f>
        <v>0</v>
      </c>
      <c r="F817" s="58">
        <f>SUM(F809:F816)</f>
        <v>0</v>
      </c>
      <c r="G817" s="14"/>
    </row>
    <row r="818" spans="1:7" ht="15.5">
      <c r="B818" s="6" t="s">
        <v>10</v>
      </c>
      <c r="C818" s="39"/>
      <c r="D818" s="39"/>
      <c r="E818" s="1"/>
      <c r="F818" s="1"/>
      <c r="G818" s="17"/>
    </row>
    <row r="819" spans="1:7" ht="15">
      <c r="B819" s="49" t="s">
        <v>300</v>
      </c>
      <c r="C819" s="37"/>
      <c r="D819" s="37"/>
      <c r="E819" s="2"/>
      <c r="F819" s="2"/>
      <c r="G819" s="76"/>
    </row>
    <row r="820" spans="1:7" ht="15">
      <c r="B820" s="49"/>
      <c r="C820" s="37"/>
      <c r="D820" s="37"/>
      <c r="E820" s="2"/>
      <c r="F820" s="2"/>
      <c r="G820" s="76"/>
    </row>
    <row r="821" spans="1:7" ht="14.5">
      <c r="A821" s="10" t="s">
        <v>2</v>
      </c>
      <c r="B821" s="7"/>
      <c r="C821" s="7"/>
      <c r="D821" s="7"/>
      <c r="E821" s="90"/>
      <c r="F821" s="10" t="s">
        <v>3</v>
      </c>
      <c r="G821" s="10"/>
    </row>
    <row r="822" spans="1:7" ht="14.5">
      <c r="A822" s="7" t="s">
        <v>4</v>
      </c>
      <c r="B822" s="7"/>
      <c r="C822" s="11"/>
      <c r="D822" s="7"/>
      <c r="E822" s="90"/>
      <c r="F822" s="7" t="s">
        <v>7</v>
      </c>
      <c r="G822" s="7"/>
    </row>
    <row r="823" spans="1:7" ht="14.5">
      <c r="A823" s="11" t="s">
        <v>5</v>
      </c>
      <c r="B823" s="11"/>
      <c r="C823" s="11"/>
      <c r="D823" s="7"/>
      <c r="E823" s="90"/>
      <c r="F823" s="7" t="s">
        <v>8</v>
      </c>
      <c r="G823" s="7"/>
    </row>
    <row r="824" spans="1:7" ht="14.5">
      <c r="A824" s="11"/>
      <c r="B824" s="11"/>
      <c r="C824" s="90"/>
      <c r="D824" s="10" t="s">
        <v>6</v>
      </c>
      <c r="E824" s="11"/>
      <c r="F824" s="11"/>
      <c r="G824" s="11"/>
    </row>
    <row r="825" spans="1:7" ht="14.5">
      <c r="A825" s="90"/>
      <c r="B825" s="7"/>
      <c r="C825" s="90"/>
      <c r="D825" s="7" t="s">
        <v>15</v>
      </c>
      <c r="E825" s="10"/>
      <c r="F825" s="10"/>
      <c r="G825" s="10"/>
    </row>
    <row r="826" spans="1:7" ht="14.5">
      <c r="A826" s="90"/>
      <c r="B826" s="7"/>
      <c r="C826" s="90"/>
      <c r="D826" s="7" t="s">
        <v>9</v>
      </c>
      <c r="E826" s="10"/>
      <c r="F826" s="10"/>
      <c r="G826" s="10"/>
    </row>
    <row r="828" spans="1:7" ht="15.5">
      <c r="B828" s="1"/>
      <c r="C828" s="1"/>
      <c r="D828" s="1"/>
      <c r="E828" s="1"/>
      <c r="F828" s="1"/>
      <c r="G828" s="1"/>
    </row>
    <row r="829" spans="1:7" ht="15.5">
      <c r="B829" s="1"/>
      <c r="C829" s="1"/>
      <c r="D829" s="1"/>
      <c r="E829" s="1"/>
      <c r="F829" s="1"/>
      <c r="G829" s="1"/>
    </row>
    <row r="830" spans="1:7" ht="15.5">
      <c r="B830" s="1"/>
      <c r="C830" s="1"/>
      <c r="D830" s="1"/>
      <c r="E830" s="1"/>
      <c r="F830" s="1"/>
      <c r="G830" s="1"/>
    </row>
    <row r="831" spans="1:7" ht="13">
      <c r="B831" s="38" t="s">
        <v>318</v>
      </c>
      <c r="C831" s="39"/>
      <c r="D831" s="39"/>
      <c r="E831" s="39"/>
      <c r="F831" s="39"/>
      <c r="G831" s="39"/>
    </row>
    <row r="832" spans="1:7" ht="13">
      <c r="B832" s="38" t="s">
        <v>280</v>
      </c>
      <c r="C832" s="39"/>
      <c r="D832" s="39"/>
      <c r="E832" s="39"/>
      <c r="F832" s="39"/>
      <c r="G832" s="39"/>
    </row>
    <row r="833" spans="1:7" ht="13">
      <c r="B833" s="38" t="s">
        <v>319</v>
      </c>
      <c r="C833" s="39"/>
      <c r="D833" s="39"/>
      <c r="E833" s="39"/>
      <c r="F833" s="39"/>
      <c r="G833" s="39"/>
    </row>
    <row r="834" spans="1:7" ht="13">
      <c r="B834" s="38" t="s">
        <v>331</v>
      </c>
      <c r="C834" s="39"/>
      <c r="D834" s="39"/>
      <c r="E834" s="39"/>
      <c r="F834" s="39"/>
      <c r="G834" s="50"/>
    </row>
    <row r="835" spans="1:7" ht="13">
      <c r="B835" s="37" t="s">
        <v>320</v>
      </c>
      <c r="C835" s="39"/>
      <c r="D835" s="39"/>
      <c r="E835" s="39"/>
      <c r="F835" s="39"/>
      <c r="G835" s="91"/>
    </row>
    <row r="836" spans="1:7" ht="13">
      <c r="B836" s="38" t="s">
        <v>316</v>
      </c>
      <c r="C836" s="39"/>
      <c r="D836" s="39"/>
      <c r="E836" s="39"/>
      <c r="F836" s="39"/>
      <c r="G836" s="50"/>
    </row>
    <row r="837" spans="1:7" ht="13">
      <c r="B837" s="37" t="s">
        <v>321</v>
      </c>
      <c r="C837" s="39"/>
      <c r="D837" s="39"/>
      <c r="E837" s="39"/>
      <c r="F837" s="39"/>
      <c r="G837" s="50"/>
    </row>
    <row r="838" spans="1:7" ht="13">
      <c r="B838" s="38" t="s">
        <v>284</v>
      </c>
      <c r="C838" s="39"/>
      <c r="D838" s="39"/>
      <c r="E838" s="39"/>
      <c r="F838" s="39"/>
      <c r="G838" s="50"/>
    </row>
    <row r="839" spans="1:7" ht="13">
      <c r="B839" s="38" t="s">
        <v>322</v>
      </c>
      <c r="C839" s="39"/>
      <c r="D839" s="39"/>
      <c r="E839" s="39"/>
      <c r="F839" s="39"/>
      <c r="G839" s="50"/>
    </row>
    <row r="840" spans="1:7" ht="13">
      <c r="B840" s="38" t="s">
        <v>315</v>
      </c>
      <c r="C840" s="39"/>
      <c r="D840" s="39"/>
      <c r="E840" s="39"/>
      <c r="F840" s="39"/>
      <c r="G840" s="50"/>
    </row>
    <row r="841" spans="1:7" ht="13">
      <c r="B841" s="38" t="s">
        <v>323</v>
      </c>
      <c r="C841" s="39"/>
      <c r="D841" s="39"/>
      <c r="E841" s="39"/>
      <c r="F841" s="39"/>
      <c r="G841" s="50"/>
    </row>
    <row r="842" spans="1:7" ht="13">
      <c r="B842" s="38" t="s">
        <v>282</v>
      </c>
      <c r="C842" s="39"/>
      <c r="D842" s="39"/>
      <c r="E842" s="39"/>
      <c r="F842" s="39"/>
      <c r="G842" s="50"/>
    </row>
    <row r="843" spans="1:7" ht="56">
      <c r="A843" s="31" t="s">
        <v>179</v>
      </c>
      <c r="B843" s="32" t="s">
        <v>0</v>
      </c>
      <c r="C843" s="33" t="s">
        <v>41</v>
      </c>
      <c r="D843" s="33" t="s">
        <v>32</v>
      </c>
      <c r="E843" s="33" t="s">
        <v>278</v>
      </c>
      <c r="F843" s="33" t="s">
        <v>38</v>
      </c>
      <c r="G843" s="33" t="s">
        <v>14</v>
      </c>
    </row>
    <row r="844" spans="1:7" ht="30" customHeight="1">
      <c r="A844" s="31">
        <v>1</v>
      </c>
      <c r="B844" s="48" t="s">
        <v>295</v>
      </c>
      <c r="C844" s="88">
        <v>0</v>
      </c>
      <c r="D844" s="45">
        <v>0</v>
      </c>
      <c r="E844" s="45">
        <v>0</v>
      </c>
      <c r="F844" s="45">
        <v>1050600</v>
      </c>
      <c r="G844" s="44" t="s">
        <v>332</v>
      </c>
    </row>
    <row r="845" spans="1:7" ht="39">
      <c r="A845" s="31">
        <v>2</v>
      </c>
      <c r="B845" s="48" t="s">
        <v>301</v>
      </c>
      <c r="C845" s="88">
        <v>0</v>
      </c>
      <c r="D845" s="45">
        <v>2240000</v>
      </c>
      <c r="E845" s="45">
        <v>0</v>
      </c>
      <c r="F845" s="45">
        <v>0</v>
      </c>
      <c r="G845" s="44" t="s">
        <v>302</v>
      </c>
    </row>
    <row r="846" spans="1:7" ht="26">
      <c r="A846" s="31">
        <v>3</v>
      </c>
      <c r="B846" s="46" t="s">
        <v>305</v>
      </c>
      <c r="C846" s="88">
        <v>0</v>
      </c>
      <c r="D846" s="45">
        <v>3733898</v>
      </c>
      <c r="E846" s="45">
        <v>0</v>
      </c>
      <c r="F846" s="45">
        <v>0</v>
      </c>
      <c r="G846" s="44" t="s">
        <v>306</v>
      </c>
    </row>
    <row r="847" spans="1:7" ht="65">
      <c r="A847" s="31">
        <v>6</v>
      </c>
      <c r="B847" s="48" t="s">
        <v>307</v>
      </c>
      <c r="C847" s="71">
        <v>0</v>
      </c>
      <c r="D847" s="45">
        <v>1040700</v>
      </c>
      <c r="E847" s="45">
        <v>0</v>
      </c>
      <c r="F847" s="45">
        <v>0</v>
      </c>
      <c r="G847" s="44" t="s">
        <v>11</v>
      </c>
    </row>
    <row r="848" spans="1:7" ht="39">
      <c r="A848" s="31">
        <v>7</v>
      </c>
      <c r="B848" s="48" t="s">
        <v>308</v>
      </c>
      <c r="C848" s="71">
        <v>0</v>
      </c>
      <c r="D848" s="45">
        <v>761250</v>
      </c>
      <c r="E848" s="45">
        <v>0</v>
      </c>
      <c r="F848" s="45">
        <v>0</v>
      </c>
      <c r="G848" s="44" t="s">
        <v>309</v>
      </c>
    </row>
    <row r="849" spans="1:7" ht="39">
      <c r="A849" s="31">
        <v>8</v>
      </c>
      <c r="B849" s="48" t="s">
        <v>311</v>
      </c>
      <c r="C849" s="71">
        <v>0</v>
      </c>
      <c r="D849" s="45">
        <f>(311950-36400-850)*60%</f>
        <v>164820</v>
      </c>
      <c r="E849" s="45">
        <v>0</v>
      </c>
      <c r="F849" s="45">
        <v>0</v>
      </c>
      <c r="G849" s="44" t="s">
        <v>217</v>
      </c>
    </row>
    <row r="850" spans="1:7" ht="39">
      <c r="A850" s="31">
        <v>9</v>
      </c>
      <c r="B850" s="48" t="s">
        <v>310</v>
      </c>
      <c r="C850" s="71">
        <v>0</v>
      </c>
      <c r="D850" s="45">
        <f>193680*60%</f>
        <v>116208</v>
      </c>
      <c r="E850" s="45">
        <v>0</v>
      </c>
      <c r="F850" s="45">
        <v>0</v>
      </c>
      <c r="G850" s="44" t="s">
        <v>218</v>
      </c>
    </row>
    <row r="851" spans="1:7" ht="52">
      <c r="A851" s="31">
        <v>10</v>
      </c>
      <c r="B851" s="48" t="s">
        <v>312</v>
      </c>
      <c r="C851" s="71">
        <v>0</v>
      </c>
      <c r="D851" s="45">
        <v>329900</v>
      </c>
      <c r="E851" s="45">
        <v>0</v>
      </c>
      <c r="F851" s="45">
        <v>0</v>
      </c>
      <c r="G851" s="44" t="s">
        <v>313</v>
      </c>
    </row>
    <row r="852" spans="1:7" ht="26">
      <c r="A852" s="34"/>
      <c r="B852" s="42" t="s">
        <v>1</v>
      </c>
      <c r="C852" s="89">
        <f>SUM(C844:C851)</f>
        <v>0</v>
      </c>
      <c r="D852" s="28">
        <f>SUM(D844:D851)</f>
        <v>8386776</v>
      </c>
      <c r="E852" s="28">
        <f>SUM(E844:E851)</f>
        <v>0</v>
      </c>
      <c r="F852" s="28">
        <f>SUM(F844:F851)</f>
        <v>1050600</v>
      </c>
      <c r="G852" s="25"/>
    </row>
    <row r="853" spans="1:7" ht="13">
      <c r="A853" s="53"/>
      <c r="B853" s="6" t="s">
        <v>10</v>
      </c>
      <c r="C853" s="39"/>
      <c r="D853" s="39"/>
      <c r="E853" s="39"/>
      <c r="F853" s="39"/>
      <c r="G853" s="50"/>
    </row>
    <row r="854" spans="1:7" ht="13">
      <c r="A854" s="53"/>
      <c r="B854" s="49" t="s">
        <v>314</v>
      </c>
      <c r="C854" s="37"/>
      <c r="D854" s="37"/>
      <c r="E854" s="37"/>
      <c r="F854" s="37"/>
      <c r="G854" s="92"/>
    </row>
    <row r="855" spans="1:7" ht="13">
      <c r="A855" s="37" t="s">
        <v>2</v>
      </c>
      <c r="B855" s="39"/>
      <c r="C855" s="39"/>
      <c r="D855" s="39"/>
      <c r="E855" s="53"/>
      <c r="F855" s="37" t="s">
        <v>3</v>
      </c>
      <c r="G855" s="37"/>
    </row>
    <row r="856" spans="1:7" ht="13">
      <c r="A856" s="39" t="s">
        <v>4</v>
      </c>
      <c r="B856" s="39"/>
      <c r="C856" s="6"/>
      <c r="D856" s="39"/>
      <c r="E856" s="53"/>
      <c r="F856" s="39" t="s">
        <v>7</v>
      </c>
      <c r="G856" s="39"/>
    </row>
    <row r="857" spans="1:7" ht="13">
      <c r="A857" s="6" t="s">
        <v>5</v>
      </c>
      <c r="B857" s="6"/>
      <c r="C857" s="6"/>
      <c r="D857" s="39"/>
      <c r="E857" s="53"/>
      <c r="F857" s="39" t="s">
        <v>8</v>
      </c>
      <c r="G857" s="39"/>
    </row>
    <row r="858" spans="1:7" ht="13">
      <c r="A858" s="6"/>
      <c r="B858" s="6"/>
      <c r="C858" s="53"/>
      <c r="D858" s="37" t="s">
        <v>6</v>
      </c>
      <c r="E858" s="6"/>
      <c r="F858" s="6"/>
      <c r="G858" s="6"/>
    </row>
    <row r="859" spans="1:7" ht="13">
      <c r="A859" s="53"/>
      <c r="B859" s="39"/>
      <c r="C859" s="53"/>
      <c r="D859" s="39" t="s">
        <v>15</v>
      </c>
      <c r="E859" s="37"/>
      <c r="F859" s="37"/>
      <c r="G859" s="37"/>
    </row>
    <row r="860" spans="1:7" ht="13">
      <c r="A860" s="53"/>
      <c r="B860" s="39"/>
      <c r="C860" s="53"/>
      <c r="D860" s="39" t="s">
        <v>9</v>
      </c>
      <c r="E860" s="37"/>
      <c r="F860" s="37"/>
      <c r="G860" s="37"/>
    </row>
    <row r="861" spans="1:7" ht="13">
      <c r="A861" s="53"/>
      <c r="B861" s="39"/>
      <c r="C861" s="53"/>
      <c r="D861" s="39"/>
      <c r="E861" s="37"/>
      <c r="F861" s="37"/>
      <c r="G861" s="37"/>
    </row>
    <row r="862" spans="1:7" ht="13">
      <c r="A862" s="53"/>
      <c r="B862" s="39"/>
      <c r="C862" s="53"/>
      <c r="D862" s="39"/>
      <c r="E862" s="37"/>
      <c r="F862" s="37"/>
      <c r="G862" s="37"/>
    </row>
    <row r="864" spans="1:7" ht="15.5">
      <c r="B864" s="1"/>
      <c r="C864" s="1"/>
      <c r="D864" s="1"/>
      <c r="E864" s="1"/>
      <c r="F864" s="1"/>
      <c r="G864" s="1"/>
    </row>
    <row r="865" spans="1:7" ht="15.5">
      <c r="B865" s="1"/>
      <c r="C865" s="1"/>
      <c r="D865" s="1"/>
      <c r="E865" s="1"/>
      <c r="F865" s="1"/>
      <c r="G865" s="1"/>
    </row>
    <row r="866" spans="1:7" ht="15.5">
      <c r="B866" s="55"/>
      <c r="C866" s="62"/>
      <c r="D866" s="39"/>
      <c r="E866" s="39"/>
      <c r="F866" s="1"/>
      <c r="G866" s="1"/>
    </row>
    <row r="867" spans="1:7" ht="15.5">
      <c r="B867" s="55" t="s">
        <v>265</v>
      </c>
      <c r="C867" s="62"/>
      <c r="D867" s="39"/>
      <c r="E867" s="39"/>
      <c r="F867" s="1"/>
      <c r="G867" s="1"/>
    </row>
    <row r="868" spans="1:7" ht="15.5">
      <c r="B868" s="55" t="s">
        <v>280</v>
      </c>
      <c r="C868" s="62"/>
      <c r="D868" s="39"/>
      <c r="E868" s="39"/>
      <c r="F868" s="1"/>
      <c r="G868" s="1"/>
    </row>
    <row r="869" spans="1:7" ht="15.5">
      <c r="B869" s="55" t="s">
        <v>266</v>
      </c>
      <c r="C869" s="62"/>
      <c r="D869" s="39"/>
      <c r="E869" s="39"/>
      <c r="F869" s="1"/>
      <c r="G869" s="1"/>
    </row>
    <row r="870" spans="1:7" ht="15.5">
      <c r="B870" s="55" t="s">
        <v>293</v>
      </c>
      <c r="C870" s="62"/>
      <c r="D870" s="39"/>
      <c r="E870" s="39"/>
      <c r="F870" s="1"/>
      <c r="G870" s="17"/>
    </row>
    <row r="871" spans="1:7" ht="15.5">
      <c r="B871" s="10" t="s">
        <v>45</v>
      </c>
      <c r="C871" s="62"/>
      <c r="D871" s="39"/>
      <c r="E871" s="39"/>
      <c r="F871" s="1"/>
      <c r="G871" s="77"/>
    </row>
    <row r="872" spans="1:7" ht="15.5">
      <c r="B872" s="55" t="s">
        <v>330</v>
      </c>
      <c r="C872" s="62"/>
      <c r="D872" s="39"/>
      <c r="E872" s="39"/>
      <c r="F872" s="1"/>
      <c r="G872" s="17"/>
    </row>
    <row r="873" spans="1:7" ht="15.5">
      <c r="B873" s="10" t="s">
        <v>52</v>
      </c>
      <c r="C873" s="62"/>
      <c r="D873" s="39"/>
      <c r="E873" s="39"/>
      <c r="F873" s="1"/>
      <c r="G873" s="17"/>
    </row>
    <row r="874" spans="1:7" ht="15.5">
      <c r="B874" s="55" t="s">
        <v>284</v>
      </c>
      <c r="C874" s="62"/>
      <c r="D874" s="39"/>
      <c r="E874" s="39"/>
      <c r="F874" s="1"/>
      <c r="G874" s="17"/>
    </row>
    <row r="875" spans="1:7" ht="15.5">
      <c r="B875" s="55" t="s">
        <v>46</v>
      </c>
      <c r="C875" s="62"/>
      <c r="D875" s="39"/>
      <c r="E875" s="39"/>
      <c r="F875" s="1"/>
      <c r="G875" s="17"/>
    </row>
    <row r="876" spans="1:7" ht="15.5">
      <c r="B876" s="55" t="s">
        <v>329</v>
      </c>
      <c r="C876" s="62"/>
      <c r="D876" s="39"/>
      <c r="E876" s="39"/>
      <c r="F876" s="1"/>
      <c r="G876" s="17"/>
    </row>
    <row r="877" spans="1:7" ht="15.5">
      <c r="B877" s="55" t="s">
        <v>162</v>
      </c>
      <c r="C877" s="62"/>
      <c r="D877" s="39"/>
      <c r="E877" s="39"/>
      <c r="F877" s="1"/>
      <c r="G877" s="17"/>
    </row>
    <row r="878" spans="1:7" ht="15.5">
      <c r="B878" s="55" t="s">
        <v>282</v>
      </c>
      <c r="C878" s="62"/>
      <c r="D878" s="39"/>
      <c r="E878" s="39"/>
      <c r="F878" s="1"/>
      <c r="G878" s="17"/>
    </row>
    <row r="879" spans="1:7" ht="42">
      <c r="A879" s="31" t="s">
        <v>179</v>
      </c>
      <c r="B879" s="32" t="s">
        <v>0</v>
      </c>
      <c r="C879" s="33" t="s">
        <v>41</v>
      </c>
      <c r="D879" s="33" t="s">
        <v>32</v>
      </c>
      <c r="E879" s="33" t="s">
        <v>278</v>
      </c>
      <c r="F879" s="33" t="s">
        <v>44</v>
      </c>
      <c r="G879" s="33" t="s">
        <v>14</v>
      </c>
    </row>
    <row r="880" spans="1:7" ht="26">
      <c r="A880" s="43">
        <v>1</v>
      </c>
      <c r="B880" s="44" t="s">
        <v>327</v>
      </c>
      <c r="C880" s="88">
        <v>422746478</v>
      </c>
      <c r="D880" s="88">
        <v>0</v>
      </c>
      <c r="E880" s="88">
        <v>0</v>
      </c>
      <c r="F880" s="88">
        <v>0</v>
      </c>
      <c r="G880" s="48" t="s">
        <v>11</v>
      </c>
    </row>
    <row r="881" spans="1:7" ht="39">
      <c r="A881" s="43">
        <v>2</v>
      </c>
      <c r="B881" s="46" t="s">
        <v>272</v>
      </c>
      <c r="C881" s="88">
        <v>0</v>
      </c>
      <c r="D881" s="45">
        <v>5320784</v>
      </c>
      <c r="E881" s="88">
        <v>0</v>
      </c>
      <c r="F881" s="88">
        <v>0</v>
      </c>
      <c r="G881" s="47" t="s">
        <v>262</v>
      </c>
    </row>
    <row r="882" spans="1:7" ht="52">
      <c r="A882" s="43">
        <v>3</v>
      </c>
      <c r="B882" s="48" t="s">
        <v>324</v>
      </c>
      <c r="C882" s="88">
        <v>0</v>
      </c>
      <c r="D882" s="45">
        <v>0</v>
      </c>
      <c r="E882" s="88">
        <v>2610000</v>
      </c>
      <c r="F882" s="88">
        <v>0</v>
      </c>
      <c r="G882" s="44" t="s">
        <v>325</v>
      </c>
    </row>
    <row r="883" spans="1:7" ht="52">
      <c r="A883" s="43">
        <v>4</v>
      </c>
      <c r="B883" s="46" t="s">
        <v>326</v>
      </c>
      <c r="C883" s="88">
        <v>0</v>
      </c>
      <c r="D883" s="45">
        <v>100000</v>
      </c>
      <c r="E883" s="88">
        <v>0</v>
      </c>
      <c r="F883" s="88">
        <v>0</v>
      </c>
      <c r="G883" s="44" t="s">
        <v>333</v>
      </c>
    </row>
    <row r="884" spans="1:7" ht="26">
      <c r="A884" s="43">
        <v>5</v>
      </c>
      <c r="B884" s="48" t="s">
        <v>297</v>
      </c>
      <c r="C884" s="88">
        <v>0</v>
      </c>
      <c r="D884" s="45">
        <v>45500</v>
      </c>
      <c r="E884" s="88">
        <v>0</v>
      </c>
      <c r="F884" s="88">
        <v>0</v>
      </c>
      <c r="G884" s="44" t="s">
        <v>33</v>
      </c>
    </row>
    <row r="885" spans="1:7" ht="26">
      <c r="A885" s="43">
        <v>6</v>
      </c>
      <c r="B885" s="48" t="s">
        <v>328</v>
      </c>
      <c r="C885" s="88">
        <v>0</v>
      </c>
      <c r="D885" s="119"/>
      <c r="E885" s="93">
        <v>79000000</v>
      </c>
      <c r="F885" s="94"/>
      <c r="G885" s="95" t="s">
        <v>36</v>
      </c>
    </row>
    <row r="886" spans="1:7" ht="14">
      <c r="A886" s="31"/>
      <c r="B886" s="48"/>
      <c r="C886" s="71"/>
      <c r="D886" s="45"/>
      <c r="E886" s="45"/>
      <c r="F886" s="45"/>
      <c r="G886" s="44"/>
    </row>
    <row r="887" spans="1:7" ht="14">
      <c r="A887" s="31"/>
      <c r="B887" s="48"/>
      <c r="C887" s="71"/>
      <c r="D887" s="45"/>
      <c r="E887" s="45"/>
      <c r="F887" s="45"/>
      <c r="G887" s="44"/>
    </row>
    <row r="888" spans="1:7" ht="26">
      <c r="A888" s="34"/>
      <c r="B888" s="42" t="s">
        <v>1</v>
      </c>
      <c r="C888" s="89">
        <f>+C880</f>
        <v>422746478</v>
      </c>
      <c r="D888" s="35">
        <f>SUM(D881:D887)</f>
        <v>5466284</v>
      </c>
      <c r="E888" s="35">
        <f>SUM(E881:E887)</f>
        <v>81610000</v>
      </c>
      <c r="F888" s="35">
        <f>SUM(F881:F887)</f>
        <v>0</v>
      </c>
      <c r="G888" s="46"/>
    </row>
    <row r="889" spans="1:7" ht="13">
      <c r="B889" s="6" t="s">
        <v>10</v>
      </c>
      <c r="C889" s="39"/>
      <c r="D889" s="39"/>
      <c r="E889" s="39"/>
      <c r="F889" s="39"/>
      <c r="G889" s="50"/>
    </row>
    <row r="890" spans="1:7" ht="13">
      <c r="B890" s="49" t="s">
        <v>317</v>
      </c>
      <c r="C890" s="37"/>
      <c r="D890" s="37"/>
      <c r="E890" s="37"/>
      <c r="F890" s="37"/>
      <c r="G890" s="92"/>
    </row>
    <row r="891" spans="1:7" ht="13">
      <c r="B891" s="49"/>
      <c r="C891" s="37"/>
      <c r="D891" s="37"/>
      <c r="E891" s="37"/>
      <c r="F891" s="37"/>
      <c r="G891" s="92"/>
    </row>
    <row r="892" spans="1:7" ht="14">
      <c r="A892" s="10" t="s">
        <v>2</v>
      </c>
      <c r="B892" s="39"/>
      <c r="C892" s="39"/>
      <c r="D892" s="39"/>
      <c r="E892" s="53"/>
      <c r="F892" s="37" t="s">
        <v>3</v>
      </c>
      <c r="G892" s="37"/>
    </row>
    <row r="893" spans="1:7" ht="14">
      <c r="A893" s="7" t="s">
        <v>4</v>
      </c>
      <c r="B893" s="39"/>
      <c r="C893" s="6"/>
      <c r="D893" s="39"/>
      <c r="E893" s="53"/>
      <c r="F893" s="39" t="s">
        <v>7</v>
      </c>
      <c r="G893" s="39"/>
    </row>
    <row r="894" spans="1:7" ht="14">
      <c r="A894" s="11" t="s">
        <v>5</v>
      </c>
      <c r="B894" s="6"/>
      <c r="C894" s="6"/>
      <c r="D894" s="39"/>
      <c r="E894" s="53"/>
      <c r="F894" s="39" t="s">
        <v>8</v>
      </c>
      <c r="G894" s="39"/>
    </row>
    <row r="895" spans="1:7" ht="14">
      <c r="A895" s="11"/>
      <c r="B895" s="6"/>
      <c r="C895" s="53"/>
      <c r="D895" s="37" t="s">
        <v>6</v>
      </c>
      <c r="E895" s="6"/>
      <c r="F895" s="6"/>
      <c r="G895" s="6"/>
    </row>
    <row r="896" spans="1:7" ht="14.5">
      <c r="A896" s="90"/>
      <c r="B896" s="39"/>
      <c r="C896" s="53"/>
      <c r="D896" s="39" t="s">
        <v>15</v>
      </c>
      <c r="E896" s="37"/>
      <c r="F896" s="37"/>
      <c r="G896" s="37"/>
    </row>
    <row r="897" spans="1:7" ht="14.5">
      <c r="A897" s="90"/>
      <c r="B897" s="39"/>
      <c r="C897" s="53"/>
      <c r="D897" s="39" t="s">
        <v>9</v>
      </c>
      <c r="E897" s="37"/>
      <c r="F897" s="37"/>
      <c r="G897" s="37"/>
    </row>
    <row r="900" spans="1:7" ht="13">
      <c r="A900" s="53"/>
      <c r="B900" s="39"/>
      <c r="C900" s="53"/>
      <c r="D900" s="39"/>
      <c r="E900" s="37"/>
      <c r="F900" s="37"/>
      <c r="G900" s="37"/>
    </row>
    <row r="901" spans="1:7" ht="13">
      <c r="A901" s="53"/>
      <c r="B901" s="39"/>
      <c r="C901" s="53"/>
      <c r="D901" s="39"/>
      <c r="E901" s="37"/>
      <c r="F901" s="37"/>
      <c r="G901" s="37"/>
    </row>
    <row r="903" spans="1:7" ht="15.5">
      <c r="B903" s="1"/>
      <c r="C903" s="1"/>
      <c r="D903" s="1"/>
      <c r="E903" s="1"/>
      <c r="F903" s="1"/>
      <c r="G903" s="1"/>
    </row>
    <row r="904" spans="1:7" ht="15.5">
      <c r="B904" s="1"/>
      <c r="C904" s="1"/>
      <c r="D904" s="1"/>
      <c r="E904" s="1"/>
      <c r="F904" s="1"/>
      <c r="G904" s="1"/>
    </row>
    <row r="905" spans="1:7" ht="15.5">
      <c r="B905" s="55"/>
      <c r="C905" s="62"/>
      <c r="D905" s="39"/>
      <c r="E905" s="39"/>
      <c r="F905" s="1"/>
      <c r="G905" s="1"/>
    </row>
    <row r="906" spans="1:7" ht="15.5">
      <c r="B906" s="55" t="s">
        <v>265</v>
      </c>
      <c r="C906" s="62"/>
      <c r="D906" s="39"/>
      <c r="E906" s="39"/>
      <c r="F906" s="1"/>
      <c r="G906" s="1"/>
    </row>
    <row r="907" spans="1:7" ht="15.5">
      <c r="B907" s="55" t="s">
        <v>280</v>
      </c>
      <c r="C907" s="62"/>
      <c r="D907" s="39"/>
      <c r="E907" s="39"/>
      <c r="F907" s="1"/>
      <c r="G907" s="1"/>
    </row>
    <row r="908" spans="1:7" ht="15.5">
      <c r="B908" s="55" t="s">
        <v>266</v>
      </c>
      <c r="C908" s="62"/>
      <c r="D908" s="39"/>
      <c r="E908" s="39"/>
      <c r="F908" s="1"/>
      <c r="G908" s="1"/>
    </row>
    <row r="909" spans="1:7" ht="15.5">
      <c r="B909" s="55" t="s">
        <v>293</v>
      </c>
      <c r="C909" s="62"/>
      <c r="D909" s="39"/>
      <c r="E909" s="39"/>
      <c r="F909" s="1"/>
      <c r="G909" s="17"/>
    </row>
    <row r="910" spans="1:7" ht="15.5">
      <c r="B910" s="10" t="s">
        <v>45</v>
      </c>
      <c r="C910" s="62"/>
      <c r="D910" s="39"/>
      <c r="E910" s="39"/>
      <c r="F910" s="1"/>
      <c r="G910" s="77"/>
    </row>
    <row r="911" spans="1:7" ht="15.5">
      <c r="B911" s="55" t="s">
        <v>330</v>
      </c>
      <c r="C911" s="62"/>
      <c r="D911" s="39"/>
      <c r="E911" s="39"/>
      <c r="F911" s="1"/>
      <c r="G911" s="17"/>
    </row>
    <row r="912" spans="1:7" ht="15.5">
      <c r="B912" s="10" t="s">
        <v>52</v>
      </c>
      <c r="C912" s="62"/>
      <c r="D912" s="39"/>
      <c r="E912" s="39"/>
      <c r="F912" s="1"/>
      <c r="G912" s="17"/>
    </row>
    <row r="913" spans="1:7" ht="15.5">
      <c r="B913" s="55" t="s">
        <v>284</v>
      </c>
      <c r="C913" s="62"/>
      <c r="D913" s="39"/>
      <c r="E913" s="39"/>
      <c r="F913" s="1"/>
      <c r="G913" s="17"/>
    </row>
    <row r="914" spans="1:7" ht="15.5">
      <c r="B914" s="55" t="s">
        <v>46</v>
      </c>
      <c r="C914" s="62"/>
      <c r="D914" s="39"/>
      <c r="E914" s="39"/>
      <c r="F914" s="1"/>
      <c r="G914" s="17"/>
    </row>
    <row r="915" spans="1:7" ht="15.5">
      <c r="B915" s="55" t="s">
        <v>329</v>
      </c>
      <c r="C915" s="62"/>
      <c r="D915" s="39"/>
      <c r="E915" s="39"/>
      <c r="F915" s="1"/>
      <c r="G915" s="17"/>
    </row>
    <row r="916" spans="1:7" ht="15.5">
      <c r="B916" s="55" t="s">
        <v>162</v>
      </c>
      <c r="C916" s="62"/>
      <c r="D916" s="39"/>
      <c r="E916" s="39"/>
      <c r="F916" s="1"/>
      <c r="G916" s="17"/>
    </row>
    <row r="917" spans="1:7" ht="15.5">
      <c r="B917" s="55" t="s">
        <v>334</v>
      </c>
      <c r="C917" s="62"/>
      <c r="D917" s="39"/>
      <c r="E917" s="39"/>
      <c r="F917" s="1"/>
      <c r="G917" s="17"/>
    </row>
    <row r="918" spans="1:7" ht="42">
      <c r="A918" s="31" t="s">
        <v>179</v>
      </c>
      <c r="B918" s="32" t="s">
        <v>0</v>
      </c>
      <c r="C918" s="33" t="s">
        <v>38</v>
      </c>
      <c r="D918" s="33" t="s">
        <v>32</v>
      </c>
      <c r="E918" s="33" t="s">
        <v>278</v>
      </c>
      <c r="F918" s="33" t="s">
        <v>44</v>
      </c>
      <c r="G918" s="33" t="s">
        <v>14</v>
      </c>
    </row>
    <row r="919" spans="1:7" ht="65">
      <c r="A919" s="43">
        <v>1</v>
      </c>
      <c r="B919" s="44" t="s">
        <v>335</v>
      </c>
      <c r="C919" s="88" t="s">
        <v>336</v>
      </c>
      <c r="D919" s="88">
        <v>0</v>
      </c>
      <c r="E919" s="88">
        <v>0</v>
      </c>
      <c r="F919" s="88">
        <v>0</v>
      </c>
      <c r="G919" s="48" t="s">
        <v>339</v>
      </c>
    </row>
    <row r="920" spans="1:7" ht="52">
      <c r="A920" s="43">
        <v>2</v>
      </c>
      <c r="B920" s="46" t="s">
        <v>337</v>
      </c>
      <c r="C920" s="88">
        <v>0</v>
      </c>
      <c r="D920" s="45">
        <v>3600000</v>
      </c>
      <c r="E920" s="88">
        <v>0</v>
      </c>
      <c r="F920" s="88">
        <v>0</v>
      </c>
      <c r="G920" s="47" t="s">
        <v>338</v>
      </c>
    </row>
    <row r="921" spans="1:7" ht="13">
      <c r="A921" s="43"/>
      <c r="B921" s="48"/>
      <c r="C921" s="88"/>
      <c r="D921" s="45"/>
      <c r="E921" s="88"/>
      <c r="F921" s="88"/>
      <c r="G921" s="44"/>
    </row>
    <row r="922" spans="1:7" ht="13">
      <c r="A922" s="43"/>
      <c r="B922" s="46"/>
      <c r="C922" s="88"/>
      <c r="D922" s="45"/>
      <c r="E922" s="88"/>
      <c r="F922" s="88"/>
      <c r="G922" s="44"/>
    </row>
    <row r="923" spans="1:7" ht="13">
      <c r="A923" s="43"/>
      <c r="B923" s="48"/>
      <c r="C923" s="88"/>
      <c r="D923" s="45"/>
      <c r="E923" s="88"/>
      <c r="F923" s="88"/>
      <c r="G923" s="44"/>
    </row>
    <row r="924" spans="1:7" ht="13">
      <c r="A924" s="43"/>
      <c r="B924" s="48"/>
      <c r="C924" s="88"/>
      <c r="D924" s="119"/>
      <c r="E924" s="93"/>
      <c r="F924" s="94"/>
      <c r="G924" s="95"/>
    </row>
    <row r="925" spans="1:7" ht="14">
      <c r="A925" s="31"/>
      <c r="B925" s="48"/>
      <c r="C925" s="71"/>
      <c r="D925" s="45"/>
      <c r="E925" s="45"/>
      <c r="F925" s="45"/>
      <c r="G925" s="44"/>
    </row>
    <row r="926" spans="1:7" ht="14">
      <c r="A926" s="31"/>
      <c r="B926" s="48"/>
      <c r="C926" s="71"/>
      <c r="D926" s="45"/>
      <c r="E926" s="45"/>
      <c r="F926" s="45"/>
      <c r="G926" s="44"/>
    </row>
    <row r="927" spans="1:7" ht="26">
      <c r="A927" s="34"/>
      <c r="B927" s="42" t="s">
        <v>1</v>
      </c>
      <c r="C927" s="89" t="str">
        <f>+C919</f>
        <v>10,000$</v>
      </c>
      <c r="D927" s="35">
        <f>SUM(D920:D926)</f>
        <v>3600000</v>
      </c>
      <c r="E927" s="35">
        <f>SUM(E920:E926)</f>
        <v>0</v>
      </c>
      <c r="F927" s="35">
        <f>SUM(F920:F926)</f>
        <v>0</v>
      </c>
      <c r="G927" s="46"/>
    </row>
    <row r="928" spans="1:7" ht="13">
      <c r="B928" s="6" t="s">
        <v>10</v>
      </c>
      <c r="C928" s="39"/>
      <c r="D928" s="39"/>
      <c r="E928" s="39"/>
      <c r="F928" s="39"/>
      <c r="G928" s="50"/>
    </row>
    <row r="929" spans="1:7" ht="13">
      <c r="B929" s="49" t="s">
        <v>317</v>
      </c>
      <c r="C929" s="37"/>
      <c r="D929" s="37"/>
      <c r="E929" s="37"/>
      <c r="F929" s="37"/>
      <c r="G929" s="92"/>
    </row>
    <row r="930" spans="1:7" ht="13">
      <c r="B930" s="49"/>
      <c r="C930" s="37"/>
      <c r="D930" s="37"/>
      <c r="E930" s="37"/>
      <c r="F930" s="37"/>
      <c r="G930" s="92"/>
    </row>
    <row r="931" spans="1:7" ht="14">
      <c r="A931" s="10" t="s">
        <v>2</v>
      </c>
      <c r="B931" s="39"/>
      <c r="C931" s="39"/>
      <c r="D931" s="39"/>
      <c r="E931" s="53"/>
      <c r="F931" s="37" t="s">
        <v>3</v>
      </c>
      <c r="G931" s="37"/>
    </row>
    <row r="932" spans="1:7" ht="14">
      <c r="A932" s="7" t="s">
        <v>4</v>
      </c>
      <c r="B932" s="39"/>
      <c r="C932" s="6"/>
      <c r="D932" s="39"/>
      <c r="E932" s="53"/>
      <c r="F932" s="39" t="s">
        <v>7</v>
      </c>
      <c r="G932" s="39"/>
    </row>
    <row r="933" spans="1:7" ht="14">
      <c r="A933" s="11" t="s">
        <v>5</v>
      </c>
      <c r="B933" s="6"/>
      <c r="C933" s="6"/>
      <c r="D933" s="39"/>
      <c r="E933" s="53"/>
      <c r="F933" s="39" t="s">
        <v>8</v>
      </c>
      <c r="G933" s="39"/>
    </row>
    <row r="934" spans="1:7" ht="14">
      <c r="A934" s="11"/>
      <c r="B934" s="6"/>
      <c r="C934" s="53"/>
      <c r="D934" s="37" t="s">
        <v>6</v>
      </c>
      <c r="E934" s="6"/>
      <c r="F934" s="6"/>
      <c r="G934" s="6"/>
    </row>
    <row r="935" spans="1:7" ht="14.5">
      <c r="A935" s="90"/>
      <c r="B935" s="39"/>
      <c r="C935" s="53"/>
      <c r="D935" s="39" t="s">
        <v>15</v>
      </c>
      <c r="E935" s="37"/>
      <c r="F935" s="37"/>
      <c r="G935" s="37"/>
    </row>
    <row r="936" spans="1:7" ht="14.5">
      <c r="A936" s="90"/>
      <c r="B936" s="39"/>
      <c r="C936" s="53"/>
      <c r="D936" s="39" t="s">
        <v>9</v>
      </c>
      <c r="E936" s="37"/>
      <c r="F936" s="37"/>
      <c r="G936" s="37"/>
    </row>
    <row r="937" spans="1:7" ht="14.5">
      <c r="A937" s="90"/>
      <c r="B937" s="39"/>
      <c r="C937" s="53"/>
      <c r="D937" s="39"/>
      <c r="E937" s="37"/>
      <c r="F937" s="37"/>
      <c r="G937" s="37"/>
    </row>
    <row r="938" spans="1:7" ht="14.5">
      <c r="A938" s="90"/>
      <c r="B938" s="39"/>
      <c r="C938" s="53"/>
      <c r="D938" s="39"/>
      <c r="E938" s="37"/>
      <c r="F938" s="37"/>
      <c r="G938" s="37"/>
    </row>
    <row r="939" spans="1:7" ht="14.5">
      <c r="A939" s="90"/>
      <c r="B939" s="39"/>
      <c r="C939" s="53"/>
      <c r="D939" s="39"/>
      <c r="E939" s="37"/>
      <c r="F939" s="37"/>
      <c r="G939" s="37"/>
    </row>
    <row r="941" spans="1:7" ht="13">
      <c r="A941" s="53"/>
      <c r="B941" s="39"/>
      <c r="C941" s="53"/>
      <c r="D941" s="39"/>
      <c r="E941" s="37"/>
      <c r="F941" s="37"/>
      <c r="G941" s="37"/>
    </row>
    <row r="942" spans="1:7" ht="13">
      <c r="A942" s="53"/>
      <c r="B942" s="39"/>
      <c r="C942" s="53"/>
      <c r="D942" s="39"/>
      <c r="E942" s="37"/>
      <c r="F942" s="37"/>
      <c r="G942" s="37"/>
    </row>
    <row r="944" spans="1:7" ht="15.5">
      <c r="B944" s="1"/>
      <c r="C944" s="1"/>
      <c r="D944" s="1"/>
      <c r="E944" s="1"/>
      <c r="F944" s="1"/>
      <c r="G944" s="1"/>
    </row>
    <row r="945" spans="1:7" ht="15.5">
      <c r="B945" s="1"/>
      <c r="C945" s="1"/>
      <c r="D945" s="1"/>
      <c r="E945" s="1"/>
      <c r="F945" s="1"/>
      <c r="G945" s="1"/>
    </row>
    <row r="946" spans="1:7" ht="14" customHeight="1">
      <c r="B946" s="38" t="s">
        <v>318</v>
      </c>
      <c r="C946" s="39"/>
      <c r="D946" s="39"/>
      <c r="E946" s="39"/>
      <c r="F946" s="39"/>
      <c r="G946" s="1"/>
    </row>
    <row r="947" spans="1:7" ht="14" customHeight="1">
      <c r="B947" s="38" t="s">
        <v>342</v>
      </c>
      <c r="C947" s="39"/>
      <c r="D947" s="39"/>
      <c r="E947" s="39"/>
      <c r="F947" s="39"/>
      <c r="G947" s="1"/>
    </row>
    <row r="948" spans="1:7" ht="14" customHeight="1">
      <c r="B948" s="38" t="s">
        <v>319</v>
      </c>
      <c r="C948" s="39"/>
      <c r="D948" s="39"/>
      <c r="E948" s="39"/>
      <c r="F948" s="39"/>
      <c r="G948" s="1"/>
    </row>
    <row r="949" spans="1:7" ht="14" customHeight="1">
      <c r="B949" s="38" t="s">
        <v>343</v>
      </c>
      <c r="C949" s="39"/>
      <c r="D949" s="39"/>
      <c r="E949" s="39"/>
      <c r="F949" s="39"/>
      <c r="G949" s="17"/>
    </row>
    <row r="950" spans="1:7" ht="14" customHeight="1">
      <c r="B950" s="37" t="s">
        <v>320</v>
      </c>
      <c r="C950" s="39"/>
      <c r="D950" s="39"/>
      <c r="E950" s="39"/>
      <c r="F950" s="39"/>
      <c r="G950" s="77"/>
    </row>
    <row r="951" spans="1:7" ht="14" customHeight="1">
      <c r="B951" s="38" t="s">
        <v>362</v>
      </c>
      <c r="C951" s="39"/>
      <c r="D951" s="39"/>
      <c r="E951" s="39"/>
      <c r="F951" s="39"/>
      <c r="G951" s="17"/>
    </row>
    <row r="952" spans="1:7" ht="14" customHeight="1">
      <c r="B952" s="37" t="s">
        <v>321</v>
      </c>
      <c r="C952" s="39"/>
      <c r="D952" s="39"/>
      <c r="E952" s="39"/>
      <c r="F952" s="39"/>
      <c r="G952" s="17"/>
    </row>
    <row r="953" spans="1:7" ht="14" customHeight="1">
      <c r="B953" s="38" t="s">
        <v>361</v>
      </c>
      <c r="C953" s="39"/>
      <c r="D953" s="39"/>
      <c r="E953" s="39"/>
      <c r="F953" s="39"/>
      <c r="G953" s="17"/>
    </row>
    <row r="954" spans="1:7" ht="14" customHeight="1">
      <c r="B954" s="38" t="s">
        <v>322</v>
      </c>
      <c r="C954" s="39"/>
      <c r="D954" s="39"/>
      <c r="E954" s="39"/>
      <c r="F954" s="39"/>
      <c r="G954" s="17"/>
    </row>
    <row r="955" spans="1:7" ht="14" customHeight="1">
      <c r="B955" s="38" t="s">
        <v>360</v>
      </c>
      <c r="C955" s="39"/>
      <c r="D955" s="39"/>
      <c r="E955" s="39"/>
      <c r="F955" s="39"/>
      <c r="G955" s="17"/>
    </row>
    <row r="956" spans="1:7" ht="14" customHeight="1">
      <c r="B956" s="38" t="s">
        <v>323</v>
      </c>
      <c r="C956" s="39"/>
      <c r="D956" s="39"/>
      <c r="E956" s="39"/>
      <c r="F956" s="39"/>
      <c r="G956" s="17"/>
    </row>
    <row r="957" spans="1:7" ht="14" customHeight="1">
      <c r="B957" s="38" t="s">
        <v>356</v>
      </c>
      <c r="C957" s="39"/>
      <c r="D957" s="39"/>
      <c r="E957" s="39"/>
      <c r="F957" s="39"/>
      <c r="G957" s="17"/>
    </row>
    <row r="958" spans="1:7" ht="56">
      <c r="A958" s="31" t="s">
        <v>179</v>
      </c>
      <c r="B958" s="32" t="s">
        <v>0</v>
      </c>
      <c r="C958" s="33" t="s">
        <v>38</v>
      </c>
      <c r="D958" s="33" t="s">
        <v>32</v>
      </c>
      <c r="E958" s="33" t="s">
        <v>358</v>
      </c>
      <c r="F958" s="33" t="s">
        <v>44</v>
      </c>
      <c r="G958" s="33" t="s">
        <v>14</v>
      </c>
    </row>
    <row r="959" spans="1:7" ht="26">
      <c r="A959" s="43">
        <v>1</v>
      </c>
      <c r="B959" s="44" t="s">
        <v>341</v>
      </c>
      <c r="C959" s="88">
        <v>0</v>
      </c>
      <c r="D959" s="88">
        <v>74915</v>
      </c>
      <c r="E959" s="88">
        <v>0</v>
      </c>
      <c r="F959" s="88">
        <v>0</v>
      </c>
      <c r="G959" s="48" t="s">
        <v>306</v>
      </c>
    </row>
    <row r="960" spans="1:7" ht="39">
      <c r="A960" s="43">
        <v>2</v>
      </c>
      <c r="B960" s="46" t="s">
        <v>346</v>
      </c>
      <c r="C960" s="88">
        <v>0</v>
      </c>
      <c r="D960" s="45">
        <v>70000</v>
      </c>
      <c r="E960" s="88">
        <v>0</v>
      </c>
      <c r="F960" s="88">
        <v>0</v>
      </c>
      <c r="G960" s="47" t="s">
        <v>345</v>
      </c>
    </row>
    <row r="961" spans="1:9" ht="26">
      <c r="A961" s="43">
        <v>3</v>
      </c>
      <c r="B961" s="48" t="s">
        <v>340</v>
      </c>
      <c r="C961" s="88">
        <v>0</v>
      </c>
      <c r="D961" s="45">
        <v>152000</v>
      </c>
      <c r="E961" s="88">
        <v>0</v>
      </c>
      <c r="F961" s="88">
        <v>0</v>
      </c>
      <c r="G961" s="44" t="s">
        <v>344</v>
      </c>
    </row>
    <row r="962" spans="1:9" ht="26">
      <c r="A962" s="43">
        <v>4</v>
      </c>
      <c r="B962" s="46" t="s">
        <v>347</v>
      </c>
      <c r="C962" s="88">
        <v>142276510</v>
      </c>
      <c r="D962" s="45">
        <v>0</v>
      </c>
      <c r="E962" s="88">
        <v>0</v>
      </c>
      <c r="F962" s="88">
        <v>0</v>
      </c>
      <c r="G962" s="95" t="s">
        <v>353</v>
      </c>
    </row>
    <row r="963" spans="1:9" ht="26">
      <c r="A963" s="43">
        <v>5</v>
      </c>
      <c r="B963" s="48" t="s">
        <v>348</v>
      </c>
      <c r="C963" s="88">
        <v>0</v>
      </c>
      <c r="D963" s="45">
        <v>171428</v>
      </c>
      <c r="E963" s="88">
        <v>0</v>
      </c>
      <c r="F963" s="88"/>
      <c r="G963" s="95" t="s">
        <v>349</v>
      </c>
    </row>
    <row r="964" spans="1:9" ht="39">
      <c r="A964" s="43">
        <v>6</v>
      </c>
      <c r="B964" s="48" t="s">
        <v>352</v>
      </c>
      <c r="C964" s="88">
        <v>0</v>
      </c>
      <c r="D964" s="45">
        <v>148214</v>
      </c>
      <c r="E964" s="93">
        <v>0</v>
      </c>
      <c r="F964" s="94">
        <v>75</v>
      </c>
      <c r="G964" s="95" t="s">
        <v>350</v>
      </c>
      <c r="I964" s="18" t="s">
        <v>21</v>
      </c>
    </row>
    <row r="965" spans="1:9" ht="62">
      <c r="A965" s="31">
        <v>7</v>
      </c>
      <c r="B965" s="48" t="s">
        <v>351</v>
      </c>
      <c r="C965" s="71">
        <v>0</v>
      </c>
      <c r="D965" s="45">
        <v>0</v>
      </c>
      <c r="E965" s="45">
        <v>0</v>
      </c>
      <c r="F965" s="45">
        <v>850</v>
      </c>
      <c r="G965" s="8" t="s">
        <v>151</v>
      </c>
      <c r="I965" s="18" t="s">
        <v>21</v>
      </c>
    </row>
    <row r="966" spans="1:9" ht="26">
      <c r="A966" s="31"/>
      <c r="B966" s="48" t="s">
        <v>354</v>
      </c>
      <c r="C966" s="71">
        <v>0</v>
      </c>
      <c r="D966" s="45">
        <v>100000</v>
      </c>
      <c r="E966" s="45">
        <v>0</v>
      </c>
      <c r="F966" s="45">
        <v>0</v>
      </c>
      <c r="G966" s="44" t="s">
        <v>355</v>
      </c>
    </row>
    <row r="967" spans="1:9" ht="26">
      <c r="A967" s="31"/>
      <c r="B967" s="48" t="s">
        <v>359</v>
      </c>
      <c r="C967" s="71">
        <v>0</v>
      </c>
      <c r="D967" s="45">
        <v>0</v>
      </c>
      <c r="E967" s="45">
        <v>2466919</v>
      </c>
      <c r="F967" s="45">
        <v>0</v>
      </c>
      <c r="G967" s="44" t="s">
        <v>28</v>
      </c>
    </row>
    <row r="968" spans="1:9" ht="26">
      <c r="A968" s="34"/>
      <c r="B968" s="42" t="s">
        <v>1</v>
      </c>
      <c r="C968" s="89">
        <f>SUM(C959:C967)</f>
        <v>142276510</v>
      </c>
      <c r="D968" s="35">
        <f>SUM(D959:D967)</f>
        <v>716557</v>
      </c>
      <c r="E968" s="35">
        <f>+E967</f>
        <v>2466919</v>
      </c>
      <c r="F968" s="35">
        <f>SUM(F960:F966)</f>
        <v>925</v>
      </c>
      <c r="G968" s="46"/>
    </row>
    <row r="969" spans="1:9" ht="13">
      <c r="B969" s="6" t="s">
        <v>10</v>
      </c>
      <c r="C969" s="39"/>
      <c r="D969" s="39"/>
      <c r="E969" s="39"/>
      <c r="F969" s="39"/>
      <c r="G969" s="50"/>
    </row>
    <row r="970" spans="1:9" ht="13">
      <c r="B970" s="49" t="s">
        <v>357</v>
      </c>
      <c r="C970" s="37"/>
      <c r="D970" s="37"/>
      <c r="E970" s="37"/>
      <c r="F970" s="37"/>
      <c r="G970" s="92"/>
    </row>
    <row r="971" spans="1:9" ht="14">
      <c r="A971" s="10" t="s">
        <v>2</v>
      </c>
      <c r="B971" s="39"/>
      <c r="C971" s="39"/>
      <c r="D971" s="39"/>
      <c r="E971" s="53"/>
      <c r="F971" s="37" t="s">
        <v>3</v>
      </c>
      <c r="G971" s="37"/>
    </row>
    <row r="972" spans="1:9" ht="14">
      <c r="A972" s="7" t="s">
        <v>4</v>
      </c>
      <c r="B972" s="39"/>
      <c r="C972" s="6"/>
      <c r="D972" s="39"/>
      <c r="E972" s="53"/>
      <c r="F972" s="39" t="s">
        <v>7</v>
      </c>
      <c r="G972" s="39"/>
    </row>
    <row r="973" spans="1:9" ht="14">
      <c r="A973" s="11" t="s">
        <v>5</v>
      </c>
      <c r="B973" s="6"/>
      <c r="C973" s="6"/>
      <c r="D973" s="39"/>
      <c r="E973" s="53"/>
      <c r="F973" s="39" t="s">
        <v>8</v>
      </c>
      <c r="G973" s="39"/>
    </row>
    <row r="974" spans="1:9" ht="14">
      <c r="A974" s="11"/>
      <c r="B974" s="6"/>
      <c r="C974" s="53"/>
      <c r="D974" s="37" t="s">
        <v>6</v>
      </c>
      <c r="E974" s="6"/>
      <c r="F974" s="6"/>
      <c r="G974" s="6"/>
    </row>
    <row r="975" spans="1:9" ht="14.5">
      <c r="A975" s="90"/>
      <c r="B975" s="39"/>
      <c r="C975" s="53"/>
      <c r="D975" s="39" t="s">
        <v>15</v>
      </c>
      <c r="E975" s="37"/>
      <c r="F975" s="37"/>
      <c r="G975" s="37"/>
    </row>
    <row r="976" spans="1:9" ht="14.5">
      <c r="A976" s="90"/>
      <c r="B976" s="39"/>
      <c r="C976" s="53"/>
      <c r="D976" s="39" t="s">
        <v>9</v>
      </c>
      <c r="E976" s="37"/>
      <c r="F976" s="92"/>
      <c r="G976" s="37"/>
    </row>
    <row r="979" spans="1:7" ht="13">
      <c r="A979" s="53"/>
      <c r="B979" s="39"/>
      <c r="C979" s="53"/>
      <c r="D979" s="39"/>
      <c r="E979" s="37"/>
      <c r="F979" s="37"/>
      <c r="G979" s="37"/>
    </row>
    <row r="980" spans="1:7" ht="13">
      <c r="A980" s="53"/>
      <c r="B980" s="39"/>
      <c r="C980" s="53"/>
      <c r="D980" s="39"/>
      <c r="E980" s="37"/>
      <c r="F980" s="37"/>
      <c r="G980" s="37"/>
    </row>
    <row r="982" spans="1:7" ht="15.5">
      <c r="B982" s="1"/>
      <c r="C982" s="1"/>
      <c r="D982" s="1"/>
      <c r="E982" s="1"/>
      <c r="F982" s="1"/>
      <c r="G982" s="1"/>
    </row>
    <row r="983" spans="1:7" ht="15.5">
      <c r="B983" s="1"/>
      <c r="C983" s="1"/>
      <c r="D983" s="1"/>
      <c r="E983" s="1"/>
      <c r="F983" s="1"/>
      <c r="G983" s="1"/>
    </row>
    <row r="984" spans="1:7" ht="15.5">
      <c r="B984" s="38" t="s">
        <v>318</v>
      </c>
      <c r="C984" s="39"/>
      <c r="D984" s="39"/>
      <c r="E984" s="39"/>
      <c r="F984" s="39"/>
      <c r="G984" s="1"/>
    </row>
    <row r="985" spans="1:7" ht="15.5">
      <c r="B985" s="38" t="s">
        <v>367</v>
      </c>
      <c r="C985" s="39"/>
      <c r="D985" s="39"/>
      <c r="E985" s="39"/>
      <c r="F985" s="39"/>
      <c r="G985" s="1"/>
    </row>
    <row r="986" spans="1:7" ht="15.5">
      <c r="B986" s="38" t="s">
        <v>319</v>
      </c>
      <c r="C986" s="39"/>
      <c r="D986" s="39"/>
      <c r="E986" s="39"/>
      <c r="F986" s="39"/>
      <c r="G986" s="1"/>
    </row>
    <row r="987" spans="1:7" ht="15.5">
      <c r="B987" s="38" t="s">
        <v>373</v>
      </c>
      <c r="C987" s="39"/>
      <c r="D987" s="39"/>
      <c r="E987" s="39"/>
      <c r="F987" s="39"/>
      <c r="G987" s="17"/>
    </row>
    <row r="988" spans="1:7" ht="15.5">
      <c r="B988" s="37" t="s">
        <v>320</v>
      </c>
      <c r="C988" s="39"/>
      <c r="D988" s="39"/>
      <c r="E988" s="39"/>
      <c r="G988" s="77"/>
    </row>
    <row r="989" spans="1:7" ht="15.5">
      <c r="B989" s="38" t="s">
        <v>372</v>
      </c>
      <c r="C989" s="39"/>
      <c r="D989" s="39"/>
      <c r="E989" s="39"/>
      <c r="F989" s="39"/>
      <c r="G989" s="17"/>
    </row>
    <row r="990" spans="1:7" ht="15.5">
      <c r="B990" s="37" t="s">
        <v>321</v>
      </c>
      <c r="C990" s="39"/>
      <c r="D990" s="39"/>
      <c r="E990" s="39"/>
      <c r="F990" s="39"/>
      <c r="G990" s="17"/>
    </row>
    <row r="991" spans="1:7" ht="15.5">
      <c r="B991" s="38" t="s">
        <v>366</v>
      </c>
      <c r="C991" s="39"/>
      <c r="D991" s="39"/>
      <c r="E991" s="39"/>
      <c r="F991" s="39"/>
      <c r="G991" s="17"/>
    </row>
    <row r="992" spans="1:7" ht="15.5">
      <c r="B992" s="38" t="s">
        <v>322</v>
      </c>
      <c r="C992" s="39"/>
      <c r="D992" s="39"/>
      <c r="E992" s="39"/>
      <c r="F992" s="39"/>
      <c r="G992" s="17"/>
    </row>
    <row r="993" spans="1:7" ht="15.5">
      <c r="B993" s="38" t="s">
        <v>360</v>
      </c>
      <c r="C993" s="39"/>
      <c r="D993" s="39"/>
      <c r="E993" s="39"/>
      <c r="F993" s="39"/>
      <c r="G993" s="17"/>
    </row>
    <row r="994" spans="1:7" ht="15.5">
      <c r="B994" s="38" t="s">
        <v>323</v>
      </c>
      <c r="C994" s="39"/>
      <c r="D994" s="39"/>
      <c r="E994" s="39"/>
      <c r="F994" s="39"/>
      <c r="G994" s="17"/>
    </row>
    <row r="995" spans="1:7" ht="15.5">
      <c r="B995" s="38" t="s">
        <v>368</v>
      </c>
      <c r="C995" s="39"/>
      <c r="D995" s="39"/>
      <c r="E995" s="39"/>
      <c r="F995" s="39"/>
      <c r="G995" s="17"/>
    </row>
    <row r="996" spans="1:7" ht="56">
      <c r="A996" s="31" t="s">
        <v>179</v>
      </c>
      <c r="B996" s="32" t="s">
        <v>0</v>
      </c>
      <c r="C996" s="33" t="s">
        <v>38</v>
      </c>
      <c r="D996" s="33" t="s">
        <v>32</v>
      </c>
      <c r="E996" s="33" t="s">
        <v>358</v>
      </c>
      <c r="F996" s="33" t="s">
        <v>44</v>
      </c>
      <c r="G996" s="33" t="s">
        <v>14</v>
      </c>
    </row>
    <row r="997" spans="1:7" ht="65">
      <c r="A997" s="43">
        <v>1</v>
      </c>
      <c r="B997" s="44" t="s">
        <v>365</v>
      </c>
      <c r="C997" s="88">
        <v>0</v>
      </c>
      <c r="D997" s="88">
        <v>500000</v>
      </c>
      <c r="E997" s="88">
        <v>0</v>
      </c>
      <c r="F997" s="88">
        <v>0</v>
      </c>
      <c r="G997" s="48" t="s">
        <v>364</v>
      </c>
    </row>
    <row r="998" spans="1:7" ht="26">
      <c r="A998" s="43">
        <v>2</v>
      </c>
      <c r="B998" s="46" t="s">
        <v>369</v>
      </c>
      <c r="C998" s="88">
        <v>0</v>
      </c>
      <c r="D998" s="45">
        <f>15000+12000+8000</f>
        <v>35000</v>
      </c>
      <c r="E998" s="88">
        <v>0</v>
      </c>
      <c r="F998" s="88">
        <v>0</v>
      </c>
      <c r="G998" s="47" t="s">
        <v>154</v>
      </c>
    </row>
    <row r="999" spans="1:7" ht="52">
      <c r="A999" s="43">
        <v>3</v>
      </c>
      <c r="B999" s="48" t="s">
        <v>370</v>
      </c>
      <c r="C999" s="88">
        <v>0</v>
      </c>
      <c r="D999" s="45">
        <v>990000</v>
      </c>
      <c r="E999" s="88">
        <v>0</v>
      </c>
      <c r="F999" s="88">
        <v>0</v>
      </c>
      <c r="G999" s="44" t="s">
        <v>371</v>
      </c>
    </row>
    <row r="1000" spans="1:7" ht="13">
      <c r="A1000" s="43">
        <v>4</v>
      </c>
      <c r="B1000" s="46"/>
      <c r="C1000" s="88"/>
      <c r="D1000" s="45"/>
      <c r="E1000" s="88"/>
      <c r="F1000" s="88"/>
      <c r="G1000" s="95"/>
    </row>
    <row r="1001" spans="1:7" ht="13">
      <c r="A1001" s="43"/>
      <c r="B1001" s="48"/>
      <c r="C1001" s="88"/>
      <c r="D1001" s="45"/>
      <c r="E1001" s="88"/>
      <c r="F1001" s="88"/>
      <c r="G1001" s="95"/>
    </row>
    <row r="1002" spans="1:7" ht="13">
      <c r="A1002" s="43"/>
      <c r="B1002" s="48"/>
      <c r="C1002" s="88"/>
      <c r="D1002" s="45"/>
      <c r="E1002" s="93"/>
      <c r="F1002" s="94"/>
      <c r="G1002" s="95"/>
    </row>
    <row r="1003" spans="1:7" ht="15.5">
      <c r="A1003" s="31"/>
      <c r="B1003" s="48"/>
      <c r="C1003" s="71"/>
      <c r="D1003" s="45"/>
      <c r="E1003" s="45"/>
      <c r="F1003" s="45"/>
      <c r="G1003" s="8"/>
    </row>
    <row r="1004" spans="1:7" ht="14">
      <c r="A1004" s="31"/>
      <c r="B1004" s="48"/>
      <c r="C1004" s="71"/>
      <c r="D1004" s="45"/>
      <c r="E1004" s="45"/>
      <c r="F1004" s="45"/>
      <c r="G1004" s="44"/>
    </row>
    <row r="1005" spans="1:7" ht="14">
      <c r="A1005" s="31"/>
      <c r="B1005" s="48"/>
      <c r="C1005" s="71"/>
      <c r="D1005" s="45"/>
      <c r="E1005" s="45"/>
      <c r="F1005" s="45"/>
      <c r="G1005" s="44"/>
    </row>
    <row r="1006" spans="1:7" ht="26">
      <c r="A1006" s="34"/>
      <c r="B1006" s="42" t="s">
        <v>1</v>
      </c>
      <c r="C1006" s="89">
        <f>SUM(C997:C1005)</f>
        <v>0</v>
      </c>
      <c r="D1006" s="35">
        <f>SUM(D997:D1005)</f>
        <v>1525000</v>
      </c>
      <c r="E1006" s="35">
        <f>+E1005</f>
        <v>0</v>
      </c>
      <c r="F1006" s="35">
        <f>SUM(F998:F1004)</f>
        <v>0</v>
      </c>
      <c r="G1006" s="46"/>
    </row>
    <row r="1007" spans="1:7" ht="13">
      <c r="B1007" s="6" t="s">
        <v>10</v>
      </c>
      <c r="C1007" s="39"/>
      <c r="D1007" s="39"/>
      <c r="E1007" s="39"/>
      <c r="F1007" s="39"/>
      <c r="G1007" s="50"/>
    </row>
    <row r="1008" spans="1:7" ht="13">
      <c r="B1008" s="49" t="s">
        <v>363</v>
      </c>
      <c r="C1008" s="37"/>
      <c r="D1008" s="37"/>
      <c r="E1008" s="37"/>
      <c r="F1008" s="37"/>
      <c r="G1008" s="92"/>
    </row>
    <row r="1009" spans="1:7" ht="14">
      <c r="A1009" s="10" t="s">
        <v>2</v>
      </c>
      <c r="B1009" s="39"/>
      <c r="C1009" s="39"/>
      <c r="D1009" s="39"/>
      <c r="E1009" s="53"/>
      <c r="F1009" s="37" t="s">
        <v>3</v>
      </c>
      <c r="G1009" s="37"/>
    </row>
    <row r="1010" spans="1:7" ht="14">
      <c r="A1010" s="7" t="s">
        <v>4</v>
      </c>
      <c r="B1010" s="39"/>
      <c r="C1010" s="6"/>
      <c r="D1010" s="39"/>
      <c r="E1010" s="53"/>
      <c r="F1010" s="39" t="s">
        <v>7</v>
      </c>
      <c r="G1010" s="39"/>
    </row>
    <row r="1011" spans="1:7" ht="14">
      <c r="A1011" s="11" t="s">
        <v>5</v>
      </c>
      <c r="B1011" s="6"/>
      <c r="C1011" s="6"/>
      <c r="D1011" s="39"/>
      <c r="E1011" s="53"/>
      <c r="F1011" s="39" t="s">
        <v>8</v>
      </c>
      <c r="G1011" s="39"/>
    </row>
    <row r="1012" spans="1:7" ht="14">
      <c r="A1012" s="11"/>
      <c r="B1012" s="6"/>
      <c r="C1012" s="53"/>
      <c r="D1012" s="37" t="s">
        <v>6</v>
      </c>
      <c r="E1012" s="6"/>
      <c r="F1012" s="6"/>
      <c r="G1012" s="6"/>
    </row>
    <row r="1013" spans="1:7" ht="14.5">
      <c r="A1013" s="90"/>
      <c r="B1013" s="39"/>
      <c r="C1013" s="53"/>
      <c r="D1013" s="39" t="s">
        <v>15</v>
      </c>
      <c r="E1013" s="37"/>
      <c r="F1013" s="37"/>
      <c r="G1013" s="37"/>
    </row>
    <row r="1014" spans="1:7" ht="14.5">
      <c r="A1014" s="90"/>
      <c r="B1014" s="39"/>
      <c r="C1014" s="53"/>
      <c r="D1014" s="39" t="s">
        <v>9</v>
      </c>
      <c r="E1014" s="37"/>
      <c r="F1014" s="92"/>
      <c r="G1014" s="37"/>
    </row>
    <row r="1019" spans="1:7" ht="13">
      <c r="A1019" s="53"/>
      <c r="B1019" s="39"/>
      <c r="C1019" s="53"/>
      <c r="D1019" s="39"/>
      <c r="E1019" s="37"/>
      <c r="F1019" s="37"/>
      <c r="G1019" s="37"/>
    </row>
    <row r="1021" spans="1:7" ht="15.5">
      <c r="B1021" s="1"/>
      <c r="C1021" s="1"/>
      <c r="D1021" s="1"/>
      <c r="E1021" s="1"/>
      <c r="F1021" s="1"/>
      <c r="G1021" s="1"/>
    </row>
    <row r="1022" spans="1:7" ht="15.5">
      <c r="B1022" s="1"/>
      <c r="C1022" s="1"/>
      <c r="D1022" s="1"/>
      <c r="E1022" s="1"/>
      <c r="F1022" s="1"/>
      <c r="G1022" s="1"/>
    </row>
    <row r="1023" spans="1:7" ht="15.5">
      <c r="B1023" s="38" t="s">
        <v>318</v>
      </c>
      <c r="C1023" s="39"/>
      <c r="D1023" s="39"/>
      <c r="E1023" s="39"/>
      <c r="F1023" s="39"/>
      <c r="G1023" s="1"/>
    </row>
    <row r="1024" spans="1:7" ht="15.5">
      <c r="B1024" s="38" t="s">
        <v>384</v>
      </c>
      <c r="C1024" s="39"/>
      <c r="D1024" s="39"/>
      <c r="E1024" s="39"/>
      <c r="F1024" s="39"/>
      <c r="G1024" s="1"/>
    </row>
    <row r="1025" spans="1:7" ht="15.5">
      <c r="B1025" s="38" t="s">
        <v>319</v>
      </c>
      <c r="C1025" s="39"/>
      <c r="D1025" s="39"/>
      <c r="E1025" s="39"/>
      <c r="F1025" s="39"/>
      <c r="G1025" s="1"/>
    </row>
    <row r="1026" spans="1:7" ht="15.5">
      <c r="B1026" s="38" t="s">
        <v>373</v>
      </c>
      <c r="C1026" s="39"/>
      <c r="D1026" s="39"/>
      <c r="E1026" s="39"/>
      <c r="F1026" s="39"/>
      <c r="G1026" s="17"/>
    </row>
    <row r="1027" spans="1:7" ht="15.5">
      <c r="B1027" s="37" t="s">
        <v>320</v>
      </c>
      <c r="C1027" s="39"/>
      <c r="D1027" s="39"/>
      <c r="E1027" s="39"/>
      <c r="G1027" s="77"/>
    </row>
    <row r="1028" spans="1:7" ht="15.5">
      <c r="B1028" s="38" t="s">
        <v>386</v>
      </c>
      <c r="C1028" s="39"/>
      <c r="D1028" s="39"/>
      <c r="E1028" s="39"/>
      <c r="F1028" s="39"/>
      <c r="G1028" s="17"/>
    </row>
    <row r="1029" spans="1:7" ht="15.5">
      <c r="B1029" s="37" t="s">
        <v>321</v>
      </c>
      <c r="C1029" s="39"/>
      <c r="D1029" s="39"/>
      <c r="E1029" s="39"/>
      <c r="F1029" s="39"/>
      <c r="G1029" s="17"/>
    </row>
    <row r="1030" spans="1:7" ht="15.5">
      <c r="B1030" s="38" t="s">
        <v>366</v>
      </c>
      <c r="C1030" s="39"/>
      <c r="D1030" s="39"/>
      <c r="E1030" s="39"/>
      <c r="F1030" s="39"/>
      <c r="G1030" s="17"/>
    </row>
    <row r="1031" spans="1:7" ht="15.5">
      <c r="B1031" s="38" t="s">
        <v>322</v>
      </c>
      <c r="C1031" s="39"/>
      <c r="D1031" s="39"/>
      <c r="E1031" s="39"/>
      <c r="F1031" s="39"/>
      <c r="G1031" s="17"/>
    </row>
    <row r="1032" spans="1:7" ht="15.5">
      <c r="B1032" s="38" t="s">
        <v>360</v>
      </c>
      <c r="C1032" s="39"/>
      <c r="D1032" s="39"/>
      <c r="E1032" s="39"/>
      <c r="F1032" s="39"/>
      <c r="G1032" s="17"/>
    </row>
    <row r="1033" spans="1:7" ht="15.5">
      <c r="B1033" s="38" t="s">
        <v>323</v>
      </c>
      <c r="C1033" s="39"/>
      <c r="D1033" s="39"/>
      <c r="E1033" s="39"/>
      <c r="F1033" s="39"/>
      <c r="G1033" s="17"/>
    </row>
    <row r="1034" spans="1:7" ht="15.5">
      <c r="B1034" s="38" t="s">
        <v>368</v>
      </c>
      <c r="C1034" s="39"/>
      <c r="D1034" s="39"/>
      <c r="E1034" s="39"/>
      <c r="F1034" s="39"/>
      <c r="G1034" s="17"/>
    </row>
    <row r="1035" spans="1:7" ht="56">
      <c r="A1035" s="31" t="s">
        <v>179</v>
      </c>
      <c r="B1035" s="32" t="s">
        <v>0</v>
      </c>
      <c r="C1035" s="33" t="s">
        <v>379</v>
      </c>
      <c r="D1035" s="33" t="s">
        <v>32</v>
      </c>
      <c r="E1035" s="33" t="s">
        <v>358</v>
      </c>
      <c r="F1035" s="33" t="s">
        <v>44</v>
      </c>
      <c r="G1035" s="33" t="s">
        <v>14</v>
      </c>
    </row>
    <row r="1036" spans="1:7" ht="26">
      <c r="A1036" s="43">
        <v>1</v>
      </c>
      <c r="B1036" s="44" t="s">
        <v>375</v>
      </c>
      <c r="C1036" s="88">
        <v>9824701</v>
      </c>
      <c r="D1036" s="45">
        <v>0</v>
      </c>
      <c r="E1036" s="15">
        <v>0</v>
      </c>
      <c r="F1036" s="15">
        <v>864484</v>
      </c>
      <c r="G1036" s="48" t="s">
        <v>26</v>
      </c>
    </row>
    <row r="1037" spans="1:7" ht="46.5">
      <c r="A1037" s="43">
        <v>2</v>
      </c>
      <c r="B1037" s="48" t="s">
        <v>382</v>
      </c>
      <c r="C1037" s="71">
        <v>0</v>
      </c>
      <c r="D1037" s="45">
        <v>3276000</v>
      </c>
      <c r="E1037" s="45">
        <v>0</v>
      </c>
      <c r="F1037" s="45">
        <v>0</v>
      </c>
      <c r="G1037" s="8" t="s">
        <v>383</v>
      </c>
    </row>
    <row r="1038" spans="1:7" ht="26">
      <c r="A1038" s="43">
        <v>3</v>
      </c>
      <c r="B1038" s="48" t="s">
        <v>385</v>
      </c>
      <c r="C1038" s="71">
        <v>0</v>
      </c>
      <c r="D1038" s="45">
        <v>3393322</v>
      </c>
      <c r="E1038" s="45">
        <v>0</v>
      </c>
      <c r="F1038" s="45">
        <v>0</v>
      </c>
      <c r="G1038" s="44" t="s">
        <v>177</v>
      </c>
    </row>
    <row r="1039" spans="1:7" ht="13">
      <c r="A1039" s="43"/>
      <c r="B1039" s="46"/>
      <c r="C1039" s="88"/>
      <c r="D1039" s="45"/>
      <c r="E1039" s="88"/>
      <c r="F1039" s="88"/>
      <c r="G1039" s="95"/>
    </row>
    <row r="1040" spans="1:7" ht="13">
      <c r="A1040" s="43"/>
      <c r="B1040" s="48"/>
      <c r="C1040" s="88"/>
      <c r="D1040" s="45"/>
      <c r="E1040" s="88"/>
      <c r="F1040" s="88"/>
      <c r="G1040" s="95"/>
    </row>
    <row r="1041" spans="1:7" ht="13">
      <c r="A1041" s="43"/>
      <c r="B1041" s="48"/>
      <c r="C1041" s="88"/>
      <c r="D1041" s="45"/>
      <c r="E1041" s="93"/>
      <c r="F1041" s="88"/>
      <c r="G1041" s="95"/>
    </row>
    <row r="1042" spans="1:7" ht="15.5">
      <c r="A1042" s="34"/>
      <c r="B1042" s="48"/>
      <c r="C1042" s="71"/>
      <c r="D1042" s="45"/>
      <c r="E1042" s="45"/>
      <c r="F1042" s="45"/>
      <c r="G1042" s="8"/>
    </row>
    <row r="1043" spans="1:7" ht="14">
      <c r="A1043" s="34"/>
      <c r="B1043" s="48"/>
      <c r="C1043" s="71"/>
      <c r="D1043" s="45"/>
      <c r="E1043" s="45"/>
      <c r="F1043" s="45"/>
      <c r="G1043" s="44"/>
    </row>
    <row r="1044" spans="1:7" ht="14">
      <c r="A1044" s="31"/>
      <c r="B1044" s="48"/>
      <c r="C1044" s="71"/>
      <c r="D1044" s="45"/>
      <c r="E1044" s="45"/>
      <c r="F1044" s="45"/>
      <c r="G1044" s="44"/>
    </row>
    <row r="1045" spans="1:7" ht="26">
      <c r="A1045" s="34"/>
      <c r="B1045" s="42" t="s">
        <v>1</v>
      </c>
      <c r="C1045" s="89">
        <f>SUM(C1036:C1044)</f>
        <v>9824701</v>
      </c>
      <c r="D1045" s="35">
        <f>SUM(D1036:D1044)</f>
        <v>6669322</v>
      </c>
      <c r="E1045" s="35">
        <f>+E1044</f>
        <v>0</v>
      </c>
      <c r="F1045" s="35">
        <f>+F1036</f>
        <v>864484</v>
      </c>
      <c r="G1045" s="46"/>
    </row>
    <row r="1046" spans="1:7" ht="14">
      <c r="A1046" s="82"/>
      <c r="B1046" s="96"/>
      <c r="C1046" s="97"/>
      <c r="D1046" s="52"/>
      <c r="E1046" s="52"/>
      <c r="F1046" s="52"/>
      <c r="G1046" s="54"/>
    </row>
    <row r="1047" spans="1:7" ht="13">
      <c r="B1047" s="6" t="s">
        <v>10</v>
      </c>
      <c r="C1047" s="39"/>
      <c r="D1047" s="39"/>
      <c r="E1047" s="39"/>
      <c r="F1047" s="39"/>
      <c r="G1047" s="50"/>
    </row>
    <row r="1048" spans="1:7" ht="13">
      <c r="B1048" s="49" t="s">
        <v>374</v>
      </c>
      <c r="C1048" s="37"/>
      <c r="D1048" s="37"/>
      <c r="E1048" s="37"/>
      <c r="F1048" s="37"/>
      <c r="G1048" s="92"/>
    </row>
    <row r="1049" spans="1:7" ht="13">
      <c r="B1049" s="49"/>
      <c r="C1049" s="37"/>
      <c r="D1049" s="37"/>
      <c r="E1049" s="37"/>
      <c r="F1049" s="37"/>
      <c r="G1049" s="92"/>
    </row>
    <row r="1050" spans="1:7" ht="13">
      <c r="B1050" s="49"/>
      <c r="C1050" s="37"/>
      <c r="D1050" s="37"/>
      <c r="E1050" s="37"/>
      <c r="F1050" s="37"/>
      <c r="G1050" s="92"/>
    </row>
    <row r="1051" spans="1:7" ht="13">
      <c r="B1051" s="49"/>
      <c r="C1051" s="37"/>
      <c r="D1051" s="37"/>
      <c r="E1051" s="37"/>
      <c r="F1051" s="37"/>
      <c r="G1051" s="92"/>
    </row>
    <row r="1052" spans="1:7" ht="14">
      <c r="A1052" s="10" t="s">
        <v>2</v>
      </c>
      <c r="B1052" s="39"/>
      <c r="C1052" s="39"/>
      <c r="D1052" s="39"/>
      <c r="E1052" s="53"/>
      <c r="F1052" s="37" t="s">
        <v>3</v>
      </c>
      <c r="G1052" s="37"/>
    </row>
    <row r="1053" spans="1:7" ht="14">
      <c r="A1053" s="7" t="s">
        <v>4</v>
      </c>
      <c r="B1053" s="39"/>
      <c r="C1053" s="6"/>
      <c r="D1053" s="39"/>
      <c r="E1053" s="53"/>
      <c r="F1053" s="39" t="s">
        <v>7</v>
      </c>
      <c r="G1053" s="39"/>
    </row>
    <row r="1054" spans="1:7" ht="14">
      <c r="A1054" s="11" t="s">
        <v>5</v>
      </c>
      <c r="B1054" s="6"/>
      <c r="C1054" s="6"/>
      <c r="D1054" s="39"/>
      <c r="E1054" s="53"/>
      <c r="F1054" s="39" t="s">
        <v>8</v>
      </c>
      <c r="G1054" s="39"/>
    </row>
    <row r="1055" spans="1:7" ht="14">
      <c r="A1055" s="11"/>
      <c r="B1055" s="6"/>
      <c r="C1055" s="53"/>
      <c r="D1055" s="37" t="s">
        <v>6</v>
      </c>
      <c r="E1055" s="6"/>
      <c r="F1055" s="6"/>
      <c r="G1055" s="6"/>
    </row>
    <row r="1056" spans="1:7" ht="14.5">
      <c r="A1056" s="90"/>
      <c r="B1056" s="39"/>
      <c r="C1056" s="53"/>
      <c r="D1056" s="39" t="s">
        <v>15</v>
      </c>
      <c r="E1056" s="37"/>
      <c r="F1056" s="37"/>
      <c r="G1056" s="37"/>
    </row>
    <row r="1057" spans="1:7" ht="14.5">
      <c r="A1057" s="90"/>
      <c r="B1057" s="39"/>
      <c r="C1057" s="53"/>
      <c r="D1057" s="39" t="s">
        <v>9</v>
      </c>
      <c r="E1057" s="37"/>
      <c r="F1057" s="92"/>
      <c r="G1057" s="37"/>
    </row>
    <row r="1058" spans="1:7" ht="14.5">
      <c r="A1058" s="90"/>
      <c r="B1058" s="39"/>
      <c r="C1058" s="53"/>
      <c r="D1058" s="39"/>
      <c r="E1058" s="37"/>
      <c r="F1058" s="92"/>
      <c r="G1058" s="37"/>
    </row>
    <row r="1059" spans="1:7" ht="14.5">
      <c r="A1059" s="90"/>
      <c r="B1059" s="39"/>
      <c r="C1059" s="53"/>
      <c r="D1059" s="39"/>
      <c r="E1059" s="37"/>
      <c r="F1059" s="92"/>
      <c r="G1059" s="37"/>
    </row>
    <row r="1060" spans="1:7" ht="14.5">
      <c r="A1060" s="90"/>
      <c r="B1060" s="39"/>
      <c r="C1060" s="53"/>
      <c r="D1060" s="39"/>
      <c r="E1060" s="37"/>
      <c r="F1060" s="92"/>
      <c r="G1060" s="37"/>
    </row>
    <row r="1061" spans="1:7" ht="13">
      <c r="A1061" s="53"/>
      <c r="B1061" s="39"/>
      <c r="C1061" s="53"/>
      <c r="D1061" s="39"/>
      <c r="E1061" s="37"/>
      <c r="F1061" s="37"/>
      <c r="G1061" s="37"/>
    </row>
    <row r="1063" spans="1:7" ht="15.5">
      <c r="B1063" s="1"/>
      <c r="C1063" s="1"/>
      <c r="D1063" s="1"/>
      <c r="E1063" s="1"/>
      <c r="F1063" s="1"/>
      <c r="G1063" s="1"/>
    </row>
    <row r="1064" spans="1:7" ht="15.5">
      <c r="B1064" s="1"/>
      <c r="C1064" s="1"/>
      <c r="D1064" s="1"/>
      <c r="E1064" s="1"/>
      <c r="F1064" s="1"/>
      <c r="G1064" s="1"/>
    </row>
    <row r="1065" spans="1:7" ht="15.5">
      <c r="B1065" s="79" t="s">
        <v>392</v>
      </c>
      <c r="C1065" s="20"/>
      <c r="E1065" s="20"/>
      <c r="F1065" s="39"/>
      <c r="G1065" s="1"/>
    </row>
    <row r="1066" spans="1:7" ht="15.5">
      <c r="B1066" s="79" t="s">
        <v>384</v>
      </c>
      <c r="C1066" s="20"/>
      <c r="E1066" s="20"/>
      <c r="F1066" s="39"/>
      <c r="G1066" s="1"/>
    </row>
    <row r="1067" spans="1:7" ht="15.5">
      <c r="B1067" s="79" t="s">
        <v>393</v>
      </c>
      <c r="C1067" s="20"/>
      <c r="E1067" s="20"/>
      <c r="F1067" s="39"/>
      <c r="G1067" s="1"/>
    </row>
    <row r="1068" spans="1:7" ht="15.5">
      <c r="B1068" s="79" t="s">
        <v>373</v>
      </c>
      <c r="C1068" s="20"/>
      <c r="E1068" s="20"/>
      <c r="F1068" s="39"/>
      <c r="G1068" s="17"/>
    </row>
    <row r="1069" spans="1:7" ht="15.5">
      <c r="B1069" s="19" t="s">
        <v>49</v>
      </c>
      <c r="C1069" s="20"/>
      <c r="E1069" s="20"/>
      <c r="G1069" s="77"/>
    </row>
    <row r="1070" spans="1:7" ht="15.5">
      <c r="B1070" s="79" t="s">
        <v>401</v>
      </c>
      <c r="C1070" s="20"/>
      <c r="E1070" s="20"/>
      <c r="F1070" s="39"/>
      <c r="G1070" s="17"/>
    </row>
    <row r="1071" spans="1:7" ht="15.5">
      <c r="B1071" s="19" t="s">
        <v>394</v>
      </c>
      <c r="C1071" s="20"/>
      <c r="E1071" s="20"/>
      <c r="F1071" s="39"/>
      <c r="G1071" s="17"/>
    </row>
    <row r="1072" spans="1:7" ht="15.5">
      <c r="B1072" s="79" t="s">
        <v>391</v>
      </c>
      <c r="C1072" s="20"/>
      <c r="E1072" s="20"/>
      <c r="F1072" s="39"/>
      <c r="G1072" s="17"/>
    </row>
    <row r="1073" spans="1:7" ht="15.5">
      <c r="B1073" s="79" t="s">
        <v>50</v>
      </c>
      <c r="C1073" s="20"/>
      <c r="E1073" s="20"/>
      <c r="F1073" s="39"/>
      <c r="G1073" s="17"/>
    </row>
    <row r="1074" spans="1:7" ht="15.5">
      <c r="B1074" s="79" t="s">
        <v>360</v>
      </c>
      <c r="C1074" s="20"/>
      <c r="E1074" s="20"/>
      <c r="F1074" s="39"/>
      <c r="G1074" s="17"/>
    </row>
    <row r="1075" spans="1:7" ht="15.5">
      <c r="B1075" s="79" t="s">
        <v>395</v>
      </c>
      <c r="C1075" s="20"/>
      <c r="E1075" s="20"/>
      <c r="F1075" s="39"/>
      <c r="G1075" s="17"/>
    </row>
    <row r="1076" spans="1:7" ht="15.5">
      <c r="B1076" s="79" t="s">
        <v>368</v>
      </c>
      <c r="C1076" s="20"/>
      <c r="E1076" s="20"/>
      <c r="F1076" s="39"/>
      <c r="G1076" s="17"/>
    </row>
    <row r="1077" spans="1:7" ht="52">
      <c r="A1077" s="40" t="s">
        <v>179</v>
      </c>
      <c r="B1077" s="41" t="s">
        <v>0</v>
      </c>
      <c r="C1077" s="42" t="s">
        <v>379</v>
      </c>
      <c r="D1077" s="42" t="s">
        <v>32</v>
      </c>
      <c r="E1077" s="42" t="s">
        <v>358</v>
      </c>
      <c r="F1077" s="42" t="s">
        <v>44</v>
      </c>
      <c r="G1077" s="42" t="s">
        <v>14</v>
      </c>
    </row>
    <row r="1078" spans="1:7" ht="34.5">
      <c r="A1078" s="24">
        <v>1</v>
      </c>
      <c r="B1078" s="98" t="s">
        <v>389</v>
      </c>
      <c r="C1078" s="99">
        <v>0</v>
      </c>
      <c r="D1078" s="26">
        <v>0</v>
      </c>
      <c r="E1078" s="26">
        <v>600000</v>
      </c>
      <c r="F1078" s="26">
        <v>0</v>
      </c>
      <c r="G1078" s="51" t="s">
        <v>390</v>
      </c>
    </row>
    <row r="1079" spans="1:7" ht="34.5">
      <c r="A1079" s="24">
        <v>2</v>
      </c>
      <c r="B1079" s="25" t="s">
        <v>376</v>
      </c>
      <c r="C1079" s="99">
        <v>0</v>
      </c>
      <c r="D1079" s="26">
        <v>630000</v>
      </c>
      <c r="E1079" s="99">
        <v>0</v>
      </c>
      <c r="F1079" s="99">
        <v>0</v>
      </c>
      <c r="G1079" s="27" t="s">
        <v>26</v>
      </c>
    </row>
    <row r="1080" spans="1:7" ht="34.5">
      <c r="A1080" s="24">
        <v>3</v>
      </c>
      <c r="B1080" s="51" t="s">
        <v>377</v>
      </c>
      <c r="C1080" s="99">
        <v>0</v>
      </c>
      <c r="D1080" s="26">
        <v>800000</v>
      </c>
      <c r="E1080" s="99">
        <v>0</v>
      </c>
      <c r="F1080" s="99">
        <v>0</v>
      </c>
      <c r="G1080" s="27" t="s">
        <v>139</v>
      </c>
    </row>
    <row r="1081" spans="1:7" ht="23">
      <c r="A1081" s="24">
        <v>4</v>
      </c>
      <c r="B1081" s="51" t="s">
        <v>400</v>
      </c>
      <c r="C1081" s="99"/>
      <c r="D1081" s="26">
        <v>800000</v>
      </c>
      <c r="E1081" s="99">
        <v>0</v>
      </c>
      <c r="F1081" s="99">
        <v>0</v>
      </c>
      <c r="G1081" s="27" t="s">
        <v>39</v>
      </c>
    </row>
    <row r="1082" spans="1:7" ht="23">
      <c r="A1082" s="24">
        <v>5</v>
      </c>
      <c r="B1082" s="25" t="s">
        <v>397</v>
      </c>
      <c r="C1082" s="99">
        <v>0</v>
      </c>
      <c r="D1082" s="26">
        <v>280000</v>
      </c>
      <c r="E1082" s="99">
        <v>0</v>
      </c>
      <c r="F1082" s="99">
        <v>0</v>
      </c>
      <c r="G1082" s="100" t="s">
        <v>259</v>
      </c>
    </row>
    <row r="1083" spans="1:7" ht="34.5">
      <c r="A1083" s="24">
        <v>6</v>
      </c>
      <c r="B1083" s="51" t="s">
        <v>378</v>
      </c>
      <c r="C1083" s="99">
        <v>0</v>
      </c>
      <c r="D1083" s="26">
        <v>60000</v>
      </c>
      <c r="E1083" s="99">
        <v>0</v>
      </c>
      <c r="F1083" s="99">
        <v>0</v>
      </c>
      <c r="G1083" s="100" t="s">
        <v>396</v>
      </c>
    </row>
    <row r="1084" spans="1:7">
      <c r="A1084" s="24">
        <v>7</v>
      </c>
      <c r="B1084" s="51" t="s">
        <v>380</v>
      </c>
      <c r="C1084" s="99">
        <v>0</v>
      </c>
      <c r="D1084" s="26">
        <v>10000</v>
      </c>
      <c r="E1084" s="101">
        <v>0</v>
      </c>
      <c r="F1084" s="99">
        <v>0</v>
      </c>
      <c r="G1084" s="100" t="s">
        <v>381</v>
      </c>
    </row>
    <row r="1085" spans="1:7" ht="34.5">
      <c r="A1085" s="24">
        <v>8</v>
      </c>
      <c r="B1085" s="51" t="s">
        <v>387</v>
      </c>
      <c r="C1085" s="72">
        <v>0</v>
      </c>
      <c r="D1085" s="26">
        <v>400000</v>
      </c>
      <c r="E1085" s="26">
        <v>0</v>
      </c>
      <c r="F1085" s="26">
        <v>0</v>
      </c>
      <c r="G1085" s="98" t="s">
        <v>26</v>
      </c>
    </row>
    <row r="1086" spans="1:7" ht="34.5">
      <c r="A1086" s="24">
        <v>9</v>
      </c>
      <c r="B1086" s="51" t="s">
        <v>388</v>
      </c>
      <c r="C1086" s="72">
        <v>0</v>
      </c>
      <c r="D1086" s="26">
        <v>150000</v>
      </c>
      <c r="E1086" s="26">
        <v>0</v>
      </c>
      <c r="F1086" s="26">
        <v>0</v>
      </c>
      <c r="G1086" s="98" t="s">
        <v>399</v>
      </c>
    </row>
    <row r="1087" spans="1:7" ht="23">
      <c r="A1087" s="24"/>
      <c r="B1087" s="23" t="s">
        <v>1</v>
      </c>
      <c r="C1087" s="102">
        <f>SUM(C1078:C1086)</f>
        <v>0</v>
      </c>
      <c r="D1087" s="28">
        <f>SUM(D1078:D1086)</f>
        <v>3130000</v>
      </c>
      <c r="E1087" s="28">
        <f>+E1078</f>
        <v>600000</v>
      </c>
      <c r="F1087" s="28">
        <f>+F1078</f>
        <v>0</v>
      </c>
      <c r="G1087" s="25"/>
    </row>
    <row r="1088" spans="1:7">
      <c r="A1088" s="104"/>
      <c r="B1088" s="105"/>
      <c r="C1088" s="106"/>
      <c r="D1088" s="107"/>
      <c r="E1088" s="107"/>
      <c r="F1088" s="107"/>
      <c r="G1088" s="108"/>
    </row>
    <row r="1089" spans="1:7">
      <c r="B1089" s="5" t="s">
        <v>10</v>
      </c>
      <c r="C1089" s="20"/>
      <c r="E1089" s="20"/>
      <c r="F1089" s="20"/>
      <c r="G1089" s="30"/>
    </row>
    <row r="1090" spans="1:7">
      <c r="B1090" s="29" t="s">
        <v>398</v>
      </c>
      <c r="C1090" s="19"/>
      <c r="D1090" s="19"/>
      <c r="E1090" s="19"/>
      <c r="F1090" s="19"/>
      <c r="G1090" s="103"/>
    </row>
    <row r="1091" spans="1:7">
      <c r="A1091" s="19" t="s">
        <v>2</v>
      </c>
      <c r="B1091" s="20"/>
      <c r="C1091" s="20"/>
      <c r="F1091" s="19" t="s">
        <v>3</v>
      </c>
      <c r="G1091" s="19"/>
    </row>
    <row r="1092" spans="1:7">
      <c r="A1092" s="20" t="s">
        <v>4</v>
      </c>
      <c r="B1092" s="20"/>
      <c r="C1092" s="5"/>
      <c r="F1092" s="20" t="s">
        <v>7</v>
      </c>
      <c r="G1092" s="20"/>
    </row>
    <row r="1093" spans="1:7">
      <c r="A1093" s="5" t="s">
        <v>5</v>
      </c>
      <c r="B1093" s="5"/>
      <c r="C1093" s="5"/>
      <c r="F1093" s="20" t="s">
        <v>8</v>
      </c>
      <c r="G1093" s="20"/>
    </row>
    <row r="1094" spans="1:7">
      <c r="A1094" s="5"/>
      <c r="B1094" s="5"/>
      <c r="D1094" s="19" t="s">
        <v>6</v>
      </c>
      <c r="E1094" s="5"/>
      <c r="F1094" s="5"/>
      <c r="G1094" s="5"/>
    </row>
    <row r="1095" spans="1:7">
      <c r="B1095" s="20"/>
      <c r="D1095" s="20" t="s">
        <v>15</v>
      </c>
      <c r="E1095" s="19"/>
      <c r="F1095" s="19"/>
      <c r="G1095" s="19"/>
    </row>
    <row r="1096" spans="1:7">
      <c r="B1096" s="20"/>
      <c r="D1096" s="20" t="s">
        <v>9</v>
      </c>
      <c r="E1096" s="19"/>
      <c r="F1096" s="103"/>
      <c r="G1096" s="19"/>
    </row>
    <row r="1099" spans="1:7">
      <c r="B1099" s="113"/>
      <c r="C1099" s="113"/>
      <c r="D1099" s="62"/>
      <c r="E1099" s="113"/>
      <c r="F1099" s="113"/>
      <c r="G1099" s="113"/>
    </row>
    <row r="1100" spans="1:7" ht="13">
      <c r="A1100" s="53"/>
      <c r="B1100" s="62"/>
      <c r="E1100" s="64"/>
      <c r="F1100" s="64"/>
      <c r="G1100" s="64"/>
    </row>
    <row r="1101" spans="1:7">
      <c r="B1101" s="113"/>
      <c r="E1101" s="113"/>
      <c r="F1101" s="113"/>
      <c r="G1101" s="113"/>
    </row>
    <row r="1102" spans="1:7">
      <c r="B1102" s="62"/>
      <c r="C1102" s="20"/>
      <c r="E1102" s="62"/>
      <c r="F1102" s="62"/>
      <c r="G1102" s="62"/>
    </row>
    <row r="1103" spans="1:7">
      <c r="B1103" s="62"/>
      <c r="C1103" s="20"/>
      <c r="E1103" s="62"/>
      <c r="F1103" s="62"/>
      <c r="G1103" s="62"/>
    </row>
    <row r="1104" spans="1:7" ht="14.5">
      <c r="A1104" s="109"/>
      <c r="B1104" s="63" t="s">
        <v>423</v>
      </c>
      <c r="C1104" s="20"/>
      <c r="E1104" s="62"/>
      <c r="F1104" s="62"/>
      <c r="G1104" s="62"/>
    </row>
    <row r="1105" spans="1:7" ht="14.5">
      <c r="A1105" s="109"/>
      <c r="B1105" s="63" t="s">
        <v>417</v>
      </c>
      <c r="C1105" s="20"/>
      <c r="E1105" s="62"/>
      <c r="F1105" s="62"/>
      <c r="G1105" s="62"/>
    </row>
    <row r="1106" spans="1:7" ht="14.5">
      <c r="A1106" s="109"/>
      <c r="B1106" s="63" t="s">
        <v>424</v>
      </c>
      <c r="C1106" s="20"/>
      <c r="E1106" s="62"/>
      <c r="F1106" s="62"/>
      <c r="G1106" s="62"/>
    </row>
    <row r="1107" spans="1:7" ht="14.5">
      <c r="A1107" s="109"/>
      <c r="B1107" s="63" t="s">
        <v>418</v>
      </c>
      <c r="C1107" s="20"/>
      <c r="E1107" s="62"/>
      <c r="F1107" s="62"/>
      <c r="G1107" s="66"/>
    </row>
    <row r="1108" spans="1:7" ht="14.5">
      <c r="A1108" s="109"/>
      <c r="B1108" s="64" t="s">
        <v>425</v>
      </c>
      <c r="C1108" s="20"/>
      <c r="E1108" s="62"/>
      <c r="F1108" s="113"/>
      <c r="G1108" s="114"/>
    </row>
    <row r="1109" spans="1:7" ht="14.5">
      <c r="A1109" s="109"/>
      <c r="B1109" s="63" t="s">
        <v>420</v>
      </c>
      <c r="C1109" s="20"/>
      <c r="E1109" s="62"/>
      <c r="F1109" s="62"/>
      <c r="G1109" s="66"/>
    </row>
    <row r="1110" spans="1:7" ht="14.5">
      <c r="A1110" s="109"/>
      <c r="B1110" s="64" t="s">
        <v>426</v>
      </c>
      <c r="C1110" s="20"/>
      <c r="E1110" s="62"/>
      <c r="F1110" s="62"/>
      <c r="G1110" s="66"/>
    </row>
    <row r="1111" spans="1:7" ht="14.5">
      <c r="A1111" s="109"/>
      <c r="B1111" s="63" t="s">
        <v>419</v>
      </c>
      <c r="C1111" s="20"/>
      <c r="E1111" s="62"/>
      <c r="F1111" s="62"/>
      <c r="G1111" s="66"/>
    </row>
    <row r="1112" spans="1:7" ht="14.5">
      <c r="A1112" s="109"/>
      <c r="B1112" s="63" t="s">
        <v>427</v>
      </c>
      <c r="C1112" s="20"/>
      <c r="E1112" s="62"/>
      <c r="F1112" s="62"/>
      <c r="G1112" s="66"/>
    </row>
    <row r="1113" spans="1:7" ht="14.5">
      <c r="A1113" s="109"/>
      <c r="B1113" s="63" t="s">
        <v>360</v>
      </c>
      <c r="C1113" s="20"/>
      <c r="E1113" s="62"/>
      <c r="F1113" s="62"/>
      <c r="G1113" s="66"/>
    </row>
    <row r="1114" spans="1:7" ht="14.5">
      <c r="A1114" s="109"/>
      <c r="B1114" s="63" t="s">
        <v>428</v>
      </c>
      <c r="C1114" s="20"/>
      <c r="E1114" s="62"/>
      <c r="F1114" s="62"/>
      <c r="G1114" s="66"/>
    </row>
    <row r="1115" spans="1:7" ht="14.5">
      <c r="A1115" s="109"/>
      <c r="B1115" s="63" t="s">
        <v>416</v>
      </c>
      <c r="C1115" s="20"/>
      <c r="E1115" s="62"/>
      <c r="F1115" s="62"/>
      <c r="G1115" s="66"/>
    </row>
    <row r="1116" spans="1:7" ht="31.5">
      <c r="A1116" s="40" t="s">
        <v>179</v>
      </c>
      <c r="B1116" s="65" t="s">
        <v>0</v>
      </c>
      <c r="C1116" s="61" t="s">
        <v>379</v>
      </c>
      <c r="D1116" s="61" t="s">
        <v>32</v>
      </c>
      <c r="E1116" s="61" t="s">
        <v>358</v>
      </c>
      <c r="F1116" s="61" t="s">
        <v>44</v>
      </c>
      <c r="G1116" s="61" t="s">
        <v>14</v>
      </c>
    </row>
    <row r="1117" spans="1:7" ht="23">
      <c r="A1117" s="34">
        <v>1</v>
      </c>
      <c r="B1117" s="98" t="s">
        <v>402</v>
      </c>
      <c r="C1117" s="99">
        <v>0</v>
      </c>
      <c r="D1117" s="26">
        <f>138460*60%</f>
        <v>83076</v>
      </c>
      <c r="E1117" s="26">
        <v>0</v>
      </c>
      <c r="F1117" s="26">
        <v>0</v>
      </c>
      <c r="G1117" s="51" t="s">
        <v>287</v>
      </c>
    </row>
    <row r="1118" spans="1:7" ht="23">
      <c r="A1118" s="34">
        <v>2</v>
      </c>
      <c r="B1118" s="25" t="s">
        <v>403</v>
      </c>
      <c r="C1118" s="99">
        <v>0</v>
      </c>
      <c r="D1118" s="26">
        <v>0</v>
      </c>
      <c r="E1118" s="99">
        <v>100000</v>
      </c>
      <c r="F1118" s="99">
        <v>0</v>
      </c>
      <c r="G1118" s="27" t="s">
        <v>412</v>
      </c>
    </row>
    <row r="1119" spans="1:7" ht="34.5">
      <c r="A1119" s="34">
        <v>3</v>
      </c>
      <c r="B1119" s="51" t="s">
        <v>404</v>
      </c>
      <c r="C1119" s="99">
        <v>0</v>
      </c>
      <c r="D1119" s="110">
        <v>0</v>
      </c>
      <c r="E1119" s="111">
        <v>350000</v>
      </c>
      <c r="F1119" s="99">
        <v>0</v>
      </c>
      <c r="G1119" s="27" t="s">
        <v>405</v>
      </c>
    </row>
    <row r="1120" spans="1:7" ht="23">
      <c r="A1120" s="34">
        <v>4</v>
      </c>
      <c r="B1120" s="51" t="s">
        <v>406</v>
      </c>
      <c r="C1120" s="99">
        <v>0</v>
      </c>
      <c r="D1120" s="110">
        <v>1871071</v>
      </c>
      <c r="E1120" s="111">
        <v>239760</v>
      </c>
      <c r="F1120" s="99">
        <v>0</v>
      </c>
      <c r="G1120" s="27" t="s">
        <v>27</v>
      </c>
    </row>
    <row r="1121" spans="1:7" ht="46">
      <c r="A1121" s="34">
        <v>5</v>
      </c>
      <c r="B1121" s="25" t="s">
        <v>407</v>
      </c>
      <c r="C1121" s="99">
        <v>0</v>
      </c>
      <c r="D1121" s="26">
        <v>0</v>
      </c>
      <c r="E1121" s="99">
        <v>2000000</v>
      </c>
      <c r="F1121" s="99">
        <v>0</v>
      </c>
      <c r="G1121" s="100" t="s">
        <v>408</v>
      </c>
    </row>
    <row r="1122" spans="1:7" ht="23">
      <c r="A1122" s="34">
        <v>6</v>
      </c>
      <c r="B1122" s="51" t="s">
        <v>410</v>
      </c>
      <c r="C1122" s="99">
        <v>0</v>
      </c>
      <c r="D1122" s="110">
        <v>150000</v>
      </c>
      <c r="E1122" s="99">
        <v>0</v>
      </c>
      <c r="F1122" s="99">
        <v>0</v>
      </c>
      <c r="G1122" s="100" t="s">
        <v>411</v>
      </c>
    </row>
    <row r="1123" spans="1:7" ht="34.5">
      <c r="A1123" s="34">
        <v>7</v>
      </c>
      <c r="B1123" s="51" t="s">
        <v>413</v>
      </c>
      <c r="C1123" s="99">
        <v>0</v>
      </c>
      <c r="D1123" s="26">
        <v>0</v>
      </c>
      <c r="E1123" s="112">
        <v>200000</v>
      </c>
      <c r="F1123" s="99">
        <v>0</v>
      </c>
      <c r="G1123" s="100" t="s">
        <v>414</v>
      </c>
    </row>
    <row r="1124" spans="1:7" ht="23">
      <c r="A1124" s="34">
        <v>8</v>
      </c>
      <c r="B1124" s="51" t="s">
        <v>415</v>
      </c>
      <c r="C1124" s="72">
        <v>0</v>
      </c>
      <c r="D1124" s="26">
        <v>0</v>
      </c>
      <c r="E1124" s="110">
        <v>1198704</v>
      </c>
      <c r="F1124" s="26">
        <v>0</v>
      </c>
      <c r="G1124" s="98" t="s">
        <v>422</v>
      </c>
    </row>
    <row r="1125" spans="1:7" ht="23">
      <c r="A1125" s="34">
        <v>9</v>
      </c>
      <c r="B1125" s="51" t="s">
        <v>359</v>
      </c>
      <c r="C1125" s="72">
        <v>0</v>
      </c>
      <c r="D1125" s="26">
        <v>0</v>
      </c>
      <c r="E1125" s="26">
        <v>211536</v>
      </c>
      <c r="F1125" s="26">
        <v>0</v>
      </c>
      <c r="G1125" s="98" t="s">
        <v>28</v>
      </c>
    </row>
    <row r="1126" spans="1:7" ht="23">
      <c r="A1126" s="34"/>
      <c r="B1126" s="51" t="s">
        <v>421</v>
      </c>
      <c r="C1126" s="72">
        <v>0</v>
      </c>
      <c r="D1126" s="26">
        <v>0</v>
      </c>
      <c r="E1126" s="26">
        <v>111500</v>
      </c>
      <c r="F1126" s="26">
        <v>0</v>
      </c>
      <c r="G1126" s="98" t="s">
        <v>107</v>
      </c>
    </row>
    <row r="1127" spans="1:7" ht="23">
      <c r="A1127" s="34"/>
      <c r="B1127" s="23" t="s">
        <v>1</v>
      </c>
      <c r="C1127" s="102">
        <f>SUM(C1117:C1126)</f>
        <v>0</v>
      </c>
      <c r="D1127" s="28">
        <f>SUM(D1117:D1126)</f>
        <v>2104147</v>
      </c>
      <c r="E1127" s="28">
        <f>SUM(E1117:E1125)</f>
        <v>4300000</v>
      </c>
      <c r="F1127" s="28">
        <f>+F1117</f>
        <v>0</v>
      </c>
      <c r="G1127" s="25"/>
    </row>
    <row r="1128" spans="1:7" ht="14">
      <c r="A1128" s="82"/>
      <c r="B1128" s="105"/>
      <c r="C1128" s="106"/>
      <c r="D1128" s="107"/>
      <c r="E1128" s="107"/>
      <c r="F1128" s="107"/>
      <c r="G1128" s="108"/>
    </row>
    <row r="1129" spans="1:7" ht="14.5">
      <c r="A1129" s="109"/>
      <c r="B1129" s="5" t="s">
        <v>10</v>
      </c>
      <c r="C1129" s="20"/>
      <c r="E1129" s="20"/>
      <c r="F1129" s="20"/>
      <c r="G1129" s="30"/>
    </row>
    <row r="1130" spans="1:7" ht="14.5">
      <c r="A1130" s="109"/>
      <c r="B1130" s="29" t="s">
        <v>409</v>
      </c>
      <c r="C1130" s="19"/>
      <c r="D1130" s="19"/>
      <c r="E1130" s="19"/>
      <c r="F1130" s="19"/>
      <c r="G1130" s="103"/>
    </row>
    <row r="1131" spans="1:7" ht="14">
      <c r="A1131" s="10" t="s">
        <v>2</v>
      </c>
      <c r="B1131" s="20"/>
      <c r="C1131" s="20"/>
      <c r="F1131" s="19" t="s">
        <v>3</v>
      </c>
      <c r="G1131" s="19"/>
    </row>
    <row r="1132" spans="1:7" ht="14">
      <c r="A1132" s="7" t="s">
        <v>4</v>
      </c>
      <c r="B1132" s="20"/>
      <c r="C1132" s="5"/>
      <c r="F1132" s="20" t="s">
        <v>7</v>
      </c>
      <c r="G1132" s="20"/>
    </row>
    <row r="1133" spans="1:7" ht="14">
      <c r="A1133" s="11" t="s">
        <v>5</v>
      </c>
      <c r="B1133" s="5"/>
      <c r="C1133" s="5"/>
      <c r="F1133" s="20" t="s">
        <v>8</v>
      </c>
      <c r="G1133" s="20"/>
    </row>
    <row r="1134" spans="1:7" ht="14">
      <c r="A1134" s="11"/>
      <c r="B1134" s="5"/>
      <c r="D1134" s="19" t="s">
        <v>6</v>
      </c>
      <c r="E1134" s="5"/>
      <c r="F1134" s="5"/>
      <c r="G1134" s="5"/>
    </row>
    <row r="1135" spans="1:7" ht="14.5">
      <c r="A1135" s="109"/>
      <c r="B1135" s="20"/>
      <c r="D1135" s="20" t="s">
        <v>15</v>
      </c>
      <c r="E1135" s="19"/>
      <c r="F1135" s="19"/>
      <c r="G1135" s="19"/>
    </row>
    <row r="1136" spans="1:7" ht="14.5">
      <c r="A1136" s="109"/>
      <c r="B1136" s="20"/>
      <c r="D1136" s="20" t="s">
        <v>9</v>
      </c>
      <c r="E1136" s="19"/>
      <c r="F1136" s="103"/>
      <c r="G1136" s="19"/>
    </row>
    <row r="1137" spans="1:7" ht="14.5">
      <c r="A1137" s="109"/>
    </row>
    <row r="1142" spans="1:7" ht="13">
      <c r="A1142" s="53"/>
      <c r="B1142" s="39"/>
      <c r="C1142" s="53"/>
      <c r="D1142" s="39"/>
      <c r="E1142" s="37"/>
      <c r="F1142" s="37"/>
      <c r="G1142" s="37"/>
    </row>
    <row r="1144" spans="1:7" ht="15.5">
      <c r="B1144" s="1"/>
      <c r="C1144" s="1"/>
      <c r="D1144" s="1"/>
      <c r="E1144" s="1"/>
      <c r="F1144" s="1"/>
      <c r="G1144" s="1"/>
    </row>
    <row r="1145" spans="1:7" ht="15.5">
      <c r="B1145" s="1"/>
      <c r="C1145" s="1"/>
      <c r="D1145" s="1"/>
      <c r="E1145" s="1"/>
      <c r="F1145" s="1"/>
      <c r="G1145" s="1"/>
    </row>
    <row r="1146" spans="1:7" ht="15.5">
      <c r="B1146" s="38" t="s">
        <v>318</v>
      </c>
      <c r="C1146" s="39"/>
      <c r="D1146" s="39"/>
      <c r="E1146" s="39"/>
      <c r="F1146" s="39"/>
      <c r="G1146" s="1"/>
    </row>
    <row r="1147" spans="1:7" ht="15.5">
      <c r="B1147" s="38" t="s">
        <v>417</v>
      </c>
      <c r="C1147" s="39"/>
      <c r="D1147" s="39"/>
      <c r="E1147" s="39"/>
      <c r="F1147" s="39"/>
      <c r="G1147" s="1"/>
    </row>
    <row r="1148" spans="1:7" ht="15.5">
      <c r="B1148" s="38" t="s">
        <v>319</v>
      </c>
      <c r="C1148" s="39"/>
      <c r="D1148" s="39"/>
      <c r="E1148" s="39"/>
      <c r="F1148" s="39"/>
      <c r="G1148" s="1"/>
    </row>
    <row r="1149" spans="1:7" ht="15.5">
      <c r="B1149" s="38" t="s">
        <v>418</v>
      </c>
      <c r="C1149" s="39"/>
      <c r="D1149" s="39"/>
      <c r="E1149" s="39"/>
      <c r="F1149" s="39"/>
      <c r="G1149" s="17"/>
    </row>
    <row r="1150" spans="1:7" ht="15.5">
      <c r="B1150" s="37" t="s">
        <v>320</v>
      </c>
      <c r="C1150" s="39"/>
      <c r="D1150" s="39"/>
      <c r="E1150" s="39"/>
      <c r="G1150" s="77"/>
    </row>
    <row r="1151" spans="1:7" ht="15.5">
      <c r="B1151" s="38" t="s">
        <v>431</v>
      </c>
      <c r="C1151" s="39"/>
      <c r="D1151" s="39"/>
      <c r="E1151" s="39"/>
      <c r="F1151" s="39"/>
      <c r="G1151" s="17"/>
    </row>
    <row r="1152" spans="1:7" ht="15.5">
      <c r="B1152" s="37" t="s">
        <v>321</v>
      </c>
      <c r="C1152" s="39"/>
      <c r="D1152" s="39"/>
      <c r="E1152" s="39"/>
      <c r="F1152" s="39"/>
      <c r="G1152" s="17"/>
    </row>
    <row r="1153" spans="1:7" ht="15.5">
      <c r="B1153" s="38" t="s">
        <v>430</v>
      </c>
      <c r="C1153" s="39"/>
      <c r="D1153" s="39"/>
      <c r="E1153" s="39"/>
      <c r="F1153" s="39"/>
      <c r="G1153" s="17"/>
    </row>
    <row r="1154" spans="1:7" ht="15.5">
      <c r="B1154" s="38" t="s">
        <v>322</v>
      </c>
      <c r="C1154" s="39"/>
      <c r="D1154" s="39"/>
      <c r="E1154" s="39"/>
      <c r="F1154" s="39"/>
      <c r="G1154" s="17"/>
    </row>
    <row r="1155" spans="1:7" ht="15.5">
      <c r="B1155" s="38" t="s">
        <v>432</v>
      </c>
      <c r="C1155" s="39"/>
      <c r="D1155" s="39"/>
      <c r="E1155" s="39"/>
      <c r="F1155" s="39"/>
      <c r="G1155" s="17"/>
    </row>
    <row r="1156" spans="1:7" ht="15.5">
      <c r="B1156" s="38" t="s">
        <v>323</v>
      </c>
      <c r="C1156" s="39"/>
      <c r="D1156" s="39"/>
      <c r="E1156" s="39"/>
      <c r="F1156" s="39"/>
      <c r="G1156" s="17"/>
    </row>
    <row r="1157" spans="1:7" ht="15.5">
      <c r="B1157" s="38" t="s">
        <v>368</v>
      </c>
      <c r="C1157" s="39"/>
      <c r="D1157" s="39"/>
      <c r="E1157" s="39"/>
      <c r="F1157" s="39"/>
      <c r="G1157" s="17"/>
    </row>
    <row r="1158" spans="1:7" ht="56">
      <c r="A1158" s="31" t="s">
        <v>179</v>
      </c>
      <c r="B1158" s="32" t="s">
        <v>0</v>
      </c>
      <c r="C1158" s="33" t="s">
        <v>379</v>
      </c>
      <c r="D1158" s="33" t="s">
        <v>32</v>
      </c>
      <c r="E1158" s="33" t="s">
        <v>358</v>
      </c>
      <c r="F1158" s="33" t="s">
        <v>44</v>
      </c>
      <c r="G1158" s="33" t="s">
        <v>14</v>
      </c>
    </row>
    <row r="1159" spans="1:7" ht="26">
      <c r="A1159" s="43">
        <v>1</v>
      </c>
      <c r="B1159" s="44" t="s">
        <v>429</v>
      </c>
      <c r="C1159" s="88">
        <v>0</v>
      </c>
      <c r="D1159" s="45">
        <v>1224997</v>
      </c>
      <c r="E1159" s="15">
        <v>0</v>
      </c>
      <c r="F1159" s="15">
        <v>0</v>
      </c>
      <c r="G1159" s="48" t="s">
        <v>26</v>
      </c>
    </row>
    <row r="1160" spans="1:7" ht="26">
      <c r="A1160" s="43">
        <v>2</v>
      </c>
      <c r="B1160" s="44" t="s">
        <v>429</v>
      </c>
      <c r="C1160" s="71">
        <v>0</v>
      </c>
      <c r="D1160" s="45">
        <v>0</v>
      </c>
      <c r="E1160" s="45">
        <v>0</v>
      </c>
      <c r="F1160" s="45">
        <v>1196328</v>
      </c>
      <c r="G1160" s="48" t="s">
        <v>26</v>
      </c>
    </row>
    <row r="1161" spans="1:7" ht="26">
      <c r="A1161" s="43">
        <v>3</v>
      </c>
      <c r="B1161" s="48" t="s">
        <v>435</v>
      </c>
      <c r="C1161" s="71">
        <v>0</v>
      </c>
      <c r="D1161" s="45">
        <f>147650*60%</f>
        <v>88590</v>
      </c>
      <c r="E1161" s="45">
        <v>0</v>
      </c>
      <c r="F1161" s="45">
        <v>0</v>
      </c>
      <c r="G1161" s="44" t="s">
        <v>433</v>
      </c>
    </row>
    <row r="1162" spans="1:7" ht="39">
      <c r="A1162" s="43">
        <v>4</v>
      </c>
      <c r="B1162" s="46" t="s">
        <v>434</v>
      </c>
      <c r="C1162" s="88">
        <v>0</v>
      </c>
      <c r="D1162" s="45">
        <f>(300380*60%)*25/31</f>
        <v>145345.16129032258</v>
      </c>
      <c r="E1162" s="88">
        <v>0</v>
      </c>
      <c r="F1162" s="88">
        <v>0</v>
      </c>
      <c r="G1162" s="95" t="s">
        <v>217</v>
      </c>
    </row>
    <row r="1163" spans="1:7" ht="13">
      <c r="A1163" s="43"/>
      <c r="B1163" s="48"/>
      <c r="C1163" s="88"/>
      <c r="D1163" s="45"/>
      <c r="E1163" s="88"/>
      <c r="F1163" s="88"/>
      <c r="G1163" s="95"/>
    </row>
    <row r="1164" spans="1:7" ht="13">
      <c r="A1164" s="43"/>
      <c r="B1164" s="48"/>
      <c r="C1164" s="88"/>
      <c r="D1164" s="45"/>
      <c r="E1164" s="93"/>
      <c r="F1164" s="88"/>
      <c r="G1164" s="95"/>
    </row>
    <row r="1165" spans="1:7" ht="15.5">
      <c r="A1165" s="34"/>
      <c r="B1165" s="48"/>
      <c r="C1165" s="71"/>
      <c r="D1165" s="45"/>
      <c r="E1165" s="45"/>
      <c r="F1165" s="45"/>
      <c r="G1165" s="8"/>
    </row>
    <row r="1166" spans="1:7" ht="14">
      <c r="A1166" s="34"/>
      <c r="B1166" s="48"/>
      <c r="C1166" s="71"/>
      <c r="D1166" s="45"/>
      <c r="E1166" s="45"/>
      <c r="F1166" s="45"/>
      <c r="G1166" s="44"/>
    </row>
    <row r="1167" spans="1:7" ht="14">
      <c r="A1167" s="31"/>
      <c r="B1167" s="48"/>
      <c r="C1167" s="71"/>
      <c r="D1167" s="45"/>
      <c r="E1167" s="45"/>
      <c r="F1167" s="45"/>
      <c r="G1167" s="44"/>
    </row>
    <row r="1168" spans="1:7" ht="26">
      <c r="A1168" s="34"/>
      <c r="B1168" s="42" t="s">
        <v>1</v>
      </c>
      <c r="C1168" s="89">
        <f>SUM(C1159:C1167)</f>
        <v>0</v>
      </c>
      <c r="D1168" s="35">
        <f>SUM(D1159:D1167)</f>
        <v>1458932.1612903227</v>
      </c>
      <c r="E1168" s="35">
        <f>+E1167</f>
        <v>0</v>
      </c>
      <c r="F1168" s="35">
        <f>+F1160</f>
        <v>1196328</v>
      </c>
      <c r="G1168" s="46"/>
    </row>
    <row r="1169" spans="1:7" ht="14">
      <c r="A1169" s="82"/>
      <c r="B1169" s="96"/>
      <c r="C1169" s="97"/>
      <c r="D1169" s="52"/>
      <c r="E1169" s="52"/>
      <c r="F1169" s="52"/>
      <c r="G1169" s="54"/>
    </row>
    <row r="1170" spans="1:7" ht="13">
      <c r="B1170" s="6" t="s">
        <v>10</v>
      </c>
      <c r="C1170" s="39"/>
      <c r="D1170" s="39"/>
      <c r="E1170" s="39"/>
      <c r="F1170" s="39"/>
      <c r="G1170" s="50"/>
    </row>
    <row r="1171" spans="1:7" ht="13">
      <c r="B1171" s="49" t="s">
        <v>317</v>
      </c>
      <c r="C1171" s="37"/>
      <c r="D1171" s="37"/>
      <c r="E1171" s="37"/>
      <c r="F1171" s="37"/>
      <c r="G1171" s="92"/>
    </row>
    <row r="1172" spans="1:7" ht="13">
      <c r="B1172" s="49"/>
      <c r="C1172" s="37"/>
      <c r="D1172" s="37"/>
      <c r="E1172" s="37"/>
      <c r="F1172" s="37"/>
      <c r="G1172" s="92"/>
    </row>
    <row r="1173" spans="1:7" ht="13">
      <c r="B1173" s="49"/>
      <c r="C1173" s="37"/>
      <c r="D1173" s="37"/>
      <c r="E1173" s="37"/>
      <c r="F1173" s="37"/>
      <c r="G1173" s="92"/>
    </row>
    <row r="1174" spans="1:7" ht="13">
      <c r="B1174" s="49"/>
      <c r="C1174" s="37"/>
      <c r="D1174" s="37"/>
      <c r="E1174" s="37"/>
      <c r="F1174" s="37"/>
      <c r="G1174" s="92"/>
    </row>
    <row r="1175" spans="1:7" ht="14">
      <c r="A1175" s="10" t="s">
        <v>2</v>
      </c>
      <c r="B1175" s="39"/>
      <c r="C1175" s="39"/>
      <c r="D1175" s="39"/>
      <c r="E1175" s="53"/>
      <c r="F1175" s="37" t="s">
        <v>3</v>
      </c>
      <c r="G1175" s="37"/>
    </row>
    <row r="1176" spans="1:7" ht="14">
      <c r="A1176" s="7" t="s">
        <v>4</v>
      </c>
      <c r="B1176" s="39"/>
      <c r="C1176" s="6"/>
      <c r="D1176" s="39"/>
      <c r="E1176" s="53"/>
      <c r="F1176" s="39" t="s">
        <v>7</v>
      </c>
      <c r="G1176" s="39"/>
    </row>
    <row r="1177" spans="1:7" ht="14">
      <c r="A1177" s="11" t="s">
        <v>5</v>
      </c>
      <c r="B1177" s="6"/>
      <c r="C1177" s="6"/>
      <c r="D1177" s="39"/>
      <c r="E1177" s="53"/>
      <c r="F1177" s="39" t="s">
        <v>8</v>
      </c>
      <c r="G1177" s="39"/>
    </row>
    <row r="1178" spans="1:7" ht="14">
      <c r="A1178" s="11"/>
      <c r="B1178" s="6"/>
      <c r="C1178" s="53"/>
      <c r="D1178" s="37" t="s">
        <v>6</v>
      </c>
      <c r="E1178" s="6"/>
      <c r="F1178" s="6"/>
      <c r="G1178" s="6"/>
    </row>
    <row r="1179" spans="1:7" ht="14.5">
      <c r="A1179" s="90"/>
      <c r="B1179" s="39"/>
      <c r="C1179" s="53"/>
      <c r="D1179" s="39" t="s">
        <v>15</v>
      </c>
      <c r="E1179" s="37"/>
      <c r="F1179" s="37"/>
      <c r="G1179" s="37"/>
    </row>
    <row r="1180" spans="1:7" ht="14.5">
      <c r="A1180" s="90"/>
      <c r="B1180" s="39"/>
      <c r="C1180" s="53"/>
      <c r="D1180" s="39" t="s">
        <v>9</v>
      </c>
      <c r="E1180" s="37"/>
      <c r="F1180" s="92"/>
      <c r="G1180" s="37"/>
    </row>
    <row r="1181" spans="1:7" ht="14.5">
      <c r="A1181" s="90"/>
      <c r="B1181" s="39"/>
      <c r="C1181" s="53"/>
      <c r="D1181" s="39"/>
      <c r="E1181" s="37"/>
      <c r="F1181" s="92"/>
      <c r="G1181" s="37"/>
    </row>
    <row r="1183" spans="1:7" ht="13">
      <c r="A1183" s="53"/>
      <c r="B1183" s="39"/>
      <c r="C1183" s="53"/>
      <c r="D1183" s="39"/>
      <c r="E1183" s="37"/>
      <c r="F1183" s="37"/>
      <c r="G1183" s="37"/>
    </row>
    <row r="1185" spans="1:7" ht="15.5">
      <c r="B1185" s="1"/>
      <c r="C1185" s="1"/>
      <c r="D1185" s="1"/>
      <c r="E1185" s="1"/>
      <c r="F1185" s="1"/>
      <c r="G1185" s="1"/>
    </row>
    <row r="1186" spans="1:7" ht="15.5">
      <c r="B1186" s="1"/>
      <c r="C1186" s="1"/>
      <c r="D1186" s="1"/>
      <c r="E1186" s="1"/>
      <c r="F1186" s="1"/>
      <c r="G1186" s="1"/>
    </row>
    <row r="1187" spans="1:7" ht="13" customHeight="1">
      <c r="B1187" s="38" t="s">
        <v>318</v>
      </c>
      <c r="C1187" s="39"/>
      <c r="D1187" s="39"/>
      <c r="E1187" s="39"/>
      <c r="F1187" s="39"/>
      <c r="G1187" s="1"/>
    </row>
    <row r="1188" spans="1:7" ht="13" customHeight="1">
      <c r="B1188" s="38" t="s">
        <v>417</v>
      </c>
      <c r="C1188" s="39"/>
      <c r="D1188" s="39"/>
      <c r="E1188" s="39"/>
      <c r="F1188" s="39"/>
      <c r="G1188" s="1"/>
    </row>
    <row r="1189" spans="1:7" ht="13" customHeight="1">
      <c r="B1189" s="38" t="s">
        <v>319</v>
      </c>
      <c r="C1189" s="39"/>
      <c r="D1189" s="39"/>
      <c r="E1189" s="39"/>
      <c r="F1189" s="39"/>
      <c r="G1189" s="1"/>
    </row>
    <row r="1190" spans="1:7" ht="13" customHeight="1">
      <c r="B1190" s="38" t="s">
        <v>418</v>
      </c>
      <c r="C1190" s="39"/>
      <c r="D1190" s="39"/>
      <c r="E1190" s="39"/>
      <c r="F1190" s="39"/>
      <c r="G1190" s="17"/>
    </row>
    <row r="1191" spans="1:7" ht="13" customHeight="1">
      <c r="B1191" s="37" t="s">
        <v>320</v>
      </c>
      <c r="C1191" s="39"/>
      <c r="D1191" s="39"/>
      <c r="E1191" s="39"/>
      <c r="G1191" s="77"/>
    </row>
    <row r="1192" spans="1:7" ht="13" customHeight="1">
      <c r="B1192" s="38" t="s">
        <v>448</v>
      </c>
      <c r="C1192" s="39"/>
      <c r="D1192" s="39"/>
      <c r="E1192" s="39"/>
      <c r="F1192" s="39"/>
      <c r="G1192" s="17"/>
    </row>
    <row r="1193" spans="1:7" ht="13" customHeight="1">
      <c r="B1193" s="37" t="s">
        <v>321</v>
      </c>
      <c r="C1193" s="39"/>
      <c r="D1193" s="39"/>
      <c r="E1193" s="39"/>
      <c r="F1193" s="39"/>
      <c r="G1193" s="17"/>
    </row>
    <row r="1194" spans="1:7" ht="13" customHeight="1">
      <c r="B1194" s="38" t="s">
        <v>447</v>
      </c>
      <c r="C1194" s="39"/>
      <c r="D1194" s="39"/>
      <c r="E1194" s="39"/>
      <c r="F1194" s="39"/>
      <c r="G1194" s="17"/>
    </row>
    <row r="1195" spans="1:7" ht="13" customHeight="1">
      <c r="B1195" s="38" t="s">
        <v>322</v>
      </c>
      <c r="C1195" s="39"/>
      <c r="D1195" s="39"/>
      <c r="E1195" s="39"/>
      <c r="F1195" s="39"/>
      <c r="G1195" s="17"/>
    </row>
    <row r="1196" spans="1:7" ht="13" customHeight="1">
      <c r="B1196" s="38" t="s">
        <v>452</v>
      </c>
      <c r="C1196" s="39"/>
      <c r="D1196" s="39"/>
      <c r="E1196" s="39"/>
      <c r="F1196" s="39"/>
      <c r="G1196" s="17"/>
    </row>
    <row r="1197" spans="1:7" ht="13" customHeight="1">
      <c r="B1197" s="38" t="s">
        <v>323</v>
      </c>
      <c r="C1197" s="39"/>
      <c r="D1197" s="39"/>
      <c r="E1197" s="39"/>
      <c r="F1197" s="39"/>
      <c r="G1197" s="17"/>
    </row>
    <row r="1198" spans="1:7" ht="13" customHeight="1">
      <c r="B1198" s="38" t="s">
        <v>368</v>
      </c>
      <c r="C1198" s="39"/>
      <c r="D1198" s="39"/>
      <c r="E1198" s="39"/>
      <c r="F1198" s="39"/>
      <c r="G1198" s="17"/>
    </row>
    <row r="1199" spans="1:7" ht="56">
      <c r="A1199" s="31" t="s">
        <v>179</v>
      </c>
      <c r="B1199" s="32" t="s">
        <v>0</v>
      </c>
      <c r="C1199" s="33" t="s">
        <v>379</v>
      </c>
      <c r="D1199" s="33" t="s">
        <v>32</v>
      </c>
      <c r="E1199" s="33" t="s">
        <v>358</v>
      </c>
      <c r="F1199" s="33" t="s">
        <v>44</v>
      </c>
      <c r="G1199" s="33" t="s">
        <v>14</v>
      </c>
    </row>
    <row r="1200" spans="1:7" ht="39">
      <c r="A1200" s="43">
        <v>1</v>
      </c>
      <c r="B1200" s="44" t="s">
        <v>441</v>
      </c>
      <c r="C1200" s="88">
        <v>0</v>
      </c>
      <c r="D1200" s="45">
        <v>81500</v>
      </c>
      <c r="E1200" s="15">
        <v>0</v>
      </c>
      <c r="F1200" s="15">
        <v>0</v>
      </c>
      <c r="G1200" s="48" t="s">
        <v>436</v>
      </c>
    </row>
    <row r="1201" spans="1:7" ht="52">
      <c r="A1201" s="43">
        <v>2</v>
      </c>
      <c r="B1201" s="44" t="s">
        <v>440</v>
      </c>
      <c r="C1201" s="71">
        <v>0</v>
      </c>
      <c r="D1201" s="45">
        <v>48000</v>
      </c>
      <c r="E1201" s="15">
        <v>0</v>
      </c>
      <c r="F1201" s="15">
        <v>0</v>
      </c>
      <c r="G1201" s="48" t="s">
        <v>442</v>
      </c>
    </row>
    <row r="1202" spans="1:7" ht="65">
      <c r="A1202" s="43">
        <v>3</v>
      </c>
      <c r="B1202" s="44" t="s">
        <v>449</v>
      </c>
      <c r="C1202" s="71">
        <v>0</v>
      </c>
      <c r="D1202" s="45">
        <f>15000+12000+8000</f>
        <v>35000</v>
      </c>
      <c r="E1202" s="45">
        <v>0</v>
      </c>
      <c r="F1202" s="45">
        <v>0</v>
      </c>
      <c r="G1202" s="48" t="s">
        <v>11</v>
      </c>
    </row>
    <row r="1203" spans="1:7" ht="65">
      <c r="A1203" s="43">
        <v>4</v>
      </c>
      <c r="B1203" s="48" t="s">
        <v>446</v>
      </c>
      <c r="C1203" s="71">
        <v>0</v>
      </c>
      <c r="D1203" s="45">
        <v>800000</v>
      </c>
      <c r="E1203" s="45">
        <v>0</v>
      </c>
      <c r="F1203" s="45">
        <v>0</v>
      </c>
      <c r="G1203" s="44" t="s">
        <v>486</v>
      </c>
    </row>
    <row r="1204" spans="1:7" ht="55" customHeight="1">
      <c r="A1204" s="34">
        <v>5</v>
      </c>
      <c r="B1204" s="48" t="s">
        <v>443</v>
      </c>
      <c r="C1204" s="71">
        <v>0</v>
      </c>
      <c r="D1204" s="45">
        <v>300000</v>
      </c>
      <c r="E1204" s="45">
        <v>0</v>
      </c>
      <c r="F1204" s="45">
        <v>0</v>
      </c>
      <c r="G1204" s="44" t="s">
        <v>451</v>
      </c>
    </row>
    <row r="1205" spans="1:7" ht="52">
      <c r="A1205" s="34">
        <v>6</v>
      </c>
      <c r="B1205" s="48" t="s">
        <v>444</v>
      </c>
      <c r="C1205" s="71"/>
      <c r="D1205" s="45">
        <v>42000</v>
      </c>
      <c r="E1205" s="45">
        <v>0</v>
      </c>
      <c r="F1205" s="45"/>
      <c r="G1205" s="44" t="s">
        <v>450</v>
      </c>
    </row>
    <row r="1206" spans="1:7" ht="23">
      <c r="A1206" s="34"/>
      <c r="B1206" s="23" t="s">
        <v>1</v>
      </c>
      <c r="C1206" s="89">
        <f>SUM(C1200:C1205)</f>
        <v>0</v>
      </c>
      <c r="D1206" s="35">
        <f>SUM(D1200:D1205)</f>
        <v>1306500</v>
      </c>
      <c r="E1206" s="35">
        <v>0</v>
      </c>
      <c r="F1206" s="35">
        <f>+F1202</f>
        <v>0</v>
      </c>
      <c r="G1206" s="46"/>
    </row>
    <row r="1207" spans="1:7" ht="13">
      <c r="B1207" s="5" t="s">
        <v>10</v>
      </c>
      <c r="C1207" s="39"/>
      <c r="D1207" s="39"/>
      <c r="E1207" s="39"/>
      <c r="F1207" s="39"/>
      <c r="G1207" s="50"/>
    </row>
    <row r="1208" spans="1:7" ht="13">
      <c r="B1208" s="29" t="s">
        <v>437</v>
      </c>
      <c r="C1208" s="37"/>
      <c r="D1208" s="37"/>
      <c r="E1208" s="37"/>
      <c r="F1208" s="37"/>
      <c r="G1208" s="92"/>
    </row>
    <row r="1209" spans="1:7" ht="14">
      <c r="A1209" s="10" t="s">
        <v>2</v>
      </c>
      <c r="B1209" s="20"/>
      <c r="C1209" s="39"/>
      <c r="D1209" s="39"/>
      <c r="E1209" s="53"/>
      <c r="F1209" s="37" t="s">
        <v>3</v>
      </c>
      <c r="G1209" s="37"/>
    </row>
    <row r="1210" spans="1:7" ht="14">
      <c r="A1210" s="7" t="s">
        <v>4</v>
      </c>
      <c r="B1210" s="20"/>
      <c r="C1210" s="6"/>
      <c r="D1210" s="39"/>
      <c r="E1210" s="53"/>
      <c r="F1210" s="39" t="s">
        <v>7</v>
      </c>
      <c r="G1210" s="39"/>
    </row>
    <row r="1211" spans="1:7" ht="14">
      <c r="A1211" s="11" t="s">
        <v>5</v>
      </c>
      <c r="B1211" s="5"/>
      <c r="C1211" s="6"/>
      <c r="D1211" s="39"/>
      <c r="E1211" s="53"/>
      <c r="F1211" s="39" t="s">
        <v>8</v>
      </c>
      <c r="G1211" s="39"/>
    </row>
    <row r="1212" spans="1:7" ht="14">
      <c r="A1212" s="11"/>
      <c r="B1212" s="6"/>
      <c r="C1212" s="53"/>
      <c r="D1212" s="37" t="s">
        <v>6</v>
      </c>
      <c r="E1212" s="6"/>
      <c r="F1212" s="6"/>
      <c r="G1212" s="6"/>
    </row>
    <row r="1213" spans="1:7" ht="14.5">
      <c r="A1213" s="90"/>
      <c r="B1213" s="39"/>
      <c r="C1213" s="53"/>
      <c r="D1213" s="39" t="s">
        <v>15</v>
      </c>
      <c r="E1213" s="37"/>
      <c r="F1213" s="37"/>
      <c r="G1213" s="37"/>
    </row>
    <row r="1214" spans="1:7" ht="14.5">
      <c r="A1214" s="90"/>
      <c r="B1214" s="39"/>
      <c r="C1214" s="53"/>
      <c r="D1214" s="39" t="s">
        <v>9</v>
      </c>
      <c r="E1214" s="37"/>
      <c r="F1214" s="92"/>
      <c r="G1214" s="37"/>
    </row>
    <row r="1216" spans="1:7" ht="15.5">
      <c r="B1216" s="1"/>
      <c r="C1216" s="1"/>
      <c r="D1216" s="1"/>
      <c r="E1216" s="1"/>
      <c r="F1216" s="1"/>
      <c r="G1216" s="1"/>
    </row>
    <row r="1217" spans="1:7" ht="15.5">
      <c r="B1217" s="1"/>
      <c r="C1217" s="1"/>
      <c r="D1217" s="1"/>
      <c r="E1217" s="1"/>
      <c r="F1217" s="1"/>
      <c r="G1217" s="1"/>
    </row>
    <row r="1218" spans="1:7" ht="15.5">
      <c r="B1218" s="38" t="s">
        <v>318</v>
      </c>
      <c r="C1218" s="39"/>
      <c r="D1218" s="39"/>
      <c r="E1218" s="39"/>
      <c r="F1218" s="39"/>
      <c r="G1218" s="1"/>
    </row>
    <row r="1219" spans="1:7" ht="15.5">
      <c r="B1219" s="38" t="s">
        <v>470</v>
      </c>
      <c r="C1219" s="39"/>
      <c r="D1219" s="39"/>
      <c r="E1219" s="39"/>
      <c r="F1219" s="39"/>
      <c r="G1219" s="1"/>
    </row>
    <row r="1220" spans="1:7" ht="15.5">
      <c r="B1220" s="38" t="s">
        <v>319</v>
      </c>
      <c r="C1220" s="39"/>
      <c r="D1220" s="39"/>
      <c r="E1220" s="39"/>
      <c r="F1220" s="39"/>
      <c r="G1220" s="1"/>
    </row>
    <row r="1221" spans="1:7" ht="15.5">
      <c r="B1221" s="38" t="s">
        <v>418</v>
      </c>
      <c r="C1221" s="39"/>
      <c r="D1221" s="39"/>
      <c r="E1221" s="39"/>
      <c r="F1221" s="39"/>
      <c r="G1221" s="17"/>
    </row>
    <row r="1222" spans="1:7" ht="15.5">
      <c r="B1222" s="37" t="s">
        <v>320</v>
      </c>
      <c r="C1222" s="39"/>
      <c r="D1222" s="39"/>
      <c r="E1222" s="39"/>
      <c r="G1222" s="77"/>
    </row>
    <row r="1223" spans="1:7" ht="15.5">
      <c r="B1223" s="38" t="s">
        <v>469</v>
      </c>
      <c r="C1223" s="39"/>
      <c r="D1223" s="39"/>
      <c r="E1223" s="39"/>
      <c r="F1223" s="39"/>
      <c r="G1223" s="17"/>
    </row>
    <row r="1224" spans="1:7" ht="15.5">
      <c r="B1224" s="37" t="s">
        <v>321</v>
      </c>
      <c r="C1224" s="39"/>
      <c r="D1224" s="39"/>
      <c r="E1224" s="39"/>
      <c r="F1224" s="39"/>
      <c r="G1224" s="17"/>
    </row>
    <row r="1225" spans="1:7" ht="15.5">
      <c r="B1225" s="38" t="s">
        <v>447</v>
      </c>
      <c r="C1225" s="39"/>
      <c r="D1225" s="39"/>
      <c r="E1225" s="39"/>
      <c r="F1225" s="39"/>
      <c r="G1225" s="17"/>
    </row>
    <row r="1226" spans="1:7" ht="15.5">
      <c r="B1226" s="38" t="s">
        <v>322</v>
      </c>
      <c r="C1226" s="39"/>
      <c r="D1226" s="39"/>
      <c r="E1226" s="39"/>
      <c r="F1226" s="39"/>
      <c r="G1226" s="17"/>
    </row>
    <row r="1227" spans="1:7" ht="15.5">
      <c r="B1227" s="38" t="s">
        <v>452</v>
      </c>
      <c r="C1227" s="39"/>
      <c r="D1227" s="39"/>
      <c r="E1227" s="39"/>
      <c r="F1227" s="39"/>
      <c r="G1227" s="17"/>
    </row>
    <row r="1228" spans="1:7" ht="15.5">
      <c r="B1228" s="38" t="s">
        <v>323</v>
      </c>
      <c r="C1228" s="39"/>
      <c r="D1228" s="39"/>
      <c r="E1228" s="39"/>
      <c r="F1228" s="39"/>
      <c r="G1228" s="17"/>
    </row>
    <row r="1229" spans="1:7" ht="15.5">
      <c r="B1229" s="38" t="s">
        <v>368</v>
      </c>
      <c r="C1229" s="39"/>
      <c r="D1229" s="39"/>
      <c r="E1229" s="39"/>
      <c r="F1229" s="39"/>
      <c r="G1229" s="17"/>
    </row>
    <row r="1230" spans="1:7" ht="42">
      <c r="A1230" s="31" t="s">
        <v>179</v>
      </c>
      <c r="B1230" s="32" t="s">
        <v>0</v>
      </c>
      <c r="C1230" s="33" t="s">
        <v>379</v>
      </c>
      <c r="D1230" s="33" t="s">
        <v>32</v>
      </c>
      <c r="E1230" s="33" t="s">
        <v>278</v>
      </c>
      <c r="F1230" s="33" t="s">
        <v>44</v>
      </c>
      <c r="G1230" s="33" t="s">
        <v>14</v>
      </c>
    </row>
    <row r="1231" spans="1:7" ht="26">
      <c r="A1231" s="43">
        <v>1</v>
      </c>
      <c r="B1231" s="44" t="s">
        <v>459</v>
      </c>
      <c r="C1231" s="88">
        <v>0</v>
      </c>
      <c r="D1231" s="45">
        <v>219380</v>
      </c>
      <c r="E1231" s="15">
        <v>0</v>
      </c>
      <c r="F1231" s="15">
        <v>0</v>
      </c>
      <c r="G1231" s="48" t="s">
        <v>115</v>
      </c>
    </row>
    <row r="1232" spans="1:7" ht="26">
      <c r="A1232" s="43">
        <v>2</v>
      </c>
      <c r="B1232" s="44" t="s">
        <v>453</v>
      </c>
      <c r="C1232" s="88">
        <v>0</v>
      </c>
      <c r="D1232" s="45">
        <v>126219629</v>
      </c>
      <c r="E1232" s="15">
        <v>0</v>
      </c>
      <c r="F1232" s="15">
        <v>0</v>
      </c>
      <c r="G1232" s="48" t="s">
        <v>471</v>
      </c>
    </row>
    <row r="1233" spans="1:7" ht="26">
      <c r="A1233" s="43">
        <v>3</v>
      </c>
      <c r="B1233" s="44" t="s">
        <v>454</v>
      </c>
      <c r="C1233" s="88">
        <v>0</v>
      </c>
      <c r="D1233" s="45">
        <v>0</v>
      </c>
      <c r="E1233" s="45">
        <v>3543566</v>
      </c>
      <c r="F1233" s="15">
        <v>0</v>
      </c>
      <c r="G1233" s="44" t="s">
        <v>462</v>
      </c>
    </row>
    <row r="1234" spans="1:7" ht="26">
      <c r="A1234" s="43">
        <v>4</v>
      </c>
      <c r="B1234" s="48" t="s">
        <v>439</v>
      </c>
      <c r="C1234" s="88">
        <v>0</v>
      </c>
      <c r="D1234" s="45">
        <v>0</v>
      </c>
      <c r="E1234" s="45">
        <v>2013864</v>
      </c>
      <c r="F1234" s="15">
        <v>78390</v>
      </c>
      <c r="G1234" s="44" t="s">
        <v>463</v>
      </c>
    </row>
    <row r="1235" spans="1:7" ht="26">
      <c r="A1235" s="43">
        <v>5</v>
      </c>
      <c r="B1235" s="46" t="s">
        <v>438</v>
      </c>
      <c r="C1235" s="88">
        <v>0</v>
      </c>
      <c r="D1235" s="45">
        <v>0</v>
      </c>
      <c r="E1235" s="45">
        <v>74556</v>
      </c>
      <c r="F1235" s="15">
        <v>3332</v>
      </c>
      <c r="G1235" s="95" t="s">
        <v>464</v>
      </c>
    </row>
    <row r="1236" spans="1:7" ht="26">
      <c r="A1236" s="43">
        <v>6</v>
      </c>
      <c r="B1236" s="48" t="s">
        <v>455</v>
      </c>
      <c r="C1236" s="88">
        <v>0</v>
      </c>
      <c r="D1236" s="45">
        <v>0</v>
      </c>
      <c r="E1236" s="45">
        <v>44748</v>
      </c>
      <c r="F1236" s="15">
        <v>4344</v>
      </c>
      <c r="G1236" s="95" t="s">
        <v>465</v>
      </c>
    </row>
    <row r="1237" spans="1:7" ht="26">
      <c r="A1237" s="43">
        <v>7</v>
      </c>
      <c r="B1237" s="48" t="s">
        <v>456</v>
      </c>
      <c r="C1237" s="88">
        <v>0</v>
      </c>
      <c r="D1237" s="45">
        <v>0</v>
      </c>
      <c r="E1237" s="45">
        <v>4709690</v>
      </c>
      <c r="F1237" s="15">
        <v>0</v>
      </c>
      <c r="G1237" s="95" t="s">
        <v>468</v>
      </c>
    </row>
    <row r="1238" spans="1:7" ht="26">
      <c r="A1238" s="34">
        <v>8</v>
      </c>
      <c r="B1238" s="48" t="s">
        <v>457</v>
      </c>
      <c r="C1238" s="88">
        <v>0</v>
      </c>
      <c r="D1238" s="45">
        <v>0</v>
      </c>
      <c r="E1238" s="45">
        <v>141176</v>
      </c>
      <c r="F1238" s="15">
        <v>0</v>
      </c>
      <c r="G1238" s="44" t="s">
        <v>467</v>
      </c>
    </row>
    <row r="1239" spans="1:7" ht="39">
      <c r="A1239" s="34">
        <v>9</v>
      </c>
      <c r="B1239" s="48" t="s">
        <v>445</v>
      </c>
      <c r="C1239" s="88">
        <v>0</v>
      </c>
      <c r="D1239" s="45">
        <v>0</v>
      </c>
      <c r="E1239" s="45">
        <v>0</v>
      </c>
      <c r="F1239" s="45">
        <v>964750</v>
      </c>
      <c r="G1239" s="44" t="s">
        <v>466</v>
      </c>
    </row>
    <row r="1240" spans="1:7" ht="26">
      <c r="A1240" s="34">
        <v>10</v>
      </c>
      <c r="B1240" s="48" t="s">
        <v>460</v>
      </c>
      <c r="C1240" s="88">
        <v>0</v>
      </c>
      <c r="D1240" s="45">
        <v>51000</v>
      </c>
      <c r="E1240" s="45">
        <v>0</v>
      </c>
      <c r="F1240" s="45">
        <v>0</v>
      </c>
      <c r="G1240" s="44"/>
    </row>
    <row r="1241" spans="1:7" ht="39">
      <c r="A1241" s="34">
        <v>11</v>
      </c>
      <c r="B1241" s="48" t="s">
        <v>461</v>
      </c>
      <c r="C1241" s="88">
        <v>0</v>
      </c>
      <c r="D1241" s="45">
        <v>0</v>
      </c>
      <c r="E1241" s="45">
        <v>0</v>
      </c>
      <c r="F1241" s="45">
        <v>0</v>
      </c>
      <c r="G1241" s="44"/>
    </row>
    <row r="1242" spans="1:7" ht="26">
      <c r="A1242" s="34"/>
      <c r="B1242" s="42" t="s">
        <v>1</v>
      </c>
      <c r="C1242" s="89">
        <f>SUM(C1231:C1240)</f>
        <v>0</v>
      </c>
      <c r="D1242" s="35">
        <f>SUM(D1231:D1241)</f>
        <v>126490009</v>
      </c>
      <c r="E1242" s="35">
        <f>SUM(E1231:E1241)</f>
        <v>10527600</v>
      </c>
      <c r="F1242" s="35">
        <f>SUM(F1231:F1241)</f>
        <v>1050816</v>
      </c>
      <c r="G1242" s="46"/>
    </row>
    <row r="1243" spans="1:7" ht="13">
      <c r="B1243" s="6" t="s">
        <v>10</v>
      </c>
      <c r="C1243" s="39"/>
      <c r="D1243" s="39"/>
      <c r="E1243" s="39"/>
      <c r="F1243" s="39"/>
      <c r="G1243" s="50"/>
    </row>
    <row r="1244" spans="1:7" ht="13">
      <c r="B1244" s="49" t="s">
        <v>458</v>
      </c>
      <c r="C1244" s="37"/>
      <c r="D1244" s="37"/>
      <c r="E1244" s="37"/>
      <c r="F1244" s="37"/>
      <c r="G1244" s="92"/>
    </row>
    <row r="1245" spans="1:7" ht="14">
      <c r="A1245" s="10" t="s">
        <v>2</v>
      </c>
      <c r="B1245" s="39"/>
      <c r="C1245" s="39"/>
      <c r="D1245" s="39"/>
      <c r="E1245" s="53"/>
      <c r="F1245" s="37" t="s">
        <v>3</v>
      </c>
      <c r="G1245" s="37"/>
    </row>
    <row r="1246" spans="1:7" ht="14">
      <c r="A1246" s="7" t="s">
        <v>4</v>
      </c>
      <c r="B1246" s="39"/>
      <c r="C1246" s="6"/>
      <c r="D1246" s="39"/>
      <c r="E1246" s="53"/>
      <c r="F1246" s="39" t="s">
        <v>7</v>
      </c>
      <c r="G1246" s="39"/>
    </row>
    <row r="1247" spans="1:7" ht="14">
      <c r="A1247" s="11" t="s">
        <v>5</v>
      </c>
      <c r="B1247" s="6"/>
      <c r="C1247" s="6"/>
      <c r="D1247" s="39"/>
      <c r="E1247" s="53"/>
      <c r="F1247" s="39" t="s">
        <v>8</v>
      </c>
      <c r="G1247" s="39"/>
    </row>
    <row r="1248" spans="1:7" ht="14">
      <c r="A1248" s="11"/>
      <c r="B1248" s="6"/>
      <c r="C1248" s="53"/>
      <c r="D1248" s="37" t="s">
        <v>6</v>
      </c>
      <c r="E1248" s="6"/>
      <c r="F1248" s="6"/>
      <c r="G1248" s="6"/>
    </row>
    <row r="1249" spans="1:7" ht="14.5">
      <c r="A1249" s="90"/>
      <c r="B1249" s="39"/>
      <c r="C1249" s="53"/>
      <c r="D1249" s="39" t="s">
        <v>15</v>
      </c>
      <c r="E1249" s="37"/>
      <c r="F1249" s="37"/>
      <c r="G1249" s="37"/>
    </row>
    <row r="1250" spans="1:7" ht="14.5">
      <c r="A1250" s="90"/>
      <c r="B1250" s="39"/>
      <c r="C1250" s="53"/>
      <c r="D1250" s="39" t="s">
        <v>9</v>
      </c>
      <c r="E1250" s="37"/>
      <c r="F1250" s="92"/>
      <c r="G1250" s="37"/>
    </row>
    <row r="1253" spans="1:7" ht="15.5">
      <c r="B1253" s="1"/>
      <c r="C1253" s="1"/>
      <c r="D1253" s="1"/>
      <c r="E1253" s="1"/>
      <c r="F1253" s="1"/>
      <c r="G1253" s="1"/>
    </row>
    <row r="1254" spans="1:7" ht="15.5">
      <c r="B1254" s="1"/>
      <c r="C1254" s="1"/>
      <c r="D1254" s="1"/>
      <c r="E1254" s="1"/>
      <c r="F1254" s="1"/>
      <c r="G1254" s="1"/>
    </row>
    <row r="1255" spans="1:7" ht="15.5">
      <c r="B1255" s="38" t="s">
        <v>318</v>
      </c>
      <c r="C1255" s="39"/>
      <c r="D1255" s="39"/>
      <c r="E1255" s="39"/>
      <c r="F1255" s="39"/>
      <c r="G1255" s="1"/>
    </row>
    <row r="1256" spans="1:7" ht="15.5">
      <c r="B1256" s="38" t="s">
        <v>479</v>
      </c>
      <c r="C1256" s="39"/>
      <c r="D1256" s="39"/>
      <c r="E1256" s="39"/>
      <c r="F1256" s="39"/>
      <c r="G1256" s="1"/>
    </row>
    <row r="1257" spans="1:7" ht="15.5">
      <c r="B1257" s="38" t="s">
        <v>319</v>
      </c>
      <c r="C1257" s="39"/>
      <c r="D1257" s="39"/>
      <c r="E1257" s="39"/>
      <c r="F1257" s="39"/>
      <c r="G1257" s="1"/>
    </row>
    <row r="1258" spans="1:7" ht="15.5">
      <c r="B1258" s="38" t="s">
        <v>418</v>
      </c>
      <c r="C1258" s="39"/>
      <c r="D1258" s="39"/>
      <c r="E1258" s="39"/>
      <c r="F1258" s="39"/>
      <c r="G1258" s="17"/>
    </row>
    <row r="1259" spans="1:7" ht="15.5">
      <c r="B1259" s="37" t="s">
        <v>320</v>
      </c>
      <c r="C1259" s="39"/>
      <c r="D1259" s="39"/>
      <c r="E1259" s="39"/>
      <c r="G1259" s="77"/>
    </row>
    <row r="1260" spans="1:7" ht="15.5">
      <c r="B1260" s="38" t="s">
        <v>478</v>
      </c>
      <c r="C1260" s="39"/>
      <c r="D1260" s="39"/>
      <c r="E1260" s="39"/>
      <c r="F1260" s="39"/>
      <c r="G1260" s="17"/>
    </row>
    <row r="1261" spans="1:7" ht="15.5">
      <c r="B1261" s="37" t="s">
        <v>321</v>
      </c>
      <c r="C1261" s="39"/>
      <c r="D1261" s="39"/>
      <c r="E1261" s="39"/>
      <c r="F1261" s="39"/>
      <c r="G1261" s="17"/>
    </row>
    <row r="1262" spans="1:7" ht="15.5">
      <c r="B1262" s="38" t="s">
        <v>477</v>
      </c>
      <c r="C1262" s="39"/>
      <c r="D1262" s="39"/>
      <c r="E1262" s="39"/>
      <c r="F1262" s="39"/>
      <c r="G1262" s="17"/>
    </row>
    <row r="1263" spans="1:7" ht="15.5">
      <c r="B1263" s="38" t="s">
        <v>322</v>
      </c>
      <c r="C1263" s="39"/>
      <c r="D1263" s="39"/>
      <c r="E1263" s="39"/>
      <c r="F1263" s="39"/>
      <c r="G1263" s="17"/>
    </row>
    <row r="1264" spans="1:7" ht="15.5">
      <c r="B1264" s="38" t="s">
        <v>482</v>
      </c>
      <c r="C1264" s="39"/>
      <c r="D1264" s="39"/>
      <c r="E1264" s="39"/>
      <c r="F1264" s="39"/>
      <c r="G1264" s="17"/>
    </row>
    <row r="1265" spans="1:7" ht="15.5">
      <c r="B1265" s="38" t="s">
        <v>323</v>
      </c>
      <c r="C1265" s="39"/>
      <c r="D1265" s="39"/>
      <c r="E1265" s="39"/>
      <c r="F1265" s="39"/>
      <c r="G1265" s="17"/>
    </row>
    <row r="1266" spans="1:7" ht="15.5">
      <c r="B1266" s="38" t="s">
        <v>416</v>
      </c>
      <c r="C1266" s="39"/>
      <c r="D1266" s="39"/>
      <c r="E1266" s="39"/>
      <c r="F1266" s="39"/>
      <c r="G1266" s="17"/>
    </row>
    <row r="1267" spans="1:7" ht="56">
      <c r="A1267" s="31" t="s">
        <v>179</v>
      </c>
      <c r="B1267" s="32" t="s">
        <v>0</v>
      </c>
      <c r="C1267" s="33" t="s">
        <v>379</v>
      </c>
      <c r="D1267" s="33" t="s">
        <v>474</v>
      </c>
      <c r="E1267" s="33" t="s">
        <v>278</v>
      </c>
      <c r="F1267" s="33" t="s">
        <v>44</v>
      </c>
      <c r="G1267" s="33" t="s">
        <v>14</v>
      </c>
    </row>
    <row r="1268" spans="1:7" ht="39">
      <c r="A1268" s="43">
        <v>1</v>
      </c>
      <c r="B1268" s="44" t="s">
        <v>472</v>
      </c>
      <c r="C1268" s="88">
        <v>0</v>
      </c>
      <c r="D1268" s="45">
        <v>0</v>
      </c>
      <c r="E1268" s="15">
        <v>0</v>
      </c>
      <c r="F1268" s="15">
        <v>964750</v>
      </c>
      <c r="G1268" s="44" t="s">
        <v>466</v>
      </c>
    </row>
    <row r="1269" spans="1:7" ht="26">
      <c r="A1269" s="43">
        <v>2</v>
      </c>
      <c r="B1269" s="44" t="s">
        <v>483</v>
      </c>
      <c r="C1269" s="88">
        <v>0</v>
      </c>
      <c r="D1269" s="45">
        <v>0</v>
      </c>
      <c r="E1269" s="15">
        <v>0</v>
      </c>
      <c r="F1269" s="15">
        <v>1860000</v>
      </c>
      <c r="G1269" s="48" t="s">
        <v>40</v>
      </c>
    </row>
    <row r="1270" spans="1:7" ht="26">
      <c r="A1270" s="43">
        <v>3</v>
      </c>
      <c r="B1270" s="44" t="s">
        <v>473</v>
      </c>
      <c r="C1270" s="88">
        <v>0</v>
      </c>
      <c r="D1270" s="45">
        <v>90000</v>
      </c>
      <c r="E1270" s="45">
        <v>0</v>
      </c>
      <c r="F1270" s="15">
        <v>0</v>
      </c>
      <c r="G1270" s="48" t="s">
        <v>40</v>
      </c>
    </row>
    <row r="1271" spans="1:7" ht="39">
      <c r="A1271" s="43">
        <v>4</v>
      </c>
      <c r="B1271" s="48" t="s">
        <v>476</v>
      </c>
      <c r="C1271" s="88">
        <v>0</v>
      </c>
      <c r="D1271" s="45">
        <f>269560*60%</f>
        <v>161736</v>
      </c>
      <c r="E1271" s="45">
        <v>0</v>
      </c>
      <c r="F1271" s="15">
        <v>0</v>
      </c>
      <c r="G1271" s="44" t="s">
        <v>481</v>
      </c>
    </row>
    <row r="1272" spans="1:7" ht="26">
      <c r="A1272" s="43">
        <v>5</v>
      </c>
      <c r="B1272" s="46" t="s">
        <v>19</v>
      </c>
      <c r="C1272" s="88">
        <v>0</v>
      </c>
      <c r="D1272" s="45">
        <v>150000</v>
      </c>
      <c r="E1272" s="45">
        <v>0</v>
      </c>
      <c r="F1272" s="15">
        <v>0</v>
      </c>
      <c r="G1272" s="95" t="s">
        <v>480</v>
      </c>
    </row>
    <row r="1273" spans="1:7" ht="14">
      <c r="A1273" s="43"/>
      <c r="B1273" s="48"/>
      <c r="C1273" s="88">
        <v>0</v>
      </c>
      <c r="D1273" s="45"/>
      <c r="E1273" s="45"/>
      <c r="F1273" s="15"/>
      <c r="G1273" s="95"/>
    </row>
    <row r="1274" spans="1:7" ht="14">
      <c r="A1274" s="43"/>
      <c r="B1274" s="48"/>
      <c r="C1274" s="88"/>
      <c r="D1274" s="45"/>
      <c r="E1274" s="45"/>
      <c r="F1274" s="15"/>
      <c r="G1274" s="95"/>
    </row>
    <row r="1275" spans="1:7" ht="14">
      <c r="A1275" s="34"/>
      <c r="B1275" s="48"/>
      <c r="C1275" s="88"/>
      <c r="D1275" s="45"/>
      <c r="E1275" s="45"/>
      <c r="F1275" s="15"/>
      <c r="G1275" s="44"/>
    </row>
    <row r="1276" spans="1:7" ht="14">
      <c r="A1276" s="34"/>
      <c r="B1276" s="48"/>
      <c r="C1276" s="88"/>
      <c r="D1276" s="45"/>
      <c r="E1276" s="45"/>
      <c r="F1276" s="45"/>
      <c r="G1276" s="44"/>
    </row>
    <row r="1277" spans="1:7" ht="14">
      <c r="A1277" s="34"/>
      <c r="B1277" s="48"/>
      <c r="C1277" s="88"/>
      <c r="D1277" s="45"/>
      <c r="E1277" s="45"/>
      <c r="F1277" s="45"/>
      <c r="G1277" s="44"/>
    </row>
    <row r="1278" spans="1:7" ht="14">
      <c r="A1278" s="34"/>
      <c r="B1278" s="48"/>
      <c r="C1278" s="88"/>
      <c r="D1278" s="45"/>
      <c r="E1278" s="45"/>
      <c r="F1278" s="45"/>
      <c r="G1278" s="44"/>
    </row>
    <row r="1279" spans="1:7" ht="26">
      <c r="A1279" s="34"/>
      <c r="B1279" s="42" t="s">
        <v>1</v>
      </c>
      <c r="C1279" s="89">
        <f>SUM(C1268:C1277)</f>
        <v>0</v>
      </c>
      <c r="D1279" s="35">
        <f>SUM(D1268:D1278)</f>
        <v>401736</v>
      </c>
      <c r="E1279" s="35">
        <f>SUM(E1268:E1278)</f>
        <v>0</v>
      </c>
      <c r="F1279" s="35">
        <f>SUM(F1268:F1278)</f>
        <v>2824750</v>
      </c>
      <c r="G1279" s="46"/>
    </row>
    <row r="1280" spans="1:7" ht="13">
      <c r="B1280" s="6" t="s">
        <v>10</v>
      </c>
      <c r="C1280" s="39"/>
      <c r="D1280" s="39"/>
      <c r="E1280" s="39"/>
      <c r="F1280" s="39"/>
      <c r="G1280" s="50"/>
    </row>
    <row r="1281" spans="1:7" ht="13">
      <c r="B1281" s="49" t="s">
        <v>475</v>
      </c>
      <c r="C1281" s="37"/>
      <c r="D1281" s="37"/>
      <c r="E1281" s="37"/>
      <c r="F1281" s="37"/>
      <c r="G1281" s="92"/>
    </row>
    <row r="1282" spans="1:7" ht="14">
      <c r="A1282" s="10" t="s">
        <v>2</v>
      </c>
      <c r="B1282" s="39"/>
      <c r="C1282" s="39"/>
      <c r="D1282" s="39"/>
      <c r="E1282" s="53"/>
      <c r="F1282" s="37" t="s">
        <v>3</v>
      </c>
      <c r="G1282" s="37"/>
    </row>
    <row r="1283" spans="1:7" ht="14">
      <c r="A1283" s="7" t="s">
        <v>4</v>
      </c>
      <c r="B1283" s="39"/>
      <c r="C1283" s="6"/>
      <c r="D1283" s="39"/>
      <c r="E1283" s="53"/>
      <c r="F1283" s="39" t="s">
        <v>7</v>
      </c>
      <c r="G1283" s="39"/>
    </row>
    <row r="1284" spans="1:7" ht="14">
      <c r="A1284" s="11" t="s">
        <v>5</v>
      </c>
      <c r="B1284" s="6"/>
      <c r="C1284" s="6"/>
      <c r="D1284" s="39"/>
      <c r="E1284" s="53"/>
      <c r="F1284" s="39" t="s">
        <v>8</v>
      </c>
      <c r="G1284" s="39"/>
    </row>
    <row r="1285" spans="1:7" ht="14">
      <c r="A1285" s="11"/>
      <c r="B1285" s="6"/>
      <c r="C1285" s="53"/>
      <c r="D1285" s="37" t="s">
        <v>6</v>
      </c>
      <c r="E1285" s="6"/>
      <c r="F1285" s="6"/>
      <c r="G1285" s="6"/>
    </row>
    <row r="1286" spans="1:7" ht="14.5">
      <c r="A1286" s="90"/>
      <c r="B1286" s="39"/>
      <c r="C1286" s="53"/>
      <c r="D1286" s="39" t="s">
        <v>15</v>
      </c>
      <c r="E1286" s="37"/>
      <c r="F1286" s="37"/>
      <c r="G1286" s="37"/>
    </row>
    <row r="1287" spans="1:7" ht="14.5">
      <c r="A1287" s="90"/>
      <c r="B1287" s="39"/>
      <c r="C1287" s="53"/>
      <c r="D1287" s="39" t="s">
        <v>9</v>
      </c>
      <c r="E1287" s="37"/>
      <c r="F1287" s="92"/>
      <c r="G1287" s="37"/>
    </row>
    <row r="1294" spans="1:7" ht="15.5">
      <c r="B1294" s="1"/>
      <c r="C1294" s="1"/>
      <c r="D1294" s="1"/>
      <c r="E1294" s="1"/>
      <c r="F1294" s="1"/>
      <c r="G1294" s="1"/>
    </row>
    <row r="1295" spans="1:7" ht="15.5">
      <c r="B1295" s="1"/>
      <c r="C1295" s="1"/>
      <c r="D1295" s="1"/>
      <c r="E1295" s="1"/>
      <c r="F1295" s="1"/>
      <c r="G1295" s="1"/>
    </row>
    <row r="1296" spans="1:7" ht="15.5">
      <c r="B1296" s="38" t="s">
        <v>318</v>
      </c>
      <c r="C1296" s="39"/>
      <c r="D1296" s="39"/>
      <c r="E1296" s="39"/>
      <c r="F1296" s="39"/>
      <c r="G1296" s="1"/>
    </row>
    <row r="1297" spans="1:7" ht="15.5">
      <c r="B1297" s="38" t="s">
        <v>479</v>
      </c>
      <c r="C1297" s="39"/>
      <c r="D1297" s="39"/>
      <c r="E1297" s="39"/>
      <c r="F1297" s="39"/>
      <c r="G1297" s="1"/>
    </row>
    <row r="1298" spans="1:7" ht="15.5">
      <c r="B1298" s="38" t="s">
        <v>319</v>
      </c>
      <c r="C1298" s="39"/>
      <c r="D1298" s="39"/>
      <c r="E1298" s="39"/>
      <c r="F1298" s="39"/>
      <c r="G1298" s="1"/>
    </row>
    <row r="1299" spans="1:7" ht="15.5">
      <c r="B1299" s="38" t="s">
        <v>418</v>
      </c>
      <c r="C1299" s="39"/>
      <c r="D1299" s="39"/>
      <c r="E1299" s="39"/>
      <c r="F1299" s="39"/>
      <c r="G1299" s="17"/>
    </row>
    <row r="1300" spans="1:7" ht="15.5">
      <c r="B1300" s="37" t="s">
        <v>320</v>
      </c>
      <c r="C1300" s="39"/>
      <c r="D1300" s="39"/>
      <c r="E1300" s="39"/>
      <c r="G1300" s="77"/>
    </row>
    <row r="1301" spans="1:7" ht="15.5">
      <c r="B1301" s="38" t="s">
        <v>487</v>
      </c>
      <c r="C1301" s="39"/>
      <c r="D1301" s="39"/>
      <c r="E1301" s="39"/>
      <c r="F1301" s="39"/>
      <c r="G1301" s="17"/>
    </row>
    <row r="1302" spans="1:7" ht="15.5">
      <c r="B1302" s="37" t="s">
        <v>321</v>
      </c>
      <c r="C1302" s="39"/>
      <c r="D1302" s="39"/>
      <c r="E1302" s="39"/>
      <c r="F1302" s="39"/>
      <c r="G1302" s="17"/>
    </row>
    <row r="1303" spans="1:7" ht="15.5">
      <c r="B1303" s="38" t="s">
        <v>488</v>
      </c>
      <c r="C1303" s="39"/>
      <c r="D1303" s="39"/>
      <c r="E1303" s="39"/>
      <c r="F1303" s="39"/>
      <c r="G1303" s="17"/>
    </row>
    <row r="1304" spans="1:7" ht="15.5">
      <c r="B1304" s="38" t="s">
        <v>322</v>
      </c>
      <c r="C1304" s="39"/>
      <c r="D1304" s="39"/>
      <c r="E1304" s="39"/>
      <c r="F1304" s="39"/>
      <c r="G1304" s="17"/>
    </row>
    <row r="1305" spans="1:7" ht="15.5">
      <c r="B1305" s="38" t="s">
        <v>482</v>
      </c>
      <c r="C1305" s="39"/>
      <c r="D1305" s="39"/>
      <c r="E1305" s="39"/>
      <c r="F1305" s="39"/>
      <c r="G1305" s="17"/>
    </row>
    <row r="1306" spans="1:7" ht="15.5">
      <c r="B1306" s="38" t="s">
        <v>323</v>
      </c>
      <c r="C1306" s="39"/>
      <c r="D1306" s="39"/>
      <c r="E1306" s="39"/>
      <c r="F1306" s="39"/>
      <c r="G1306" s="17"/>
    </row>
    <row r="1307" spans="1:7" ht="15.5">
      <c r="B1307" s="38" t="s">
        <v>416</v>
      </c>
      <c r="C1307" s="39"/>
      <c r="D1307" s="39"/>
      <c r="E1307" s="39"/>
      <c r="F1307" s="39"/>
      <c r="G1307" s="17"/>
    </row>
    <row r="1308" spans="1:7" ht="42">
      <c r="A1308" s="31" t="s">
        <v>179</v>
      </c>
      <c r="B1308" s="32" t="s">
        <v>0</v>
      </c>
      <c r="C1308" s="33" t="s">
        <v>379</v>
      </c>
      <c r="D1308" s="33" t="s">
        <v>32</v>
      </c>
      <c r="E1308" s="33" t="s">
        <v>278</v>
      </c>
      <c r="F1308" s="33" t="s">
        <v>44</v>
      </c>
      <c r="G1308" s="33" t="s">
        <v>14</v>
      </c>
    </row>
    <row r="1309" spans="1:7" ht="26">
      <c r="A1309" s="43">
        <v>1</v>
      </c>
      <c r="B1309" s="44" t="s">
        <v>484</v>
      </c>
      <c r="C1309" s="88">
        <v>0</v>
      </c>
      <c r="D1309" s="45">
        <v>10000</v>
      </c>
      <c r="E1309" s="15">
        <v>0</v>
      </c>
      <c r="F1309" s="15">
        <v>0</v>
      </c>
      <c r="G1309" s="44" t="s">
        <v>433</v>
      </c>
    </row>
    <row r="1310" spans="1:7" ht="26">
      <c r="A1310" s="43">
        <v>2</v>
      </c>
      <c r="B1310" s="44" t="s">
        <v>485</v>
      </c>
      <c r="C1310" s="88">
        <v>0</v>
      </c>
      <c r="D1310" s="45">
        <v>4500000</v>
      </c>
      <c r="E1310" s="15">
        <v>0</v>
      </c>
      <c r="F1310" s="15">
        <v>0</v>
      </c>
      <c r="G1310" s="47" t="s">
        <v>124</v>
      </c>
    </row>
    <row r="1311" spans="1:7" ht="26">
      <c r="A1311" s="43">
        <v>3</v>
      </c>
      <c r="B1311" s="44" t="s">
        <v>489</v>
      </c>
      <c r="C1311" s="88">
        <v>0</v>
      </c>
      <c r="D1311" s="45">
        <f>18000*2</f>
        <v>36000</v>
      </c>
      <c r="E1311" s="45">
        <v>0</v>
      </c>
      <c r="F1311" s="15">
        <v>0</v>
      </c>
      <c r="G1311" s="48" t="s">
        <v>31</v>
      </c>
    </row>
    <row r="1312" spans="1:7" ht="14">
      <c r="A1312" s="43"/>
      <c r="B1312" s="48"/>
      <c r="C1312" s="88"/>
      <c r="D1312" s="45"/>
      <c r="E1312" s="45"/>
      <c r="F1312" s="15"/>
      <c r="G1312" s="44"/>
    </row>
    <row r="1313" spans="1:7" ht="14">
      <c r="A1313" s="43"/>
      <c r="B1313" s="46"/>
      <c r="C1313" s="88"/>
      <c r="D1313" s="45"/>
      <c r="E1313" s="45"/>
      <c r="F1313" s="15"/>
      <c r="G1313" s="95"/>
    </row>
    <row r="1314" spans="1:7" ht="14">
      <c r="A1314" s="43"/>
      <c r="B1314" s="48"/>
      <c r="C1314" s="88">
        <v>0</v>
      </c>
      <c r="D1314" s="45"/>
      <c r="E1314" s="45"/>
      <c r="F1314" s="15"/>
      <c r="G1314" s="95"/>
    </row>
    <row r="1315" spans="1:7" ht="14">
      <c r="A1315" s="43"/>
      <c r="B1315" s="48"/>
      <c r="C1315" s="88"/>
      <c r="D1315" s="45"/>
      <c r="E1315" s="45"/>
      <c r="F1315" s="15"/>
      <c r="G1315" s="95"/>
    </row>
    <row r="1316" spans="1:7" ht="14">
      <c r="A1316" s="34"/>
      <c r="B1316" s="48"/>
      <c r="C1316" s="88"/>
      <c r="D1316" s="45"/>
      <c r="E1316" s="45"/>
      <c r="F1316" s="15"/>
      <c r="G1316" s="44"/>
    </row>
    <row r="1317" spans="1:7" ht="14">
      <c r="A1317" s="34"/>
      <c r="B1317" s="48"/>
      <c r="C1317" s="88"/>
      <c r="D1317" s="45"/>
      <c r="E1317" s="45"/>
      <c r="F1317" s="45"/>
      <c r="G1317" s="44"/>
    </row>
    <row r="1318" spans="1:7" ht="14">
      <c r="A1318" s="34"/>
      <c r="B1318" s="48"/>
      <c r="C1318" s="88"/>
      <c r="D1318" s="45"/>
      <c r="E1318" s="45"/>
      <c r="F1318" s="45"/>
      <c r="G1318" s="44"/>
    </row>
    <row r="1319" spans="1:7" ht="14">
      <c r="A1319" s="34"/>
      <c r="B1319" s="48"/>
      <c r="C1319" s="88"/>
      <c r="D1319" s="45"/>
      <c r="E1319" s="45"/>
      <c r="F1319" s="45"/>
      <c r="G1319" s="44"/>
    </row>
    <row r="1320" spans="1:7" ht="26">
      <c r="A1320" s="34"/>
      <c r="B1320" s="42" t="s">
        <v>1</v>
      </c>
      <c r="C1320" s="89">
        <f>SUM(C1309:C1318)</f>
        <v>0</v>
      </c>
      <c r="D1320" s="35">
        <f>SUM(D1309:D1319)</f>
        <v>4546000</v>
      </c>
      <c r="E1320" s="35">
        <f>SUM(E1309:E1319)</f>
        <v>0</v>
      </c>
      <c r="F1320" s="35">
        <f>SUM(F1309:F1319)</f>
        <v>0</v>
      </c>
      <c r="G1320" s="46"/>
    </row>
    <row r="1321" spans="1:7" ht="14">
      <c r="A1321" s="82"/>
      <c r="B1321" s="96"/>
      <c r="C1321" s="97"/>
      <c r="D1321" s="52"/>
      <c r="E1321" s="52"/>
      <c r="F1321" s="52"/>
      <c r="G1321" s="54"/>
    </row>
    <row r="1322" spans="1:7" ht="13">
      <c r="B1322" s="6" t="s">
        <v>10</v>
      </c>
      <c r="C1322" s="39"/>
      <c r="D1322" s="39"/>
      <c r="E1322" s="39"/>
      <c r="F1322" s="39"/>
      <c r="G1322" s="50"/>
    </row>
    <row r="1323" spans="1:7" ht="13">
      <c r="B1323" s="49" t="s">
        <v>490</v>
      </c>
      <c r="C1323" s="37"/>
      <c r="D1323" s="37"/>
      <c r="E1323" s="37"/>
      <c r="F1323" s="37"/>
      <c r="G1323" s="92"/>
    </row>
    <row r="1324" spans="1:7" ht="13">
      <c r="B1324" s="49"/>
      <c r="C1324" s="37"/>
      <c r="D1324" s="37"/>
      <c r="E1324" s="37"/>
      <c r="F1324" s="37"/>
      <c r="G1324" s="92"/>
    </row>
    <row r="1325" spans="1:7" ht="14">
      <c r="A1325" s="10" t="s">
        <v>2</v>
      </c>
      <c r="B1325" s="39"/>
      <c r="C1325" s="39"/>
      <c r="D1325" s="39"/>
      <c r="E1325" s="53"/>
      <c r="F1325" s="37" t="s">
        <v>3</v>
      </c>
      <c r="G1325" s="37"/>
    </row>
    <row r="1326" spans="1:7" ht="14">
      <c r="A1326" s="7" t="s">
        <v>4</v>
      </c>
      <c r="B1326" s="39"/>
      <c r="C1326" s="6"/>
      <c r="D1326" s="39"/>
      <c r="E1326" s="53"/>
      <c r="F1326" s="39" t="s">
        <v>7</v>
      </c>
      <c r="G1326" s="39"/>
    </row>
    <row r="1327" spans="1:7" ht="14">
      <c r="A1327" s="11" t="s">
        <v>5</v>
      </c>
      <c r="B1327" s="6"/>
      <c r="C1327" s="6"/>
      <c r="D1327" s="39"/>
      <c r="E1327" s="53"/>
      <c r="F1327" s="39" t="s">
        <v>8</v>
      </c>
      <c r="G1327" s="39"/>
    </row>
    <row r="1328" spans="1:7" ht="14">
      <c r="A1328" s="11"/>
      <c r="B1328" s="6"/>
      <c r="C1328" s="53"/>
      <c r="D1328" s="37" t="s">
        <v>6</v>
      </c>
      <c r="E1328" s="6"/>
      <c r="F1328" s="6"/>
      <c r="G1328" s="6"/>
    </row>
    <row r="1329" spans="1:7" ht="14.5">
      <c r="A1329" s="90"/>
      <c r="B1329" s="39"/>
      <c r="C1329" s="53"/>
      <c r="D1329" s="39" t="s">
        <v>15</v>
      </c>
      <c r="E1329" s="37"/>
      <c r="F1329" s="37"/>
      <c r="G1329" s="37"/>
    </row>
    <row r="1330" spans="1:7" ht="14.5">
      <c r="A1330" s="90"/>
      <c r="B1330" s="39"/>
      <c r="C1330" s="53"/>
      <c r="D1330" s="39" t="s">
        <v>9</v>
      </c>
      <c r="E1330" s="37"/>
      <c r="F1330" s="92"/>
      <c r="G1330" s="37"/>
    </row>
    <row r="1341" spans="1:7" ht="15.5">
      <c r="B1341" s="1"/>
      <c r="C1341" s="1"/>
      <c r="D1341" s="1"/>
      <c r="E1341" s="1"/>
      <c r="F1341" s="1"/>
      <c r="G1341" s="1"/>
    </row>
    <row r="1342" spans="1:7" ht="15.5">
      <c r="B1342" s="1"/>
      <c r="C1342" s="1"/>
      <c r="D1342" s="1"/>
      <c r="E1342" s="1"/>
      <c r="F1342" s="1"/>
      <c r="G1342" s="1"/>
    </row>
    <row r="1343" spans="1:7" ht="15.5">
      <c r="B1343" s="38" t="s">
        <v>318</v>
      </c>
      <c r="C1343" s="39"/>
      <c r="D1343" s="39"/>
      <c r="E1343" s="39"/>
      <c r="F1343" s="39"/>
      <c r="G1343" s="1"/>
    </row>
    <row r="1344" spans="1:7" ht="15.5">
      <c r="B1344" s="38" t="s">
        <v>498</v>
      </c>
      <c r="C1344" s="39"/>
      <c r="D1344" s="39"/>
      <c r="E1344" s="39"/>
      <c r="F1344" s="39"/>
      <c r="G1344" s="1"/>
    </row>
    <row r="1345" spans="1:7" ht="15.5">
      <c r="B1345" s="38" t="s">
        <v>319</v>
      </c>
      <c r="C1345" s="39"/>
      <c r="D1345" s="39"/>
      <c r="E1345" s="39"/>
      <c r="F1345" s="39"/>
      <c r="G1345" s="1"/>
    </row>
    <row r="1346" spans="1:7" ht="15.5">
      <c r="B1346" s="38" t="s">
        <v>499</v>
      </c>
      <c r="C1346" s="39"/>
      <c r="D1346" s="39"/>
      <c r="E1346" s="39"/>
      <c r="F1346" s="39"/>
      <c r="G1346" s="17"/>
    </row>
    <row r="1347" spans="1:7" ht="15.5">
      <c r="B1347" s="37" t="s">
        <v>320</v>
      </c>
      <c r="C1347" s="39"/>
      <c r="D1347" s="39"/>
      <c r="E1347" s="39"/>
      <c r="G1347" s="77"/>
    </row>
    <row r="1348" spans="1:7" ht="15.5">
      <c r="B1348" s="38" t="s">
        <v>500</v>
      </c>
      <c r="C1348" s="39"/>
      <c r="D1348" s="39"/>
      <c r="E1348" s="39"/>
      <c r="F1348" s="39"/>
      <c r="G1348" s="17"/>
    </row>
    <row r="1349" spans="1:7" ht="15.5">
      <c r="B1349" s="37" t="s">
        <v>321</v>
      </c>
      <c r="C1349" s="39"/>
      <c r="D1349" s="39"/>
      <c r="E1349" s="39"/>
      <c r="F1349" s="39"/>
      <c r="G1349" s="17"/>
    </row>
    <row r="1350" spans="1:7" ht="15.5">
      <c r="B1350" s="38" t="s">
        <v>488</v>
      </c>
      <c r="C1350" s="39"/>
      <c r="D1350" s="39"/>
      <c r="E1350" s="39"/>
      <c r="F1350" s="39"/>
      <c r="G1350" s="17"/>
    </row>
    <row r="1351" spans="1:7" ht="15.5">
      <c r="B1351" s="38" t="s">
        <v>322</v>
      </c>
      <c r="C1351" s="39"/>
      <c r="D1351" s="39"/>
      <c r="E1351" s="39"/>
      <c r="F1351" s="39"/>
      <c r="G1351" s="17"/>
    </row>
    <row r="1352" spans="1:7" ht="15.5">
      <c r="B1352" s="38" t="s">
        <v>497</v>
      </c>
      <c r="C1352" s="39"/>
      <c r="D1352" s="39"/>
      <c r="E1352" s="39"/>
      <c r="F1352" s="39"/>
      <c r="G1352" s="17"/>
    </row>
    <row r="1353" spans="1:7" ht="15.5">
      <c r="B1353" s="38" t="s">
        <v>323</v>
      </c>
      <c r="C1353" s="39"/>
      <c r="D1353" s="39"/>
      <c r="E1353" s="39"/>
      <c r="F1353" s="39"/>
      <c r="G1353" s="17"/>
    </row>
    <row r="1354" spans="1:7" ht="15.5">
      <c r="B1354" s="38" t="s">
        <v>416</v>
      </c>
      <c r="C1354" s="39"/>
      <c r="D1354" s="39"/>
      <c r="E1354" s="39"/>
      <c r="F1354" s="39"/>
      <c r="G1354" s="17"/>
    </row>
    <row r="1355" spans="1:7" ht="42">
      <c r="A1355" s="31" t="s">
        <v>179</v>
      </c>
      <c r="B1355" s="32" t="s">
        <v>0</v>
      </c>
      <c r="C1355" s="33" t="s">
        <v>379</v>
      </c>
      <c r="D1355" s="33" t="s">
        <v>32</v>
      </c>
      <c r="E1355" s="33" t="s">
        <v>278</v>
      </c>
      <c r="F1355" s="33" t="s">
        <v>44</v>
      </c>
      <c r="G1355" s="33" t="s">
        <v>14</v>
      </c>
    </row>
    <row r="1356" spans="1:7" ht="39">
      <c r="A1356" s="43">
        <v>1</v>
      </c>
      <c r="B1356" s="44" t="s">
        <v>496</v>
      </c>
      <c r="C1356" s="88">
        <v>0</v>
      </c>
      <c r="D1356" s="45">
        <v>1180000</v>
      </c>
      <c r="E1356" s="15">
        <v>0</v>
      </c>
      <c r="F1356" s="15">
        <v>0</v>
      </c>
      <c r="G1356" s="44" t="s">
        <v>491</v>
      </c>
    </row>
    <row r="1357" spans="1:7" ht="39">
      <c r="A1357" s="43">
        <v>2</v>
      </c>
      <c r="B1357" s="44" t="s">
        <v>506</v>
      </c>
      <c r="C1357" s="88">
        <v>0</v>
      </c>
      <c r="D1357" s="115">
        <v>1100000</v>
      </c>
      <c r="E1357" s="15">
        <v>0</v>
      </c>
      <c r="F1357" s="15">
        <v>0</v>
      </c>
      <c r="G1357" s="47" t="s">
        <v>11</v>
      </c>
    </row>
    <row r="1358" spans="1:7" ht="26">
      <c r="A1358" s="43">
        <v>3</v>
      </c>
      <c r="B1358" s="44" t="s">
        <v>492</v>
      </c>
      <c r="C1358" s="88">
        <v>9990683</v>
      </c>
      <c r="D1358" s="45">
        <v>0</v>
      </c>
      <c r="E1358" s="45">
        <v>0</v>
      </c>
      <c r="F1358" s="15">
        <v>864484</v>
      </c>
      <c r="G1358" s="48" t="s">
        <v>31</v>
      </c>
    </row>
    <row r="1359" spans="1:7" ht="39">
      <c r="A1359" s="43">
        <v>4</v>
      </c>
      <c r="B1359" s="48" t="s">
        <v>493</v>
      </c>
      <c r="C1359" s="88">
        <v>650000</v>
      </c>
      <c r="D1359" s="45">
        <v>0</v>
      </c>
      <c r="E1359" s="45">
        <v>0</v>
      </c>
      <c r="F1359" s="15">
        <v>0</v>
      </c>
      <c r="G1359" s="44" t="s">
        <v>31</v>
      </c>
    </row>
    <row r="1360" spans="1:7" ht="39">
      <c r="A1360" s="43">
        <v>5</v>
      </c>
      <c r="B1360" s="46" t="s">
        <v>495</v>
      </c>
      <c r="C1360" s="88">
        <v>0</v>
      </c>
      <c r="D1360" s="45">
        <v>60000</v>
      </c>
      <c r="E1360" s="45">
        <v>0</v>
      </c>
      <c r="F1360" s="15">
        <v>0</v>
      </c>
      <c r="G1360" s="100" t="s">
        <v>396</v>
      </c>
    </row>
    <row r="1361" spans="1:7" ht="40" customHeight="1">
      <c r="A1361" s="43">
        <v>6</v>
      </c>
      <c r="B1361" s="48" t="s">
        <v>494</v>
      </c>
      <c r="C1361" s="88">
        <v>0</v>
      </c>
      <c r="D1361" s="45">
        <v>0</v>
      </c>
      <c r="E1361" s="45">
        <v>0</v>
      </c>
      <c r="F1361" s="15">
        <v>0</v>
      </c>
      <c r="G1361" s="95" t="s">
        <v>259</v>
      </c>
    </row>
    <row r="1362" spans="1:7" ht="39">
      <c r="A1362" s="43">
        <v>7</v>
      </c>
      <c r="B1362" s="48" t="s">
        <v>505</v>
      </c>
      <c r="C1362" s="88">
        <v>0</v>
      </c>
      <c r="D1362" s="45">
        <v>0</v>
      </c>
      <c r="E1362" s="45" t="s">
        <v>502</v>
      </c>
      <c r="F1362" s="15">
        <v>0</v>
      </c>
      <c r="G1362" s="95" t="s">
        <v>503</v>
      </c>
    </row>
    <row r="1363" spans="1:7" ht="14">
      <c r="A1363" s="34"/>
      <c r="B1363" s="48"/>
      <c r="C1363" s="88"/>
      <c r="D1363" s="45"/>
      <c r="E1363" s="45"/>
      <c r="F1363" s="15"/>
      <c r="G1363" s="44"/>
    </row>
    <row r="1364" spans="1:7" ht="14">
      <c r="A1364" s="34"/>
      <c r="B1364" s="48"/>
      <c r="C1364" s="88"/>
      <c r="D1364" s="45"/>
      <c r="E1364" s="45"/>
      <c r="F1364" s="45"/>
      <c r="G1364" s="44"/>
    </row>
    <row r="1365" spans="1:7" ht="14">
      <c r="A1365" s="34"/>
      <c r="B1365" s="48"/>
      <c r="C1365" s="88"/>
      <c r="D1365" s="45"/>
      <c r="E1365" s="45"/>
      <c r="F1365" s="45"/>
      <c r="G1365" s="44"/>
    </row>
    <row r="1366" spans="1:7" ht="26">
      <c r="A1366" s="34"/>
      <c r="B1366" s="42" t="s">
        <v>1</v>
      </c>
      <c r="C1366" s="89">
        <f>SUM(C1356:C1364)</f>
        <v>10640683</v>
      </c>
      <c r="D1366" s="35">
        <f>SUM(D1356:D1365)</f>
        <v>2340000</v>
      </c>
      <c r="E1366" s="35" t="s">
        <v>504</v>
      </c>
      <c r="F1366" s="35">
        <f>SUM(F1356:F1365)</f>
        <v>864484</v>
      </c>
      <c r="G1366" s="46"/>
    </row>
    <row r="1367" spans="1:7" ht="13">
      <c r="B1367" s="6" t="s">
        <v>10</v>
      </c>
      <c r="C1367" s="39"/>
      <c r="D1367" s="39"/>
      <c r="E1367" s="39"/>
      <c r="F1367" s="39"/>
      <c r="G1367" s="50"/>
    </row>
    <row r="1368" spans="1:7" ht="13">
      <c r="B1368" s="49" t="s">
        <v>501</v>
      </c>
      <c r="C1368" s="37"/>
      <c r="D1368" s="37"/>
      <c r="E1368" s="37"/>
      <c r="F1368" s="37"/>
      <c r="G1368" s="92"/>
    </row>
    <row r="1369" spans="1:7" ht="13">
      <c r="B1369" s="49"/>
      <c r="C1369" s="37"/>
      <c r="D1369" s="37"/>
      <c r="E1369" s="37"/>
      <c r="F1369" s="37"/>
      <c r="G1369" s="92"/>
    </row>
    <row r="1370" spans="1:7" ht="14">
      <c r="A1370" s="10" t="s">
        <v>2</v>
      </c>
      <c r="B1370" s="39"/>
      <c r="C1370" s="39"/>
      <c r="D1370" s="39"/>
      <c r="E1370" s="53"/>
      <c r="F1370" s="37" t="s">
        <v>3</v>
      </c>
      <c r="G1370" s="37"/>
    </row>
    <row r="1371" spans="1:7" ht="14">
      <c r="A1371" s="7" t="s">
        <v>4</v>
      </c>
      <c r="B1371" s="39"/>
      <c r="C1371" s="6"/>
      <c r="D1371" s="39"/>
      <c r="E1371" s="53"/>
      <c r="F1371" s="39" t="s">
        <v>7</v>
      </c>
      <c r="G1371" s="39"/>
    </row>
    <row r="1372" spans="1:7" ht="14">
      <c r="A1372" s="11" t="s">
        <v>5</v>
      </c>
      <c r="B1372" s="6"/>
      <c r="C1372" s="6"/>
      <c r="D1372" s="39"/>
      <c r="E1372" s="53"/>
      <c r="F1372" s="39" t="s">
        <v>8</v>
      </c>
      <c r="G1372" s="39"/>
    </row>
    <row r="1373" spans="1:7" ht="14">
      <c r="A1373" s="11"/>
      <c r="B1373" s="6"/>
      <c r="C1373" s="53"/>
      <c r="D1373" s="37" t="s">
        <v>6</v>
      </c>
      <c r="E1373" s="6"/>
      <c r="F1373" s="6"/>
      <c r="G1373" s="6"/>
    </row>
    <row r="1374" spans="1:7" ht="14.5">
      <c r="A1374" s="90"/>
      <c r="B1374" s="39"/>
      <c r="C1374" s="53"/>
      <c r="D1374" s="39" t="s">
        <v>15</v>
      </c>
      <c r="E1374" s="37"/>
      <c r="F1374" s="37"/>
      <c r="G1374" s="37"/>
    </row>
    <row r="1375" spans="1:7" ht="14.5">
      <c r="A1375" s="90"/>
      <c r="B1375" s="39"/>
      <c r="C1375" s="53"/>
      <c r="D1375" s="39" t="s">
        <v>9</v>
      </c>
      <c r="E1375" s="37"/>
      <c r="F1375" s="92"/>
      <c r="G1375" s="37"/>
    </row>
    <row r="1376" spans="1:7" ht="15.5">
      <c r="B1376" s="1"/>
      <c r="C1376" s="1"/>
      <c r="D1376" s="1"/>
      <c r="E1376" s="1"/>
      <c r="F1376" s="1"/>
      <c r="G1376" s="1"/>
    </row>
    <row r="1377" spans="1:7" ht="15.5">
      <c r="B1377" s="1"/>
      <c r="C1377" s="1"/>
      <c r="D1377" s="1"/>
      <c r="E1377" s="1"/>
      <c r="F1377" s="1"/>
      <c r="G1377" s="1"/>
    </row>
    <row r="1378" spans="1:7" ht="15.5">
      <c r="B1378" s="38" t="s">
        <v>318</v>
      </c>
      <c r="C1378" s="39"/>
      <c r="D1378" s="39"/>
      <c r="E1378" s="39"/>
      <c r="F1378" s="39"/>
      <c r="G1378" s="1"/>
    </row>
    <row r="1379" spans="1:7" ht="15.5">
      <c r="B1379" s="38" t="s">
        <v>498</v>
      </c>
      <c r="C1379" s="39"/>
      <c r="D1379" s="39"/>
      <c r="E1379" s="39"/>
      <c r="F1379" s="39"/>
      <c r="G1379" s="1"/>
    </row>
    <row r="1380" spans="1:7" ht="15.5">
      <c r="B1380" s="38" t="s">
        <v>319</v>
      </c>
      <c r="C1380" s="39"/>
      <c r="D1380" s="39"/>
      <c r="E1380" s="39"/>
      <c r="F1380" s="39"/>
      <c r="G1380" s="1"/>
    </row>
    <row r="1381" spans="1:7" ht="15.5">
      <c r="B1381" s="38" t="s">
        <v>519</v>
      </c>
      <c r="C1381" s="39"/>
      <c r="D1381" s="39"/>
      <c r="E1381" s="39"/>
      <c r="F1381" s="39"/>
      <c r="G1381" s="17"/>
    </row>
    <row r="1382" spans="1:7" ht="15.5">
      <c r="B1382" s="37" t="s">
        <v>320</v>
      </c>
      <c r="C1382" s="39"/>
      <c r="D1382" s="39"/>
      <c r="E1382" s="39"/>
      <c r="G1382" s="77"/>
    </row>
    <row r="1383" spans="1:7" ht="15.5">
      <c r="B1383" s="38" t="s">
        <v>522</v>
      </c>
      <c r="C1383" s="39"/>
      <c r="D1383" s="39"/>
      <c r="E1383" s="39"/>
      <c r="F1383" s="39"/>
      <c r="G1383" s="17"/>
    </row>
    <row r="1384" spans="1:7" ht="15.5">
      <c r="B1384" s="37" t="s">
        <v>321</v>
      </c>
      <c r="C1384" s="39"/>
      <c r="D1384" s="39"/>
      <c r="E1384" s="39"/>
      <c r="F1384" s="39"/>
      <c r="G1384" s="17"/>
    </row>
    <row r="1385" spans="1:7" ht="15.5">
      <c r="B1385" s="38" t="s">
        <v>488</v>
      </c>
      <c r="C1385" s="39"/>
      <c r="D1385" s="39"/>
      <c r="E1385" s="39"/>
      <c r="F1385" s="39"/>
      <c r="G1385" s="17"/>
    </row>
    <row r="1386" spans="1:7" ht="15.5">
      <c r="B1386" s="38" t="s">
        <v>322</v>
      </c>
      <c r="C1386" s="39"/>
      <c r="D1386" s="39"/>
      <c r="E1386" s="39"/>
      <c r="F1386" s="39"/>
      <c r="G1386" s="17"/>
    </row>
    <row r="1387" spans="1:7" ht="15.5">
      <c r="B1387" s="38" t="s">
        <v>515</v>
      </c>
      <c r="C1387" s="39"/>
      <c r="D1387" s="39"/>
      <c r="E1387" s="39"/>
      <c r="F1387" s="39"/>
      <c r="G1387" s="17"/>
    </row>
    <row r="1388" spans="1:7" ht="15.5">
      <c r="B1388" s="38" t="s">
        <v>323</v>
      </c>
      <c r="C1388" s="39"/>
      <c r="D1388" s="39"/>
      <c r="E1388" s="39"/>
      <c r="F1388" s="39"/>
      <c r="G1388" s="17"/>
    </row>
    <row r="1389" spans="1:7" ht="15.5">
      <c r="B1389" s="38" t="s">
        <v>518</v>
      </c>
      <c r="C1389" s="39"/>
      <c r="D1389" s="39"/>
      <c r="E1389" s="39"/>
      <c r="F1389" s="39"/>
      <c r="G1389" s="17"/>
    </row>
    <row r="1390" spans="1:7" ht="42">
      <c r="A1390" s="31" t="s">
        <v>179</v>
      </c>
      <c r="B1390" s="32" t="s">
        <v>0</v>
      </c>
      <c r="C1390" s="33" t="s">
        <v>379</v>
      </c>
      <c r="D1390" s="33" t="s">
        <v>32</v>
      </c>
      <c r="E1390" s="33" t="s">
        <v>278</v>
      </c>
      <c r="F1390" s="33" t="s">
        <v>44</v>
      </c>
      <c r="G1390" s="33" t="s">
        <v>14</v>
      </c>
    </row>
    <row r="1391" spans="1:7" ht="39">
      <c r="A1391" s="43">
        <v>1</v>
      </c>
      <c r="B1391" s="44" t="s">
        <v>521</v>
      </c>
      <c r="C1391" s="88">
        <v>0</v>
      </c>
      <c r="D1391" s="45">
        <v>260000</v>
      </c>
      <c r="E1391" s="15">
        <v>0</v>
      </c>
      <c r="F1391" s="15">
        <v>0</v>
      </c>
      <c r="G1391" s="44" t="s">
        <v>259</v>
      </c>
    </row>
    <row r="1392" spans="1:7" ht="26">
      <c r="A1392" s="43">
        <v>2</v>
      </c>
      <c r="B1392" s="44" t="s">
        <v>507</v>
      </c>
      <c r="C1392" s="88">
        <v>0</v>
      </c>
      <c r="D1392" s="115">
        <v>3569132</v>
      </c>
      <c r="E1392" s="15">
        <v>0</v>
      </c>
      <c r="F1392" s="15">
        <v>0</v>
      </c>
      <c r="G1392" s="47" t="s">
        <v>510</v>
      </c>
    </row>
    <row r="1393" spans="1:7" ht="26">
      <c r="A1393" s="43">
        <v>3</v>
      </c>
      <c r="B1393" s="44" t="s">
        <v>508</v>
      </c>
      <c r="C1393" s="88">
        <v>0</v>
      </c>
      <c r="D1393" s="45">
        <v>2041979</v>
      </c>
      <c r="E1393" s="45">
        <v>0</v>
      </c>
      <c r="F1393" s="15">
        <v>78390</v>
      </c>
      <c r="G1393" s="48" t="s">
        <v>509</v>
      </c>
    </row>
    <row r="1394" spans="1:7" ht="39">
      <c r="A1394" s="43">
        <v>4</v>
      </c>
      <c r="B1394" s="48" t="s">
        <v>514</v>
      </c>
      <c r="C1394" s="88">
        <v>0</v>
      </c>
      <c r="D1394" s="45">
        <v>75602</v>
      </c>
      <c r="E1394" s="45">
        <v>0</v>
      </c>
      <c r="F1394" s="15">
        <v>3332</v>
      </c>
      <c r="G1394" s="44" t="s">
        <v>511</v>
      </c>
    </row>
    <row r="1395" spans="1:7" ht="26">
      <c r="A1395" s="43">
        <v>5</v>
      </c>
      <c r="B1395" s="46" t="s">
        <v>512</v>
      </c>
      <c r="C1395" s="88">
        <v>0</v>
      </c>
      <c r="D1395" s="45">
        <v>45518</v>
      </c>
      <c r="E1395" s="45">
        <v>0</v>
      </c>
      <c r="F1395" s="15">
        <v>4344</v>
      </c>
      <c r="G1395" s="100" t="s">
        <v>513</v>
      </c>
    </row>
    <row r="1396" spans="1:7" ht="52">
      <c r="A1396" s="43">
        <v>6</v>
      </c>
      <c r="B1396" s="48" t="s">
        <v>516</v>
      </c>
      <c r="C1396" s="88">
        <v>0</v>
      </c>
      <c r="D1396" s="45">
        <v>800000</v>
      </c>
      <c r="E1396" s="45">
        <v>0</v>
      </c>
      <c r="F1396" s="15">
        <v>0</v>
      </c>
      <c r="G1396" s="47" t="s">
        <v>12</v>
      </c>
    </row>
    <row r="1397" spans="1:7" ht="52">
      <c r="A1397" s="43">
        <v>7</v>
      </c>
      <c r="B1397" s="48" t="s">
        <v>517</v>
      </c>
      <c r="C1397" s="88">
        <v>0</v>
      </c>
      <c r="D1397" s="45">
        <v>800000</v>
      </c>
      <c r="E1397" s="45">
        <v>0</v>
      </c>
      <c r="F1397" s="15">
        <v>0</v>
      </c>
      <c r="G1397" s="47" t="s">
        <v>12</v>
      </c>
    </row>
    <row r="1398" spans="1:7" ht="39">
      <c r="A1398" s="34">
        <v>8</v>
      </c>
      <c r="B1398" s="48" t="s">
        <v>520</v>
      </c>
      <c r="C1398" s="88">
        <v>0</v>
      </c>
      <c r="D1398" s="45">
        <v>80420</v>
      </c>
      <c r="E1398" s="45">
        <v>0</v>
      </c>
      <c r="F1398" s="15">
        <v>0</v>
      </c>
      <c r="G1398" s="44" t="s">
        <v>33</v>
      </c>
    </row>
    <row r="1399" spans="1:7" ht="14">
      <c r="A1399" s="34"/>
      <c r="B1399" s="48"/>
      <c r="C1399" s="88"/>
      <c r="D1399" s="45"/>
      <c r="E1399" s="45"/>
      <c r="F1399" s="45"/>
      <c r="G1399" s="44"/>
    </row>
    <row r="1400" spans="1:7" ht="26">
      <c r="A1400" s="34"/>
      <c r="B1400" s="42" t="s">
        <v>1</v>
      </c>
      <c r="C1400" s="89">
        <f>SUM(C1391:C1398)</f>
        <v>0</v>
      </c>
      <c r="D1400" s="35">
        <f>SUM(D1391:D1399)</f>
        <v>7672651</v>
      </c>
      <c r="E1400" s="35">
        <v>0</v>
      </c>
      <c r="F1400" s="35">
        <f>SUM(F1391:F1399)</f>
        <v>86066</v>
      </c>
      <c r="G1400" s="46"/>
    </row>
    <row r="1401" spans="1:7" ht="13">
      <c r="B1401" s="6" t="s">
        <v>10</v>
      </c>
      <c r="C1401" s="39"/>
      <c r="D1401" s="39"/>
      <c r="E1401" s="39"/>
      <c r="F1401" s="39"/>
      <c r="G1401" s="50"/>
    </row>
    <row r="1402" spans="1:7" ht="13">
      <c r="B1402" s="49" t="s">
        <v>523</v>
      </c>
      <c r="C1402" s="37"/>
      <c r="D1402" s="37"/>
      <c r="E1402" s="37"/>
      <c r="F1402" s="37"/>
      <c r="G1402" s="92"/>
    </row>
    <row r="1403" spans="1:7" ht="13">
      <c r="B1403" s="49"/>
      <c r="C1403" s="37"/>
      <c r="D1403" s="37"/>
      <c r="E1403" s="37"/>
      <c r="F1403" s="37"/>
      <c r="G1403" s="92"/>
    </row>
    <row r="1404" spans="1:7" ht="14">
      <c r="A1404" s="10" t="s">
        <v>2</v>
      </c>
      <c r="B1404" s="39"/>
      <c r="C1404" s="39"/>
      <c r="D1404" s="39"/>
      <c r="E1404" s="53"/>
      <c r="F1404" s="37" t="s">
        <v>3</v>
      </c>
      <c r="G1404" s="37"/>
    </row>
    <row r="1405" spans="1:7" ht="14">
      <c r="A1405" s="7" t="s">
        <v>4</v>
      </c>
      <c r="B1405" s="39"/>
      <c r="C1405" s="6"/>
      <c r="D1405" s="39"/>
      <c r="E1405" s="53"/>
      <c r="F1405" s="39" t="s">
        <v>7</v>
      </c>
      <c r="G1405" s="39"/>
    </row>
    <row r="1406" spans="1:7" ht="14">
      <c r="A1406" s="11" t="s">
        <v>5</v>
      </c>
      <c r="B1406" s="6"/>
      <c r="C1406" s="6"/>
      <c r="D1406" s="39"/>
      <c r="E1406" s="53"/>
      <c r="F1406" s="39" t="s">
        <v>8</v>
      </c>
      <c r="G1406" s="39"/>
    </row>
    <row r="1407" spans="1:7" ht="14">
      <c r="A1407" s="11"/>
      <c r="B1407" s="6"/>
      <c r="C1407" s="53"/>
      <c r="D1407" s="37" t="s">
        <v>6</v>
      </c>
      <c r="E1407" s="6"/>
      <c r="F1407" s="6"/>
      <c r="G1407" s="6"/>
    </row>
    <row r="1408" spans="1:7" ht="14.5">
      <c r="A1408" s="90"/>
      <c r="B1408" s="39"/>
      <c r="C1408" s="53"/>
      <c r="D1408" s="39" t="s">
        <v>15</v>
      </c>
      <c r="E1408" s="37"/>
      <c r="F1408" s="37"/>
      <c r="G1408" s="37"/>
    </row>
    <row r="1409" spans="1:7" ht="14.5">
      <c r="A1409" s="90"/>
      <c r="B1409" s="39"/>
      <c r="C1409" s="53"/>
      <c r="D1409" s="39" t="s">
        <v>9</v>
      </c>
      <c r="E1409" s="37"/>
      <c r="F1409" s="92"/>
      <c r="G1409" s="37"/>
    </row>
    <row r="1410" spans="1:7" ht="14.5">
      <c r="A1410" s="116"/>
      <c r="B1410" s="116"/>
      <c r="C1410" s="116"/>
      <c r="D1410" s="7"/>
      <c r="E1410" s="116"/>
      <c r="F1410" s="116"/>
      <c r="G1410" s="116"/>
    </row>
    <row r="1411" spans="1:7" ht="14.5">
      <c r="A1411" s="116"/>
      <c r="B1411" s="7"/>
      <c r="C1411" s="7"/>
      <c r="D1411" s="7"/>
      <c r="E1411" s="7"/>
      <c r="F1411" s="7"/>
      <c r="G1411" s="7"/>
    </row>
    <row r="1412" spans="1:7" ht="14.5">
      <c r="A1412" s="116"/>
      <c r="B1412" s="7"/>
      <c r="C1412" s="7"/>
      <c r="D1412" s="7"/>
      <c r="E1412" s="7"/>
      <c r="F1412" s="7"/>
      <c r="G1412" s="7"/>
    </row>
    <row r="1413" spans="1:7" ht="14.5">
      <c r="A1413" s="116"/>
      <c r="B1413" s="55" t="s">
        <v>265</v>
      </c>
      <c r="C1413" s="7"/>
      <c r="D1413" s="7"/>
      <c r="E1413" s="7"/>
      <c r="F1413" s="7"/>
      <c r="G1413" s="7"/>
    </row>
    <row r="1414" spans="1:7" ht="14.5">
      <c r="A1414" s="116"/>
      <c r="B1414" s="55" t="s">
        <v>528</v>
      </c>
      <c r="C1414" s="7"/>
      <c r="D1414" s="7"/>
      <c r="E1414" s="7"/>
      <c r="F1414" s="7"/>
      <c r="G1414" s="7"/>
    </row>
    <row r="1415" spans="1:7" ht="14.5">
      <c r="A1415" s="116"/>
      <c r="B1415" s="55" t="s">
        <v>266</v>
      </c>
      <c r="C1415" s="7"/>
      <c r="D1415" s="7"/>
      <c r="E1415" s="7"/>
      <c r="F1415" s="7"/>
      <c r="G1415" s="7"/>
    </row>
    <row r="1416" spans="1:7" ht="14.5">
      <c r="A1416" s="116"/>
      <c r="B1416" s="55" t="s">
        <v>529</v>
      </c>
      <c r="C1416" s="7"/>
      <c r="D1416" s="7"/>
      <c r="E1416" s="7"/>
      <c r="F1416" s="7"/>
      <c r="G1416" s="9"/>
    </row>
    <row r="1417" spans="1:7" ht="14.5">
      <c r="A1417" s="116"/>
      <c r="B1417" s="10" t="s">
        <v>45</v>
      </c>
      <c r="C1417" s="7"/>
      <c r="D1417" s="7"/>
      <c r="E1417" s="7"/>
      <c r="F1417" s="116"/>
      <c r="G1417" s="117"/>
    </row>
    <row r="1418" spans="1:7" ht="14.5">
      <c r="A1418" s="116"/>
      <c r="B1418" s="55" t="s">
        <v>534</v>
      </c>
      <c r="C1418" s="7"/>
      <c r="D1418" s="7"/>
      <c r="E1418" s="7"/>
      <c r="F1418" s="7"/>
      <c r="G1418" s="9"/>
    </row>
    <row r="1419" spans="1:7" ht="14.5">
      <c r="A1419" s="116"/>
      <c r="B1419" s="10" t="s">
        <v>52</v>
      </c>
      <c r="C1419" s="7"/>
      <c r="D1419" s="7"/>
      <c r="E1419" s="7"/>
      <c r="F1419" s="7"/>
      <c r="G1419" s="9"/>
    </row>
    <row r="1420" spans="1:7" ht="14.5">
      <c r="A1420" s="116"/>
      <c r="B1420" s="55" t="s">
        <v>526</v>
      </c>
      <c r="C1420" s="7"/>
      <c r="D1420" s="7"/>
      <c r="E1420" s="7"/>
      <c r="F1420" s="7"/>
      <c r="G1420" s="9"/>
    </row>
    <row r="1421" spans="1:7" ht="14.5">
      <c r="A1421" s="116"/>
      <c r="B1421" s="55" t="s">
        <v>46</v>
      </c>
      <c r="C1421" s="7"/>
      <c r="D1421" s="7"/>
      <c r="E1421" s="7"/>
      <c r="F1421" s="7"/>
      <c r="G1421" s="9"/>
    </row>
    <row r="1422" spans="1:7" ht="14.5">
      <c r="A1422" s="116"/>
      <c r="B1422" s="55" t="s">
        <v>527</v>
      </c>
      <c r="C1422" s="7"/>
      <c r="D1422" s="7"/>
      <c r="E1422" s="7"/>
      <c r="F1422" s="7"/>
      <c r="G1422" s="9"/>
    </row>
    <row r="1423" spans="1:7" ht="14.5">
      <c r="A1423" s="116"/>
      <c r="B1423" s="55" t="s">
        <v>162</v>
      </c>
      <c r="C1423" s="7"/>
      <c r="D1423" s="7"/>
      <c r="E1423" s="7"/>
      <c r="F1423" s="7"/>
      <c r="G1423" s="9"/>
    </row>
    <row r="1424" spans="1:7" ht="14.5">
      <c r="A1424" s="116"/>
      <c r="B1424" s="55" t="s">
        <v>530</v>
      </c>
      <c r="C1424" s="7"/>
      <c r="D1424" s="7"/>
      <c r="E1424" s="7"/>
      <c r="F1424" s="7"/>
      <c r="G1424" s="9"/>
    </row>
    <row r="1425" spans="1:7" ht="42">
      <c r="A1425" s="31" t="s">
        <v>179</v>
      </c>
      <c r="B1425" s="32" t="s">
        <v>0</v>
      </c>
      <c r="C1425" s="33" t="s">
        <v>379</v>
      </c>
      <c r="D1425" s="33" t="s">
        <v>32</v>
      </c>
      <c r="E1425" s="33" t="s">
        <v>278</v>
      </c>
      <c r="F1425" s="33" t="s">
        <v>44</v>
      </c>
      <c r="G1425" s="33" t="s">
        <v>14</v>
      </c>
    </row>
    <row r="1426" spans="1:7" ht="42">
      <c r="A1426" s="34">
        <v>1</v>
      </c>
      <c r="B1426" s="57" t="s">
        <v>535</v>
      </c>
      <c r="C1426" s="75">
        <v>0</v>
      </c>
      <c r="D1426" s="15">
        <v>89187</v>
      </c>
      <c r="E1426" s="15">
        <v>0</v>
      </c>
      <c r="F1426" s="15">
        <v>0</v>
      </c>
      <c r="G1426" s="57">
        <v>13912859</v>
      </c>
    </row>
    <row r="1427" spans="1:7" ht="56">
      <c r="A1427" s="34">
        <v>2</v>
      </c>
      <c r="B1427" s="57" t="s">
        <v>524</v>
      </c>
      <c r="C1427" s="75"/>
      <c r="D1427" s="15">
        <v>3600000</v>
      </c>
      <c r="E1427" s="15"/>
      <c r="F1427" s="15"/>
      <c r="G1427" s="56" t="s">
        <v>525</v>
      </c>
    </row>
    <row r="1428" spans="1:7" ht="28">
      <c r="A1428" s="34">
        <v>3</v>
      </c>
      <c r="B1428" s="14" t="s">
        <v>531</v>
      </c>
      <c r="C1428" s="75"/>
      <c r="D1428" s="15">
        <f>+(12000*2)+40000+3000+4000</f>
        <v>71000</v>
      </c>
      <c r="E1428" s="15"/>
      <c r="F1428" s="15"/>
      <c r="G1428" s="78" t="s">
        <v>4</v>
      </c>
    </row>
    <row r="1429" spans="1:7" ht="42">
      <c r="A1429" s="34">
        <v>4</v>
      </c>
      <c r="B1429" s="56" t="s">
        <v>532</v>
      </c>
      <c r="C1429" s="75"/>
      <c r="D1429" s="15">
        <v>1465778</v>
      </c>
      <c r="E1429" s="15">
        <v>0</v>
      </c>
      <c r="F1429" s="15">
        <v>0</v>
      </c>
      <c r="G1429" s="13" t="s">
        <v>200</v>
      </c>
    </row>
    <row r="1430" spans="1:7" ht="14">
      <c r="A1430" s="34"/>
      <c r="B1430" s="56"/>
      <c r="C1430" s="75"/>
      <c r="D1430" s="15"/>
      <c r="E1430" s="15"/>
      <c r="F1430" s="15"/>
      <c r="G1430" s="13"/>
    </row>
    <row r="1431" spans="1:7" ht="14">
      <c r="A1431" s="34"/>
      <c r="B1431" s="56"/>
      <c r="C1431" s="75"/>
      <c r="D1431" s="15"/>
      <c r="E1431" s="15"/>
      <c r="F1431" s="15"/>
      <c r="G1431" s="57"/>
    </row>
    <row r="1432" spans="1:7" ht="14">
      <c r="A1432" s="34"/>
      <c r="B1432" s="56"/>
      <c r="C1432" s="75"/>
      <c r="D1432" s="15"/>
      <c r="E1432" s="15"/>
      <c r="F1432" s="15"/>
      <c r="G1432" s="57"/>
    </row>
    <row r="1433" spans="1:7" ht="28">
      <c r="A1433" s="34"/>
      <c r="B1433" s="33" t="s">
        <v>1</v>
      </c>
      <c r="C1433" s="74">
        <f>SUM(C1426:C1431)</f>
        <v>0</v>
      </c>
      <c r="D1433" s="58">
        <f>SUM(D1426:D1432)</f>
        <v>5225965</v>
      </c>
      <c r="E1433" s="58">
        <v>0</v>
      </c>
      <c r="F1433" s="58">
        <f>SUM(F1426:F1432)</f>
        <v>0</v>
      </c>
      <c r="G1433" s="14"/>
    </row>
    <row r="1434" spans="1:7" ht="14">
      <c r="A1434" s="82"/>
      <c r="B1434" s="83"/>
      <c r="C1434" s="84"/>
      <c r="D1434" s="85"/>
      <c r="E1434" s="85"/>
      <c r="F1434" s="85"/>
      <c r="G1434" s="86"/>
    </row>
    <row r="1435" spans="1:7" ht="14.5">
      <c r="A1435" s="116"/>
      <c r="B1435" s="11" t="s">
        <v>10</v>
      </c>
      <c r="C1435" s="7"/>
      <c r="D1435" s="7"/>
      <c r="E1435" s="7"/>
      <c r="F1435" s="7"/>
      <c r="G1435" s="9"/>
    </row>
    <row r="1436" spans="1:7" ht="14.5">
      <c r="A1436" s="116"/>
      <c r="B1436" s="12" t="s">
        <v>533</v>
      </c>
      <c r="C1436" s="10"/>
      <c r="D1436" s="10"/>
      <c r="E1436" s="10"/>
      <c r="F1436" s="10"/>
      <c r="G1436" s="118"/>
    </row>
    <row r="1437" spans="1:7" ht="14.5">
      <c r="A1437" s="116"/>
      <c r="B1437" s="12"/>
      <c r="C1437" s="10"/>
      <c r="D1437" s="118"/>
      <c r="E1437" s="10"/>
      <c r="F1437" s="10"/>
      <c r="G1437" s="118"/>
    </row>
    <row r="1438" spans="1:7" ht="14.5">
      <c r="A1438" s="10" t="s">
        <v>2</v>
      </c>
      <c r="B1438" s="7"/>
      <c r="C1438" s="7"/>
      <c r="D1438" s="7"/>
      <c r="E1438" s="116"/>
      <c r="F1438" s="10" t="s">
        <v>3</v>
      </c>
      <c r="G1438" s="10"/>
    </row>
    <row r="1439" spans="1:7" ht="14.5">
      <c r="A1439" s="7" t="s">
        <v>4</v>
      </c>
      <c r="B1439" s="7"/>
      <c r="C1439" s="11"/>
      <c r="D1439" s="7"/>
      <c r="E1439" s="116"/>
      <c r="F1439" s="7" t="s">
        <v>7</v>
      </c>
      <c r="G1439" s="7"/>
    </row>
    <row r="1440" spans="1:7" ht="14.5">
      <c r="A1440" s="11" t="s">
        <v>5</v>
      </c>
      <c r="B1440" s="11"/>
      <c r="C1440" s="11"/>
      <c r="D1440" s="7"/>
      <c r="E1440" s="116"/>
      <c r="F1440" s="7" t="s">
        <v>8</v>
      </c>
      <c r="G1440" s="7"/>
    </row>
    <row r="1441" spans="1:7" ht="14.5">
      <c r="A1441" s="11"/>
      <c r="B1441" s="11"/>
      <c r="C1441" s="116"/>
      <c r="D1441" s="10" t="s">
        <v>6</v>
      </c>
      <c r="E1441" s="11"/>
      <c r="F1441" s="11"/>
      <c r="G1441" s="11"/>
    </row>
    <row r="1442" spans="1:7" ht="14.5">
      <c r="A1442" s="116"/>
      <c r="B1442" s="7"/>
      <c r="C1442" s="116"/>
      <c r="D1442" s="7" t="s">
        <v>15</v>
      </c>
      <c r="E1442" s="10"/>
      <c r="F1442" s="10"/>
      <c r="G1442" s="10"/>
    </row>
    <row r="1443" spans="1:7" ht="14.5">
      <c r="A1443" s="116"/>
      <c r="B1443" s="7"/>
      <c r="C1443" s="116"/>
      <c r="D1443" s="7" t="s">
        <v>9</v>
      </c>
      <c r="E1443" s="10"/>
      <c r="F1443" s="118"/>
      <c r="G1443" s="10"/>
    </row>
    <row r="1444" spans="1:7" ht="14.5">
      <c r="A1444" s="90"/>
      <c r="B1444" s="39"/>
      <c r="C1444" s="53"/>
      <c r="D1444" s="39"/>
      <c r="E1444" s="37"/>
      <c r="F1444" s="92"/>
      <c r="G1444" s="37"/>
    </row>
    <row r="1445" spans="1:7" ht="14.5">
      <c r="A1445" s="90"/>
      <c r="B1445" s="39"/>
      <c r="C1445" s="53"/>
      <c r="D1445" s="39"/>
      <c r="E1445" s="37"/>
      <c r="F1445" s="92"/>
      <c r="G1445" s="37"/>
    </row>
    <row r="1446" spans="1:7" ht="14.5">
      <c r="A1446" s="90"/>
      <c r="B1446" s="39"/>
      <c r="C1446" s="53"/>
      <c r="D1446" s="39"/>
      <c r="E1446" s="37"/>
      <c r="F1446" s="92"/>
      <c r="G1446" s="37"/>
    </row>
    <row r="1447" spans="1:7" ht="14.5">
      <c r="A1447" s="90"/>
      <c r="B1447" s="39"/>
      <c r="C1447" s="53"/>
      <c r="D1447" s="39"/>
      <c r="E1447" s="37"/>
      <c r="F1447" s="92"/>
      <c r="G1447" s="37"/>
    </row>
    <row r="1448" spans="1:7" ht="14.5">
      <c r="A1448" s="90"/>
      <c r="B1448" s="39"/>
      <c r="C1448" s="53"/>
      <c r="D1448" s="39"/>
      <c r="E1448" s="37"/>
      <c r="F1448" s="92"/>
      <c r="G1448" s="37"/>
    </row>
    <row r="1449" spans="1:7" ht="14.5">
      <c r="A1449" s="90"/>
      <c r="B1449" s="39"/>
      <c r="C1449" s="53"/>
      <c r="D1449" s="39"/>
      <c r="E1449" s="37"/>
      <c r="F1449" s="92"/>
      <c r="G1449" s="37"/>
    </row>
    <row r="1450" spans="1:7" ht="14.5">
      <c r="A1450" s="90"/>
      <c r="B1450" s="39"/>
      <c r="C1450" s="53"/>
      <c r="D1450" s="39"/>
      <c r="E1450" s="37"/>
      <c r="F1450" s="92"/>
      <c r="G1450" s="37"/>
    </row>
    <row r="1451" spans="1:7" ht="15.5">
      <c r="B1451" s="1"/>
      <c r="C1451" s="1"/>
      <c r="D1451" s="1"/>
      <c r="E1451" s="1"/>
      <c r="F1451" s="1"/>
      <c r="G1451" s="1"/>
    </row>
    <row r="1452" spans="1:7" ht="15.5">
      <c r="B1452" s="1"/>
      <c r="C1452" s="1"/>
      <c r="D1452" s="1"/>
      <c r="E1452" s="1"/>
      <c r="F1452" s="1"/>
      <c r="G1452" s="1"/>
    </row>
    <row r="1453" spans="1:7" ht="15.5">
      <c r="B1453" s="38" t="s">
        <v>318</v>
      </c>
      <c r="C1453" s="39"/>
      <c r="D1453" s="39"/>
      <c r="E1453" s="39"/>
      <c r="F1453" s="39"/>
      <c r="G1453" s="1"/>
    </row>
    <row r="1454" spans="1:7" ht="15.5">
      <c r="B1454" s="38" t="s">
        <v>547</v>
      </c>
      <c r="C1454" s="39"/>
      <c r="D1454" s="39"/>
      <c r="E1454" s="39"/>
      <c r="F1454" s="39"/>
      <c r="G1454" s="1"/>
    </row>
    <row r="1455" spans="1:7" ht="15.5">
      <c r="B1455" s="38" t="s">
        <v>319</v>
      </c>
      <c r="C1455" s="39"/>
      <c r="D1455" s="39"/>
      <c r="E1455" s="39"/>
      <c r="F1455" s="39"/>
      <c r="G1455" s="1"/>
    </row>
    <row r="1456" spans="1:7" ht="15.5">
      <c r="B1456" s="38" t="s">
        <v>529</v>
      </c>
      <c r="C1456" s="39"/>
      <c r="D1456" s="39"/>
      <c r="E1456" s="39"/>
      <c r="F1456" s="39"/>
      <c r="G1456" s="17"/>
    </row>
    <row r="1457" spans="1:7" ht="15.5">
      <c r="B1457" s="37" t="s">
        <v>320</v>
      </c>
      <c r="C1457" s="39"/>
      <c r="D1457" s="39"/>
      <c r="E1457" s="39"/>
      <c r="G1457" s="77"/>
    </row>
    <row r="1458" spans="1:7" ht="15.5">
      <c r="B1458" s="38" t="s">
        <v>548</v>
      </c>
      <c r="C1458" s="39"/>
      <c r="D1458" s="39"/>
      <c r="E1458" s="39"/>
      <c r="F1458" s="39"/>
      <c r="G1458" s="17"/>
    </row>
    <row r="1459" spans="1:7" ht="15.5">
      <c r="B1459" s="37" t="s">
        <v>321</v>
      </c>
      <c r="C1459" s="39"/>
      <c r="D1459" s="39"/>
      <c r="E1459" s="39"/>
      <c r="F1459" s="39"/>
      <c r="G1459" s="17"/>
    </row>
    <row r="1460" spans="1:7" ht="15.5">
      <c r="B1460" s="38" t="s">
        <v>526</v>
      </c>
      <c r="C1460" s="39"/>
      <c r="D1460" s="39"/>
      <c r="E1460" s="39"/>
      <c r="F1460" s="39"/>
      <c r="G1460" s="17"/>
    </row>
    <row r="1461" spans="1:7" ht="15.5">
      <c r="B1461" s="38" t="s">
        <v>322</v>
      </c>
      <c r="C1461" s="39"/>
      <c r="D1461" s="39"/>
      <c r="E1461" s="39"/>
      <c r="F1461" s="39"/>
      <c r="G1461" s="17"/>
    </row>
    <row r="1462" spans="1:7" ht="15.5">
      <c r="B1462" s="38" t="s">
        <v>542</v>
      </c>
      <c r="C1462" s="39"/>
      <c r="D1462" s="39"/>
      <c r="E1462" s="39"/>
      <c r="F1462" s="39"/>
      <c r="G1462" s="17"/>
    </row>
    <row r="1463" spans="1:7" ht="15.5">
      <c r="B1463" s="38" t="s">
        <v>323</v>
      </c>
      <c r="C1463" s="39"/>
      <c r="D1463" s="39"/>
      <c r="E1463" s="39"/>
      <c r="F1463" s="39"/>
      <c r="G1463" s="17"/>
    </row>
    <row r="1464" spans="1:7" ht="15.5">
      <c r="B1464" s="38" t="s">
        <v>530</v>
      </c>
      <c r="C1464" s="39"/>
      <c r="D1464" s="39"/>
      <c r="E1464" s="39"/>
      <c r="F1464" s="39"/>
      <c r="G1464" s="17"/>
    </row>
    <row r="1465" spans="1:7" ht="42">
      <c r="A1465" s="31" t="s">
        <v>179</v>
      </c>
      <c r="B1465" s="32" t="s">
        <v>0</v>
      </c>
      <c r="C1465" s="33" t="s">
        <v>379</v>
      </c>
      <c r="D1465" s="33" t="s">
        <v>32</v>
      </c>
      <c r="E1465" s="33" t="s">
        <v>278</v>
      </c>
      <c r="F1465" s="33" t="s">
        <v>44</v>
      </c>
      <c r="G1465" s="33" t="s">
        <v>14</v>
      </c>
    </row>
    <row r="1466" spans="1:7" ht="39">
      <c r="A1466" s="43">
        <v>1</v>
      </c>
      <c r="B1466" s="46" t="s">
        <v>537</v>
      </c>
      <c r="C1466" s="88"/>
      <c r="D1466" s="45">
        <v>100000</v>
      </c>
      <c r="E1466" s="45"/>
      <c r="F1466" s="15"/>
      <c r="G1466" s="44" t="s">
        <v>451</v>
      </c>
    </row>
    <row r="1467" spans="1:7" ht="39">
      <c r="A1467" s="43">
        <v>2</v>
      </c>
      <c r="B1467" s="48" t="s">
        <v>538</v>
      </c>
      <c r="C1467" s="88"/>
      <c r="D1467" s="45">
        <v>100098</v>
      </c>
      <c r="E1467" s="45"/>
      <c r="F1467" s="15"/>
      <c r="G1467" s="47" t="s">
        <v>433</v>
      </c>
    </row>
    <row r="1468" spans="1:7" ht="65">
      <c r="A1468" s="43">
        <v>3</v>
      </c>
      <c r="B1468" s="48" t="s">
        <v>540</v>
      </c>
      <c r="C1468" s="88"/>
      <c r="D1468" s="45">
        <v>767000</v>
      </c>
      <c r="E1468" s="45"/>
      <c r="F1468" s="15"/>
      <c r="G1468" s="44" t="s">
        <v>545</v>
      </c>
    </row>
    <row r="1469" spans="1:7" ht="39">
      <c r="A1469" s="43">
        <v>4</v>
      </c>
      <c r="B1469" s="48" t="s">
        <v>541</v>
      </c>
      <c r="C1469" s="88"/>
      <c r="D1469" s="45">
        <v>150000</v>
      </c>
      <c r="E1469" s="45"/>
      <c r="F1469" s="45"/>
      <c r="G1469" s="44" t="s">
        <v>546</v>
      </c>
    </row>
    <row r="1470" spans="1:7" ht="14">
      <c r="A1470" s="34"/>
      <c r="B1470" s="48"/>
      <c r="C1470" s="71"/>
      <c r="D1470" s="45"/>
      <c r="E1470" s="45"/>
      <c r="F1470" s="45"/>
      <c r="G1470" s="44"/>
    </row>
    <row r="1471" spans="1:7" ht="26">
      <c r="A1471" s="34"/>
      <c r="B1471" s="42" t="s">
        <v>1</v>
      </c>
      <c r="C1471" s="89">
        <f>SUM(C1466:C1468)</f>
        <v>0</v>
      </c>
      <c r="D1471" s="35">
        <f>SUM(D1466:D1469)</f>
        <v>1117098</v>
      </c>
      <c r="E1471" s="35">
        <v>0</v>
      </c>
      <c r="F1471" s="35">
        <f>SUM(F1466:F1469)</f>
        <v>0</v>
      </c>
      <c r="G1471" s="46"/>
    </row>
    <row r="1472" spans="1:7" ht="14">
      <c r="A1472" s="82"/>
      <c r="B1472" s="96"/>
      <c r="C1472" s="97"/>
      <c r="D1472" s="52"/>
      <c r="E1472" s="52"/>
      <c r="F1472" s="52"/>
      <c r="G1472" s="54"/>
    </row>
    <row r="1473" spans="1:7" ht="13">
      <c r="B1473" s="6" t="s">
        <v>10</v>
      </c>
      <c r="C1473" s="39"/>
      <c r="D1473" s="39"/>
      <c r="E1473" s="39"/>
      <c r="F1473" s="39"/>
      <c r="G1473" s="50"/>
    </row>
    <row r="1474" spans="1:7" ht="13">
      <c r="B1474" s="49" t="s">
        <v>544</v>
      </c>
      <c r="C1474" s="37"/>
      <c r="D1474" s="37"/>
      <c r="E1474" s="37"/>
      <c r="F1474" s="37"/>
      <c r="G1474" s="92"/>
    </row>
    <row r="1475" spans="1:7" ht="13">
      <c r="B1475" s="49"/>
      <c r="C1475" s="37"/>
      <c r="D1475" s="92"/>
      <c r="E1475" s="37"/>
      <c r="F1475" s="37"/>
      <c r="G1475" s="92"/>
    </row>
    <row r="1476" spans="1:7" ht="14">
      <c r="A1476" s="10" t="s">
        <v>2</v>
      </c>
      <c r="B1476" s="39"/>
      <c r="C1476" s="39"/>
      <c r="D1476" s="39"/>
      <c r="E1476" s="53"/>
      <c r="F1476" s="37" t="s">
        <v>3</v>
      </c>
      <c r="G1476" s="37"/>
    </row>
    <row r="1477" spans="1:7" ht="14">
      <c r="A1477" s="7" t="s">
        <v>4</v>
      </c>
      <c r="B1477" s="39"/>
      <c r="C1477" s="6"/>
      <c r="D1477" s="39"/>
      <c r="E1477" s="53"/>
      <c r="F1477" s="39" t="s">
        <v>7</v>
      </c>
      <c r="G1477" s="39"/>
    </row>
    <row r="1478" spans="1:7" ht="14">
      <c r="A1478" s="11" t="s">
        <v>5</v>
      </c>
      <c r="B1478" s="6"/>
      <c r="C1478" s="6"/>
      <c r="D1478" s="39"/>
      <c r="E1478" s="53"/>
      <c r="F1478" s="39" t="s">
        <v>8</v>
      </c>
      <c r="G1478" s="39"/>
    </row>
    <row r="1479" spans="1:7" ht="14">
      <c r="A1479" s="11"/>
      <c r="B1479" s="6"/>
      <c r="C1479" s="53"/>
      <c r="D1479" s="37" t="s">
        <v>6</v>
      </c>
      <c r="E1479" s="6"/>
      <c r="F1479" s="6"/>
      <c r="G1479" s="6"/>
    </row>
    <row r="1480" spans="1:7" ht="14.5">
      <c r="A1480" s="90"/>
      <c r="B1480" s="39"/>
      <c r="C1480" s="53"/>
      <c r="D1480" s="39" t="s">
        <v>15</v>
      </c>
      <c r="E1480" s="37"/>
      <c r="F1480" s="37"/>
      <c r="G1480" s="37"/>
    </row>
    <row r="1481" spans="1:7" ht="14.5">
      <c r="A1481" s="90"/>
      <c r="B1481" s="39"/>
      <c r="C1481" s="53"/>
      <c r="D1481" s="39" t="s">
        <v>9</v>
      </c>
      <c r="E1481" s="37"/>
      <c r="F1481" s="92"/>
      <c r="G1481" s="37"/>
    </row>
    <row r="1482" spans="1:7" ht="14.5">
      <c r="A1482" s="90"/>
      <c r="B1482" s="39"/>
      <c r="C1482" s="53"/>
      <c r="D1482" s="39"/>
      <c r="E1482" s="37"/>
      <c r="F1482" s="92"/>
      <c r="G1482" s="37"/>
    </row>
    <row r="1483" spans="1:7" ht="14.5">
      <c r="A1483" s="90"/>
      <c r="B1483" s="39"/>
      <c r="C1483" s="53"/>
      <c r="D1483" s="39"/>
      <c r="E1483" s="37"/>
      <c r="F1483" s="92"/>
      <c r="G1483" s="37"/>
    </row>
    <row r="1484" spans="1:7" ht="14.5">
      <c r="A1484" s="90"/>
      <c r="B1484" s="39"/>
      <c r="C1484" s="53"/>
      <c r="D1484" s="39"/>
      <c r="E1484" s="37"/>
      <c r="F1484" s="92"/>
      <c r="G1484" s="37"/>
    </row>
    <row r="1485" spans="1:7" ht="14.5">
      <c r="A1485" s="90"/>
      <c r="B1485" s="39"/>
      <c r="C1485" s="53"/>
      <c r="D1485" s="39"/>
      <c r="E1485" s="37"/>
      <c r="F1485" s="92"/>
      <c r="G1485" s="37"/>
    </row>
    <row r="1486" spans="1:7" ht="14.5">
      <c r="A1486" s="90"/>
      <c r="B1486" s="39"/>
      <c r="C1486" s="53"/>
      <c r="D1486" s="39"/>
      <c r="E1486" s="37"/>
      <c r="F1486" s="92"/>
      <c r="G1486" s="37"/>
    </row>
    <row r="1487" spans="1:7" ht="14.5">
      <c r="A1487" s="90"/>
      <c r="B1487" s="39"/>
      <c r="C1487" s="53"/>
      <c r="D1487" s="39"/>
      <c r="E1487" s="37"/>
      <c r="F1487" s="92"/>
      <c r="G1487" s="37"/>
    </row>
    <row r="1488" spans="1:7" ht="14.5">
      <c r="A1488" s="90"/>
      <c r="B1488" s="39"/>
      <c r="C1488" s="53"/>
      <c r="D1488" s="39"/>
      <c r="E1488" s="37"/>
      <c r="F1488" s="92"/>
      <c r="G1488" s="37"/>
    </row>
    <row r="1491" spans="2:7" ht="15.5">
      <c r="B1491" s="20"/>
      <c r="C1491" s="20"/>
      <c r="E1491" s="39"/>
      <c r="F1491" s="1"/>
      <c r="G1491" s="1"/>
    </row>
    <row r="1492" spans="2:7" ht="15.5">
      <c r="B1492" s="20"/>
      <c r="C1492" s="20"/>
      <c r="E1492" s="39"/>
      <c r="F1492" s="1"/>
      <c r="G1492" s="1"/>
    </row>
    <row r="1493" spans="2:7" ht="15.5">
      <c r="B1493" s="79" t="s">
        <v>392</v>
      </c>
      <c r="C1493" s="20"/>
      <c r="E1493" s="39"/>
      <c r="F1493" s="39"/>
      <c r="G1493" s="1"/>
    </row>
    <row r="1494" spans="2:7" ht="15.5">
      <c r="B1494" s="79" t="s">
        <v>528</v>
      </c>
      <c r="C1494" s="20"/>
      <c r="E1494" s="39"/>
      <c r="F1494" s="39"/>
      <c r="G1494" s="1"/>
    </row>
    <row r="1495" spans="2:7" ht="15.5">
      <c r="B1495" s="79" t="s">
        <v>393</v>
      </c>
      <c r="C1495" s="20"/>
      <c r="E1495" s="39"/>
      <c r="F1495" s="39"/>
      <c r="G1495" s="1"/>
    </row>
    <row r="1496" spans="2:7" ht="15.5">
      <c r="B1496" s="79" t="s">
        <v>529</v>
      </c>
      <c r="C1496" s="20"/>
      <c r="E1496" s="39"/>
      <c r="F1496" s="39"/>
      <c r="G1496" s="17"/>
    </row>
    <row r="1497" spans="2:7" ht="15.5">
      <c r="B1497" s="19" t="s">
        <v>49</v>
      </c>
      <c r="C1497" s="20"/>
      <c r="E1497" s="39"/>
      <c r="G1497" s="77"/>
    </row>
    <row r="1498" spans="2:7" ht="15.5">
      <c r="B1498" s="79" t="s">
        <v>573</v>
      </c>
      <c r="C1498" s="20"/>
      <c r="E1498" s="39"/>
      <c r="F1498" s="39"/>
      <c r="G1498" s="17"/>
    </row>
    <row r="1499" spans="2:7" ht="15.5">
      <c r="B1499" s="19" t="s">
        <v>394</v>
      </c>
      <c r="C1499" s="20"/>
      <c r="E1499" s="39"/>
      <c r="F1499" s="39"/>
      <c r="G1499" s="17"/>
    </row>
    <row r="1500" spans="2:7" ht="15.5">
      <c r="B1500" s="79" t="s">
        <v>526</v>
      </c>
      <c r="C1500" s="20"/>
      <c r="E1500" s="39"/>
      <c r="F1500" s="39"/>
      <c r="G1500" s="17"/>
    </row>
    <row r="1501" spans="2:7" ht="15.5">
      <c r="B1501" s="79" t="s">
        <v>50</v>
      </c>
      <c r="C1501" s="20"/>
      <c r="E1501" s="39"/>
      <c r="F1501" s="39"/>
      <c r="G1501" s="17"/>
    </row>
    <row r="1502" spans="2:7" ht="15.5">
      <c r="B1502" s="79" t="s">
        <v>574</v>
      </c>
      <c r="C1502" s="20"/>
      <c r="E1502" s="39"/>
      <c r="F1502" s="39"/>
      <c r="G1502" s="17"/>
    </row>
    <row r="1503" spans="2:7" ht="15.5">
      <c r="B1503" s="79" t="s">
        <v>395</v>
      </c>
      <c r="C1503" s="20"/>
      <c r="E1503" s="39"/>
      <c r="F1503" s="39"/>
      <c r="G1503" s="17"/>
    </row>
    <row r="1504" spans="2:7" ht="15.5">
      <c r="B1504" s="79" t="s">
        <v>530</v>
      </c>
      <c r="C1504" s="20"/>
      <c r="E1504" s="39"/>
      <c r="F1504" s="39"/>
      <c r="G1504" s="17"/>
    </row>
    <row r="1505" spans="1:7" ht="42">
      <c r="A1505" s="31" t="s">
        <v>179</v>
      </c>
      <c r="B1505" s="32" t="s">
        <v>0</v>
      </c>
      <c r="C1505" s="33" t="s">
        <v>379</v>
      </c>
      <c r="D1505" s="42" t="s">
        <v>32</v>
      </c>
      <c r="E1505" s="42" t="s">
        <v>278</v>
      </c>
      <c r="F1505" s="33" t="s">
        <v>44</v>
      </c>
      <c r="G1505" s="33" t="s">
        <v>14</v>
      </c>
    </row>
    <row r="1506" spans="1:7" ht="23">
      <c r="A1506" s="43">
        <v>1</v>
      </c>
      <c r="B1506" s="98" t="s">
        <v>543</v>
      </c>
      <c r="C1506" s="99"/>
      <c r="D1506" s="26">
        <v>122100529</v>
      </c>
      <c r="E1506" s="26"/>
      <c r="F1506" s="26"/>
      <c r="G1506" s="51" t="s">
        <v>28</v>
      </c>
    </row>
    <row r="1507" spans="1:7" ht="23">
      <c r="A1507" s="43">
        <v>2</v>
      </c>
      <c r="B1507" s="51" t="s">
        <v>558</v>
      </c>
      <c r="C1507" s="99"/>
      <c r="D1507" s="26">
        <v>10855167</v>
      </c>
      <c r="E1507" s="26"/>
      <c r="F1507" s="26"/>
      <c r="G1507" s="98" t="s">
        <v>31</v>
      </c>
    </row>
    <row r="1508" spans="1:7" ht="23">
      <c r="A1508" s="43">
        <v>3</v>
      </c>
      <c r="B1508" s="25" t="s">
        <v>550</v>
      </c>
      <c r="C1508" s="99"/>
      <c r="D1508" s="26">
        <f>433080*60%</f>
        <v>259848</v>
      </c>
      <c r="E1508" s="26"/>
      <c r="F1508" s="26"/>
      <c r="G1508" s="98" t="s">
        <v>553</v>
      </c>
    </row>
    <row r="1509" spans="1:7" ht="34.5">
      <c r="A1509" s="43">
        <v>4</v>
      </c>
      <c r="B1509" s="51" t="s">
        <v>554</v>
      </c>
      <c r="C1509" s="99"/>
      <c r="D1509" s="26">
        <v>2427000</v>
      </c>
      <c r="E1509" s="26"/>
      <c r="F1509" s="26"/>
      <c r="G1509" s="27" t="s">
        <v>555</v>
      </c>
    </row>
    <row r="1510" spans="1:7" ht="23">
      <c r="A1510" s="43">
        <v>5</v>
      </c>
      <c r="B1510" s="51" t="s">
        <v>539</v>
      </c>
      <c r="C1510" s="81"/>
      <c r="D1510" s="120">
        <v>129894</v>
      </c>
      <c r="E1510" s="81"/>
      <c r="F1510" s="81"/>
      <c r="G1510" s="60" t="s">
        <v>28</v>
      </c>
    </row>
    <row r="1511" spans="1:7" ht="34.5">
      <c r="A1511" s="43">
        <v>6</v>
      </c>
      <c r="B1511" s="51" t="s">
        <v>559</v>
      </c>
      <c r="C1511" s="99"/>
      <c r="D1511" s="26">
        <f>65000+73000</f>
        <v>138000</v>
      </c>
      <c r="E1511" s="26"/>
      <c r="F1511" s="26"/>
      <c r="G1511" s="27" t="s">
        <v>561</v>
      </c>
    </row>
    <row r="1512" spans="1:7" ht="23">
      <c r="A1512" s="43">
        <v>7</v>
      </c>
      <c r="B1512" s="51" t="s">
        <v>295</v>
      </c>
      <c r="C1512" s="99"/>
      <c r="D1512" s="26">
        <v>32000</v>
      </c>
      <c r="E1512" s="26"/>
      <c r="F1512" s="26"/>
      <c r="G1512" s="27" t="s">
        <v>196</v>
      </c>
    </row>
    <row r="1513" spans="1:7" ht="46">
      <c r="A1513" s="43">
        <v>8</v>
      </c>
      <c r="B1513" s="51" t="s">
        <v>541</v>
      </c>
      <c r="C1513" s="99"/>
      <c r="D1513" s="26">
        <v>150000</v>
      </c>
      <c r="E1513" s="26"/>
      <c r="F1513" s="26"/>
      <c r="G1513" s="98" t="s">
        <v>562</v>
      </c>
    </row>
    <row r="1514" spans="1:7" ht="23">
      <c r="A1514" s="43">
        <v>9</v>
      </c>
      <c r="B1514" s="51" t="s">
        <v>551</v>
      </c>
      <c r="C1514" s="72"/>
      <c r="D1514" s="26">
        <v>150000</v>
      </c>
      <c r="E1514" s="26"/>
      <c r="F1514" s="26"/>
      <c r="G1514" s="98" t="s">
        <v>556</v>
      </c>
    </row>
    <row r="1515" spans="1:7" ht="34.5">
      <c r="A1515" s="43">
        <v>10</v>
      </c>
      <c r="B1515" s="51" t="s">
        <v>552</v>
      </c>
      <c r="C1515" s="72"/>
      <c r="D1515" s="26">
        <v>2024000</v>
      </c>
      <c r="E1515" s="26"/>
      <c r="F1515" s="26"/>
      <c r="G1515" s="98" t="s">
        <v>11</v>
      </c>
    </row>
    <row r="1516" spans="1:7" ht="23">
      <c r="A1516" s="43">
        <v>11</v>
      </c>
      <c r="B1516" s="51" t="s">
        <v>557</v>
      </c>
      <c r="C1516" s="72"/>
      <c r="D1516" s="26">
        <v>10855167</v>
      </c>
      <c r="E1516" s="26"/>
      <c r="F1516" s="26"/>
      <c r="G1516" s="98" t="s">
        <v>31</v>
      </c>
    </row>
    <row r="1517" spans="1:7" ht="23">
      <c r="A1517" s="43">
        <v>12</v>
      </c>
      <c r="B1517" s="51" t="s">
        <v>560</v>
      </c>
      <c r="C1517" s="72"/>
      <c r="D1517" s="26">
        <v>600000</v>
      </c>
      <c r="E1517" s="26"/>
      <c r="F1517" s="26"/>
      <c r="G1517" s="98" t="s">
        <v>11</v>
      </c>
    </row>
    <row r="1518" spans="1:7" ht="23">
      <c r="A1518" s="34"/>
      <c r="B1518" s="23" t="s">
        <v>1</v>
      </c>
      <c r="C1518" s="102">
        <f>SUM(C1506:C1512)</f>
        <v>0</v>
      </c>
      <c r="D1518" s="28">
        <f>SUM(D1506:D1517)</f>
        <v>149721605</v>
      </c>
      <c r="E1518" s="28">
        <v>0</v>
      </c>
      <c r="F1518" s="28">
        <f>SUM(F1506:F1513)</f>
        <v>0</v>
      </c>
      <c r="G1518" s="25"/>
    </row>
    <row r="1519" spans="1:7" ht="13">
      <c r="A1519" s="53"/>
      <c r="B1519" s="6" t="s">
        <v>10</v>
      </c>
      <c r="C1519" s="39"/>
      <c r="D1519" s="39"/>
      <c r="E1519" s="39"/>
      <c r="F1519" s="39"/>
      <c r="G1519" s="50"/>
    </row>
    <row r="1520" spans="1:7" ht="13">
      <c r="A1520" s="53"/>
      <c r="B1520" s="49" t="s">
        <v>549</v>
      </c>
      <c r="C1520" s="37"/>
      <c r="D1520" s="37"/>
      <c r="E1520" s="37"/>
      <c r="F1520" s="37"/>
      <c r="G1520" s="92"/>
    </row>
    <row r="1521" spans="1:7" ht="13">
      <c r="A1521" s="37" t="s">
        <v>2</v>
      </c>
      <c r="B1521" s="39"/>
      <c r="C1521" s="39"/>
      <c r="D1521" s="39"/>
      <c r="E1521" s="53"/>
      <c r="F1521" s="37" t="s">
        <v>3</v>
      </c>
      <c r="G1521" s="37"/>
    </row>
    <row r="1522" spans="1:7" ht="13">
      <c r="A1522" s="39" t="s">
        <v>4</v>
      </c>
      <c r="B1522" s="39"/>
      <c r="C1522" s="6"/>
      <c r="D1522" s="39"/>
      <c r="E1522" s="53"/>
      <c r="F1522" s="39" t="s">
        <v>7</v>
      </c>
      <c r="G1522" s="39"/>
    </row>
    <row r="1523" spans="1:7" ht="13">
      <c r="A1523" s="6" t="s">
        <v>5</v>
      </c>
      <c r="B1523" s="6"/>
      <c r="C1523" s="6"/>
      <c r="D1523" s="39"/>
      <c r="E1523" s="53"/>
      <c r="F1523" s="39" t="s">
        <v>8</v>
      </c>
      <c r="G1523" s="39"/>
    </row>
    <row r="1524" spans="1:7" ht="13">
      <c r="A1524" s="6"/>
      <c r="B1524" s="6"/>
      <c r="C1524" s="53"/>
      <c r="D1524" s="37" t="s">
        <v>6</v>
      </c>
      <c r="E1524" s="6"/>
      <c r="F1524" s="6"/>
      <c r="G1524" s="6"/>
    </row>
    <row r="1525" spans="1:7" ht="13">
      <c r="A1525" s="53"/>
      <c r="B1525" s="39"/>
      <c r="C1525" s="53"/>
      <c r="D1525" s="39" t="s">
        <v>15</v>
      </c>
      <c r="E1525" s="37"/>
      <c r="F1525" s="37"/>
      <c r="G1525" s="37"/>
    </row>
    <row r="1526" spans="1:7" ht="13">
      <c r="A1526" s="53"/>
      <c r="B1526" s="39"/>
      <c r="C1526" s="53"/>
      <c r="D1526" s="39" t="s">
        <v>9</v>
      </c>
      <c r="E1526" s="37"/>
      <c r="F1526" s="92"/>
      <c r="G1526" s="37"/>
    </row>
    <row r="1527" spans="1:7" ht="13">
      <c r="A1527" s="53"/>
      <c r="B1527" s="39"/>
      <c r="C1527" s="53"/>
      <c r="D1527" s="39"/>
      <c r="E1527" s="37"/>
      <c r="F1527" s="92"/>
      <c r="G1527" s="37"/>
    </row>
    <row r="1528" spans="1:7" ht="15.5">
      <c r="B1528" s="1"/>
      <c r="C1528" s="1"/>
      <c r="D1528" s="1"/>
      <c r="E1528" s="1"/>
      <c r="F1528" s="1"/>
      <c r="G1528" s="1"/>
    </row>
    <row r="1529" spans="1:7" ht="15.5">
      <c r="B1529" s="1"/>
      <c r="C1529" s="1"/>
      <c r="D1529" s="1"/>
      <c r="E1529" s="1"/>
      <c r="F1529" s="1"/>
      <c r="G1529" s="1"/>
    </row>
    <row r="1530" spans="1:7" ht="15.5">
      <c r="B1530" s="38" t="s">
        <v>318</v>
      </c>
      <c r="C1530" s="39"/>
      <c r="D1530" s="39"/>
      <c r="E1530" s="39"/>
      <c r="F1530" s="39"/>
      <c r="G1530" s="1"/>
    </row>
    <row r="1531" spans="1:7" ht="15.5">
      <c r="B1531" s="38" t="s">
        <v>547</v>
      </c>
      <c r="C1531" s="39"/>
      <c r="D1531" s="39"/>
      <c r="E1531" s="39"/>
      <c r="F1531" s="39"/>
      <c r="G1531" s="1"/>
    </row>
    <row r="1532" spans="1:7" ht="15.5">
      <c r="B1532" s="38" t="s">
        <v>319</v>
      </c>
      <c r="C1532" s="39"/>
      <c r="D1532" s="39"/>
      <c r="E1532" s="39"/>
      <c r="F1532" s="39"/>
      <c r="G1532" s="1"/>
    </row>
    <row r="1533" spans="1:7" ht="15.5">
      <c r="B1533" s="38" t="s">
        <v>577</v>
      </c>
      <c r="C1533" s="39"/>
      <c r="D1533" s="39"/>
      <c r="E1533" s="39"/>
      <c r="F1533" s="39"/>
      <c r="G1533" s="17"/>
    </row>
    <row r="1534" spans="1:7" ht="15.5">
      <c r="B1534" s="37" t="s">
        <v>320</v>
      </c>
      <c r="C1534" s="39"/>
      <c r="D1534" s="39"/>
      <c r="E1534" s="39"/>
      <c r="G1534" s="77"/>
    </row>
    <row r="1535" spans="1:7" ht="15.5">
      <c r="B1535" s="38" t="s">
        <v>567</v>
      </c>
      <c r="C1535" s="39"/>
      <c r="D1535" s="39"/>
      <c r="E1535" s="39"/>
      <c r="F1535" s="39"/>
      <c r="G1535" s="17"/>
    </row>
    <row r="1536" spans="1:7" ht="15.5">
      <c r="B1536" s="37" t="s">
        <v>321</v>
      </c>
      <c r="C1536" s="39"/>
      <c r="D1536" s="39"/>
      <c r="E1536" s="39"/>
      <c r="F1536" s="39"/>
      <c r="G1536" s="17"/>
    </row>
    <row r="1537" spans="1:7" ht="15.5">
      <c r="B1537" s="38" t="s">
        <v>526</v>
      </c>
      <c r="C1537" s="39"/>
      <c r="D1537" s="39"/>
      <c r="E1537" s="39"/>
      <c r="F1537" s="39"/>
      <c r="G1537" s="17"/>
    </row>
    <row r="1538" spans="1:7" ht="15.5">
      <c r="B1538" s="38" t="s">
        <v>322</v>
      </c>
      <c r="C1538" s="39"/>
      <c r="D1538" s="39"/>
      <c r="E1538" s="39"/>
      <c r="F1538" s="39"/>
      <c r="G1538" s="17"/>
    </row>
    <row r="1539" spans="1:7" ht="15.5">
      <c r="B1539" s="38" t="s">
        <v>571</v>
      </c>
      <c r="C1539" s="39"/>
      <c r="D1539" s="39"/>
      <c r="E1539" s="39"/>
      <c r="F1539" s="39"/>
      <c r="G1539" s="17"/>
    </row>
    <row r="1540" spans="1:7" ht="15.5">
      <c r="B1540" s="38" t="s">
        <v>323</v>
      </c>
      <c r="C1540" s="39"/>
      <c r="D1540" s="39"/>
      <c r="E1540" s="39"/>
      <c r="F1540" s="39"/>
      <c r="G1540" s="17"/>
    </row>
    <row r="1541" spans="1:7" ht="15.5">
      <c r="B1541" s="38" t="s">
        <v>530</v>
      </c>
      <c r="C1541" s="39"/>
      <c r="D1541" s="39"/>
      <c r="E1541" s="39"/>
      <c r="F1541" s="39"/>
      <c r="G1541" s="17"/>
    </row>
    <row r="1542" spans="1:7" ht="42">
      <c r="A1542" s="31" t="s">
        <v>179</v>
      </c>
      <c r="B1542" s="32" t="s">
        <v>0</v>
      </c>
      <c r="C1542" s="33" t="s">
        <v>379</v>
      </c>
      <c r="D1542" s="33" t="s">
        <v>32</v>
      </c>
      <c r="E1542" s="33" t="s">
        <v>278</v>
      </c>
      <c r="F1542" s="33" t="s">
        <v>44</v>
      </c>
      <c r="G1542" s="33" t="s">
        <v>14</v>
      </c>
    </row>
    <row r="1543" spans="1:7" ht="26">
      <c r="A1543" s="43">
        <v>1</v>
      </c>
      <c r="B1543" s="44" t="s">
        <v>536</v>
      </c>
      <c r="C1543" s="88">
        <v>0</v>
      </c>
      <c r="D1543" s="45">
        <v>83000</v>
      </c>
      <c r="E1543" s="15">
        <v>0</v>
      </c>
      <c r="F1543" s="15">
        <v>0</v>
      </c>
      <c r="G1543" s="44" t="s">
        <v>28</v>
      </c>
    </row>
    <row r="1544" spans="1:7" ht="39">
      <c r="A1544" s="43">
        <v>2</v>
      </c>
      <c r="B1544" s="44" t="s">
        <v>563</v>
      </c>
      <c r="C1544" s="88">
        <v>0</v>
      </c>
      <c r="D1544" s="45">
        <v>3018554</v>
      </c>
      <c r="E1544" s="45">
        <v>0</v>
      </c>
      <c r="F1544" s="15">
        <v>0</v>
      </c>
      <c r="G1544" s="48" t="s">
        <v>570</v>
      </c>
    </row>
    <row r="1545" spans="1:7" ht="52">
      <c r="A1545" s="43">
        <v>4</v>
      </c>
      <c r="B1545" s="46" t="s">
        <v>566</v>
      </c>
      <c r="C1545" s="88">
        <v>0</v>
      </c>
      <c r="D1545" s="45">
        <v>425000</v>
      </c>
      <c r="E1545" s="45">
        <v>0</v>
      </c>
      <c r="F1545" s="15">
        <v>0</v>
      </c>
      <c r="G1545" s="44" t="s">
        <v>568</v>
      </c>
    </row>
    <row r="1546" spans="1:7" ht="46">
      <c r="A1546" s="43">
        <v>5</v>
      </c>
      <c r="B1546" s="48" t="s">
        <v>23</v>
      </c>
      <c r="C1546" s="88">
        <v>0</v>
      </c>
      <c r="D1546" s="45">
        <v>150000</v>
      </c>
      <c r="E1546" s="45">
        <v>0</v>
      </c>
      <c r="F1546" s="15">
        <v>0</v>
      </c>
      <c r="G1546" s="98" t="s">
        <v>562</v>
      </c>
    </row>
    <row r="1547" spans="1:7" ht="56">
      <c r="A1547" s="43">
        <v>6</v>
      </c>
      <c r="B1547" s="56" t="s">
        <v>572</v>
      </c>
      <c r="C1547" s="75">
        <v>0</v>
      </c>
      <c r="D1547" s="15">
        <v>60000</v>
      </c>
      <c r="E1547" s="75">
        <v>0</v>
      </c>
      <c r="F1547" s="75">
        <v>0</v>
      </c>
      <c r="G1547" s="78" t="s">
        <v>396</v>
      </c>
    </row>
    <row r="1548" spans="1:7" ht="26">
      <c r="A1548" s="43">
        <v>7</v>
      </c>
      <c r="B1548" s="48" t="s">
        <v>575</v>
      </c>
      <c r="C1548" s="88">
        <v>0</v>
      </c>
      <c r="D1548" s="45">
        <v>100000</v>
      </c>
      <c r="E1548" s="45">
        <v>0</v>
      </c>
      <c r="F1548" s="15">
        <v>0</v>
      </c>
      <c r="G1548" s="47" t="s">
        <v>576</v>
      </c>
    </row>
    <row r="1549" spans="1:7" ht="14">
      <c r="A1549" s="43"/>
      <c r="B1549" s="48"/>
      <c r="C1549" s="88"/>
      <c r="D1549" s="45"/>
      <c r="E1549" s="45"/>
      <c r="F1549" s="15"/>
      <c r="G1549" s="44"/>
    </row>
    <row r="1550" spans="1:7" ht="13">
      <c r="A1550" s="43"/>
      <c r="B1550" s="48"/>
      <c r="C1550" s="71"/>
      <c r="D1550" s="45"/>
      <c r="E1550" s="45"/>
      <c r="F1550" s="45"/>
      <c r="G1550" s="44"/>
    </row>
    <row r="1551" spans="1:7" ht="13">
      <c r="A1551" s="43"/>
      <c r="B1551" s="48"/>
      <c r="C1551" s="71"/>
      <c r="D1551" s="45"/>
      <c r="E1551" s="45"/>
      <c r="F1551" s="45"/>
      <c r="G1551" s="44"/>
    </row>
    <row r="1552" spans="1:7" ht="13">
      <c r="A1552" s="43"/>
      <c r="B1552" s="48"/>
      <c r="C1552" s="71"/>
      <c r="D1552" s="45"/>
      <c r="E1552" s="45"/>
      <c r="F1552" s="45"/>
      <c r="G1552" s="44"/>
    </row>
    <row r="1553" spans="1:7" ht="13">
      <c r="A1553" s="43"/>
      <c r="B1553" s="48"/>
      <c r="C1553" s="71"/>
      <c r="D1553" s="45"/>
      <c r="E1553" s="45"/>
      <c r="F1553" s="45"/>
      <c r="G1553" s="44"/>
    </row>
    <row r="1554" spans="1:7" ht="26">
      <c r="A1554" s="34"/>
      <c r="B1554" s="42" t="s">
        <v>1</v>
      </c>
      <c r="C1554" s="89">
        <f>SUM(C1543:C1549)</f>
        <v>0</v>
      </c>
      <c r="D1554" s="35">
        <f>SUM(D1543:D1549)</f>
        <v>3836554</v>
      </c>
      <c r="E1554" s="35">
        <v>0</v>
      </c>
      <c r="F1554" s="35">
        <f>SUM(F1543:F1549)</f>
        <v>0</v>
      </c>
      <c r="G1554" s="46"/>
    </row>
    <row r="1555" spans="1:7" ht="13">
      <c r="B1555" s="6" t="s">
        <v>10</v>
      </c>
      <c r="C1555" s="39"/>
      <c r="D1555" s="39"/>
      <c r="E1555" s="39"/>
      <c r="F1555" s="39"/>
      <c r="G1555" s="50"/>
    </row>
    <row r="1556" spans="1:7" ht="13">
      <c r="B1556" s="49" t="s">
        <v>564</v>
      </c>
      <c r="C1556" s="37"/>
      <c r="D1556" s="37"/>
      <c r="E1556" s="37"/>
      <c r="F1556" s="37"/>
      <c r="G1556" s="92"/>
    </row>
    <row r="1557" spans="1:7" ht="13">
      <c r="B1557" s="49"/>
      <c r="C1557" s="37"/>
      <c r="D1557" s="92"/>
      <c r="E1557" s="37"/>
      <c r="F1557" s="37"/>
      <c r="G1557" s="92"/>
    </row>
    <row r="1558" spans="1:7" ht="14">
      <c r="A1558" s="10" t="s">
        <v>2</v>
      </c>
      <c r="B1558" s="39"/>
      <c r="C1558" s="39"/>
      <c r="D1558" s="39"/>
      <c r="E1558" s="53"/>
      <c r="F1558" s="37" t="s">
        <v>3</v>
      </c>
      <c r="G1558" s="37"/>
    </row>
    <row r="1559" spans="1:7" ht="14">
      <c r="A1559" s="7" t="s">
        <v>4</v>
      </c>
      <c r="B1559" s="39"/>
      <c r="C1559" s="6"/>
      <c r="D1559" s="39"/>
      <c r="E1559" s="53"/>
      <c r="F1559" s="39" t="s">
        <v>7</v>
      </c>
      <c r="G1559" s="39"/>
    </row>
    <row r="1560" spans="1:7" ht="14">
      <c r="A1560" s="11" t="s">
        <v>5</v>
      </c>
      <c r="B1560" s="6"/>
      <c r="C1560" s="6"/>
      <c r="D1560" s="39"/>
      <c r="E1560" s="53"/>
      <c r="F1560" s="39" t="s">
        <v>8</v>
      </c>
      <c r="G1560" s="39"/>
    </row>
    <row r="1561" spans="1:7" ht="14">
      <c r="A1561" s="11"/>
      <c r="B1561" s="6"/>
      <c r="C1561" s="53"/>
      <c r="D1561" s="37" t="s">
        <v>6</v>
      </c>
      <c r="E1561" s="6"/>
      <c r="F1561" s="6"/>
      <c r="G1561" s="6"/>
    </row>
    <row r="1562" spans="1:7" ht="14.5">
      <c r="A1562" s="90"/>
      <c r="B1562" s="39"/>
      <c r="C1562" s="53"/>
      <c r="D1562" s="39" t="s">
        <v>15</v>
      </c>
      <c r="E1562" s="37"/>
      <c r="F1562" s="37"/>
      <c r="G1562" s="37"/>
    </row>
    <row r="1563" spans="1:7" ht="14.5">
      <c r="A1563" s="90"/>
      <c r="B1563" s="39"/>
      <c r="C1563" s="53"/>
      <c r="D1563" s="39" t="s">
        <v>9</v>
      </c>
      <c r="E1563" s="37"/>
      <c r="F1563" s="92"/>
      <c r="G1563" s="37"/>
    </row>
    <row r="1565" spans="1:7" ht="15.5">
      <c r="B1565" s="1"/>
      <c r="C1565" s="1"/>
      <c r="D1565" s="1"/>
      <c r="E1565" s="1"/>
      <c r="F1565" s="1"/>
      <c r="G1565" s="1"/>
    </row>
    <row r="1566" spans="1:7" ht="15.5">
      <c r="B1566" s="1"/>
      <c r="C1566" s="1"/>
      <c r="D1566" s="1"/>
      <c r="E1566" s="1"/>
      <c r="F1566" s="1"/>
      <c r="G1566" s="1"/>
    </row>
    <row r="1567" spans="1:7" ht="15.5">
      <c r="B1567" s="38" t="s">
        <v>318</v>
      </c>
      <c r="C1567" s="39"/>
      <c r="D1567" s="39"/>
      <c r="E1567" s="39"/>
      <c r="F1567" s="39"/>
      <c r="G1567" s="1"/>
    </row>
    <row r="1568" spans="1:7" ht="15.5">
      <c r="B1568" s="38" t="s">
        <v>583</v>
      </c>
      <c r="C1568" s="39"/>
      <c r="D1568" s="39"/>
      <c r="E1568" s="39"/>
      <c r="F1568" s="39"/>
      <c r="G1568" s="1"/>
    </row>
    <row r="1569" spans="1:7" ht="15.5">
      <c r="B1569" s="38" t="s">
        <v>319</v>
      </c>
      <c r="C1569" s="39"/>
      <c r="D1569" s="39"/>
      <c r="E1569" s="39"/>
      <c r="F1569" s="39"/>
      <c r="G1569" s="1"/>
    </row>
    <row r="1570" spans="1:7" ht="15.5">
      <c r="B1570" s="38" t="s">
        <v>582</v>
      </c>
      <c r="C1570" s="39"/>
      <c r="D1570" s="39"/>
      <c r="E1570" s="39"/>
      <c r="F1570" s="39"/>
      <c r="G1570" s="17"/>
    </row>
    <row r="1571" spans="1:7" ht="15.5">
      <c r="B1571" s="37" t="s">
        <v>320</v>
      </c>
      <c r="C1571" s="39"/>
      <c r="D1571" s="39"/>
      <c r="E1571" s="39"/>
      <c r="G1571" s="77"/>
    </row>
    <row r="1572" spans="1:7" ht="15.5">
      <c r="B1572" s="38" t="s">
        <v>581</v>
      </c>
      <c r="C1572" s="39"/>
      <c r="D1572" s="39"/>
      <c r="E1572" s="39"/>
      <c r="F1572" s="39"/>
      <c r="G1572" s="17"/>
    </row>
    <row r="1573" spans="1:7" ht="15.5">
      <c r="B1573" s="37" t="s">
        <v>321</v>
      </c>
      <c r="C1573" s="39"/>
      <c r="D1573" s="39"/>
      <c r="E1573" s="39"/>
      <c r="F1573" s="39"/>
      <c r="G1573" s="17"/>
    </row>
    <row r="1574" spans="1:7" ht="15.5">
      <c r="B1574" s="38" t="s">
        <v>580</v>
      </c>
      <c r="C1574" s="39"/>
      <c r="D1574" s="39"/>
      <c r="E1574" s="39"/>
      <c r="F1574" s="39"/>
      <c r="G1574" s="17"/>
    </row>
    <row r="1575" spans="1:7" ht="15.5">
      <c r="B1575" s="38" t="s">
        <v>322</v>
      </c>
      <c r="C1575" s="39"/>
      <c r="D1575" s="39"/>
      <c r="E1575" s="39"/>
      <c r="F1575" s="39"/>
      <c r="G1575" s="17"/>
    </row>
    <row r="1576" spans="1:7" ht="15.5">
      <c r="B1576" s="38" t="s">
        <v>571</v>
      </c>
      <c r="C1576" s="39"/>
      <c r="D1576" s="39"/>
      <c r="E1576" s="39"/>
      <c r="F1576" s="39"/>
      <c r="G1576" s="17"/>
    </row>
    <row r="1577" spans="1:7" ht="15.5">
      <c r="B1577" s="38" t="s">
        <v>323</v>
      </c>
      <c r="C1577" s="39"/>
      <c r="D1577" s="39"/>
      <c r="E1577" s="39"/>
      <c r="F1577" s="39"/>
      <c r="G1577" s="17"/>
    </row>
    <row r="1578" spans="1:7" ht="15.5">
      <c r="B1578" s="38" t="s">
        <v>590</v>
      </c>
      <c r="C1578" s="39"/>
      <c r="D1578" s="39"/>
      <c r="E1578" s="39"/>
      <c r="F1578" s="39"/>
      <c r="G1578" s="17"/>
    </row>
    <row r="1579" spans="1:7" ht="42">
      <c r="A1579" s="31" t="s">
        <v>179</v>
      </c>
      <c r="B1579" s="32" t="s">
        <v>0</v>
      </c>
      <c r="C1579" s="33" t="s">
        <v>379</v>
      </c>
      <c r="D1579" s="33" t="s">
        <v>32</v>
      </c>
      <c r="E1579" s="33" t="s">
        <v>278</v>
      </c>
      <c r="F1579" s="33" t="s">
        <v>44</v>
      </c>
      <c r="G1579" s="33" t="s">
        <v>14</v>
      </c>
    </row>
    <row r="1580" spans="1:7" ht="39">
      <c r="A1580" s="43">
        <v>1</v>
      </c>
      <c r="B1580" s="44" t="s">
        <v>595</v>
      </c>
      <c r="C1580" s="88"/>
      <c r="D1580" s="45">
        <v>1600000</v>
      </c>
      <c r="E1580" s="15"/>
      <c r="F1580" s="15"/>
      <c r="G1580" s="44" t="s">
        <v>28</v>
      </c>
    </row>
    <row r="1581" spans="1:7" ht="28.5" customHeight="1">
      <c r="A1581" s="43">
        <v>2</v>
      </c>
      <c r="B1581" s="44" t="s">
        <v>578</v>
      </c>
      <c r="C1581" s="88"/>
      <c r="D1581" s="45">
        <v>100000</v>
      </c>
      <c r="E1581" s="45"/>
      <c r="F1581" s="15"/>
      <c r="G1581" s="48" t="s">
        <v>570</v>
      </c>
    </row>
    <row r="1582" spans="1:7" ht="39">
      <c r="A1582" s="43">
        <v>3</v>
      </c>
      <c r="B1582" s="46" t="s">
        <v>579</v>
      </c>
      <c r="C1582" s="88"/>
      <c r="D1582" s="45">
        <f>203237*70%</f>
        <v>142265.9</v>
      </c>
      <c r="E1582" s="45"/>
      <c r="F1582" s="15"/>
      <c r="G1582" s="44" t="s">
        <v>433</v>
      </c>
    </row>
    <row r="1583" spans="1:7" ht="31">
      <c r="A1583" s="43">
        <v>4</v>
      </c>
      <c r="B1583" s="48" t="s">
        <v>584</v>
      </c>
      <c r="C1583" s="88"/>
      <c r="D1583" s="45">
        <v>1691981</v>
      </c>
      <c r="E1583" s="45"/>
      <c r="F1583" s="15"/>
      <c r="G1583" s="8" t="s">
        <v>585</v>
      </c>
    </row>
    <row r="1584" spans="1:7" ht="14">
      <c r="A1584" s="43"/>
      <c r="B1584" s="56"/>
      <c r="C1584" s="75"/>
      <c r="D1584" s="15"/>
      <c r="E1584" s="75"/>
      <c r="F1584" s="75"/>
      <c r="G1584" s="78"/>
    </row>
    <row r="1585" spans="1:7" ht="14">
      <c r="A1585" s="43"/>
      <c r="B1585" s="48"/>
      <c r="C1585" s="88"/>
      <c r="D1585" s="45"/>
      <c r="E1585" s="45"/>
      <c r="F1585" s="15"/>
      <c r="G1585" s="47"/>
    </row>
    <row r="1586" spans="1:7" ht="14">
      <c r="A1586" s="43"/>
      <c r="B1586" s="48"/>
      <c r="C1586" s="88"/>
      <c r="D1586" s="45"/>
      <c r="E1586" s="45"/>
      <c r="F1586" s="15"/>
      <c r="G1586" s="44"/>
    </row>
    <row r="1587" spans="1:7" ht="13">
      <c r="A1587" s="43"/>
      <c r="B1587" s="48"/>
      <c r="C1587" s="88"/>
      <c r="D1587" s="45"/>
      <c r="E1587" s="45"/>
      <c r="F1587" s="45"/>
      <c r="G1587" s="44"/>
    </row>
    <row r="1588" spans="1:7" ht="13">
      <c r="A1588" s="43"/>
      <c r="B1588" s="48"/>
      <c r="C1588" s="71"/>
      <c r="D1588" s="45"/>
      <c r="E1588" s="45"/>
      <c r="F1588" s="45"/>
      <c r="G1588" s="44"/>
    </row>
    <row r="1589" spans="1:7" ht="13">
      <c r="A1589" s="43"/>
      <c r="B1589" s="48"/>
      <c r="C1589" s="71"/>
      <c r="D1589" s="45"/>
      <c r="E1589" s="45"/>
      <c r="F1589" s="45"/>
      <c r="G1589" s="44"/>
    </row>
    <row r="1590" spans="1:7" ht="13">
      <c r="A1590" s="43"/>
      <c r="B1590" s="48"/>
      <c r="C1590" s="71"/>
      <c r="D1590" s="45"/>
      <c r="E1590" s="45"/>
      <c r="F1590" s="45"/>
      <c r="G1590" s="44"/>
    </row>
    <row r="1591" spans="1:7" ht="13">
      <c r="A1591" s="43"/>
      <c r="B1591" s="48"/>
      <c r="C1591" s="71"/>
      <c r="D1591" s="45"/>
      <c r="E1591" s="45"/>
      <c r="F1591" s="45"/>
      <c r="G1591" s="44"/>
    </row>
    <row r="1592" spans="1:7" ht="26">
      <c r="A1592" s="34"/>
      <c r="B1592" s="42" t="s">
        <v>1</v>
      </c>
      <c r="C1592" s="89">
        <f>SUM(C1580:C1586)</f>
        <v>0</v>
      </c>
      <c r="D1592" s="35">
        <f>SUM(D1580:D1587)</f>
        <v>3534246.9</v>
      </c>
      <c r="E1592" s="35">
        <v>0</v>
      </c>
      <c r="F1592" s="35">
        <f>SUM(F1580:F1587)</f>
        <v>0</v>
      </c>
      <c r="G1592" s="46"/>
    </row>
    <row r="1593" spans="1:7" ht="13">
      <c r="B1593" s="6" t="s">
        <v>10</v>
      </c>
      <c r="C1593" s="39"/>
      <c r="D1593" s="39"/>
      <c r="E1593" s="39"/>
      <c r="F1593" s="39"/>
      <c r="G1593" s="50"/>
    </row>
    <row r="1594" spans="1:7" ht="13">
      <c r="B1594" s="49" t="s">
        <v>596</v>
      </c>
      <c r="C1594" s="37"/>
      <c r="D1594" s="37"/>
      <c r="E1594" s="37"/>
      <c r="F1594" s="37"/>
      <c r="G1594" s="92"/>
    </row>
    <row r="1595" spans="1:7" ht="13">
      <c r="B1595" s="49"/>
      <c r="C1595" s="37"/>
      <c r="D1595" s="92"/>
      <c r="E1595" s="37"/>
      <c r="F1595" s="37"/>
      <c r="G1595" s="92"/>
    </row>
    <row r="1596" spans="1:7" ht="14">
      <c r="A1596" s="10" t="s">
        <v>2</v>
      </c>
      <c r="B1596" s="39"/>
      <c r="C1596" s="39"/>
      <c r="D1596" s="39"/>
      <c r="E1596" s="53"/>
      <c r="F1596" s="37" t="s">
        <v>3</v>
      </c>
      <c r="G1596" s="37"/>
    </row>
    <row r="1597" spans="1:7" ht="14">
      <c r="A1597" s="7" t="s">
        <v>4</v>
      </c>
      <c r="B1597" s="39"/>
      <c r="C1597" s="6"/>
      <c r="D1597" s="39"/>
      <c r="E1597" s="53"/>
      <c r="F1597" s="39" t="s">
        <v>7</v>
      </c>
      <c r="G1597" s="39"/>
    </row>
    <row r="1598" spans="1:7" ht="14">
      <c r="A1598" s="11" t="s">
        <v>5</v>
      </c>
      <c r="B1598" s="6"/>
      <c r="C1598" s="6"/>
      <c r="D1598" s="39"/>
      <c r="E1598" s="53"/>
      <c r="F1598" s="39" t="s">
        <v>8</v>
      </c>
      <c r="G1598" s="39"/>
    </row>
    <row r="1599" spans="1:7" ht="14">
      <c r="A1599" s="11"/>
      <c r="B1599" s="6"/>
      <c r="C1599" s="53"/>
      <c r="D1599" s="37" t="s">
        <v>6</v>
      </c>
      <c r="E1599" s="6"/>
      <c r="F1599" s="6"/>
      <c r="G1599" s="6"/>
    </row>
    <row r="1600" spans="1:7" ht="14.5">
      <c r="A1600" s="90"/>
      <c r="B1600" s="39"/>
      <c r="C1600" s="53"/>
      <c r="D1600" s="39" t="s">
        <v>15</v>
      </c>
      <c r="E1600" s="37"/>
      <c r="F1600" s="37"/>
      <c r="G1600" s="37"/>
    </row>
    <row r="1601" spans="1:7" ht="14.5">
      <c r="A1601" s="90"/>
      <c r="B1601" s="39"/>
      <c r="C1601" s="53"/>
      <c r="D1601" s="39" t="s">
        <v>9</v>
      </c>
      <c r="E1601" s="37"/>
      <c r="F1601" s="92"/>
      <c r="G1601" s="37"/>
    </row>
    <row r="1602" spans="1:7" ht="14.5">
      <c r="A1602" s="90"/>
      <c r="B1602" s="39"/>
      <c r="C1602" s="53"/>
      <c r="D1602" s="39"/>
      <c r="E1602" s="37"/>
      <c r="F1602" s="92"/>
      <c r="G1602" s="37"/>
    </row>
    <row r="1603" spans="1:7" ht="14.5">
      <c r="A1603" s="90"/>
      <c r="B1603" s="39"/>
      <c r="C1603" s="53"/>
      <c r="D1603" s="39"/>
      <c r="E1603" s="37"/>
      <c r="F1603" s="92"/>
      <c r="G1603" s="37"/>
    </row>
    <row r="1604" spans="1:7" ht="14.5">
      <c r="A1604" s="90"/>
      <c r="B1604" s="39"/>
      <c r="C1604" s="53"/>
      <c r="D1604" s="39"/>
      <c r="E1604" s="37"/>
      <c r="F1604" s="92"/>
      <c r="G1604" s="37"/>
    </row>
    <row r="1609" spans="1:7" ht="15.5">
      <c r="B1609" s="1"/>
      <c r="C1609" s="1"/>
      <c r="D1609" s="1"/>
      <c r="E1609" s="1"/>
      <c r="F1609" s="1"/>
      <c r="G1609" s="1"/>
    </row>
    <row r="1610" spans="1:7" ht="15.5">
      <c r="B1610" s="1"/>
      <c r="C1610" s="1"/>
      <c r="D1610" s="1"/>
      <c r="E1610" s="1"/>
      <c r="F1610" s="1"/>
      <c r="G1610" s="1"/>
    </row>
    <row r="1611" spans="1:7" ht="15.5">
      <c r="B1611" s="38" t="s">
        <v>318</v>
      </c>
      <c r="C1611" s="39"/>
      <c r="D1611" s="39"/>
      <c r="E1611" s="39"/>
      <c r="F1611" s="39"/>
      <c r="G1611" s="1"/>
    </row>
    <row r="1612" spans="1:7" ht="15.5">
      <c r="B1612" s="38" t="s">
        <v>583</v>
      </c>
      <c r="C1612" s="39"/>
      <c r="D1612" s="39"/>
      <c r="E1612" s="39"/>
      <c r="F1612" s="39"/>
      <c r="G1612" s="1"/>
    </row>
    <row r="1613" spans="1:7" ht="15.5">
      <c r="B1613" s="38" t="s">
        <v>319</v>
      </c>
      <c r="C1613" s="39"/>
      <c r="D1613" s="39"/>
      <c r="E1613" s="39"/>
      <c r="F1613" s="39"/>
      <c r="G1613" s="1"/>
    </row>
    <row r="1614" spans="1:7" ht="15.5">
      <c r="B1614" s="38" t="s">
        <v>582</v>
      </c>
      <c r="C1614" s="39"/>
      <c r="D1614" s="39"/>
      <c r="E1614" s="39"/>
      <c r="F1614" s="39"/>
      <c r="G1614" s="17"/>
    </row>
    <row r="1615" spans="1:7" ht="15.5">
      <c r="B1615" s="37" t="s">
        <v>320</v>
      </c>
      <c r="C1615" s="39"/>
      <c r="D1615" s="39"/>
      <c r="E1615" s="39"/>
      <c r="G1615" s="77"/>
    </row>
    <row r="1616" spans="1:7" ht="15.5">
      <c r="B1616" s="38" t="s">
        <v>593</v>
      </c>
      <c r="C1616" s="39"/>
      <c r="D1616" s="39"/>
      <c r="E1616" s="39"/>
      <c r="F1616" s="39"/>
      <c r="G1616" s="17"/>
    </row>
    <row r="1617" spans="1:7" ht="15.5">
      <c r="B1617" s="37" t="s">
        <v>321</v>
      </c>
      <c r="C1617" s="39"/>
      <c r="D1617" s="39"/>
      <c r="E1617" s="39"/>
      <c r="F1617" s="39"/>
      <c r="G1617" s="17"/>
    </row>
    <row r="1618" spans="1:7" ht="15.5">
      <c r="B1618" s="38" t="s">
        <v>594</v>
      </c>
      <c r="C1618" s="39"/>
      <c r="D1618" s="39"/>
      <c r="E1618" s="39"/>
      <c r="F1618" s="39"/>
      <c r="G1618" s="17"/>
    </row>
    <row r="1619" spans="1:7" ht="15.5">
      <c r="B1619" s="38" t="s">
        <v>322</v>
      </c>
      <c r="C1619" s="39"/>
      <c r="D1619" s="39"/>
      <c r="E1619" s="39"/>
      <c r="F1619" s="39"/>
      <c r="G1619" s="17"/>
    </row>
    <row r="1620" spans="1:7" ht="15.5">
      <c r="B1620" s="38" t="s">
        <v>597</v>
      </c>
      <c r="C1620" s="39"/>
      <c r="D1620" s="39"/>
      <c r="E1620" s="39"/>
      <c r="F1620" s="39"/>
      <c r="G1620" s="17"/>
    </row>
    <row r="1621" spans="1:7" ht="15.5">
      <c r="B1621" s="38" t="s">
        <v>323</v>
      </c>
      <c r="C1621" s="39"/>
      <c r="D1621" s="39"/>
      <c r="E1621" s="39"/>
      <c r="F1621" s="39"/>
      <c r="G1621" s="17"/>
    </row>
    <row r="1622" spans="1:7" ht="15.5">
      <c r="B1622" s="38" t="s">
        <v>590</v>
      </c>
      <c r="C1622" s="39"/>
      <c r="D1622" s="39"/>
      <c r="E1622" s="39"/>
      <c r="F1622" s="39"/>
      <c r="G1622" s="17"/>
    </row>
    <row r="1623" spans="1:7" ht="56">
      <c r="A1623" s="31" t="s">
        <v>179</v>
      </c>
      <c r="B1623" s="32" t="s">
        <v>0</v>
      </c>
      <c r="C1623" s="33" t="s">
        <v>379</v>
      </c>
      <c r="D1623" s="33" t="s">
        <v>32</v>
      </c>
      <c r="E1623" s="33" t="s">
        <v>278</v>
      </c>
      <c r="F1623" s="33" t="s">
        <v>38</v>
      </c>
      <c r="G1623" s="33" t="s">
        <v>14</v>
      </c>
    </row>
    <row r="1624" spans="1:7" ht="26">
      <c r="A1624" s="43">
        <v>1</v>
      </c>
      <c r="B1624" s="44" t="s">
        <v>591</v>
      </c>
      <c r="C1624" s="45">
        <v>0</v>
      </c>
      <c r="D1624" s="45">
        <v>0</v>
      </c>
      <c r="E1624" s="15">
        <v>0</v>
      </c>
      <c r="F1624" s="15">
        <v>113328108</v>
      </c>
      <c r="G1624" s="121" t="s">
        <v>28</v>
      </c>
    </row>
    <row r="1625" spans="1:7" ht="26">
      <c r="A1625" s="43">
        <v>2</v>
      </c>
      <c r="B1625" s="48" t="s">
        <v>565</v>
      </c>
      <c r="C1625" s="45">
        <v>0</v>
      </c>
      <c r="D1625" s="45">
        <v>0</v>
      </c>
      <c r="E1625" s="45">
        <v>0</v>
      </c>
      <c r="F1625" s="15">
        <v>7200000</v>
      </c>
      <c r="G1625" s="44" t="s">
        <v>569</v>
      </c>
    </row>
    <row r="1626" spans="1:7" ht="70">
      <c r="A1626" s="43">
        <v>3</v>
      </c>
      <c r="B1626" s="56" t="s">
        <v>586</v>
      </c>
      <c r="C1626" s="45">
        <v>0</v>
      </c>
      <c r="D1626" s="15">
        <f>382576*60%</f>
        <v>229545.60000000001</v>
      </c>
      <c r="E1626" s="75">
        <v>0</v>
      </c>
      <c r="F1626" s="75">
        <v>229546</v>
      </c>
      <c r="G1626" s="78" t="s">
        <v>587</v>
      </c>
    </row>
    <row r="1627" spans="1:7" ht="39">
      <c r="A1627" s="43">
        <v>4</v>
      </c>
      <c r="B1627" s="48" t="s">
        <v>588</v>
      </c>
      <c r="C1627" s="45">
        <v>0</v>
      </c>
      <c r="D1627" s="45">
        <v>0</v>
      </c>
      <c r="E1627" s="45">
        <v>0</v>
      </c>
      <c r="F1627" s="15">
        <v>5818297</v>
      </c>
      <c r="G1627" s="47" t="s">
        <v>28</v>
      </c>
    </row>
    <row r="1628" spans="1:7" ht="39">
      <c r="A1628" s="43">
        <v>5</v>
      </c>
      <c r="B1628" s="48" t="s">
        <v>589</v>
      </c>
      <c r="C1628" s="45">
        <v>0</v>
      </c>
      <c r="D1628" s="45">
        <v>0</v>
      </c>
      <c r="E1628" s="45">
        <v>0</v>
      </c>
      <c r="F1628" s="15">
        <v>1028570</v>
      </c>
      <c r="G1628" s="44" t="s">
        <v>28</v>
      </c>
    </row>
    <row r="1629" spans="1:7" ht="26">
      <c r="A1629" s="43">
        <v>6</v>
      </c>
      <c r="B1629" s="48" t="s">
        <v>592</v>
      </c>
      <c r="C1629" s="45">
        <v>0</v>
      </c>
      <c r="D1629" s="45">
        <v>0</v>
      </c>
      <c r="E1629" s="45">
        <v>0</v>
      </c>
      <c r="F1629" s="15">
        <v>131984741</v>
      </c>
      <c r="G1629" s="44" t="s">
        <v>28</v>
      </c>
    </row>
    <row r="1630" spans="1:7" ht="26">
      <c r="A1630" s="43">
        <v>8</v>
      </c>
      <c r="B1630" s="48" t="s">
        <v>113</v>
      </c>
      <c r="C1630" s="45">
        <v>0</v>
      </c>
      <c r="D1630" s="45">
        <v>0</v>
      </c>
      <c r="E1630" s="45">
        <v>0</v>
      </c>
      <c r="F1630" s="45">
        <v>30000</v>
      </c>
      <c r="G1630" s="44" t="s">
        <v>11</v>
      </c>
    </row>
    <row r="1631" spans="1:7" ht="13">
      <c r="A1631" s="43"/>
      <c r="B1631" s="48"/>
      <c r="C1631" s="71"/>
      <c r="D1631" s="45"/>
      <c r="E1631" s="45"/>
      <c r="F1631" s="45"/>
      <c r="G1631" s="44"/>
    </row>
    <row r="1632" spans="1:7" ht="26">
      <c r="A1632" s="34"/>
      <c r="B1632" s="42" t="s">
        <v>1</v>
      </c>
      <c r="C1632" s="89">
        <f>SUM(C1624:C1628)</f>
        <v>0</v>
      </c>
      <c r="D1632" s="35">
        <f>SUM(D1624:D1630)</f>
        <v>229545.60000000001</v>
      </c>
      <c r="E1632" s="35">
        <v>0</v>
      </c>
      <c r="F1632" s="35">
        <f>SUM(F1624:F1630)</f>
        <v>259619262</v>
      </c>
      <c r="G1632" s="46"/>
    </row>
    <row r="1633" spans="1:7" ht="13">
      <c r="B1633" s="6" t="s">
        <v>10</v>
      </c>
      <c r="C1633" s="39"/>
      <c r="D1633" s="39"/>
      <c r="E1633" s="39"/>
      <c r="F1633" s="39"/>
      <c r="G1633" s="50"/>
    </row>
    <row r="1634" spans="1:7" ht="13">
      <c r="B1634" s="49" t="s">
        <v>599</v>
      </c>
      <c r="C1634" s="37"/>
      <c r="D1634" s="37"/>
      <c r="E1634" s="37"/>
      <c r="F1634" s="37"/>
      <c r="G1634" s="92"/>
    </row>
    <row r="1635" spans="1:7" ht="13">
      <c r="B1635" s="49"/>
      <c r="C1635" s="37"/>
      <c r="D1635" s="92"/>
      <c r="E1635" s="37"/>
      <c r="F1635" s="37"/>
      <c r="G1635" s="92"/>
    </row>
    <row r="1636" spans="1:7" ht="14">
      <c r="A1636" s="10" t="s">
        <v>2</v>
      </c>
      <c r="B1636" s="39"/>
      <c r="C1636" s="39"/>
      <c r="D1636" s="39"/>
      <c r="E1636" s="53"/>
      <c r="F1636" s="37" t="s">
        <v>3</v>
      </c>
      <c r="G1636" s="37"/>
    </row>
    <row r="1637" spans="1:7" ht="14">
      <c r="A1637" s="7" t="s">
        <v>4</v>
      </c>
      <c r="B1637" s="39"/>
      <c r="C1637" s="6"/>
      <c r="D1637" s="39"/>
      <c r="E1637" s="53"/>
      <c r="F1637" s="39" t="s">
        <v>7</v>
      </c>
      <c r="G1637" s="39"/>
    </row>
    <row r="1638" spans="1:7" ht="14">
      <c r="A1638" s="11" t="s">
        <v>5</v>
      </c>
      <c r="B1638" s="6"/>
      <c r="C1638" s="6"/>
      <c r="D1638" s="39"/>
      <c r="E1638" s="53"/>
      <c r="F1638" s="39" t="s">
        <v>8</v>
      </c>
      <c r="G1638" s="39"/>
    </row>
    <row r="1639" spans="1:7" ht="14">
      <c r="A1639" s="11"/>
      <c r="B1639" s="6"/>
      <c r="C1639" s="53"/>
      <c r="D1639" s="37" t="s">
        <v>6</v>
      </c>
      <c r="E1639" s="6"/>
      <c r="F1639" s="6"/>
      <c r="G1639" s="6"/>
    </row>
    <row r="1640" spans="1:7" ht="14.5">
      <c r="A1640" s="90"/>
      <c r="B1640" s="39"/>
      <c r="C1640" s="53"/>
      <c r="D1640" s="39" t="s">
        <v>15</v>
      </c>
      <c r="E1640" s="37"/>
      <c r="F1640" s="37"/>
      <c r="G1640" s="37"/>
    </row>
    <row r="1641" spans="1:7" ht="14.5">
      <c r="A1641" s="90"/>
      <c r="B1641" s="39"/>
      <c r="C1641" s="53"/>
      <c r="D1641" s="39" t="s">
        <v>9</v>
      </c>
      <c r="E1641" s="37"/>
      <c r="F1641" s="92"/>
      <c r="G1641" s="37"/>
    </row>
    <row r="1645" spans="1:7" ht="15.5">
      <c r="B1645" s="1"/>
      <c r="C1645" s="1"/>
      <c r="D1645" s="1"/>
      <c r="E1645" s="1"/>
      <c r="F1645" s="1"/>
      <c r="G1645" s="1"/>
    </row>
    <row r="1646" spans="1:7" ht="15.5">
      <c r="B1646" s="1"/>
      <c r="C1646" s="1"/>
      <c r="D1646" s="1"/>
      <c r="E1646" s="1"/>
      <c r="F1646" s="1"/>
      <c r="G1646" s="1"/>
    </row>
    <row r="1647" spans="1:7" ht="15.5">
      <c r="B1647" s="38" t="s">
        <v>318</v>
      </c>
      <c r="C1647" s="39"/>
      <c r="D1647" s="39"/>
      <c r="E1647" s="39"/>
      <c r="F1647" s="39"/>
      <c r="G1647" s="1"/>
    </row>
    <row r="1648" spans="1:7" ht="15.5">
      <c r="B1648" s="38" t="s">
        <v>583</v>
      </c>
      <c r="C1648" s="39"/>
      <c r="D1648" s="39"/>
      <c r="E1648" s="39"/>
      <c r="F1648" s="39"/>
      <c r="G1648" s="1"/>
    </row>
    <row r="1649" spans="1:7" ht="15.5">
      <c r="B1649" s="38" t="s">
        <v>319</v>
      </c>
      <c r="C1649" s="39"/>
      <c r="D1649" s="39"/>
      <c r="E1649" s="39"/>
      <c r="F1649" s="39"/>
      <c r="G1649" s="1"/>
    </row>
    <row r="1650" spans="1:7" ht="15.5">
      <c r="B1650" s="38" t="s">
        <v>602</v>
      </c>
      <c r="C1650" s="39"/>
      <c r="D1650" s="39"/>
      <c r="E1650" s="39"/>
      <c r="F1650" s="39"/>
      <c r="G1650" s="17"/>
    </row>
    <row r="1651" spans="1:7" ht="15.5">
      <c r="B1651" s="37" t="s">
        <v>320</v>
      </c>
      <c r="C1651" s="39"/>
      <c r="D1651" s="39"/>
      <c r="E1651" s="39"/>
      <c r="G1651" s="77"/>
    </row>
    <row r="1652" spans="1:7" ht="15.5">
      <c r="B1652" s="38" t="s">
        <v>593</v>
      </c>
      <c r="C1652" s="39"/>
      <c r="D1652" s="39"/>
      <c r="E1652" s="39"/>
      <c r="F1652" s="39"/>
      <c r="G1652" s="17"/>
    </row>
    <row r="1653" spans="1:7" ht="15.5">
      <c r="B1653" s="37" t="s">
        <v>321</v>
      </c>
      <c r="C1653" s="39"/>
      <c r="D1653" s="39"/>
      <c r="E1653" s="39"/>
      <c r="F1653" s="39"/>
      <c r="G1653" s="17"/>
    </row>
    <row r="1654" spans="1:7" ht="15.5">
      <c r="B1654" s="38" t="s">
        <v>594</v>
      </c>
      <c r="C1654" s="39"/>
      <c r="D1654" s="39"/>
      <c r="E1654" s="39"/>
      <c r="F1654" s="39"/>
      <c r="G1654" s="17"/>
    </row>
    <row r="1655" spans="1:7" ht="15.5">
      <c r="B1655" s="38" t="s">
        <v>322</v>
      </c>
      <c r="C1655" s="39"/>
      <c r="D1655" s="39"/>
      <c r="E1655" s="39"/>
      <c r="F1655" s="39"/>
      <c r="G1655" s="17"/>
    </row>
    <row r="1656" spans="1:7" ht="15.5">
      <c r="B1656" s="38" t="s">
        <v>600</v>
      </c>
      <c r="C1656" s="39"/>
      <c r="D1656" s="39"/>
      <c r="E1656" s="39"/>
      <c r="F1656" s="39"/>
      <c r="G1656" s="17"/>
    </row>
    <row r="1657" spans="1:7" ht="15.5">
      <c r="B1657" s="38" t="s">
        <v>323</v>
      </c>
      <c r="C1657" s="39"/>
      <c r="D1657" s="39"/>
      <c r="E1657" s="39"/>
      <c r="F1657" s="39"/>
      <c r="G1657" s="17"/>
    </row>
    <row r="1658" spans="1:7" ht="15.5">
      <c r="B1658" s="38" t="s">
        <v>601</v>
      </c>
      <c r="C1658" s="39"/>
      <c r="D1658" s="39"/>
      <c r="E1658" s="39"/>
      <c r="F1658" s="39"/>
      <c r="G1658" s="17"/>
    </row>
    <row r="1659" spans="1:7" ht="56">
      <c r="A1659" s="31" t="s">
        <v>179</v>
      </c>
      <c r="B1659" s="32" t="s">
        <v>0</v>
      </c>
      <c r="C1659" s="33" t="s">
        <v>379</v>
      </c>
      <c r="D1659" s="33" t="s">
        <v>32</v>
      </c>
      <c r="E1659" s="33" t="s">
        <v>278</v>
      </c>
      <c r="F1659" s="33" t="s">
        <v>38</v>
      </c>
      <c r="G1659" s="33" t="s">
        <v>14</v>
      </c>
    </row>
    <row r="1660" spans="1:7" ht="39">
      <c r="A1660" s="43">
        <v>1</v>
      </c>
      <c r="B1660" s="44" t="s">
        <v>613</v>
      </c>
      <c r="C1660" s="45">
        <v>0</v>
      </c>
      <c r="D1660" s="45">
        <v>0</v>
      </c>
      <c r="E1660" s="15">
        <v>0</v>
      </c>
      <c r="F1660" s="15">
        <f>5000*12</f>
        <v>60000</v>
      </c>
      <c r="G1660" s="121" t="s">
        <v>33</v>
      </c>
    </row>
    <row r="1661" spans="1:7" ht="39">
      <c r="A1661" s="43">
        <v>2</v>
      </c>
      <c r="B1661" s="48" t="s">
        <v>614</v>
      </c>
      <c r="C1661" s="45">
        <v>0</v>
      </c>
      <c r="D1661" s="45">
        <v>0</v>
      </c>
      <c r="E1661" s="15">
        <v>0</v>
      </c>
      <c r="F1661" s="15">
        <f>5000*12</f>
        <v>60000</v>
      </c>
      <c r="G1661" s="121" t="s">
        <v>603</v>
      </c>
    </row>
    <row r="1662" spans="1:7" ht="56">
      <c r="A1662" s="43">
        <v>3</v>
      </c>
      <c r="B1662" s="56" t="s">
        <v>604</v>
      </c>
      <c r="C1662" s="45">
        <v>0</v>
      </c>
      <c r="D1662" s="45">
        <v>0</v>
      </c>
      <c r="E1662" s="15">
        <v>0</v>
      </c>
      <c r="F1662" s="75">
        <v>940000</v>
      </c>
      <c r="G1662" s="78" t="s">
        <v>11</v>
      </c>
    </row>
    <row r="1663" spans="1:7" ht="39">
      <c r="A1663" s="43">
        <v>4</v>
      </c>
      <c r="B1663" s="48" t="s">
        <v>598</v>
      </c>
      <c r="C1663" s="45">
        <v>0</v>
      </c>
      <c r="D1663" s="45">
        <v>0</v>
      </c>
      <c r="E1663" s="45">
        <v>0</v>
      </c>
      <c r="F1663" s="45">
        <v>731596</v>
      </c>
      <c r="G1663" s="44" t="s">
        <v>24</v>
      </c>
    </row>
    <row r="1664" spans="1:7" ht="14">
      <c r="A1664" s="43"/>
      <c r="B1664" s="48"/>
      <c r="C1664" s="45"/>
      <c r="D1664" s="45"/>
      <c r="E1664" s="45"/>
      <c r="F1664" s="15"/>
      <c r="G1664" s="44"/>
    </row>
    <row r="1665" spans="1:7" ht="13">
      <c r="A1665" s="43"/>
      <c r="B1665" s="48"/>
      <c r="C1665" s="45"/>
      <c r="D1665" s="45"/>
      <c r="E1665" s="45"/>
      <c r="F1665" s="45"/>
      <c r="G1665" s="44"/>
    </row>
    <row r="1666" spans="1:7" ht="13">
      <c r="A1666" s="43"/>
      <c r="B1666" s="48"/>
      <c r="C1666" s="45"/>
      <c r="D1666" s="45"/>
      <c r="E1666" s="45"/>
      <c r="F1666" s="45"/>
      <c r="G1666" s="44"/>
    </row>
    <row r="1667" spans="1:7" ht="13">
      <c r="A1667" s="43"/>
      <c r="B1667" s="48"/>
      <c r="C1667" s="45"/>
      <c r="D1667" s="45"/>
      <c r="E1667" s="45"/>
      <c r="F1667" s="45"/>
      <c r="G1667" s="44"/>
    </row>
    <row r="1668" spans="1:7" ht="13">
      <c r="A1668" s="43"/>
      <c r="B1668" s="48"/>
      <c r="C1668" s="71"/>
      <c r="D1668" s="45"/>
      <c r="E1668" s="45"/>
      <c r="F1668" s="45"/>
      <c r="G1668" s="44"/>
    </row>
    <row r="1669" spans="1:7" ht="13">
      <c r="A1669" s="43"/>
      <c r="B1669" s="48"/>
      <c r="C1669" s="71"/>
      <c r="D1669" s="45"/>
      <c r="E1669" s="45"/>
      <c r="F1669" s="45"/>
      <c r="G1669" s="44"/>
    </row>
    <row r="1670" spans="1:7" ht="13">
      <c r="A1670" s="43"/>
      <c r="B1670" s="48"/>
      <c r="C1670" s="71"/>
      <c r="D1670" s="45"/>
      <c r="E1670" s="45"/>
      <c r="F1670" s="45"/>
      <c r="G1670" s="44"/>
    </row>
    <row r="1671" spans="1:7" ht="13">
      <c r="A1671" s="43"/>
      <c r="B1671" s="48"/>
      <c r="C1671" s="71"/>
      <c r="D1671" s="45"/>
      <c r="E1671" s="45"/>
      <c r="F1671" s="45"/>
      <c r="G1671" s="44"/>
    </row>
    <row r="1672" spans="1:7" ht="26">
      <c r="A1672" s="34"/>
      <c r="B1672" s="42" t="s">
        <v>1</v>
      </c>
      <c r="C1672" s="89">
        <f>SUM(C1660:C1663)</f>
        <v>0</v>
      </c>
      <c r="D1672" s="35">
        <f>SUM(D1660:D1667)</f>
        <v>0</v>
      </c>
      <c r="E1672" s="35">
        <v>0</v>
      </c>
      <c r="F1672" s="35">
        <f>SUM(F1660:F1667)</f>
        <v>1791596</v>
      </c>
      <c r="G1672" s="46"/>
    </row>
    <row r="1673" spans="1:7" ht="13">
      <c r="B1673" s="6" t="s">
        <v>10</v>
      </c>
      <c r="C1673" s="39"/>
      <c r="D1673" s="39"/>
      <c r="E1673" s="39"/>
      <c r="F1673" s="39"/>
      <c r="G1673" s="50"/>
    </row>
    <row r="1674" spans="1:7" ht="13">
      <c r="B1674" s="49" t="s">
        <v>18</v>
      </c>
      <c r="C1674" s="37"/>
      <c r="D1674" s="37"/>
      <c r="E1674" s="37"/>
      <c r="F1674" s="37"/>
      <c r="G1674" s="92"/>
    </row>
    <row r="1675" spans="1:7" ht="13">
      <c r="B1675" s="49"/>
      <c r="C1675" s="37"/>
      <c r="D1675" s="92"/>
      <c r="E1675" s="37"/>
      <c r="F1675" s="37"/>
      <c r="G1675" s="92"/>
    </row>
    <row r="1676" spans="1:7" ht="14">
      <c r="A1676" s="10" t="s">
        <v>2</v>
      </c>
      <c r="B1676" s="39"/>
      <c r="C1676" s="39"/>
      <c r="D1676" s="39"/>
      <c r="E1676" s="53"/>
      <c r="F1676" s="37" t="s">
        <v>3</v>
      </c>
      <c r="G1676" s="37"/>
    </row>
    <row r="1677" spans="1:7" ht="14">
      <c r="A1677" s="7" t="s">
        <v>4</v>
      </c>
      <c r="B1677" s="39"/>
      <c r="C1677" s="6"/>
      <c r="D1677" s="39"/>
      <c r="E1677" s="53"/>
      <c r="F1677" s="39" t="s">
        <v>7</v>
      </c>
      <c r="G1677" s="39"/>
    </row>
    <row r="1678" spans="1:7" ht="14">
      <c r="A1678" s="11" t="s">
        <v>5</v>
      </c>
      <c r="B1678" s="6"/>
      <c r="C1678" s="6"/>
      <c r="D1678" s="39"/>
      <c r="E1678" s="53"/>
      <c r="F1678" s="39" t="s">
        <v>8</v>
      </c>
      <c r="G1678" s="39"/>
    </row>
    <row r="1679" spans="1:7" ht="14">
      <c r="A1679" s="11"/>
      <c r="B1679" s="6"/>
      <c r="C1679" s="53"/>
      <c r="D1679" s="37" t="s">
        <v>6</v>
      </c>
      <c r="E1679" s="6"/>
      <c r="F1679" s="6"/>
      <c r="G1679" s="6"/>
    </row>
    <row r="1680" spans="1:7" ht="14.5">
      <c r="A1680" s="90"/>
      <c r="B1680" s="39"/>
      <c r="C1680" s="53"/>
      <c r="D1680" s="39" t="s">
        <v>15</v>
      </c>
      <c r="E1680" s="37"/>
      <c r="F1680" s="37"/>
      <c r="G1680" s="37"/>
    </row>
    <row r="1681" spans="1:7" ht="14.5">
      <c r="A1681" s="90"/>
      <c r="B1681" s="39"/>
      <c r="C1681" s="53"/>
      <c r="D1681" s="39" t="s">
        <v>9</v>
      </c>
      <c r="E1681" s="37"/>
      <c r="F1681" s="92"/>
      <c r="G1681" s="37"/>
    </row>
    <row r="1684" spans="1:7" ht="15.5">
      <c r="B1684" s="1"/>
      <c r="C1684" s="1"/>
      <c r="D1684" s="1"/>
      <c r="E1684" s="1"/>
      <c r="F1684" s="1"/>
      <c r="G1684" s="1"/>
    </row>
    <row r="1685" spans="1:7" ht="15.5">
      <c r="B1685" s="1"/>
      <c r="C1685" s="1"/>
      <c r="D1685" s="1"/>
      <c r="E1685" s="1"/>
      <c r="F1685" s="1"/>
      <c r="G1685" s="1"/>
    </row>
    <row r="1686" spans="1:7">
      <c r="B1686" s="79" t="s">
        <v>392</v>
      </c>
      <c r="C1686" s="20"/>
      <c r="E1686" s="20"/>
      <c r="F1686" s="20"/>
      <c r="G1686" s="20"/>
    </row>
    <row r="1687" spans="1:7">
      <c r="B1687" s="79" t="s">
        <v>583</v>
      </c>
      <c r="C1687" s="20"/>
      <c r="E1687" s="20"/>
      <c r="F1687" s="20"/>
      <c r="G1687" s="20"/>
    </row>
    <row r="1688" spans="1:7">
      <c r="B1688" s="79" t="s">
        <v>393</v>
      </c>
      <c r="C1688" s="20"/>
      <c r="E1688" s="20"/>
      <c r="F1688" s="20"/>
      <c r="G1688" s="20"/>
    </row>
    <row r="1689" spans="1:7">
      <c r="B1689" s="79" t="s">
        <v>624</v>
      </c>
      <c r="C1689" s="20"/>
      <c r="E1689" s="20"/>
      <c r="F1689" s="20"/>
      <c r="G1689" s="30"/>
    </row>
    <row r="1690" spans="1:7">
      <c r="B1690" s="19" t="s">
        <v>49</v>
      </c>
      <c r="C1690" s="20"/>
      <c r="E1690" s="20"/>
      <c r="G1690" s="80"/>
    </row>
    <row r="1691" spans="1:7">
      <c r="B1691" s="79" t="s">
        <v>593</v>
      </c>
      <c r="C1691" s="20"/>
      <c r="E1691" s="20"/>
      <c r="F1691" s="20"/>
      <c r="G1691" s="30"/>
    </row>
    <row r="1692" spans="1:7">
      <c r="B1692" s="19" t="s">
        <v>394</v>
      </c>
      <c r="C1692" s="20"/>
      <c r="E1692" s="20"/>
      <c r="F1692" s="20"/>
      <c r="G1692" s="30"/>
    </row>
    <row r="1693" spans="1:7">
      <c r="B1693" s="79" t="s">
        <v>594</v>
      </c>
      <c r="C1693" s="20"/>
      <c r="E1693" s="20"/>
      <c r="F1693" s="20"/>
      <c r="G1693" s="30"/>
    </row>
    <row r="1694" spans="1:7">
      <c r="B1694" s="79" t="s">
        <v>50</v>
      </c>
      <c r="C1694" s="20"/>
      <c r="E1694" s="20"/>
      <c r="F1694" s="20"/>
      <c r="G1694" s="30"/>
    </row>
    <row r="1695" spans="1:7">
      <c r="B1695" s="79" t="s">
        <v>623</v>
      </c>
      <c r="C1695" s="20"/>
      <c r="E1695" s="20"/>
      <c r="F1695" s="20"/>
      <c r="G1695" s="30"/>
    </row>
    <row r="1696" spans="1:7">
      <c r="B1696" s="79" t="s">
        <v>395</v>
      </c>
      <c r="C1696" s="20"/>
      <c r="E1696" s="20"/>
      <c r="F1696" s="20"/>
      <c r="G1696" s="30"/>
    </row>
    <row r="1697" spans="1:7">
      <c r="B1697" s="79" t="s">
        <v>625</v>
      </c>
      <c r="C1697" s="20"/>
      <c r="E1697" s="20"/>
      <c r="F1697" s="20"/>
      <c r="G1697" s="30"/>
    </row>
    <row r="1698" spans="1:7" ht="34.5">
      <c r="A1698" s="21" t="s">
        <v>179</v>
      </c>
      <c r="B1698" s="22" t="s">
        <v>0</v>
      </c>
      <c r="C1698" s="23" t="s">
        <v>379</v>
      </c>
      <c r="D1698" s="23" t="s">
        <v>32</v>
      </c>
      <c r="E1698" s="23" t="s">
        <v>278</v>
      </c>
      <c r="F1698" s="23" t="s">
        <v>38</v>
      </c>
      <c r="G1698" s="23" t="s">
        <v>14</v>
      </c>
    </row>
    <row r="1699" spans="1:7" ht="23">
      <c r="A1699" s="24">
        <v>1</v>
      </c>
      <c r="B1699" s="98" t="s">
        <v>605</v>
      </c>
      <c r="C1699" s="26">
        <v>0</v>
      </c>
      <c r="D1699" s="26">
        <v>0</v>
      </c>
      <c r="E1699" s="26">
        <v>0</v>
      </c>
      <c r="F1699" s="26">
        <v>1000000</v>
      </c>
      <c r="G1699" s="124" t="s">
        <v>626</v>
      </c>
    </row>
    <row r="1700" spans="1:7" ht="34.5">
      <c r="A1700" s="24">
        <v>2</v>
      </c>
      <c r="B1700" s="51" t="s">
        <v>631</v>
      </c>
      <c r="C1700" s="26">
        <v>14131998</v>
      </c>
      <c r="D1700" s="26">
        <v>0</v>
      </c>
      <c r="E1700" s="26">
        <v>0</v>
      </c>
      <c r="F1700" s="26">
        <v>0</v>
      </c>
      <c r="G1700" s="125" t="s">
        <v>607</v>
      </c>
    </row>
    <row r="1701" spans="1:7" ht="23">
      <c r="A1701" s="24">
        <v>3</v>
      </c>
      <c r="B1701" s="51" t="s">
        <v>608</v>
      </c>
      <c r="C1701" s="26">
        <v>0</v>
      </c>
      <c r="D1701" s="26">
        <v>0</v>
      </c>
      <c r="E1701" s="26">
        <v>0</v>
      </c>
      <c r="F1701" s="99">
        <v>600000</v>
      </c>
      <c r="G1701" s="100" t="s">
        <v>607</v>
      </c>
    </row>
    <row r="1702" spans="1:7">
      <c r="A1702" s="24">
        <v>4</v>
      </c>
      <c r="B1702" s="51" t="s">
        <v>615</v>
      </c>
      <c r="C1702" s="26">
        <v>0</v>
      </c>
      <c r="D1702" s="26">
        <v>0</v>
      </c>
      <c r="E1702" s="26">
        <v>0</v>
      </c>
      <c r="F1702" s="26">
        <v>107900000</v>
      </c>
      <c r="G1702" s="98" t="s">
        <v>609</v>
      </c>
    </row>
    <row r="1703" spans="1:7" ht="20" customHeight="1">
      <c r="A1703" s="24">
        <v>5</v>
      </c>
      <c r="B1703" s="51" t="s">
        <v>610</v>
      </c>
      <c r="C1703" s="26">
        <v>0</v>
      </c>
      <c r="D1703" s="26">
        <v>0</v>
      </c>
      <c r="E1703" s="26">
        <v>0</v>
      </c>
      <c r="F1703" s="26">
        <v>150000</v>
      </c>
      <c r="G1703" s="98" t="s">
        <v>629</v>
      </c>
    </row>
    <row r="1704" spans="1:7" ht="34.5">
      <c r="A1704" s="24">
        <v>6</v>
      </c>
      <c r="B1704" s="51" t="s">
        <v>627</v>
      </c>
      <c r="C1704" s="26">
        <v>0</v>
      </c>
      <c r="D1704" s="26">
        <v>0</v>
      </c>
      <c r="E1704" s="26">
        <v>0</v>
      </c>
      <c r="F1704" s="26">
        <v>41500</v>
      </c>
      <c r="G1704" s="98" t="s">
        <v>629</v>
      </c>
    </row>
    <row r="1705" spans="1:7" ht="46">
      <c r="A1705" s="24">
        <v>7</v>
      </c>
      <c r="B1705" s="51" t="s">
        <v>630</v>
      </c>
      <c r="C1705" s="26">
        <v>0</v>
      </c>
      <c r="D1705" s="26">
        <v>0</v>
      </c>
      <c r="E1705" s="26">
        <v>0</v>
      </c>
      <c r="F1705" s="26">
        <f>315000+45000+240000+367500</f>
        <v>967500</v>
      </c>
      <c r="G1705" s="98" t="s">
        <v>11</v>
      </c>
    </row>
    <row r="1706" spans="1:7" ht="23">
      <c r="A1706" s="24">
        <v>8</v>
      </c>
      <c r="B1706" s="51" t="s">
        <v>295</v>
      </c>
      <c r="C1706" s="72">
        <v>0</v>
      </c>
      <c r="D1706" s="26">
        <v>0</v>
      </c>
      <c r="E1706" s="26">
        <v>0</v>
      </c>
      <c r="F1706" s="26">
        <v>571500</v>
      </c>
      <c r="G1706" s="98" t="s">
        <v>617</v>
      </c>
    </row>
    <row r="1707" spans="1:7" ht="18" customHeight="1">
      <c r="A1707" s="24">
        <v>9</v>
      </c>
      <c r="B1707" s="51" t="s">
        <v>620</v>
      </c>
      <c r="C1707" s="72">
        <v>0</v>
      </c>
      <c r="D1707" s="26">
        <v>0</v>
      </c>
      <c r="E1707" s="26">
        <v>0</v>
      </c>
      <c r="F1707" s="26">
        <f>10000*2</f>
        <v>20000</v>
      </c>
      <c r="G1707" s="98" t="s">
        <v>11</v>
      </c>
    </row>
    <row r="1708" spans="1:7" ht="23">
      <c r="A1708" s="24">
        <v>10</v>
      </c>
      <c r="B1708" s="51" t="s">
        <v>621</v>
      </c>
      <c r="C1708" s="72">
        <v>0</v>
      </c>
      <c r="D1708" s="26">
        <v>0</v>
      </c>
      <c r="E1708" s="26">
        <v>0</v>
      </c>
      <c r="F1708" s="26">
        <f>313230*60%</f>
        <v>187938</v>
      </c>
      <c r="G1708" s="98" t="s">
        <v>622</v>
      </c>
    </row>
    <row r="1709" spans="1:7" ht="34.5">
      <c r="A1709" s="24">
        <v>11</v>
      </c>
      <c r="B1709" s="51" t="s">
        <v>628</v>
      </c>
      <c r="C1709" s="72">
        <v>0</v>
      </c>
      <c r="D1709" s="26">
        <v>0</v>
      </c>
      <c r="E1709" s="26">
        <v>0</v>
      </c>
      <c r="F1709" s="26">
        <v>1500000</v>
      </c>
      <c r="G1709" s="98" t="s">
        <v>11</v>
      </c>
    </row>
    <row r="1710" spans="1:7" ht="23">
      <c r="A1710" s="24"/>
      <c r="B1710" s="23" t="s">
        <v>1</v>
      </c>
      <c r="C1710" s="102">
        <f>SUM(C1699:C1709)</f>
        <v>14131998</v>
      </c>
      <c r="D1710" s="28">
        <f>SUM(D1699:D1709)</f>
        <v>0</v>
      </c>
      <c r="E1710" s="28">
        <v>0</v>
      </c>
      <c r="F1710" s="28">
        <f>SUM(F1699:F1705)</f>
        <v>110659000</v>
      </c>
      <c r="G1710" s="25"/>
    </row>
    <row r="1711" spans="1:7">
      <c r="A1711" s="104"/>
      <c r="B1711" s="126"/>
      <c r="C1711" s="127"/>
      <c r="D1711" s="128"/>
      <c r="E1711" s="128"/>
      <c r="F1711" s="128"/>
      <c r="G1711" s="129"/>
    </row>
    <row r="1712" spans="1:7" ht="16" customHeight="1">
      <c r="A1712" s="104"/>
      <c r="B1712" s="142" t="s">
        <v>632</v>
      </c>
      <c r="C1712" s="142"/>
      <c r="D1712" s="142"/>
      <c r="E1712" s="142"/>
      <c r="F1712" s="142"/>
      <c r="G1712" s="142"/>
    </row>
    <row r="1713" spans="1:7">
      <c r="B1713" s="5" t="s">
        <v>10</v>
      </c>
      <c r="C1713" s="20"/>
      <c r="E1713" s="20"/>
      <c r="F1713" s="20"/>
      <c r="G1713" s="30"/>
    </row>
    <row r="1714" spans="1:7">
      <c r="B1714" s="29" t="s">
        <v>20</v>
      </c>
      <c r="C1714" s="19"/>
      <c r="D1714" s="19"/>
      <c r="E1714" s="19"/>
      <c r="F1714" s="19"/>
      <c r="G1714" s="103"/>
    </row>
    <row r="1715" spans="1:7">
      <c r="B1715" s="29"/>
      <c r="C1715" s="19"/>
      <c r="D1715" s="103"/>
      <c r="E1715" s="19"/>
      <c r="F1715" s="19"/>
      <c r="G1715" s="103"/>
    </row>
    <row r="1716" spans="1:7">
      <c r="A1716" s="19" t="s">
        <v>2</v>
      </c>
      <c r="B1716" s="20"/>
      <c r="C1716" s="20"/>
      <c r="F1716" s="19" t="s">
        <v>3</v>
      </c>
      <c r="G1716" s="19"/>
    </row>
    <row r="1717" spans="1:7">
      <c r="A1717" s="20" t="s">
        <v>4</v>
      </c>
      <c r="B1717" s="20"/>
      <c r="C1717" s="5"/>
      <c r="F1717" s="20" t="s">
        <v>7</v>
      </c>
      <c r="G1717" s="20"/>
    </row>
    <row r="1718" spans="1:7">
      <c r="A1718" s="5" t="s">
        <v>5</v>
      </c>
      <c r="B1718" s="5"/>
      <c r="C1718" s="5"/>
      <c r="F1718" s="20" t="s">
        <v>8</v>
      </c>
      <c r="G1718" s="20"/>
    </row>
    <row r="1719" spans="1:7">
      <c r="A1719" s="5"/>
      <c r="B1719" s="5"/>
      <c r="D1719" s="19" t="s">
        <v>6</v>
      </c>
      <c r="E1719" s="5"/>
      <c r="F1719" s="5"/>
      <c r="G1719" s="5"/>
    </row>
    <row r="1720" spans="1:7">
      <c r="B1720" s="20"/>
      <c r="D1720" s="20" t="s">
        <v>15</v>
      </c>
      <c r="E1720" s="19"/>
      <c r="F1720" s="19"/>
      <c r="G1720" s="19"/>
    </row>
    <row r="1721" spans="1:7">
      <c r="B1721" s="20"/>
      <c r="D1721" s="20" t="s">
        <v>9</v>
      </c>
      <c r="E1721" s="19"/>
      <c r="F1721" s="103"/>
      <c r="G1721" s="19"/>
    </row>
    <row r="1722" spans="1:7">
      <c r="B1722" s="20"/>
      <c r="E1722" s="19"/>
      <c r="F1722" s="103"/>
      <c r="G1722" s="19"/>
    </row>
    <row r="1723" spans="1:7">
      <c r="B1723" s="20"/>
      <c r="E1723" s="19"/>
      <c r="F1723" s="103"/>
      <c r="G1723" s="19"/>
    </row>
    <row r="1724" spans="1:7">
      <c r="B1724" s="20"/>
      <c r="E1724" s="19"/>
      <c r="F1724" s="103"/>
      <c r="G1724" s="19"/>
    </row>
    <row r="1725" spans="1:7">
      <c r="B1725" s="20"/>
      <c r="E1725" s="19"/>
      <c r="F1725" s="103"/>
      <c r="G1725" s="19"/>
    </row>
    <row r="1726" spans="1:7">
      <c r="B1726" s="20"/>
      <c r="E1726" s="19"/>
      <c r="F1726" s="103"/>
      <c r="G1726" s="19"/>
    </row>
    <row r="1727" spans="1:7">
      <c r="B1727" s="20"/>
      <c r="E1727" s="19"/>
      <c r="F1727" s="103"/>
      <c r="G1727" s="19"/>
    </row>
    <row r="1729" spans="2:9">
      <c r="I1729" s="122"/>
    </row>
    <row r="1731" spans="2:9" ht="15.5">
      <c r="B1731" s="1"/>
      <c r="C1731" s="1"/>
      <c r="D1731" s="1"/>
      <c r="E1731" s="1"/>
      <c r="F1731" s="1"/>
      <c r="G1731" s="1"/>
    </row>
    <row r="1732" spans="2:9" ht="15.5">
      <c r="B1732" s="1"/>
      <c r="C1732" s="1"/>
      <c r="D1732" s="1"/>
      <c r="E1732" s="1"/>
      <c r="F1732" s="1"/>
      <c r="G1732" s="1"/>
    </row>
    <row r="1733" spans="2:9" ht="15.5">
      <c r="B1733" s="38" t="s">
        <v>318</v>
      </c>
      <c r="C1733" s="39"/>
      <c r="D1733" s="39"/>
      <c r="E1733" s="39"/>
      <c r="F1733" s="39"/>
      <c r="G1733" s="1"/>
    </row>
    <row r="1734" spans="2:9" ht="15.5">
      <c r="B1734" s="38" t="s">
        <v>583</v>
      </c>
      <c r="C1734" s="39"/>
      <c r="D1734" s="39"/>
      <c r="E1734" s="39"/>
      <c r="F1734" s="39"/>
      <c r="G1734" s="1"/>
    </row>
    <row r="1735" spans="2:9" ht="15.5">
      <c r="B1735" s="38" t="s">
        <v>319</v>
      </c>
      <c r="C1735" s="39"/>
      <c r="D1735" s="39"/>
      <c r="E1735" s="39"/>
      <c r="F1735" s="39"/>
      <c r="G1735" s="1"/>
    </row>
    <row r="1736" spans="2:9" ht="15.5">
      <c r="B1736" s="38" t="s">
        <v>624</v>
      </c>
      <c r="C1736" s="39"/>
      <c r="D1736" s="39"/>
      <c r="E1736" s="39"/>
      <c r="F1736" s="39"/>
      <c r="G1736" s="17"/>
    </row>
    <row r="1737" spans="2:9" ht="15.5">
      <c r="B1737" s="37" t="s">
        <v>320</v>
      </c>
      <c r="C1737" s="39"/>
      <c r="D1737" s="39"/>
      <c r="E1737" s="39"/>
      <c r="G1737" s="77"/>
    </row>
    <row r="1738" spans="2:9" ht="15.5">
      <c r="B1738" s="38" t="s">
        <v>593</v>
      </c>
      <c r="C1738" s="39"/>
      <c r="D1738" s="39"/>
      <c r="E1738" s="39"/>
      <c r="F1738" s="39"/>
      <c r="G1738" s="17"/>
    </row>
    <row r="1739" spans="2:9" ht="15.5">
      <c r="B1739" s="37" t="s">
        <v>321</v>
      </c>
      <c r="C1739" s="39"/>
      <c r="D1739" s="39"/>
      <c r="E1739" s="39"/>
      <c r="F1739" s="39"/>
      <c r="G1739" s="17"/>
    </row>
    <row r="1740" spans="2:9" ht="15.5">
      <c r="B1740" s="38" t="s">
        <v>594</v>
      </c>
      <c r="C1740" s="39"/>
      <c r="D1740" s="39"/>
      <c r="E1740" s="39"/>
      <c r="F1740" s="39"/>
      <c r="G1740" s="17"/>
    </row>
    <row r="1741" spans="2:9" ht="15.5">
      <c r="B1741" s="38" t="s">
        <v>322</v>
      </c>
      <c r="C1741" s="39"/>
      <c r="D1741" s="39"/>
      <c r="E1741" s="39"/>
      <c r="F1741" s="39"/>
      <c r="G1741" s="17"/>
    </row>
    <row r="1742" spans="2:9" ht="15.5">
      <c r="B1742" s="38" t="s">
        <v>623</v>
      </c>
      <c r="C1742" s="39"/>
      <c r="D1742" s="39"/>
      <c r="E1742" s="39"/>
      <c r="F1742" s="39"/>
      <c r="G1742" s="17"/>
    </row>
    <row r="1743" spans="2:9" ht="15.5">
      <c r="B1743" s="38" t="s">
        <v>323</v>
      </c>
      <c r="C1743" s="39"/>
      <c r="D1743" s="39"/>
      <c r="E1743" s="39"/>
      <c r="F1743" s="39"/>
      <c r="G1743" s="17"/>
    </row>
    <row r="1744" spans="2:9" ht="15.5">
      <c r="B1744" s="38" t="s">
        <v>625</v>
      </c>
      <c r="C1744" s="39"/>
      <c r="D1744" s="39"/>
      <c r="E1744" s="39"/>
      <c r="F1744" s="39"/>
      <c r="G1744" s="17"/>
    </row>
    <row r="1745" spans="1:7" ht="56">
      <c r="A1745" s="31" t="s">
        <v>179</v>
      </c>
      <c r="B1745" s="32" t="s">
        <v>0</v>
      </c>
      <c r="C1745" s="33" t="s">
        <v>379</v>
      </c>
      <c r="D1745" s="33" t="s">
        <v>32</v>
      </c>
      <c r="E1745" s="33" t="s">
        <v>278</v>
      </c>
      <c r="F1745" s="33" t="s">
        <v>38</v>
      </c>
      <c r="G1745" s="33" t="s">
        <v>14</v>
      </c>
    </row>
    <row r="1746" spans="1:7" ht="26">
      <c r="A1746" s="43">
        <v>1</v>
      </c>
      <c r="B1746" s="44" t="s">
        <v>605</v>
      </c>
      <c r="C1746" s="45">
        <v>0</v>
      </c>
      <c r="D1746" s="45">
        <v>0</v>
      </c>
      <c r="E1746" s="15">
        <v>0</v>
      </c>
      <c r="F1746" s="15">
        <v>1000000</v>
      </c>
      <c r="G1746" s="123" t="s">
        <v>626</v>
      </c>
    </row>
    <row r="1747" spans="1:7" ht="26">
      <c r="A1747" s="43">
        <v>2</v>
      </c>
      <c r="B1747" s="48" t="s">
        <v>606</v>
      </c>
      <c r="C1747" s="45">
        <v>13071998</v>
      </c>
      <c r="D1747" s="45">
        <v>0</v>
      </c>
      <c r="E1747" s="15">
        <v>0</v>
      </c>
      <c r="F1747" s="15">
        <v>0</v>
      </c>
      <c r="G1747" s="121" t="s">
        <v>607</v>
      </c>
    </row>
    <row r="1748" spans="1:7" ht="42">
      <c r="A1748" s="43">
        <v>3</v>
      </c>
      <c r="B1748" s="56" t="s">
        <v>608</v>
      </c>
      <c r="C1748" s="45">
        <v>0</v>
      </c>
      <c r="D1748" s="45">
        <v>0</v>
      </c>
      <c r="E1748" s="15">
        <v>0</v>
      </c>
      <c r="F1748" s="75">
        <v>600000</v>
      </c>
      <c r="G1748" s="78" t="s">
        <v>607</v>
      </c>
    </row>
    <row r="1749" spans="1:7" ht="26">
      <c r="A1749" s="43">
        <v>4</v>
      </c>
      <c r="B1749" s="48" t="s">
        <v>615</v>
      </c>
      <c r="C1749" s="45">
        <v>0</v>
      </c>
      <c r="D1749" s="45">
        <v>0</v>
      </c>
      <c r="E1749" s="45">
        <v>0</v>
      </c>
      <c r="F1749" s="45">
        <v>107900000</v>
      </c>
      <c r="G1749" s="44" t="s">
        <v>609</v>
      </c>
    </row>
    <row r="1750" spans="1:7" ht="26">
      <c r="A1750" s="43">
        <v>5</v>
      </c>
      <c r="B1750" s="48" t="s">
        <v>610</v>
      </c>
      <c r="C1750" s="45">
        <v>0</v>
      </c>
      <c r="D1750" s="45">
        <v>0</v>
      </c>
      <c r="E1750" s="45">
        <v>0</v>
      </c>
      <c r="F1750" s="15">
        <v>150000</v>
      </c>
      <c r="G1750" s="44" t="s">
        <v>629</v>
      </c>
    </row>
    <row r="1751" spans="1:7" ht="52">
      <c r="A1751" s="43">
        <v>6</v>
      </c>
      <c r="B1751" s="48" t="s">
        <v>611</v>
      </c>
      <c r="C1751" s="45">
        <v>0</v>
      </c>
      <c r="D1751" s="45">
        <v>0</v>
      </c>
      <c r="E1751" s="45">
        <v>0</v>
      </c>
      <c r="F1751" s="45">
        <v>60000</v>
      </c>
      <c r="G1751" s="44" t="s">
        <v>612</v>
      </c>
    </row>
    <row r="1752" spans="1:7" ht="39">
      <c r="A1752" s="43">
        <v>7</v>
      </c>
      <c r="B1752" s="48" t="s">
        <v>627</v>
      </c>
      <c r="C1752" s="45">
        <v>0</v>
      </c>
      <c r="D1752" s="45">
        <v>0</v>
      </c>
      <c r="E1752" s="45">
        <v>0</v>
      </c>
      <c r="F1752" s="45">
        <v>41500</v>
      </c>
      <c r="G1752" s="44" t="s">
        <v>629</v>
      </c>
    </row>
    <row r="1753" spans="1:7" ht="52">
      <c r="A1753" s="43">
        <v>8</v>
      </c>
      <c r="B1753" s="48" t="s">
        <v>616</v>
      </c>
      <c r="C1753" s="45">
        <v>0</v>
      </c>
      <c r="D1753" s="45">
        <v>0</v>
      </c>
      <c r="E1753" s="45">
        <v>0</v>
      </c>
      <c r="F1753" s="45">
        <f>315000+45000+240000+367500</f>
        <v>967500</v>
      </c>
      <c r="G1753" s="44" t="s">
        <v>11</v>
      </c>
    </row>
    <row r="1754" spans="1:7" ht="26">
      <c r="A1754" s="43">
        <v>9</v>
      </c>
      <c r="B1754" s="48" t="s">
        <v>295</v>
      </c>
      <c r="C1754" s="71">
        <v>0</v>
      </c>
      <c r="D1754" s="45">
        <v>0</v>
      </c>
      <c r="E1754" s="45">
        <v>0</v>
      </c>
      <c r="F1754" s="45">
        <v>571500</v>
      </c>
      <c r="G1754" s="44" t="s">
        <v>617</v>
      </c>
    </row>
    <row r="1755" spans="1:7" ht="52">
      <c r="A1755" s="43">
        <v>10</v>
      </c>
      <c r="B1755" s="48" t="s">
        <v>618</v>
      </c>
      <c r="C1755" s="71">
        <v>0</v>
      </c>
      <c r="D1755" s="45">
        <v>0</v>
      </c>
      <c r="E1755" s="45">
        <v>0</v>
      </c>
      <c r="F1755" s="45">
        <v>60000</v>
      </c>
      <c r="G1755" s="44" t="s">
        <v>619</v>
      </c>
    </row>
    <row r="1756" spans="1:7" ht="26">
      <c r="A1756" s="43">
        <v>11</v>
      </c>
      <c r="B1756" s="48" t="s">
        <v>620</v>
      </c>
      <c r="C1756" s="71">
        <v>0</v>
      </c>
      <c r="D1756" s="45">
        <v>0</v>
      </c>
      <c r="E1756" s="45">
        <v>0</v>
      </c>
      <c r="F1756" s="45">
        <f>10000*2</f>
        <v>20000</v>
      </c>
      <c r="G1756" s="44" t="s">
        <v>11</v>
      </c>
    </row>
    <row r="1757" spans="1:7" ht="26">
      <c r="A1757" s="43">
        <v>12</v>
      </c>
      <c r="B1757" s="48" t="s">
        <v>621</v>
      </c>
      <c r="C1757" s="71">
        <v>0</v>
      </c>
      <c r="D1757" s="45">
        <v>0</v>
      </c>
      <c r="E1757" s="45">
        <v>0</v>
      </c>
      <c r="F1757" s="45">
        <f>313230*60%</f>
        <v>187938</v>
      </c>
      <c r="G1757" s="44" t="s">
        <v>622</v>
      </c>
    </row>
    <row r="1758" spans="1:7" ht="39">
      <c r="A1758" s="43">
        <v>13</v>
      </c>
      <c r="B1758" s="48" t="s">
        <v>628</v>
      </c>
      <c r="C1758" s="71">
        <v>0</v>
      </c>
      <c r="D1758" s="45">
        <v>0</v>
      </c>
      <c r="E1758" s="45">
        <v>0</v>
      </c>
      <c r="F1758" s="45">
        <v>500000</v>
      </c>
      <c r="G1758" s="44" t="s">
        <v>11</v>
      </c>
    </row>
    <row r="1759" spans="1:7" ht="26">
      <c r="A1759" s="34"/>
      <c r="B1759" s="42" t="s">
        <v>1</v>
      </c>
      <c r="C1759" s="89">
        <f>SUM(C1746:C1758)</f>
        <v>13071998</v>
      </c>
      <c r="D1759" s="35">
        <f>SUM(D1746:D1758)</f>
        <v>0</v>
      </c>
      <c r="E1759" s="35">
        <v>0</v>
      </c>
      <c r="F1759" s="35">
        <f>SUM(F1746:F1753)</f>
        <v>110719000</v>
      </c>
      <c r="G1759" s="46"/>
    </row>
    <row r="1760" spans="1:7" ht="13">
      <c r="B1760" s="6" t="s">
        <v>10</v>
      </c>
      <c r="C1760" s="39"/>
      <c r="D1760" s="39"/>
      <c r="E1760" s="39"/>
      <c r="F1760" s="39"/>
      <c r="G1760" s="50"/>
    </row>
    <row r="1761" spans="1:7" ht="13">
      <c r="B1761" s="49" t="s">
        <v>20</v>
      </c>
      <c r="C1761" s="37"/>
      <c r="D1761" s="37"/>
      <c r="E1761" s="37"/>
      <c r="F1761" s="37"/>
      <c r="G1761" s="92"/>
    </row>
    <row r="1762" spans="1:7" ht="13">
      <c r="B1762" s="49"/>
      <c r="C1762" s="37"/>
      <c r="D1762" s="92"/>
      <c r="E1762" s="37"/>
      <c r="F1762" s="37"/>
      <c r="G1762" s="92"/>
    </row>
    <row r="1763" spans="1:7" ht="14">
      <c r="A1763" s="10" t="s">
        <v>2</v>
      </c>
      <c r="B1763" s="39"/>
      <c r="C1763" s="39"/>
      <c r="D1763" s="39"/>
      <c r="E1763" s="53"/>
      <c r="F1763" s="37" t="s">
        <v>3</v>
      </c>
      <c r="G1763" s="37"/>
    </row>
    <row r="1764" spans="1:7" ht="14">
      <c r="A1764" s="7" t="s">
        <v>4</v>
      </c>
      <c r="B1764" s="39"/>
      <c r="C1764" s="6"/>
      <c r="D1764" s="39"/>
      <c r="E1764" s="53"/>
      <c r="F1764" s="39" t="s">
        <v>7</v>
      </c>
      <c r="G1764" s="39"/>
    </row>
    <row r="1765" spans="1:7" ht="14">
      <c r="A1765" s="11" t="s">
        <v>5</v>
      </c>
      <c r="B1765" s="6"/>
      <c r="C1765" s="6"/>
      <c r="D1765" s="39"/>
      <c r="E1765" s="53"/>
      <c r="F1765" s="39" t="s">
        <v>8</v>
      </c>
      <c r="G1765" s="39"/>
    </row>
    <row r="1766" spans="1:7" ht="14">
      <c r="A1766" s="11"/>
      <c r="B1766" s="6"/>
      <c r="C1766" s="53"/>
      <c r="D1766" s="37" t="s">
        <v>6</v>
      </c>
      <c r="E1766" s="6"/>
      <c r="F1766" s="6"/>
      <c r="G1766" s="6"/>
    </row>
    <row r="1767" spans="1:7" ht="14.5">
      <c r="A1767" s="90"/>
      <c r="B1767" s="39"/>
      <c r="C1767" s="53"/>
      <c r="D1767" s="39" t="s">
        <v>15</v>
      </c>
      <c r="E1767" s="37"/>
      <c r="F1767" s="37"/>
      <c r="G1767" s="37"/>
    </row>
    <row r="1768" spans="1:7" ht="14.5">
      <c r="A1768" s="90"/>
      <c r="B1768" s="39"/>
      <c r="C1768" s="53"/>
      <c r="D1768" s="39" t="s">
        <v>9</v>
      </c>
      <c r="E1768" s="37"/>
      <c r="F1768" s="92"/>
      <c r="G1768" s="37"/>
    </row>
    <row r="1769" spans="1:7" ht="14.5">
      <c r="A1769" s="90"/>
      <c r="B1769" s="39"/>
      <c r="C1769" s="53"/>
      <c r="D1769" s="39"/>
      <c r="E1769" s="37"/>
      <c r="F1769" s="92"/>
      <c r="G1769" s="37"/>
    </row>
    <row r="1770" spans="1:7" ht="14.5">
      <c r="A1770" s="90"/>
      <c r="B1770" s="39"/>
      <c r="C1770" s="53"/>
      <c r="D1770" s="39"/>
      <c r="E1770" s="37"/>
      <c r="F1770" s="92"/>
      <c r="G1770" s="37"/>
    </row>
    <row r="1771" spans="1:7" ht="14.5">
      <c r="A1771" s="90"/>
      <c r="B1771" s="39"/>
      <c r="C1771" s="53"/>
      <c r="D1771" s="39"/>
      <c r="E1771" s="37"/>
      <c r="F1771" s="92"/>
      <c r="G1771" s="37"/>
    </row>
    <row r="1772" spans="1:7" ht="14.5">
      <c r="A1772" s="90"/>
      <c r="B1772" s="39"/>
      <c r="C1772" s="53"/>
      <c r="D1772" s="39"/>
      <c r="E1772" s="37"/>
      <c r="F1772" s="92"/>
      <c r="G1772" s="37"/>
    </row>
    <row r="1773" spans="1:7" ht="14.5">
      <c r="A1773" s="90"/>
      <c r="B1773" s="39"/>
      <c r="C1773" s="53"/>
      <c r="D1773" s="39"/>
      <c r="E1773" s="37"/>
      <c r="F1773" s="92"/>
      <c r="G1773" s="37"/>
    </row>
    <row r="1774" spans="1:7" ht="14.5">
      <c r="A1774" s="90"/>
      <c r="B1774" s="39"/>
      <c r="C1774" s="53"/>
      <c r="D1774" s="39"/>
      <c r="E1774" s="37"/>
      <c r="F1774" s="92"/>
      <c r="G1774" s="37"/>
    </row>
    <row r="1775" spans="1:7" ht="14.5">
      <c r="A1775" s="90"/>
      <c r="B1775" s="39"/>
      <c r="C1775" s="53"/>
      <c r="D1775" s="39"/>
      <c r="E1775" s="37"/>
      <c r="F1775" s="92"/>
      <c r="G1775" s="37"/>
    </row>
    <row r="1776" spans="1:7" ht="14.5">
      <c r="A1776" s="90"/>
      <c r="B1776" s="39"/>
      <c r="C1776" s="53"/>
      <c r="D1776" s="39"/>
      <c r="E1776" s="37"/>
      <c r="F1776" s="92"/>
      <c r="G1776" s="37"/>
    </row>
    <row r="1777" spans="1:7" ht="14.5">
      <c r="A1777" s="90"/>
      <c r="B1777" s="39"/>
      <c r="C1777" s="53"/>
      <c r="D1777" s="39"/>
      <c r="E1777" s="37"/>
      <c r="F1777" s="92"/>
      <c r="G1777" s="37"/>
    </row>
    <row r="1778" spans="1:7" ht="14.5">
      <c r="A1778" s="90"/>
      <c r="B1778" s="39"/>
      <c r="C1778" s="53"/>
      <c r="D1778" s="39"/>
      <c r="E1778" s="37"/>
      <c r="F1778" s="92"/>
      <c r="G1778" s="37"/>
    </row>
    <row r="1779" spans="1:7" ht="14.5">
      <c r="A1779" s="90"/>
      <c r="B1779" s="39"/>
      <c r="C1779" s="53"/>
      <c r="D1779" s="39"/>
      <c r="E1779" s="37"/>
      <c r="F1779" s="92"/>
      <c r="G1779" s="37"/>
    </row>
    <row r="1780" spans="1:7" ht="14.5">
      <c r="A1780" s="90"/>
      <c r="B1780" s="39"/>
      <c r="C1780" s="53"/>
      <c r="D1780" s="39"/>
      <c r="E1780" s="37"/>
      <c r="F1780" s="92"/>
      <c r="G1780" s="37"/>
    </row>
    <row r="1781" spans="1:7" ht="14.5">
      <c r="A1781" s="90"/>
      <c r="B1781" s="39"/>
      <c r="C1781" s="53"/>
      <c r="D1781" s="39"/>
      <c r="E1781" s="37"/>
      <c r="F1781" s="92"/>
      <c r="G1781" s="37"/>
    </row>
    <row r="1782" spans="1:7" ht="14.5">
      <c r="A1782" s="90"/>
      <c r="B1782" s="39"/>
      <c r="C1782" s="53"/>
      <c r="D1782" s="39"/>
      <c r="E1782" s="37"/>
      <c r="F1782" s="92"/>
      <c r="G1782" s="37"/>
    </row>
    <row r="1783" spans="1:7" ht="14.5">
      <c r="A1783" s="90"/>
      <c r="B1783" s="39"/>
      <c r="C1783" s="53"/>
      <c r="D1783" s="39"/>
      <c r="E1783" s="37"/>
      <c r="F1783" s="92"/>
      <c r="G1783" s="37"/>
    </row>
    <row r="1784" spans="1:7" ht="14.5">
      <c r="A1784" s="90"/>
      <c r="B1784" s="39"/>
      <c r="C1784" s="53"/>
      <c r="D1784" s="39"/>
      <c r="E1784" s="37"/>
      <c r="F1784" s="92"/>
      <c r="G1784" s="37"/>
    </row>
    <row r="1785" spans="1:7" ht="14.5">
      <c r="A1785" s="90"/>
      <c r="B1785" s="39"/>
      <c r="C1785" s="53"/>
      <c r="D1785" s="39"/>
      <c r="E1785" s="37"/>
      <c r="F1785" s="92"/>
      <c r="G1785" s="37"/>
    </row>
    <row r="1786" spans="1:7" ht="14.5">
      <c r="A1786" s="90"/>
      <c r="B1786" s="39"/>
      <c r="C1786" s="53"/>
      <c r="D1786" s="39"/>
      <c r="E1786" s="37"/>
      <c r="F1786" s="92"/>
      <c r="G1786" s="37"/>
    </row>
    <row r="1787" spans="1:7" ht="14.5">
      <c r="A1787" s="90"/>
      <c r="B1787" s="39"/>
      <c r="C1787" s="53"/>
      <c r="D1787" s="39"/>
      <c r="E1787" s="37"/>
      <c r="F1787" s="92"/>
      <c r="G1787" s="37"/>
    </row>
    <row r="1788" spans="1:7" ht="14.5">
      <c r="A1788" s="90"/>
      <c r="B1788" s="39"/>
      <c r="C1788" s="53"/>
      <c r="D1788" s="39"/>
      <c r="E1788" s="37"/>
      <c r="F1788" s="92"/>
      <c r="G1788" s="37"/>
    </row>
    <row r="1789" spans="1:7" ht="14.5">
      <c r="A1789" s="90"/>
      <c r="B1789" s="39"/>
      <c r="C1789" s="53"/>
      <c r="D1789" s="39"/>
      <c r="E1789" s="37"/>
      <c r="F1789" s="92"/>
      <c r="G1789" s="37"/>
    </row>
    <row r="1790" spans="1:7" ht="14.5">
      <c r="A1790" s="90"/>
      <c r="B1790" s="39"/>
      <c r="C1790" s="53"/>
      <c r="D1790" s="39"/>
      <c r="E1790" s="37"/>
      <c r="F1790" s="92"/>
      <c r="G1790" s="37"/>
    </row>
    <row r="1791" spans="1:7" ht="14.5">
      <c r="A1791" s="90"/>
      <c r="B1791" s="39"/>
      <c r="C1791" s="53"/>
      <c r="D1791" s="39"/>
      <c r="E1791" s="37"/>
      <c r="F1791" s="92"/>
      <c r="G1791" s="37"/>
    </row>
    <row r="1792" spans="1:7" ht="14.5">
      <c r="A1792" s="90"/>
      <c r="B1792" s="39"/>
      <c r="C1792" s="53"/>
      <c r="D1792" s="39"/>
      <c r="E1792" s="37"/>
      <c r="F1792" s="92"/>
      <c r="G1792" s="37"/>
    </row>
    <row r="1793" spans="1:7" ht="14.5">
      <c r="A1793" s="90"/>
      <c r="B1793" s="39"/>
      <c r="C1793" s="53"/>
      <c r="D1793" s="39"/>
      <c r="E1793" s="37"/>
      <c r="F1793" s="92"/>
      <c r="G1793" s="37"/>
    </row>
    <row r="1794" spans="1:7" ht="14.5">
      <c r="A1794" s="90"/>
      <c r="B1794" s="39"/>
      <c r="C1794" s="53"/>
      <c r="D1794" s="39"/>
      <c r="E1794" s="37"/>
      <c r="F1794" s="92"/>
      <c r="G1794" s="37"/>
    </row>
    <row r="1795" spans="1:7" ht="14.5">
      <c r="A1795" s="90"/>
      <c r="B1795" s="39"/>
      <c r="C1795" s="53"/>
      <c r="D1795" s="39"/>
      <c r="E1795" s="37"/>
      <c r="F1795" s="92"/>
      <c r="G1795" s="37"/>
    </row>
    <row r="1796" spans="1:7" ht="14.5">
      <c r="A1796" s="90"/>
      <c r="B1796" s="39"/>
      <c r="C1796" s="53"/>
      <c r="D1796" s="39"/>
      <c r="E1796" s="37"/>
      <c r="F1796" s="92"/>
      <c r="G1796" s="37"/>
    </row>
    <row r="1797" spans="1:7" ht="14.5">
      <c r="A1797" s="90"/>
      <c r="B1797" s="39"/>
      <c r="C1797" s="53"/>
      <c r="D1797" s="39"/>
      <c r="E1797" s="37"/>
      <c r="F1797" s="92"/>
      <c r="G1797" s="37"/>
    </row>
    <row r="1798" spans="1:7" ht="14.5">
      <c r="A1798" s="90"/>
      <c r="B1798" s="39"/>
      <c r="C1798" s="53"/>
      <c r="D1798" s="39"/>
      <c r="E1798" s="37"/>
      <c r="F1798" s="92"/>
      <c r="G1798" s="37"/>
    </row>
    <row r="1799" spans="1:7" ht="14.5">
      <c r="A1799" s="90"/>
      <c r="B1799" s="39"/>
      <c r="C1799" s="53"/>
      <c r="D1799" s="39"/>
      <c r="E1799" s="37"/>
      <c r="F1799" s="92"/>
      <c r="G1799" s="37"/>
    </row>
    <row r="1800" spans="1:7" ht="14.5">
      <c r="A1800" s="90"/>
      <c r="B1800" s="39"/>
      <c r="C1800" s="53"/>
      <c r="D1800" s="39"/>
      <c r="E1800" s="37"/>
      <c r="F1800" s="92"/>
      <c r="G1800" s="37"/>
    </row>
    <row r="1801" spans="1:7" ht="14.5">
      <c r="A1801" s="90"/>
      <c r="B1801" s="39"/>
      <c r="C1801" s="53"/>
      <c r="D1801" s="39"/>
      <c r="E1801" s="37"/>
      <c r="F1801" s="92"/>
      <c r="G1801" s="37"/>
    </row>
    <row r="1802" spans="1:7" ht="14.5">
      <c r="A1802" s="90"/>
      <c r="B1802" s="39"/>
      <c r="C1802" s="53"/>
      <c r="D1802" s="39"/>
      <c r="E1802" s="37"/>
      <c r="F1802" s="92"/>
      <c r="G1802" s="37"/>
    </row>
    <row r="1803" spans="1:7" ht="14.5">
      <c r="A1803" s="90"/>
      <c r="B1803" s="39"/>
      <c r="C1803" s="53"/>
      <c r="D1803" s="39"/>
      <c r="E1803" s="37"/>
      <c r="F1803" s="92"/>
      <c r="G1803" s="37"/>
    </row>
    <row r="1806" spans="1:7" ht="15.5">
      <c r="B1806" s="1"/>
      <c r="C1806" s="1"/>
      <c r="D1806" s="1"/>
      <c r="E1806" s="1"/>
      <c r="F1806" s="1"/>
      <c r="G1806" s="1"/>
    </row>
    <row r="1807" spans="1:7" ht="15.5">
      <c r="B1807" s="1"/>
      <c r="C1807" s="1"/>
      <c r="D1807" s="1"/>
      <c r="E1807" s="1"/>
      <c r="F1807" s="1"/>
      <c r="G1807" s="1"/>
    </row>
    <row r="1808" spans="1:7" ht="15.5">
      <c r="B1808" s="38" t="s">
        <v>318</v>
      </c>
      <c r="C1808" s="39"/>
      <c r="D1808" s="39"/>
      <c r="E1808" s="39"/>
      <c r="F1808" s="39"/>
      <c r="G1808" s="1"/>
    </row>
    <row r="1809" spans="1:7" ht="15.5">
      <c r="B1809" s="38" t="s">
        <v>583</v>
      </c>
      <c r="C1809" s="39"/>
      <c r="D1809" s="39"/>
      <c r="E1809" s="39"/>
      <c r="F1809" s="39"/>
      <c r="G1809" s="1"/>
    </row>
    <row r="1810" spans="1:7" ht="15.5">
      <c r="B1810" s="38" t="s">
        <v>319</v>
      </c>
      <c r="C1810" s="39"/>
      <c r="D1810" s="39"/>
      <c r="E1810" s="39"/>
      <c r="F1810" s="39"/>
      <c r="G1810" s="1"/>
    </row>
    <row r="1811" spans="1:7" ht="15.5">
      <c r="B1811" s="38" t="s">
        <v>624</v>
      </c>
      <c r="C1811" s="39"/>
      <c r="D1811" s="39"/>
      <c r="E1811" s="39"/>
      <c r="F1811" s="39"/>
      <c r="G1811" s="17"/>
    </row>
    <row r="1812" spans="1:7" ht="15.5">
      <c r="B1812" s="37" t="s">
        <v>320</v>
      </c>
      <c r="C1812" s="39"/>
      <c r="D1812" s="39"/>
      <c r="E1812" s="39"/>
      <c r="G1812" s="77"/>
    </row>
    <row r="1813" spans="1:7" ht="15.5">
      <c r="B1813" s="38" t="s">
        <v>593</v>
      </c>
      <c r="C1813" s="39"/>
      <c r="D1813" s="39"/>
      <c r="E1813" s="39"/>
      <c r="F1813" s="39"/>
      <c r="G1813" s="17"/>
    </row>
    <row r="1814" spans="1:7" ht="15.5">
      <c r="B1814" s="37" t="s">
        <v>321</v>
      </c>
      <c r="C1814" s="39"/>
      <c r="D1814" s="39"/>
      <c r="E1814" s="39"/>
      <c r="F1814" s="39"/>
      <c r="G1814" s="17"/>
    </row>
    <row r="1815" spans="1:7" ht="15.5">
      <c r="B1815" s="38" t="s">
        <v>594</v>
      </c>
      <c r="C1815" s="39"/>
      <c r="D1815" s="39"/>
      <c r="E1815" s="39"/>
      <c r="F1815" s="39"/>
      <c r="G1815" s="17"/>
    </row>
    <row r="1816" spans="1:7" ht="15.5">
      <c r="B1816" s="38" t="s">
        <v>322</v>
      </c>
      <c r="C1816" s="39"/>
      <c r="D1816" s="39"/>
      <c r="E1816" s="39"/>
      <c r="F1816" s="39"/>
      <c r="G1816" s="17"/>
    </row>
    <row r="1817" spans="1:7" ht="15.5">
      <c r="B1817" s="38" t="s">
        <v>641</v>
      </c>
      <c r="C1817" s="39"/>
      <c r="D1817" s="39"/>
      <c r="E1817" s="39"/>
      <c r="F1817" s="39"/>
      <c r="G1817" s="17"/>
    </row>
    <row r="1818" spans="1:7" ht="15.5">
      <c r="B1818" s="38" t="s">
        <v>323</v>
      </c>
      <c r="C1818" s="39"/>
      <c r="D1818" s="39"/>
      <c r="E1818" s="39"/>
      <c r="F1818" s="39"/>
      <c r="G1818" s="17"/>
    </row>
    <row r="1819" spans="1:7" ht="15.5">
      <c r="B1819" s="38" t="s">
        <v>637</v>
      </c>
      <c r="C1819" s="39"/>
      <c r="D1819" s="39"/>
      <c r="E1819" s="39"/>
      <c r="F1819" s="39"/>
      <c r="G1819" s="17"/>
    </row>
    <row r="1820" spans="1:7" ht="56">
      <c r="A1820" s="31" t="s">
        <v>179</v>
      </c>
      <c r="B1820" s="32" t="s">
        <v>0</v>
      </c>
      <c r="C1820" s="33" t="s">
        <v>379</v>
      </c>
      <c r="D1820" s="33" t="s">
        <v>32</v>
      </c>
      <c r="E1820" s="33" t="s">
        <v>278</v>
      </c>
      <c r="F1820" s="33" t="s">
        <v>38</v>
      </c>
      <c r="G1820" s="33" t="s">
        <v>14</v>
      </c>
    </row>
    <row r="1821" spans="1:7" ht="26">
      <c r="A1821" s="43">
        <v>1</v>
      </c>
      <c r="B1821" s="44" t="s">
        <v>634</v>
      </c>
      <c r="C1821" s="45">
        <v>0</v>
      </c>
      <c r="D1821" s="45">
        <v>0</v>
      </c>
      <c r="E1821" s="15">
        <v>0</v>
      </c>
      <c r="F1821" s="15">
        <v>30000</v>
      </c>
      <c r="G1821" s="123" t="s">
        <v>43</v>
      </c>
    </row>
    <row r="1822" spans="1:7" ht="65">
      <c r="A1822" s="43">
        <v>2</v>
      </c>
      <c r="B1822" s="48" t="s">
        <v>638</v>
      </c>
      <c r="C1822" s="45">
        <v>0</v>
      </c>
      <c r="D1822" s="45">
        <v>0</v>
      </c>
      <c r="E1822" s="15">
        <v>0</v>
      </c>
      <c r="F1822" s="15">
        <f>24*700000</f>
        <v>16800000</v>
      </c>
      <c r="G1822" s="121" t="s">
        <v>633</v>
      </c>
    </row>
    <row r="1823" spans="1:7" ht="70">
      <c r="A1823" s="43">
        <v>3</v>
      </c>
      <c r="B1823" s="56" t="s">
        <v>635</v>
      </c>
      <c r="C1823" s="45">
        <v>0</v>
      </c>
      <c r="D1823" s="45">
        <v>0</v>
      </c>
      <c r="E1823" s="15">
        <v>0</v>
      </c>
      <c r="F1823" s="75">
        <v>22034520</v>
      </c>
      <c r="G1823" s="78" t="s">
        <v>636</v>
      </c>
    </row>
    <row r="1824" spans="1:7" ht="26">
      <c r="A1824" s="43">
        <v>4</v>
      </c>
      <c r="B1824" s="48" t="s">
        <v>639</v>
      </c>
      <c r="C1824" s="45">
        <v>0</v>
      </c>
      <c r="D1824" s="45">
        <v>0</v>
      </c>
      <c r="E1824" s="15">
        <v>0</v>
      </c>
      <c r="F1824" s="45">
        <v>1374164</v>
      </c>
      <c r="G1824" s="44" t="s">
        <v>27</v>
      </c>
    </row>
    <row r="1825" spans="1:7" ht="14">
      <c r="A1825" s="43"/>
      <c r="B1825" s="48"/>
      <c r="C1825" s="45"/>
      <c r="D1825" s="45"/>
      <c r="E1825" s="15"/>
      <c r="F1825" s="45"/>
      <c r="G1825" s="44"/>
    </row>
    <row r="1826" spans="1:7" ht="14">
      <c r="A1826" s="43"/>
      <c r="B1826" s="48"/>
      <c r="C1826" s="45"/>
      <c r="D1826" s="45"/>
      <c r="E1826" s="15"/>
      <c r="F1826" s="45"/>
      <c r="G1826" s="44"/>
    </row>
    <row r="1827" spans="1:7" ht="14">
      <c r="A1827" s="43"/>
      <c r="B1827" s="48"/>
      <c r="C1827" s="45"/>
      <c r="D1827" s="45"/>
      <c r="E1827" s="15"/>
      <c r="F1827" s="45"/>
      <c r="G1827" s="44"/>
    </row>
    <row r="1828" spans="1:7" ht="14">
      <c r="A1828" s="43"/>
      <c r="B1828" s="48"/>
      <c r="C1828" s="45"/>
      <c r="D1828" s="45"/>
      <c r="E1828" s="15"/>
      <c r="F1828" s="45"/>
      <c r="G1828" s="44"/>
    </row>
    <row r="1829" spans="1:7" ht="14">
      <c r="A1829" s="43"/>
      <c r="B1829" s="48"/>
      <c r="C1829" s="45"/>
      <c r="D1829" s="45"/>
      <c r="E1829" s="15"/>
      <c r="F1829" s="45"/>
      <c r="G1829" s="44"/>
    </row>
    <row r="1830" spans="1:7" ht="26">
      <c r="A1830" s="34"/>
      <c r="B1830" s="42" t="s">
        <v>1</v>
      </c>
      <c r="C1830" s="89">
        <f>SUM(C1821:C1829)</f>
        <v>0</v>
      </c>
      <c r="D1830" s="35">
        <f>SUM(D1821:D1829)</f>
        <v>0</v>
      </c>
      <c r="E1830" s="35">
        <v>0</v>
      </c>
      <c r="F1830" s="35">
        <f>SUM(F1821:F1829)</f>
        <v>40238684</v>
      </c>
      <c r="G1830" s="46"/>
    </row>
    <row r="1831" spans="1:7" ht="13">
      <c r="B1831" s="6" t="s">
        <v>10</v>
      </c>
      <c r="C1831" s="39"/>
      <c r="D1831" s="39"/>
      <c r="E1831" s="39"/>
      <c r="F1831" s="39"/>
      <c r="G1831" s="50"/>
    </row>
    <row r="1832" spans="1:7" ht="13">
      <c r="B1832" s="49" t="s">
        <v>640</v>
      </c>
      <c r="C1832" s="37"/>
      <c r="D1832" s="37"/>
      <c r="E1832" s="37"/>
      <c r="F1832" s="37"/>
      <c r="G1832" s="92"/>
    </row>
    <row r="1833" spans="1:7" ht="13">
      <c r="B1833" s="49"/>
      <c r="C1833" s="37"/>
      <c r="D1833" s="92"/>
      <c r="E1833" s="37"/>
      <c r="F1833" s="37"/>
      <c r="G1833" s="92"/>
    </row>
    <row r="1834" spans="1:7" ht="14">
      <c r="A1834" s="10" t="s">
        <v>2</v>
      </c>
      <c r="B1834" s="39"/>
      <c r="C1834" s="39"/>
      <c r="D1834" s="39"/>
      <c r="E1834" s="53"/>
      <c r="F1834" s="37" t="s">
        <v>3</v>
      </c>
      <c r="G1834" s="37"/>
    </row>
    <row r="1835" spans="1:7" ht="14">
      <c r="A1835" s="7" t="s">
        <v>4</v>
      </c>
      <c r="B1835" s="39"/>
      <c r="C1835" s="6"/>
      <c r="D1835" s="39"/>
      <c r="E1835" s="53"/>
      <c r="F1835" s="39" t="s">
        <v>7</v>
      </c>
      <c r="G1835" s="39"/>
    </row>
    <row r="1836" spans="1:7" ht="14">
      <c r="A1836" s="11" t="s">
        <v>5</v>
      </c>
      <c r="B1836" s="6"/>
      <c r="C1836" s="6"/>
      <c r="D1836" s="39"/>
      <c r="E1836" s="53"/>
      <c r="F1836" s="39" t="s">
        <v>8</v>
      </c>
      <c r="G1836" s="39"/>
    </row>
    <row r="1837" spans="1:7" ht="14">
      <c r="A1837" s="11"/>
      <c r="B1837" s="6"/>
      <c r="C1837" s="53"/>
      <c r="D1837" s="37" t="s">
        <v>6</v>
      </c>
      <c r="E1837" s="6"/>
      <c r="F1837" s="6"/>
      <c r="G1837" s="6"/>
    </row>
    <row r="1838" spans="1:7" ht="14.5">
      <c r="A1838" s="90"/>
      <c r="B1838" s="39"/>
      <c r="C1838" s="53"/>
      <c r="D1838" s="39" t="s">
        <v>15</v>
      </c>
      <c r="E1838" s="37"/>
      <c r="F1838" s="37"/>
      <c r="G1838" s="37"/>
    </row>
    <row r="1839" spans="1:7" ht="14.5">
      <c r="A1839" s="90"/>
      <c r="B1839" s="39"/>
      <c r="C1839" s="53"/>
      <c r="D1839" s="39" t="s">
        <v>9</v>
      </c>
      <c r="E1839" s="37"/>
      <c r="F1839" s="37"/>
      <c r="G1839" s="37"/>
    </row>
    <row r="1840" spans="1:7" ht="14.5">
      <c r="A1840" s="90"/>
      <c r="B1840" s="39"/>
      <c r="C1840" s="53"/>
      <c r="D1840" s="39"/>
      <c r="E1840" s="37"/>
      <c r="F1840" s="37"/>
      <c r="G1840" s="37"/>
    </row>
    <row r="1841" spans="1:7" ht="14.5">
      <c r="A1841" s="90"/>
      <c r="B1841" s="39"/>
      <c r="C1841" s="53"/>
      <c r="D1841" s="39"/>
      <c r="E1841" s="37"/>
      <c r="F1841" s="92"/>
      <c r="G1841" s="37"/>
    </row>
    <row r="1845" spans="1:7" ht="15.5">
      <c r="B1845" s="1"/>
      <c r="C1845" s="1"/>
      <c r="D1845" s="1"/>
      <c r="E1845" s="1"/>
      <c r="F1845" s="1"/>
      <c r="G1845" s="1"/>
    </row>
    <row r="1846" spans="1:7" ht="15.5">
      <c r="B1846" s="1"/>
      <c r="C1846" s="1"/>
      <c r="D1846" s="1"/>
      <c r="E1846" s="1"/>
      <c r="F1846" s="1"/>
      <c r="G1846" s="1"/>
    </row>
    <row r="1847" spans="1:7" ht="15.5">
      <c r="B1847" s="38" t="s">
        <v>318</v>
      </c>
      <c r="C1847" s="39"/>
      <c r="D1847" s="39"/>
      <c r="E1847" s="39"/>
      <c r="F1847" s="39"/>
      <c r="G1847" s="1"/>
    </row>
    <row r="1848" spans="1:7" ht="15.5">
      <c r="B1848" s="38" t="s">
        <v>583</v>
      </c>
      <c r="C1848" s="39"/>
      <c r="D1848" s="39"/>
      <c r="E1848" s="39"/>
      <c r="F1848" s="39"/>
      <c r="G1848" s="1"/>
    </row>
    <row r="1849" spans="1:7" ht="15.5">
      <c r="B1849" s="38" t="s">
        <v>319</v>
      </c>
      <c r="C1849" s="39"/>
      <c r="D1849" s="39"/>
      <c r="E1849" s="39"/>
      <c r="F1849" s="39"/>
      <c r="G1849" s="1"/>
    </row>
    <row r="1850" spans="1:7" ht="15.5">
      <c r="B1850" s="38" t="s">
        <v>624</v>
      </c>
      <c r="C1850" s="39"/>
      <c r="D1850" s="39"/>
      <c r="E1850" s="39"/>
      <c r="F1850" s="39"/>
      <c r="G1850" s="17"/>
    </row>
    <row r="1851" spans="1:7" ht="15.5">
      <c r="B1851" s="37" t="s">
        <v>320</v>
      </c>
      <c r="C1851" s="39"/>
      <c r="D1851" s="39"/>
      <c r="E1851" s="39"/>
      <c r="G1851" s="77"/>
    </row>
    <row r="1852" spans="1:7" ht="15.5">
      <c r="B1852" s="38" t="s">
        <v>593</v>
      </c>
      <c r="C1852" s="39"/>
      <c r="D1852" s="39"/>
      <c r="E1852" s="39"/>
      <c r="F1852" s="39"/>
      <c r="G1852" s="17"/>
    </row>
    <row r="1853" spans="1:7" ht="15.5">
      <c r="B1853" s="37" t="s">
        <v>321</v>
      </c>
      <c r="C1853" s="39"/>
      <c r="D1853" s="39"/>
      <c r="E1853" s="39"/>
      <c r="F1853" s="39"/>
      <c r="G1853" s="17"/>
    </row>
    <row r="1854" spans="1:7" ht="15.5">
      <c r="B1854" s="38" t="s">
        <v>594</v>
      </c>
      <c r="C1854" s="39"/>
      <c r="D1854" s="39"/>
      <c r="E1854" s="39"/>
      <c r="F1854" s="39"/>
      <c r="G1854" s="17"/>
    </row>
    <row r="1855" spans="1:7" ht="15.5">
      <c r="B1855" s="38" t="s">
        <v>322</v>
      </c>
      <c r="C1855" s="39"/>
      <c r="D1855" s="39"/>
      <c r="E1855" s="39"/>
      <c r="F1855" s="39"/>
      <c r="G1855" s="17"/>
    </row>
    <row r="1856" spans="1:7" ht="15.5">
      <c r="B1856" s="38" t="s">
        <v>647</v>
      </c>
      <c r="C1856" s="39"/>
      <c r="D1856" s="39"/>
      <c r="E1856" s="39"/>
      <c r="F1856" s="39"/>
      <c r="G1856" s="17"/>
    </row>
    <row r="1857" spans="1:7" ht="15.5">
      <c r="B1857" s="38" t="s">
        <v>323</v>
      </c>
      <c r="C1857" s="39"/>
      <c r="D1857" s="39"/>
      <c r="E1857" s="39"/>
      <c r="F1857" s="39"/>
      <c r="G1857" s="17"/>
    </row>
    <row r="1858" spans="1:7" ht="15.5">
      <c r="B1858" s="38" t="s">
        <v>637</v>
      </c>
      <c r="C1858" s="39"/>
      <c r="D1858" s="39"/>
      <c r="E1858" s="39"/>
      <c r="F1858" s="39"/>
      <c r="G1858" s="17"/>
    </row>
    <row r="1859" spans="1:7" ht="56">
      <c r="A1859" s="31" t="s">
        <v>179</v>
      </c>
      <c r="B1859" s="32" t="s">
        <v>0</v>
      </c>
      <c r="C1859" s="33" t="s">
        <v>379</v>
      </c>
      <c r="D1859" s="33" t="s">
        <v>32</v>
      </c>
      <c r="E1859" s="33" t="s">
        <v>278</v>
      </c>
      <c r="F1859" s="33" t="s">
        <v>38</v>
      </c>
      <c r="G1859" s="33" t="s">
        <v>14</v>
      </c>
    </row>
    <row r="1860" spans="1:7" ht="39">
      <c r="A1860" s="43">
        <v>1</v>
      </c>
      <c r="B1860" s="44" t="s">
        <v>642</v>
      </c>
      <c r="C1860" s="45">
        <v>0</v>
      </c>
      <c r="D1860" s="45">
        <v>0</v>
      </c>
      <c r="E1860" s="15">
        <v>0</v>
      </c>
      <c r="F1860" s="15">
        <v>1600000</v>
      </c>
      <c r="G1860" s="123" t="s">
        <v>132</v>
      </c>
    </row>
    <row r="1861" spans="1:7" ht="28">
      <c r="A1861" s="43">
        <v>2</v>
      </c>
      <c r="B1861" s="56" t="s">
        <v>19</v>
      </c>
      <c r="C1861" s="45">
        <v>0</v>
      </c>
      <c r="D1861" s="45">
        <v>0</v>
      </c>
      <c r="E1861" s="15">
        <v>0</v>
      </c>
      <c r="F1861" s="75">
        <v>150000</v>
      </c>
      <c r="G1861" s="78" t="s">
        <v>643</v>
      </c>
    </row>
    <row r="1862" spans="1:7" ht="26">
      <c r="A1862" s="43">
        <v>3</v>
      </c>
      <c r="B1862" s="48" t="s">
        <v>644</v>
      </c>
      <c r="C1862" s="45">
        <v>0</v>
      </c>
      <c r="D1862" s="45">
        <v>0</v>
      </c>
      <c r="E1862" s="15">
        <v>0</v>
      </c>
      <c r="F1862" s="45">
        <v>114071</v>
      </c>
      <c r="G1862" s="44" t="s">
        <v>381</v>
      </c>
    </row>
    <row r="1863" spans="1:7" ht="26">
      <c r="A1863" s="43">
        <v>4</v>
      </c>
      <c r="B1863" s="48" t="s">
        <v>380</v>
      </c>
      <c r="C1863" s="45">
        <v>0</v>
      </c>
      <c r="D1863" s="45">
        <v>0</v>
      </c>
      <c r="E1863" s="15">
        <v>0</v>
      </c>
      <c r="F1863" s="45">
        <v>12000</v>
      </c>
      <c r="G1863" s="44" t="s">
        <v>35</v>
      </c>
    </row>
    <row r="1864" spans="1:7" ht="52">
      <c r="A1864" s="43">
        <v>5</v>
      </c>
      <c r="B1864" s="48" t="s">
        <v>645</v>
      </c>
      <c r="C1864" s="45">
        <v>0</v>
      </c>
      <c r="D1864" s="45">
        <v>0</v>
      </c>
      <c r="E1864" s="15">
        <v>0</v>
      </c>
      <c r="F1864" s="45">
        <v>400000</v>
      </c>
      <c r="G1864" s="44" t="s">
        <v>646</v>
      </c>
    </row>
    <row r="1865" spans="1:7" ht="14">
      <c r="A1865" s="43"/>
      <c r="B1865" s="48"/>
      <c r="C1865" s="45"/>
      <c r="D1865" s="45"/>
      <c r="E1865" s="15"/>
      <c r="F1865" s="45"/>
      <c r="G1865" s="44"/>
    </row>
    <row r="1866" spans="1:7" ht="14">
      <c r="A1866" s="43"/>
      <c r="B1866" s="48"/>
      <c r="C1866" s="45"/>
      <c r="D1866" s="45"/>
      <c r="E1866" s="15"/>
      <c r="F1866" s="45"/>
      <c r="G1866" s="44"/>
    </row>
    <row r="1867" spans="1:7" ht="26">
      <c r="A1867" s="34"/>
      <c r="B1867" s="42" t="s">
        <v>1</v>
      </c>
      <c r="C1867" s="89">
        <f>SUM(C1860:C1866)</f>
        <v>0</v>
      </c>
      <c r="D1867" s="35">
        <f>SUM(D1860:D1866)</f>
        <v>0</v>
      </c>
      <c r="E1867" s="35">
        <v>0</v>
      </c>
      <c r="F1867" s="35">
        <f>SUM(F1860:F1866)</f>
        <v>2276071</v>
      </c>
      <c r="G1867" s="46"/>
    </row>
    <row r="1868" spans="1:7" ht="13">
      <c r="B1868" s="6" t="s">
        <v>10</v>
      </c>
      <c r="C1868" s="39"/>
      <c r="D1868" s="39"/>
      <c r="E1868" s="39"/>
      <c r="F1868" s="39"/>
      <c r="G1868" s="50"/>
    </row>
    <row r="1869" spans="1:7" ht="13">
      <c r="B1869" s="49" t="s">
        <v>648</v>
      </c>
      <c r="C1869" s="37"/>
      <c r="D1869" s="37"/>
      <c r="E1869" s="37"/>
      <c r="F1869" s="37"/>
      <c r="G1869" s="92"/>
    </row>
    <row r="1870" spans="1:7" ht="13">
      <c r="B1870" s="49"/>
      <c r="C1870" s="37"/>
      <c r="D1870" s="92"/>
      <c r="E1870" s="37"/>
      <c r="F1870" s="37"/>
      <c r="G1870" s="92"/>
    </row>
    <row r="1871" spans="1:7" ht="14">
      <c r="A1871" s="10" t="s">
        <v>2</v>
      </c>
      <c r="B1871" s="39"/>
      <c r="C1871" s="39"/>
      <c r="D1871" s="39"/>
      <c r="E1871" s="53"/>
      <c r="F1871" s="37" t="s">
        <v>3</v>
      </c>
      <c r="G1871" s="37"/>
    </row>
    <row r="1872" spans="1:7" ht="14">
      <c r="A1872" s="7" t="s">
        <v>4</v>
      </c>
      <c r="B1872" s="39"/>
      <c r="C1872" s="6"/>
      <c r="D1872" s="39"/>
      <c r="E1872" s="53"/>
      <c r="F1872" s="39" t="s">
        <v>7</v>
      </c>
      <c r="G1872" s="39"/>
    </row>
    <row r="1873" spans="1:7" ht="14">
      <c r="A1873" s="11" t="s">
        <v>5</v>
      </c>
      <c r="B1873" s="6"/>
      <c r="C1873" s="6"/>
      <c r="D1873" s="39"/>
      <c r="E1873" s="53"/>
      <c r="F1873" s="39" t="s">
        <v>8</v>
      </c>
      <c r="G1873" s="39"/>
    </row>
    <row r="1874" spans="1:7" ht="14">
      <c r="A1874" s="11"/>
      <c r="B1874" s="6"/>
      <c r="C1874" s="53"/>
      <c r="D1874" s="37" t="s">
        <v>6</v>
      </c>
      <c r="E1874" s="6"/>
      <c r="F1874" s="6"/>
      <c r="G1874" s="6"/>
    </row>
    <row r="1875" spans="1:7" ht="14.5">
      <c r="A1875" s="90"/>
      <c r="B1875" s="39"/>
      <c r="C1875" s="53"/>
      <c r="D1875" s="39" t="s">
        <v>15</v>
      </c>
      <c r="E1875" s="37"/>
      <c r="F1875" s="37"/>
      <c r="G1875" s="37"/>
    </row>
    <row r="1876" spans="1:7" ht="14.5">
      <c r="A1876" s="90"/>
      <c r="B1876" s="39"/>
      <c r="C1876" s="53"/>
      <c r="D1876" s="39" t="s">
        <v>9</v>
      </c>
      <c r="E1876" s="37"/>
      <c r="F1876" s="92"/>
      <c r="G1876" s="37"/>
    </row>
  </sheetData>
  <mergeCells count="1">
    <mergeCell ref="B1712:G171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35"/>
  <sheetViews>
    <sheetView tabSelected="1" topLeftCell="A19" zoomScale="85" zoomScaleNormal="85" workbookViewId="0">
      <selection activeCell="F22" sqref="F22"/>
    </sheetView>
  </sheetViews>
  <sheetFormatPr defaultColWidth="9.1796875" defaultRowHeight="12"/>
  <cols>
    <col min="1" max="1" width="3.26953125" style="18" customWidth="1"/>
    <col min="2" max="2" width="19" style="18" customWidth="1"/>
    <col min="3" max="3" width="13.54296875" style="18" customWidth="1"/>
    <col min="4" max="4" width="9.6328125" style="20" customWidth="1"/>
    <col min="5" max="5" width="11.54296875" style="18" customWidth="1"/>
    <col min="6" max="6" width="12.81640625" style="18" customWidth="1"/>
    <col min="7" max="7" width="17.453125" style="18" customWidth="1"/>
    <col min="8" max="8" width="7.54296875" style="18" customWidth="1"/>
    <col min="9" max="9" width="20.26953125" style="18" customWidth="1"/>
    <col min="10" max="16384" width="9.1796875" style="18"/>
  </cols>
  <sheetData>
    <row r="2" spans="1:8" ht="20" customHeight="1">
      <c r="A2" s="1"/>
      <c r="B2" s="1"/>
      <c r="C2" s="1"/>
      <c r="D2" s="1"/>
      <c r="E2" s="2"/>
      <c r="F2" s="2"/>
      <c r="G2" s="2"/>
      <c r="H2" s="141"/>
    </row>
    <row r="3" spans="1:8" ht="20" customHeight="1">
      <c r="A3" s="1"/>
      <c r="B3" s="1"/>
      <c r="C3" s="1"/>
      <c r="D3" s="1"/>
      <c r="E3" s="1"/>
      <c r="F3" s="1"/>
      <c r="G3" s="1"/>
      <c r="H3" s="141"/>
    </row>
    <row r="4" spans="1:8" ht="20" customHeight="1">
      <c r="A4" s="1"/>
      <c r="B4" s="1"/>
      <c r="C4" s="1"/>
      <c r="D4" s="1"/>
      <c r="E4" s="1"/>
      <c r="F4" s="1"/>
      <c r="G4" s="1"/>
      <c r="H4" s="141"/>
    </row>
    <row r="5" spans="1:8" ht="20" customHeight="1">
      <c r="A5" s="1"/>
      <c r="B5" s="130" t="s">
        <v>650</v>
      </c>
      <c r="C5" s="1"/>
      <c r="D5" s="1"/>
      <c r="E5" s="1"/>
      <c r="F5" s="1"/>
      <c r="G5" s="1"/>
      <c r="H5" s="141"/>
    </row>
    <row r="6" spans="1:8" ht="20" customHeight="1">
      <c r="A6" s="1"/>
      <c r="B6" s="130" t="s">
        <v>657</v>
      </c>
      <c r="C6" s="1"/>
      <c r="D6" s="1"/>
      <c r="E6" s="1"/>
      <c r="F6" s="1"/>
      <c r="G6" s="1"/>
      <c r="H6" s="141"/>
    </row>
    <row r="7" spans="1:8" ht="20" customHeight="1">
      <c r="A7" s="1"/>
      <c r="B7" s="130" t="s">
        <v>651</v>
      </c>
      <c r="C7" s="1"/>
      <c r="D7" s="1"/>
      <c r="E7" s="1"/>
      <c r="F7" s="1"/>
      <c r="G7" s="1"/>
      <c r="H7" s="141"/>
    </row>
    <row r="8" spans="1:8" ht="20" customHeight="1">
      <c r="A8" s="1"/>
      <c r="B8" s="130" t="s">
        <v>658</v>
      </c>
      <c r="C8" s="1"/>
      <c r="D8" s="1"/>
      <c r="E8" s="1"/>
      <c r="F8" s="1"/>
      <c r="G8" s="17"/>
      <c r="H8" s="141"/>
    </row>
    <row r="9" spans="1:8" ht="20" customHeight="1">
      <c r="A9" s="1"/>
      <c r="B9" s="2" t="s">
        <v>652</v>
      </c>
      <c r="C9" s="1"/>
      <c r="D9" s="1"/>
      <c r="E9" s="1"/>
      <c r="F9" s="1"/>
      <c r="G9" s="77"/>
      <c r="H9" s="141"/>
    </row>
    <row r="10" spans="1:8" ht="20" customHeight="1">
      <c r="A10" s="1"/>
      <c r="B10" s="130" t="s">
        <v>660</v>
      </c>
      <c r="C10" s="1"/>
      <c r="D10" s="1"/>
      <c r="E10" s="1"/>
      <c r="F10" s="1"/>
      <c r="G10" s="17"/>
      <c r="H10" s="141"/>
    </row>
    <row r="11" spans="1:8" ht="20" customHeight="1">
      <c r="A11" s="1"/>
      <c r="B11" s="2" t="s">
        <v>653</v>
      </c>
      <c r="C11" s="1"/>
      <c r="D11" s="1"/>
      <c r="E11" s="1"/>
      <c r="F11" s="141"/>
      <c r="G11" s="17"/>
      <c r="H11" s="141"/>
    </row>
    <row r="12" spans="1:8" ht="20" customHeight="1">
      <c r="A12" s="1"/>
      <c r="B12" s="130" t="s">
        <v>659</v>
      </c>
      <c r="C12" s="1"/>
      <c r="D12" s="1"/>
      <c r="E12" s="1"/>
      <c r="F12" s="1"/>
      <c r="G12" s="17"/>
      <c r="H12" s="141"/>
    </row>
    <row r="13" spans="1:8" ht="20" customHeight="1">
      <c r="A13" s="1"/>
      <c r="B13" s="130" t="s">
        <v>654</v>
      </c>
      <c r="C13" s="1"/>
      <c r="D13" s="1"/>
      <c r="E13" s="1"/>
      <c r="F13" s="1"/>
      <c r="G13" s="17"/>
      <c r="H13" s="141"/>
    </row>
    <row r="14" spans="1:8" ht="20" customHeight="1">
      <c r="A14" s="1"/>
      <c r="B14" s="130" t="s">
        <v>665</v>
      </c>
      <c r="C14" s="1"/>
      <c r="D14" s="1"/>
      <c r="E14" s="1"/>
      <c r="F14" s="1"/>
      <c r="G14" s="17"/>
      <c r="H14" s="141"/>
    </row>
    <row r="15" spans="1:8" ht="20" customHeight="1">
      <c r="A15" s="1"/>
      <c r="B15" s="130" t="s">
        <v>655</v>
      </c>
      <c r="C15" s="1"/>
      <c r="D15" s="1"/>
      <c r="E15" s="1"/>
      <c r="F15" s="1"/>
      <c r="G15" s="17"/>
      <c r="H15" s="141"/>
    </row>
    <row r="16" spans="1:8" ht="20" customHeight="1">
      <c r="A16" s="1"/>
      <c r="B16" s="130" t="s">
        <v>667</v>
      </c>
      <c r="C16" s="1"/>
      <c r="D16" s="1"/>
      <c r="E16" s="1"/>
      <c r="F16" s="1"/>
      <c r="G16" s="17"/>
      <c r="H16" s="141"/>
    </row>
    <row r="17" spans="1:8" ht="60">
      <c r="A17" s="131" t="s">
        <v>179</v>
      </c>
      <c r="B17" s="132" t="s">
        <v>0</v>
      </c>
      <c r="C17" s="133" t="s">
        <v>379</v>
      </c>
      <c r="D17" s="133" t="s">
        <v>32</v>
      </c>
      <c r="E17" s="133" t="s">
        <v>278</v>
      </c>
      <c r="F17" s="133" t="s">
        <v>38</v>
      </c>
      <c r="G17" s="133" t="s">
        <v>14</v>
      </c>
      <c r="H17" s="141"/>
    </row>
    <row r="18" spans="1:8" ht="46.5">
      <c r="A18" s="134">
        <v>1</v>
      </c>
      <c r="B18" s="4" t="s">
        <v>662</v>
      </c>
      <c r="C18" s="136">
        <v>12969290</v>
      </c>
      <c r="D18" s="136">
        <v>0</v>
      </c>
      <c r="E18" s="136">
        <v>0</v>
      </c>
      <c r="F18" s="136">
        <v>0</v>
      </c>
      <c r="G18" s="8" t="s">
        <v>11</v>
      </c>
      <c r="H18" s="141"/>
    </row>
    <row r="19" spans="1:8" ht="46.5">
      <c r="A19" s="134">
        <v>2</v>
      </c>
      <c r="B19" s="4" t="s">
        <v>663</v>
      </c>
      <c r="C19" s="136">
        <v>0</v>
      </c>
      <c r="D19" s="136">
        <v>0</v>
      </c>
      <c r="E19" s="136">
        <v>0</v>
      </c>
      <c r="F19" s="136">
        <v>580000</v>
      </c>
      <c r="G19" s="8" t="s">
        <v>11</v>
      </c>
      <c r="H19" s="141"/>
    </row>
    <row r="20" spans="1:8" ht="46.5">
      <c r="A20" s="134">
        <v>3</v>
      </c>
      <c r="B20" s="4" t="s">
        <v>664</v>
      </c>
      <c r="C20" s="135">
        <v>1000000</v>
      </c>
      <c r="D20" s="136">
        <v>0</v>
      </c>
      <c r="E20" s="136">
        <v>0</v>
      </c>
      <c r="F20" s="136">
        <v>0</v>
      </c>
      <c r="G20" s="8" t="s">
        <v>649</v>
      </c>
      <c r="H20" s="141"/>
    </row>
    <row r="21" spans="1:8" ht="46.5">
      <c r="A21" s="134">
        <v>4</v>
      </c>
      <c r="B21" s="4" t="s">
        <v>666</v>
      </c>
      <c r="C21" s="135">
        <v>0</v>
      </c>
      <c r="D21" s="136">
        <v>0</v>
      </c>
      <c r="E21" s="136">
        <v>0</v>
      </c>
      <c r="F21" s="136">
        <v>43200</v>
      </c>
      <c r="G21" s="57" t="s">
        <v>661</v>
      </c>
      <c r="H21" s="141"/>
    </row>
    <row r="22" spans="1:8" ht="31">
      <c r="A22" s="134">
        <v>5</v>
      </c>
      <c r="B22" s="8" t="s">
        <v>113</v>
      </c>
      <c r="C22" s="135">
        <v>0</v>
      </c>
      <c r="D22" s="136">
        <v>0</v>
      </c>
      <c r="E22" s="136">
        <v>0</v>
      </c>
      <c r="F22" s="136">
        <v>20000</v>
      </c>
      <c r="G22" s="140" t="s">
        <v>11</v>
      </c>
      <c r="H22" s="141"/>
    </row>
    <row r="23" spans="1:8" ht="30">
      <c r="A23" s="134"/>
      <c r="B23" s="133" t="s">
        <v>1</v>
      </c>
      <c r="C23" s="137">
        <f>SUM(C18:C22)</f>
        <v>13969290</v>
      </c>
      <c r="D23" s="138"/>
      <c r="E23" s="138"/>
      <c r="F23" s="138">
        <f>SUM(F18:F22)</f>
        <v>643200</v>
      </c>
      <c r="G23" s="139"/>
      <c r="H23" s="141"/>
    </row>
    <row r="24" spans="1:8" ht="20" customHeight="1">
      <c r="A24" s="1"/>
      <c r="B24" s="3" t="s">
        <v>10</v>
      </c>
      <c r="C24" s="1"/>
      <c r="D24" s="1"/>
      <c r="E24" s="1"/>
      <c r="F24" s="1"/>
      <c r="G24" s="17"/>
      <c r="H24" s="141"/>
    </row>
    <row r="25" spans="1:8" ht="20" customHeight="1">
      <c r="A25" s="1"/>
      <c r="B25" s="59" t="s">
        <v>668</v>
      </c>
      <c r="C25" s="2"/>
      <c r="D25" s="2"/>
      <c r="E25" s="2"/>
      <c r="F25" s="2"/>
      <c r="G25" s="76"/>
      <c r="H25" s="141"/>
    </row>
    <row r="26" spans="1:8" ht="20" customHeight="1">
      <c r="A26" s="2" t="s">
        <v>2</v>
      </c>
      <c r="B26" s="1"/>
      <c r="C26" s="1"/>
      <c r="D26" s="1"/>
      <c r="E26" s="1"/>
      <c r="F26" s="2" t="s">
        <v>3</v>
      </c>
      <c r="G26" s="2"/>
      <c r="H26" s="141"/>
    </row>
    <row r="27" spans="1:8" ht="20" customHeight="1">
      <c r="A27" s="1" t="s">
        <v>4</v>
      </c>
      <c r="B27" s="1"/>
      <c r="C27" s="3"/>
      <c r="D27" s="1"/>
      <c r="E27" s="1"/>
      <c r="F27" s="1" t="s">
        <v>7</v>
      </c>
      <c r="G27" s="1"/>
      <c r="H27" s="141"/>
    </row>
    <row r="28" spans="1:8" ht="20" customHeight="1">
      <c r="A28" s="3" t="s">
        <v>5</v>
      </c>
      <c r="B28" s="3"/>
      <c r="C28" s="3"/>
      <c r="D28" s="1"/>
      <c r="E28" s="1"/>
      <c r="F28" s="1" t="s">
        <v>8</v>
      </c>
      <c r="G28" s="1"/>
      <c r="H28" s="141"/>
    </row>
    <row r="29" spans="1:8" ht="20" customHeight="1">
      <c r="A29" s="3"/>
      <c r="B29" s="3"/>
      <c r="C29" s="1"/>
      <c r="D29" s="2" t="s">
        <v>6</v>
      </c>
      <c r="E29" s="3"/>
      <c r="F29" s="3"/>
      <c r="G29" s="3"/>
      <c r="H29" s="141"/>
    </row>
    <row r="30" spans="1:8" ht="20" customHeight="1">
      <c r="A30" s="1"/>
      <c r="B30" s="1"/>
      <c r="C30" s="1"/>
      <c r="D30" s="1" t="s">
        <v>656</v>
      </c>
      <c r="E30" s="2"/>
      <c r="F30" s="2"/>
      <c r="G30" s="2"/>
      <c r="H30" s="141"/>
    </row>
    <row r="31" spans="1:8" ht="20" customHeight="1">
      <c r="A31" s="1"/>
      <c r="B31" s="1"/>
      <c r="C31" s="1"/>
      <c r="D31" s="1" t="s">
        <v>9</v>
      </c>
      <c r="E31" s="1"/>
      <c r="F31" s="1"/>
      <c r="G31" s="1"/>
      <c r="H31" s="141"/>
    </row>
    <row r="32" spans="1:8" ht="15.5">
      <c r="A32" s="1"/>
      <c r="B32" s="1"/>
      <c r="C32" s="1"/>
      <c r="D32" s="1"/>
      <c r="E32" s="1"/>
      <c r="F32" s="1"/>
      <c r="G32" s="1"/>
      <c r="H32" s="141"/>
    </row>
    <row r="33" spans="1:8" ht="15.5">
      <c r="A33" s="1"/>
      <c r="B33" s="1"/>
      <c r="C33" s="1"/>
      <c r="D33" s="1"/>
      <c r="E33" s="1"/>
      <c r="F33" s="1"/>
      <c r="G33" s="1"/>
      <c r="H33" s="141"/>
    </row>
    <row r="34" spans="1:8" ht="15.5">
      <c r="A34" s="1"/>
      <c r="B34" s="1"/>
      <c r="C34" s="1"/>
      <c r="D34" s="1"/>
      <c r="E34" s="1"/>
      <c r="F34" s="1"/>
      <c r="G34" s="1"/>
      <c r="H34" s="141"/>
    </row>
    <row r="35" spans="1:8" ht="15.5">
      <c r="A35" s="1"/>
      <c r="B35" s="1"/>
      <c r="C35" s="1"/>
      <c r="D35" s="1"/>
      <c r="E35" s="1"/>
      <c r="F35" s="1"/>
      <c r="G35" s="1"/>
      <c r="H35" s="141"/>
    </row>
  </sheetData>
  <pageMargins left="0.7" right="0.7" top="0.3" bottom="0.2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2026-03-11T07:44:07Z</cp:lastPrinted>
  <dcterms:created xsi:type="dcterms:W3CDTF">2023-11-30T08:32:00Z</dcterms:created>
  <dcterms:modified xsi:type="dcterms:W3CDTF">2026-03-25T07:45:33Z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