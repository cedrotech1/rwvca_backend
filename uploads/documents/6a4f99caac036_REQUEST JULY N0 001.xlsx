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E27" i="21" l="1"/>
  <c r="E28" i="21" l="1"/>
  <c r="E23" i="21"/>
  <c r="F28" i="21" l="1"/>
  <c r="D28" i="21"/>
  <c r="C28" i="21"/>
  <c r="E24" i="21"/>
</calcChain>
</file>

<file path=xl/sharedStrings.xml><?xml version="1.0" encoding="utf-8"?>
<sst xmlns="http://schemas.openxmlformats.org/spreadsheetml/2006/main" count="46" uniqueCount="45">
  <si>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</si>
  <si>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</si>
  <si>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</si>
  <si>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</si>
  <si>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</si>
  <si>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</si>
  <si>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</si>
  <si>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</si>
  <si>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</si>
  <si>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</si>
  <si>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</si>
  <si>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</si>
  <si>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</si>
  <si>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</si>
  <si>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</si>
  <si>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</si>
  <si>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</si>
  <si>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t>I&amp;M BANK PROJECT</t>
  </si>
  <si>
    <t>4002100558110/Equity  Bank/Muhizi Alain Didier</t>
  </si>
  <si>
    <t>Paymrnt of pettty casgh for July 2026</t>
  </si>
  <si>
    <t>Payment of consultant (Moderator) and reportor consultative meeting last installemt</t>
  </si>
  <si>
    <t>Payment of wage for casual employee Karongi for June 2026</t>
  </si>
  <si>
    <t>Payment of wage for casual employee Nyagater for June 2026</t>
  </si>
  <si>
    <t>0789514430/Benjamin GATSINZI</t>
  </si>
  <si>
    <t>Payment of purchase order related to German consultants</t>
  </si>
  <si>
    <t>KIGALI PARAMOUNT HOTL</t>
  </si>
  <si>
    <t>Payment of  Hotel package during consultative meeting</t>
  </si>
  <si>
    <t>Done, on    07/07/2026</t>
  </si>
  <si>
    <t>Payment of monthly internet fees for HQ office</t>
  </si>
  <si>
    <t>AITEL RWANDA LTD</t>
  </si>
  <si>
    <t>NTIRENGANYA ANASTASE</t>
  </si>
  <si>
    <t>Payment of rent for Q3 (July,August and September)Gisozi,Kimironko,Bishenyi,Gahanga and Rubavu</t>
  </si>
  <si>
    <t>List attached</t>
  </si>
  <si>
    <t>Available amount:336,764,043RWF/RWVCA</t>
  </si>
  <si>
    <t>Available amount:25,014,699RWF/RWVCA</t>
  </si>
  <si>
    <t>Available amount:5,402,710RWF/RWVCA</t>
  </si>
  <si>
    <t>Available amount:4,687,156RWF/RWVCA</t>
  </si>
  <si>
    <t>Available amount:24,643,084RWF/RWVCA</t>
  </si>
  <si>
    <t>Available amount:487,263RWF/RWVCA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</si>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</sst>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8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 applyBorder="1" applyAlignment="1">
      <alignment vertical="center" wrapText="1"/>
    </xf>
    <xf numFmtId="41" fontId="4" fillId="0" borderId="0" xfId="2" applyFont="1" applyBorder="1" applyAlignment="1">
      <alignment vertical="center" wrapText="1"/>
    </xf>
    <xf numFmtId="165" fontId="4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41" fontId="1" fillId="0" borderId="0" xfId="2" applyFont="1" applyBorder="1" applyAlignment="1">
      <alignment vertical="center" wrapText="1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5" fontId="1" fillId="2" borderId="1" xfId="1" applyNumberFormat="1" applyFont="1" applyFill="1" applyBorder="1" applyAlignment="1">
      <alignment vertical="center"/>
    </xf>
    <xf numFmtId="41" fontId="1" fillId="0" borderId="1" xfId="2" quotePrefix="1" applyFont="1" applyBorder="1" applyAlignment="1">
      <alignment horizontal="left" vertical="center" wrapText="1"/>
    </xf>
    <xf numFmtId="41" fontId="4" fillId="0" borderId="1" xfId="2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5" fontId="6" fillId="0" borderId="0" xfId="0" applyNumberFormat="1" applyFont="1">
      <alignment vertical="center"/>
    </xf>
    <xf numFmtId="41" fontId="5" fillId="0" borderId="0" xfId="0" applyNumberFormat="1" applyFo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596900</xdr:colOff>
      <xdr:row>0</xdr:row>
      <xdr:rowOff>14941</xdr:rowOff>
    </xdr:from>
    <xdr:ext cx="1403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70450" y="14941"/>
          <a:ext cx="1403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24" workbookViewId="0">
      <selection activeCell="B27" sqref="B27"/>
    </sheetView>
  </sheetViews>
  <sheetFormatPr defaultRowHeight="15.5"/>
  <cols>
    <col min="1" max="1" width="4.7265625" style="7" customWidth="1"/>
    <col min="2" max="2" width="23.54296875" style="7" customWidth="1"/>
    <col min="3" max="3" width="11.7265625" style="7" bestFit="1" customWidth="1"/>
    <col min="4" max="4" width="8.7265625" style="7"/>
    <col min="5" max="5" width="12.453125" style="7" bestFit="1" customWidth="1"/>
    <col min="6" max="6" width="13" style="7" customWidth="1"/>
    <col min="7" max="7" width="12.90625" style="7" customWidth="1"/>
    <col min="8" max="8" width="8.7265625" style="7"/>
    <col min="9" max="9" width="10.81640625" style="7" bestFit="1" customWidth="1"/>
    <col min="10" max="16384" width="8.7265625" style="7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3" t="s">
        <v>39</v>
      </c>
      <c r="C7" s="1"/>
      <c r="D7" s="1"/>
      <c r="E7" s="1"/>
      <c r="F7" s="1"/>
      <c r="G7" s="1"/>
    </row>
    <row r="8" spans="1:7">
      <c r="A8" s="1"/>
      <c r="B8" s="13" t="s">
        <v>35</v>
      </c>
      <c r="C8" s="1"/>
      <c r="D8" s="1"/>
      <c r="E8" s="1"/>
      <c r="F8" s="1"/>
      <c r="G8" s="1"/>
    </row>
    <row r="9" spans="1:7">
      <c r="A9" s="1"/>
      <c r="B9" s="13" t="s">
        <v>40</v>
      </c>
      <c r="C9" s="1"/>
      <c r="D9" s="1"/>
      <c r="E9" s="1"/>
      <c r="F9" s="1"/>
      <c r="G9" s="1"/>
    </row>
    <row r="10" spans="1:7">
      <c r="A10" s="1"/>
      <c r="B10" s="13" t="s">
        <v>34</v>
      </c>
      <c r="C10" s="1"/>
      <c r="D10" s="1"/>
      <c r="E10" s="1"/>
      <c r="F10" s="1"/>
      <c r="G10" s="5"/>
    </row>
    <row r="11" spans="1:7">
      <c r="A11" s="1"/>
      <c r="B11" s="14" t="s">
        <v>41</v>
      </c>
      <c r="C11" s="1"/>
      <c r="D11" s="1"/>
      <c r="E11" s="1"/>
      <c r="F11" s="1"/>
      <c r="G11" s="6"/>
    </row>
    <row r="12" spans="1:7">
      <c r="A12" s="1"/>
      <c r="B12" s="13" t="s">
        <v>38</v>
      </c>
      <c r="C12" s="1"/>
      <c r="D12" s="1"/>
      <c r="E12" s="1"/>
      <c r="F12" s="1"/>
      <c r="G12" s="5"/>
    </row>
    <row r="13" spans="1:7">
      <c r="A13" s="1"/>
      <c r="B13" s="14" t="s">
        <v>42</v>
      </c>
      <c r="C13" s="1"/>
      <c r="D13" s="1"/>
      <c r="E13" s="1"/>
      <c r="G13" s="5"/>
    </row>
    <row r="14" spans="1:7">
      <c r="A14" s="1"/>
      <c r="B14" s="13" t="s">
        <v>37</v>
      </c>
      <c r="C14" s="1"/>
      <c r="D14" s="1"/>
      <c r="E14" s="1"/>
      <c r="F14" s="1"/>
      <c r="G14" s="5"/>
    </row>
    <row r="15" spans="1:7">
      <c r="A15" s="1"/>
      <c r="B15" s="13" t="s">
        <v>43</v>
      </c>
      <c r="C15" s="1"/>
      <c r="D15" s="1"/>
      <c r="E15" s="1"/>
      <c r="F15" s="1"/>
      <c r="G15" s="5"/>
    </row>
    <row r="16" spans="1:7">
      <c r="A16" s="1"/>
      <c r="B16" s="13" t="s">
        <v>33</v>
      </c>
      <c r="C16" s="1"/>
      <c r="D16" s="1"/>
      <c r="E16" s="1"/>
      <c r="F16" s="1"/>
      <c r="G16" s="5"/>
    </row>
    <row r="17" spans="1:9">
      <c r="A17" s="1"/>
      <c r="B17" s="13" t="s">
        <v>44</v>
      </c>
      <c r="C17" s="1"/>
      <c r="D17" s="1"/>
      <c r="E17" s="1"/>
      <c r="F17" s="1"/>
      <c r="G17" s="5"/>
    </row>
    <row r="18" spans="1:9">
      <c r="A18" s="1"/>
      <c r="B18" s="13" t="s">
        <v>36</v>
      </c>
      <c r="C18" s="1"/>
      <c r="D18" s="1"/>
      <c r="E18" s="1"/>
      <c r="F18" s="1"/>
      <c r="G18" s="5"/>
    </row>
    <row r="19" spans="1:9" ht="60">
      <c r="A19" s="3" t="s">
        <v>13</v>
      </c>
      <c r="B19" s="15" t="s">
        <v>0</v>
      </c>
      <c r="C19" s="16" t="s">
        <v>15</v>
      </c>
      <c r="D19" s="16" t="s">
        <v>12</v>
      </c>
      <c r="E19" s="16" t="s">
        <v>14</v>
      </c>
      <c r="F19" s="16" t="s">
        <v>17</v>
      </c>
      <c r="G19" s="16" t="s">
        <v>11</v>
      </c>
    </row>
    <row r="20" spans="1:9" ht="46.5">
      <c r="A20" s="4">
        <v>1</v>
      </c>
      <c r="B20" s="17" t="s">
        <v>28</v>
      </c>
      <c r="C20" s="18">
        <v>0</v>
      </c>
      <c r="D20" s="18">
        <v>0</v>
      </c>
      <c r="E20" s="18">
        <v>50000</v>
      </c>
      <c r="F20" s="18">
        <v>0</v>
      </c>
      <c r="G20" s="19" t="s">
        <v>29</v>
      </c>
    </row>
    <row r="21" spans="1:9" ht="31">
      <c r="A21" s="4">
        <v>2</v>
      </c>
      <c r="B21" s="17" t="s">
        <v>19</v>
      </c>
      <c r="C21" s="18">
        <v>0</v>
      </c>
      <c r="D21" s="18">
        <v>0</v>
      </c>
      <c r="E21" s="18">
        <v>150000</v>
      </c>
      <c r="F21" s="18">
        <v>0</v>
      </c>
      <c r="G21" s="20"/>
    </row>
    <row r="22" spans="1:9" ht="62">
      <c r="A22" s="4">
        <v>3</v>
      </c>
      <c r="B22" s="17" t="s">
        <v>20</v>
      </c>
      <c r="C22" s="18">
        <v>0</v>
      </c>
      <c r="D22" s="18">
        <v>0</v>
      </c>
      <c r="E22" s="18">
        <v>500000</v>
      </c>
      <c r="F22" s="18">
        <v>0</v>
      </c>
      <c r="G22" s="21" t="s">
        <v>18</v>
      </c>
    </row>
    <row r="23" spans="1:9" ht="46.5">
      <c r="A23" s="4">
        <v>4</v>
      </c>
      <c r="B23" s="17" t="s">
        <v>21</v>
      </c>
      <c r="C23" s="18"/>
      <c r="D23" s="18"/>
      <c r="E23" s="18">
        <f>356060*60%</f>
        <v>213636</v>
      </c>
      <c r="F23" s="18">
        <v>0</v>
      </c>
      <c r="G23" s="19" t="s">
        <v>30</v>
      </c>
    </row>
    <row r="24" spans="1:9" ht="46.5">
      <c r="A24" s="4">
        <v>5</v>
      </c>
      <c r="B24" s="17" t="s">
        <v>22</v>
      </c>
      <c r="C24" s="18"/>
      <c r="D24" s="18"/>
      <c r="E24" s="18">
        <f>374900*60%</f>
        <v>224940</v>
      </c>
      <c r="F24" s="18"/>
      <c r="G24" s="22" t="s">
        <v>23</v>
      </c>
    </row>
    <row r="25" spans="1:9" ht="46.5">
      <c r="A25" s="4">
        <v>6</v>
      </c>
      <c r="B25" s="19" t="s">
        <v>24</v>
      </c>
      <c r="C25" s="18"/>
      <c r="D25" s="18"/>
      <c r="E25" s="18">
        <v>1799890</v>
      </c>
      <c r="F25" s="23"/>
      <c r="G25" s="24" t="s">
        <v>25</v>
      </c>
    </row>
    <row r="26" spans="1:9" ht="46.5">
      <c r="A26" s="4">
        <v>7</v>
      </c>
      <c r="B26" s="19" t="s">
        <v>26</v>
      </c>
      <c r="C26" s="18"/>
      <c r="D26" s="18"/>
      <c r="E26" s="18">
        <v>1000000</v>
      </c>
      <c r="F26" s="23"/>
      <c r="G26" s="24" t="s">
        <v>25</v>
      </c>
    </row>
    <row r="27" spans="1:9" ht="77.5">
      <c r="A27" s="4">
        <v>8</v>
      </c>
      <c r="B27" s="19" t="s">
        <v>31</v>
      </c>
      <c r="C27" s="18"/>
      <c r="D27" s="18"/>
      <c r="E27" s="18">
        <f>1104000+13500</f>
        <v>1117500</v>
      </c>
      <c r="F27" s="23"/>
      <c r="G27" s="24" t="s">
        <v>32</v>
      </c>
      <c r="I27" s="31"/>
    </row>
    <row r="28" spans="1:9" ht="30">
      <c r="A28" s="4"/>
      <c r="B28" s="16" t="s">
        <v>1</v>
      </c>
      <c r="C28" s="25">
        <f>SUM(C20:C25)</f>
        <v>0</v>
      </c>
      <c r="D28" s="25">
        <f>SUM(D20:D25)</f>
        <v>0</v>
      </c>
      <c r="E28" s="25">
        <f>SUM(E20:E27)</f>
        <v>5055966</v>
      </c>
      <c r="F28" s="26">
        <f>SUM(F20:F25)</f>
        <v>0</v>
      </c>
      <c r="G28" s="27"/>
    </row>
    <row r="29" spans="1:9">
      <c r="A29" s="2"/>
      <c r="B29" s="8"/>
      <c r="C29" s="12"/>
      <c r="D29" s="9"/>
      <c r="E29" s="9"/>
      <c r="F29" s="10"/>
      <c r="G29" s="11"/>
    </row>
    <row r="30" spans="1:9">
      <c r="A30" s="1"/>
      <c r="B30" s="28" t="s">
        <v>10</v>
      </c>
      <c r="C30" s="1"/>
      <c r="D30" s="1"/>
      <c r="E30" s="1"/>
      <c r="F30" s="1"/>
      <c r="G30" s="5"/>
    </row>
    <row r="31" spans="1:9">
      <c r="A31" s="1"/>
      <c r="B31" s="29" t="s">
        <v>27</v>
      </c>
      <c r="C31" s="14"/>
      <c r="D31" s="14"/>
      <c r="E31" s="14"/>
      <c r="F31" s="14"/>
      <c r="G31" s="30"/>
    </row>
    <row r="32" spans="1:9">
      <c r="A32" s="14" t="s">
        <v>2</v>
      </c>
      <c r="B32" s="1"/>
      <c r="C32" s="1"/>
      <c r="D32" s="1"/>
      <c r="E32" s="1"/>
      <c r="F32" s="14" t="s">
        <v>3</v>
      </c>
      <c r="G32" s="14"/>
    </row>
    <row r="33" spans="1:7">
      <c r="A33" s="1" t="s">
        <v>4</v>
      </c>
      <c r="B33" s="1"/>
      <c r="C33" s="28"/>
      <c r="D33" s="1"/>
      <c r="E33" s="1"/>
      <c r="F33" s="1" t="s">
        <v>7</v>
      </c>
      <c r="G33" s="1"/>
    </row>
    <row r="34" spans="1:7">
      <c r="A34" s="28" t="s">
        <v>5</v>
      </c>
      <c r="B34" s="28"/>
      <c r="C34" s="28"/>
      <c r="D34" s="1"/>
      <c r="E34" s="1"/>
      <c r="F34" s="1" t="s">
        <v>8</v>
      </c>
      <c r="G34" s="1"/>
    </row>
    <row r="35" spans="1:7">
      <c r="A35" s="28"/>
      <c r="B35" s="28"/>
      <c r="C35" s="1"/>
      <c r="D35" s="14" t="s">
        <v>6</v>
      </c>
      <c r="E35" s="28"/>
      <c r="F35" s="28"/>
      <c r="G35" s="28"/>
    </row>
    <row r="36" spans="1:7">
      <c r="A36" s="1"/>
      <c r="B36" s="1"/>
      <c r="C36" s="1"/>
      <c r="D36" s="1" t="s">
        <v>16</v>
      </c>
      <c r="E36" s="14"/>
      <c r="F36" s="14"/>
      <c r="G36" s="14"/>
    </row>
    <row r="37" spans="1:7">
      <c r="A37" s="1"/>
      <c r="B37" s="1"/>
      <c r="C37" s="1"/>
      <c r="D37" s="1" t="s">
        <v>9</v>
      </c>
      <c r="E37" s="1"/>
      <c r="F37" s="1"/>
      <c r="G37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2026-06-30T12:59:20Z</cp:lastPrinted>
  <dcterms:created xsi:type="dcterms:W3CDTF">2023-11-30T08:32:00Z</dcterms:created>
  <dcterms:modified xsi:type="dcterms:W3CDTF">2026-07-09T12:47:26Z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