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2026" sheetId="19" r:id="rId1"/>
  </sheets>
  <calcPr calcId="162913"/>
</workbook>
</file>

<file path=xl/calcChain.xml><?xml version="1.0" encoding="utf-8"?>
<calcChain xmlns="http://schemas.openxmlformats.org/spreadsheetml/2006/main">
  <c r="F24" i="19" l="1"/>
  <c r="F19" i="19"/>
  <c r="F26" i="19" l="1"/>
</calcChain>
</file>

<file path=xl/sharedStrings.xml><?xml version="1.0" encoding="utf-8"?>
<sst xmlns="http://schemas.openxmlformats.org/spreadsheetml/2006/main" count="49" uniqueCount="49">
  <si>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</si>
  <si>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</si>
  <si>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</si>
  <si>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</si>
  <si>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</si>
  <si>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</si>
  <si>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</si>
  <si>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</si>
  <si>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</si>
  <si>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</si>
  <si>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</si>
  <si>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>List attached</t>
  </si>
  <si>
    <t xml:space="preserve">Account Number </t>
  </si>
  <si>
    <t>Jemima Nyirasafari</t>
  </si>
  <si>
    <t>RRA</t>
  </si>
  <si>
    <t>RSSB</t>
  </si>
  <si>
    <t>Amount RWVCA/I&amp;M BANK</t>
  </si>
  <si>
    <t>Amount RWVCA/SCHOOL DESKS</t>
  </si>
  <si>
    <t>Toyota Rwanda Ltd</t>
  </si>
  <si>
    <t>S/N</t>
  </si>
  <si>
    <t>Amount RWVCA/BK</t>
  </si>
  <si>
    <t>Amount RWVCA/ACB Plc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</si>
  <si>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</si>
  <si>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</si>
  <si>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</si>
  <si>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</si>
  <si>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</si>
  <si>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</si>
  <si>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Abdul Rahaman Karemera</t>
  </si>
  <si>
    <t>Available amount:362,684,765RWF/RWVCA</t>
  </si>
  <si>
    <t>Available amount:4,427,264RWF/RWVCA</t>
  </si>
  <si>
    <t>Available amount:173,090RWF/RWVCA</t>
  </si>
  <si>
    <t>Available amount:5,408,710RWF/RWVCA</t>
  </si>
  <si>
    <t>Payment of petty cash</t>
  </si>
  <si>
    <t xml:space="preserve">Via momo </t>
  </si>
  <si>
    <t>Available amount:17,737,766RWF/RWVCA</t>
  </si>
  <si>
    <t>YASIDI SOUFI</t>
  </si>
  <si>
    <t>Payment of carwash invoice for march</t>
  </si>
  <si>
    <t>INNERVATE LTD</t>
  </si>
  <si>
    <t>Payment of tax and contributions for March,2026</t>
  </si>
  <si>
    <t>Payment of repair and maintenance car RAI 905C</t>
  </si>
  <si>
    <t>Payment of WTH 30%&amp;15% for March 2026</t>
  </si>
  <si>
    <t>Done, on    09/04/2026</t>
  </si>
  <si>
    <t>Payment of rent invoices for ICPC's Offices Gahanga,Gisozi,Rubavu,Bishenyi and Kimironko (April to June 2026)</t>
  </si>
  <si>
    <t>Payment of staffood invoice supplied in March 2026</t>
  </si>
  <si>
    <t>Available amount:29,853,732RWF/RWVCA</t>
  </si>
  <si>
    <t>Payment of consultancy fees last installement</t>
  </si>
  <si>
    <t>Payment of monthly internet for the RWVCA office</t>
  </si>
  <si>
    <t>AITEL RWANDA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</si>
</sst>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9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3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165" fontId="1" fillId="0" borderId="0" xfId="0" applyNumberFormat="1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left" vertical="center"/>
    </xf>
    <xf numFmtId="165" fontId="2" fillId="0" borderId="0" xfId="0" applyNumberFormat="1" applyFont="1">
      <alignment vertical="center"/>
    </xf>
    <xf numFmtId="165" fontId="1" fillId="0" borderId="0" xfId="1" applyNumberFormat="1" applyFont="1" applyAlignment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2" borderId="1" xfId="1" applyNumberFormat="1" applyFont="1" applyFill="1" applyBorder="1" applyAlignment="1">
      <alignment vertical="center"/>
    </xf>
    <xf numFmtId="165" fontId="7" fillId="0" borderId="1" xfId="1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41" fontId="1" fillId="0" borderId="1" xfId="2" quotePrefix="1" applyFont="1" applyBorder="1" applyAlignment="1">
      <alignment horizontal="left" vertical="center" wrapText="1"/>
    </xf>
    <xf numFmtId="0" fontId="8" fillId="0" borderId="0" xfId="0" applyFont="1">
      <alignment vertical="center"/>
    </xf>
    <xf numFmtId="3" fontId="1" fillId="0" borderId="0" xfId="0" applyNumberFormat="1" applyFont="1" applyAlignment="1">
      <alignment horizontal="center" vertical="center"/>
    </xf>
    <xf numFmtId="41" fontId="1" fillId="0" borderId="1" xfId="2" applyFont="1" applyBorder="1" applyAlignment="1">
      <alignment vertical="center" wrapText="1"/>
    </xf>
    <xf numFmtId="3" fontId="1" fillId="0" borderId="1" xfId="0" applyNumberFormat="1" applyFont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1132177</xdr:colOff>
      <xdr:row>4</xdr:row>
      <xdr:rowOff>30494</xdr:rowOff>
    </xdr:to>
    <xdr:pic>
      <xdr:nvPicPr>
        <xdr:cNvPr id="30" name="Picture 29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85001100"/>
          <a:ext cx="1136651" cy="7810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3" name="Picture 32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942975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6" name="Picture 3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037717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9" name="Picture 38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132332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2" name="Picture 4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228280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5" name="Picture 4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320609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0</xdr:row>
      <xdr:rowOff>52294</xdr:rowOff>
    </xdr:from>
    <xdr:to>
      <xdr:col>1</xdr:col>
      <xdr:colOff>1062759</xdr:colOff>
      <xdr:row>2</xdr:row>
      <xdr:rowOff>134471</xdr:rowOff>
    </xdr:to>
    <xdr:pic>
      <xdr:nvPicPr>
        <xdr:cNvPr id="75" name="Picture 74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179256765"/>
          <a:ext cx="1088837" cy="47064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2</xdr:row>
      <xdr:rowOff>170509</xdr:rowOff>
    </xdr:from>
    <xdr:to>
      <xdr:col>6</xdr:col>
      <xdr:colOff>172273</xdr:colOff>
      <xdr:row>2</xdr:row>
      <xdr:rowOff>170509</xdr:rowOff>
    </xdr:to>
    <xdr:cxnSp macro="">
      <xdr:nvCxnSpPr>
        <xdr:cNvPr id="76" name="Straight Arrow Connector 1"/>
        <xdr:cNvCxnSpPr>
          <a:cxnSpLocks noChangeShapeType="1"/>
        </xdr:cNvCxnSpPr>
      </xdr:nvCxnSpPr>
      <xdr:spPr>
        <a:xfrm>
          <a:off x="870586" y="179763450"/>
          <a:ext cx="4202393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topLeftCell="A15" zoomScale="85" zoomScaleNormal="85" workbookViewId="0">
      <selection activeCell="G17" sqref="G17"/>
    </sheetView>
  </sheetViews>
  <sheetFormatPr defaultColWidth="9.1796875" defaultRowHeight="12"/>
  <cols>
    <col min="1" max="1" width="3.26953125" style="7" customWidth="1"/>
    <col min="2" max="2" width="21.7265625" style="7" customWidth="1"/>
    <col min="3" max="3" width="13.54296875" style="7" customWidth="1"/>
    <col min="4" max="4" width="11" style="8" customWidth="1"/>
    <col min="5" max="5" width="11.54296875" style="7" customWidth="1"/>
    <col min="6" max="6" width="14" style="7" customWidth="1"/>
    <col min="7" max="7" width="17.453125" style="7" customWidth="1"/>
    <col min="8" max="8" width="7.54296875" style="7" customWidth="1"/>
    <col min="9" max="9" width="20.26953125" style="7" customWidth="1"/>
    <col min="10" max="16384" width="9.1796875" style="7"/>
  </cols>
  <sheetData>
    <row r="1" spans="1:7" ht="15.5">
      <c r="A1" s="1"/>
      <c r="B1" s="1"/>
      <c r="C1" s="1"/>
      <c r="D1" s="1"/>
      <c r="E1" s="2"/>
      <c r="F1" s="2"/>
      <c r="G1" s="2"/>
    </row>
    <row r="2" spans="1:7" ht="15.5">
      <c r="A2" s="1"/>
      <c r="B2" s="1"/>
      <c r="C2" s="1"/>
      <c r="D2" s="1"/>
      <c r="E2" s="1"/>
      <c r="F2" s="1"/>
      <c r="G2" s="1"/>
    </row>
    <row r="3" spans="1:7" ht="15.5">
      <c r="A3" s="1"/>
      <c r="B3" s="1"/>
      <c r="C3" s="1"/>
      <c r="D3" s="1"/>
      <c r="E3" s="1"/>
      <c r="F3" s="1"/>
      <c r="G3" s="1"/>
    </row>
    <row r="4" spans="1:7" ht="13" customHeight="1">
      <c r="A4" s="1"/>
      <c r="B4" s="12" t="s">
        <v>22</v>
      </c>
      <c r="C4" s="1"/>
      <c r="D4" s="1"/>
      <c r="E4" s="1"/>
      <c r="F4" s="1"/>
      <c r="G4" s="1"/>
    </row>
    <row r="5" spans="1:7" ht="13" customHeight="1">
      <c r="A5" s="1"/>
      <c r="B5" s="12" t="s">
        <v>32</v>
      </c>
      <c r="C5" s="1"/>
      <c r="D5" s="1"/>
      <c r="E5" s="1"/>
      <c r="F5" s="1"/>
      <c r="G5" s="1"/>
    </row>
    <row r="6" spans="1:7" ht="13" customHeight="1">
      <c r="A6" s="1"/>
      <c r="B6" s="12" t="s">
        <v>23</v>
      </c>
      <c r="C6" s="1"/>
      <c r="D6" s="1"/>
      <c r="E6" s="1"/>
      <c r="F6" s="1"/>
      <c r="G6" s="1"/>
    </row>
    <row r="7" spans="1:7" ht="13" customHeight="1">
      <c r="A7" s="1"/>
      <c r="B7" s="12" t="s">
        <v>35</v>
      </c>
      <c r="C7" s="1"/>
      <c r="D7" s="1"/>
      <c r="E7" s="1"/>
      <c r="F7" s="1"/>
      <c r="G7" s="6"/>
    </row>
    <row r="8" spans="1:7" ht="13" customHeight="1">
      <c r="A8" s="1"/>
      <c r="B8" s="2" t="s">
        <v>24</v>
      </c>
      <c r="C8" s="1"/>
      <c r="D8" s="1"/>
      <c r="E8" s="1"/>
      <c r="F8" s="1"/>
      <c r="G8" s="11"/>
    </row>
    <row r="9" spans="1:7" ht="13" customHeight="1">
      <c r="A9" s="1"/>
      <c r="B9" s="12" t="s">
        <v>30</v>
      </c>
      <c r="C9" s="1"/>
      <c r="D9" s="1"/>
      <c r="E9" s="1"/>
      <c r="F9" s="1"/>
      <c r="G9" s="6"/>
    </row>
    <row r="10" spans="1:7" ht="13" customHeight="1">
      <c r="A10" s="1"/>
      <c r="B10" s="2" t="s">
        <v>25</v>
      </c>
      <c r="C10" s="1"/>
      <c r="D10" s="1"/>
      <c r="E10" s="1"/>
      <c r="F10" s="21"/>
      <c r="G10" s="6"/>
    </row>
    <row r="11" spans="1:7" ht="13" customHeight="1">
      <c r="A11" s="1"/>
      <c r="B11" s="12" t="s">
        <v>31</v>
      </c>
      <c r="C11" s="1"/>
      <c r="D11" s="1"/>
      <c r="E11" s="1"/>
      <c r="F11" s="1"/>
      <c r="G11" s="6"/>
    </row>
    <row r="12" spans="1:7" ht="13" customHeight="1">
      <c r="A12" s="1"/>
      <c r="B12" s="12" t="s">
        <v>26</v>
      </c>
      <c r="C12" s="1"/>
      <c r="D12" s="1"/>
      <c r="E12" s="1"/>
      <c r="F12" s="1"/>
      <c r="G12" s="6"/>
    </row>
    <row r="13" spans="1:7" ht="13" customHeight="1">
      <c r="A13" s="1"/>
      <c r="B13" s="12" t="s">
        <v>29</v>
      </c>
      <c r="C13" s="1"/>
      <c r="D13" s="1"/>
      <c r="E13" s="1"/>
      <c r="F13" s="1"/>
      <c r="G13" s="6"/>
    </row>
    <row r="14" spans="1:7" ht="13" customHeight="1">
      <c r="A14" s="1"/>
      <c r="B14" s="12" t="s">
        <v>27</v>
      </c>
      <c r="C14" s="1"/>
      <c r="D14" s="1"/>
      <c r="E14" s="1"/>
      <c r="F14" s="1"/>
      <c r="G14" s="6"/>
    </row>
    <row r="15" spans="1:7" ht="13" customHeight="1">
      <c r="A15" s="1"/>
      <c r="B15" s="12" t="s">
        <v>45</v>
      </c>
      <c r="C15" s="1"/>
      <c r="D15" s="1"/>
      <c r="E15" s="1"/>
      <c r="F15" s="1"/>
      <c r="G15" s="6"/>
    </row>
    <row r="16" spans="1:7" ht="60">
      <c r="A16" s="13" t="s">
        <v>19</v>
      </c>
      <c r="B16" s="14" t="s">
        <v>0</v>
      </c>
      <c r="C16" s="15" t="s">
        <v>21</v>
      </c>
      <c r="D16" s="15" t="s">
        <v>16</v>
      </c>
      <c r="E16" s="15" t="s">
        <v>20</v>
      </c>
      <c r="F16" s="15" t="s">
        <v>17</v>
      </c>
      <c r="G16" s="15" t="s">
        <v>12</v>
      </c>
    </row>
    <row r="17" spans="1:7" ht="30" customHeight="1">
      <c r="A17" s="16">
        <v>1</v>
      </c>
      <c r="B17" s="5" t="s">
        <v>46</v>
      </c>
      <c r="C17" s="4">
        <v>0</v>
      </c>
      <c r="D17" s="4">
        <v>0</v>
      </c>
      <c r="E17" s="4">
        <v>0</v>
      </c>
      <c r="F17" s="23">
        <v>14690000</v>
      </c>
      <c r="G17" s="4" t="s">
        <v>36</v>
      </c>
    </row>
    <row r="18" spans="1:7" ht="46.5">
      <c r="A18" s="16">
        <v>2</v>
      </c>
      <c r="B18" s="5" t="s">
        <v>44</v>
      </c>
      <c r="C18" s="4">
        <v>0</v>
      </c>
      <c r="D18" s="4">
        <v>0</v>
      </c>
      <c r="E18" s="4">
        <v>0</v>
      </c>
      <c r="F18" s="23">
        <v>1269072</v>
      </c>
      <c r="G18" s="4" t="s">
        <v>13</v>
      </c>
    </row>
    <row r="19" spans="1:7" ht="80" customHeight="1">
      <c r="A19" s="16">
        <v>3</v>
      </c>
      <c r="B19" s="4" t="s">
        <v>43</v>
      </c>
      <c r="C19" s="4">
        <v>0</v>
      </c>
      <c r="D19" s="4">
        <v>0</v>
      </c>
      <c r="E19" s="4">
        <v>0</v>
      </c>
      <c r="F19" s="24">
        <f>240000+315000+150000+45000+367500</f>
        <v>1117500</v>
      </c>
      <c r="G19" s="5" t="s">
        <v>11</v>
      </c>
    </row>
    <row r="20" spans="1:7" ht="50" customHeight="1">
      <c r="A20" s="16">
        <v>4</v>
      </c>
      <c r="B20" s="4" t="s">
        <v>47</v>
      </c>
      <c r="C20" s="4">
        <v>0</v>
      </c>
      <c r="D20" s="4">
        <v>0</v>
      </c>
      <c r="E20" s="4">
        <v>0</v>
      </c>
      <c r="F20" s="22">
        <v>50000</v>
      </c>
      <c r="G20" s="5" t="s">
        <v>48</v>
      </c>
    </row>
    <row r="21" spans="1:7" ht="15.5">
      <c r="A21" s="16">
        <v>5</v>
      </c>
      <c r="B21" s="4" t="s">
        <v>33</v>
      </c>
      <c r="C21" s="4">
        <v>0</v>
      </c>
      <c r="D21" s="4">
        <v>0</v>
      </c>
      <c r="E21" s="4">
        <v>0</v>
      </c>
      <c r="F21" s="17">
        <v>150000</v>
      </c>
      <c r="G21" s="20" t="s">
        <v>34</v>
      </c>
    </row>
    <row r="22" spans="1:7" ht="30" customHeight="1">
      <c r="A22" s="16">
        <v>6</v>
      </c>
      <c r="B22" s="4" t="s">
        <v>37</v>
      </c>
      <c r="C22" s="4">
        <v>0</v>
      </c>
      <c r="D22" s="4">
        <v>0</v>
      </c>
      <c r="E22" s="4">
        <v>0</v>
      </c>
      <c r="F22" s="17">
        <v>254000</v>
      </c>
      <c r="G22" s="20" t="s">
        <v>38</v>
      </c>
    </row>
    <row r="23" spans="1:7" ht="46.5">
      <c r="A23" s="16">
        <v>7</v>
      </c>
      <c r="B23" s="4" t="s">
        <v>39</v>
      </c>
      <c r="C23" s="4">
        <v>0</v>
      </c>
      <c r="D23" s="4">
        <v>0</v>
      </c>
      <c r="E23" s="4">
        <v>0</v>
      </c>
      <c r="F23" s="17">
        <v>7256200</v>
      </c>
      <c r="G23" s="20" t="s">
        <v>15</v>
      </c>
    </row>
    <row r="24" spans="1:7" ht="46.5">
      <c r="A24" s="16">
        <v>8</v>
      </c>
      <c r="B24" s="4" t="s">
        <v>41</v>
      </c>
      <c r="C24" s="4">
        <v>0</v>
      </c>
      <c r="D24" s="4">
        <v>0</v>
      </c>
      <c r="E24" s="4">
        <v>0</v>
      </c>
      <c r="F24" s="17">
        <f>428571+322383</f>
        <v>750954</v>
      </c>
      <c r="G24" s="20" t="s">
        <v>14</v>
      </c>
    </row>
    <row r="25" spans="1:7" ht="46.5">
      <c r="A25" s="16">
        <v>9</v>
      </c>
      <c r="B25" s="4" t="s">
        <v>40</v>
      </c>
      <c r="C25" s="4">
        <v>0</v>
      </c>
      <c r="D25" s="4">
        <v>0</v>
      </c>
      <c r="E25" s="4">
        <v>0</v>
      </c>
      <c r="F25" s="17">
        <v>214763</v>
      </c>
      <c r="G25" s="20" t="s">
        <v>18</v>
      </c>
    </row>
    <row r="26" spans="1:7" ht="30" customHeight="1">
      <c r="A26" s="16"/>
      <c r="B26" s="15" t="s">
        <v>1</v>
      </c>
      <c r="C26" s="15">
        <v>0</v>
      </c>
      <c r="D26" s="15">
        <v>0</v>
      </c>
      <c r="E26" s="15">
        <v>0</v>
      </c>
      <c r="F26" s="18">
        <f>SUM(F17:F25)</f>
        <v>25752489</v>
      </c>
      <c r="G26" s="19"/>
    </row>
    <row r="27" spans="1:7" ht="14" customHeight="1">
      <c r="A27" s="1"/>
      <c r="B27" s="3" t="s">
        <v>10</v>
      </c>
      <c r="C27" s="1"/>
      <c r="D27" s="1"/>
      <c r="E27" s="1"/>
      <c r="F27" s="1"/>
      <c r="G27" s="6"/>
    </row>
    <row r="28" spans="1:7" ht="14" customHeight="1">
      <c r="A28" s="1"/>
      <c r="B28" s="9" t="s">
        <v>42</v>
      </c>
      <c r="C28" s="2"/>
      <c r="D28" s="2"/>
      <c r="E28" s="2"/>
      <c r="F28" s="2"/>
      <c r="G28" s="10"/>
    </row>
    <row r="29" spans="1:7" ht="14" customHeight="1">
      <c r="A29" s="2" t="s">
        <v>2</v>
      </c>
      <c r="B29" s="1"/>
      <c r="C29" s="1"/>
      <c r="D29" s="1"/>
      <c r="E29" s="1"/>
      <c r="F29" s="2" t="s">
        <v>3</v>
      </c>
      <c r="G29" s="2"/>
    </row>
    <row r="30" spans="1:7" ht="14" customHeight="1">
      <c r="A30" s="1" t="s">
        <v>4</v>
      </c>
      <c r="B30" s="1"/>
      <c r="C30" s="3"/>
      <c r="D30" s="1"/>
      <c r="E30" s="1"/>
      <c r="F30" s="1" t="s">
        <v>7</v>
      </c>
      <c r="G30" s="1"/>
    </row>
    <row r="31" spans="1:7" ht="14" customHeight="1">
      <c r="A31" s="3" t="s">
        <v>5</v>
      </c>
      <c r="B31" s="3"/>
      <c r="C31" s="3"/>
      <c r="D31" s="1"/>
      <c r="E31" s="1"/>
      <c r="F31" s="1" t="s">
        <v>8</v>
      </c>
      <c r="G31" s="1"/>
    </row>
    <row r="32" spans="1:7" ht="14" customHeight="1">
      <c r="A32" s="3"/>
      <c r="B32" s="3"/>
      <c r="C32" s="1"/>
      <c r="D32" s="2" t="s">
        <v>6</v>
      </c>
      <c r="E32" s="3"/>
      <c r="F32" s="3"/>
      <c r="G32" s="3"/>
    </row>
    <row r="33" spans="1:7" ht="14" customHeight="1">
      <c r="A33" s="1"/>
      <c r="B33" s="1"/>
      <c r="C33" s="1"/>
      <c r="D33" s="1" t="s">
        <v>28</v>
      </c>
      <c r="E33" s="2"/>
      <c r="F33" s="2"/>
      <c r="G33" s="2"/>
    </row>
    <row r="34" spans="1:7" ht="15.5">
      <c r="A34" s="1"/>
      <c r="B34" s="1"/>
      <c r="C34" s="1"/>
      <c r="D34" s="1" t="s">
        <v>9</v>
      </c>
      <c r="E34" s="1"/>
      <c r="F34" s="1"/>
      <c r="G34" s="1"/>
    </row>
  </sheetData>
  <pageMargins left="0.27" right="0.17" top="0.3" bottom="0.2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2026-04-09T09:40:48Z</cp:lastPrinted>
  <dcterms:created xsi:type="dcterms:W3CDTF">2023-11-30T08:32:00Z</dcterms:created>
  <dcterms:modified xsi:type="dcterms:W3CDTF">2026-04-09T10:12:36Z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