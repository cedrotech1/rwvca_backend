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1" sheetId="20" r:id="rId1"/>
  </sheets>
  <calcPr calcId="162913"/>
</workbook>
</file>

<file path=xl/calcChain.xml><?xml version="1.0" encoding="utf-8"?>
<calcChain xmlns="http://schemas.openxmlformats.org/spreadsheetml/2006/main">
  <c r="F30" i="20" l="1"/>
  <c r="E30" i="20"/>
  <c r="D30" i="20"/>
  <c r="C30" i="20"/>
  <c r="F23" i="20"/>
  <c r="F22" i="20"/>
</calcChain>
</file>

<file path=xl/sharedStrings.xml><?xml version="1.0" encoding="utf-8"?>
<sst xmlns="http://schemas.openxmlformats.org/spreadsheetml/2006/main" count="43" uniqueCount="43">
  <si>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</si>
  <si>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</si>
  <si>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</si>
  <si>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</si>
  <si>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</si>
  <si>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</si>
  <si>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</si>
  <si>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</si>
  <si>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</si>
  <si>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</si>
  <si>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</si>
  <si>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</si>
  <si>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</si>
  <si>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Toyota Rwanda Ltd</t>
  </si>
  <si>
    <t>S/N</t>
  </si>
  <si>
    <t>Amount RWVCA/BK</t>
  </si>
  <si>
    <t>Amount RWVCA/ACB Plc</t>
  </si>
  <si>
    <t>SAGA SOLUTION &amp;PARTNERS LTD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</si>
  <si>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</si>
  <si>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</si>
  <si>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</si>
  <si>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</si>
  <si>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</si>
  <si>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</si>
  <si>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</si>
  <si>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NTIRENGANYA ANASTASE</t>
  </si>
  <si>
    <t>0693498770/RRA</t>
  </si>
  <si>
    <t>0789514430/Benjamin GATSINZI</t>
  </si>
  <si>
    <t>I&amp;M BANK PROJECT</t>
  </si>
  <si>
    <t>Payment of tax and contributions for May 2026</t>
  </si>
  <si>
    <t>Payment of CIT revised for the year 2025</t>
  </si>
  <si>
    <t>Payment of legal service fees for April and May 2026</t>
  </si>
  <si>
    <t>Done, on    04/06/2026</t>
  </si>
  <si>
    <t>Payment for repair and maintenance RWVCA's vehicle RAI 686P</t>
  </si>
  <si>
    <t>RSSB&amp;RRA</t>
  </si>
  <si>
    <t>Available amount:377,452,521RWF/RWVCA</t>
  </si>
  <si>
    <t>Available amount:5,404,710RWF/RWVCA</t>
  </si>
  <si>
    <t>Available amount:17,435,794RWF/RWVCA</t>
  </si>
  <si>
    <t>Available amount:493,163RWF/RWVCA</t>
  </si>
  <si>
    <t>Available amount:23,777,897RWF/RWVCA</t>
  </si>
  <si>
    <t>Available amount:1,799,130RWF/RWVCA</t>
  </si>
  <si>
    <t>Payment of wage for casual employee in Nyagatare (May 2026)</t>
  </si>
  <si>
    <t>Payment of wage for casual employee in Karongi-Rutsiro(May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</si>
</sst>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165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41" fontId="7" fillId="0" borderId="0" xfId="2" applyFont="1" applyBorder="1" applyAlignment="1">
      <alignment vertical="center" wrapText="1"/>
    </xf>
    <xf numFmtId="165" fontId="4" fillId="0" borderId="0" xfId="1" applyNumberFormat="1" applyFont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1122</xdr:colOff>
      <xdr:row>0</xdr:row>
      <xdr:rowOff>63501</xdr:rowOff>
    </xdr:from>
    <xdr:ext cx="1636058" cy="869950"/>
    <xdr:pic>
      <xdr:nvPicPr>
        <xdr:cNvPr id="2" name="Picture 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1922" y="63501"/>
          <a:ext cx="1636058" cy="8699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</xdr:col>
      <xdr:colOff>1460500</xdr:colOff>
      <xdr:row>5</xdr:row>
      <xdr:rowOff>88901</xdr:rowOff>
    </xdr:to>
    <xdr:pic>
      <xdr:nvPicPr>
        <xdr:cNvPr id="3" name="Picture 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670050" cy="1041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6</xdr:row>
      <xdr:rowOff>0</xdr:rowOff>
    </xdr:from>
    <xdr:to>
      <xdr:col>5</xdr:col>
      <xdr:colOff>933824</xdr:colOff>
      <xdr:row>6</xdr:row>
      <xdr:rowOff>22411</xdr:rowOff>
    </xdr:to>
    <xdr:cxnSp macro="">
      <xdr:nvCxnSpPr>
        <xdr:cNvPr id="4" name="Straight Arrow Connector 1"/>
        <xdr:cNvCxnSpPr>
          <a:cxnSpLocks noChangeShapeType="1"/>
        </xdr:cNvCxnSpPr>
      </xdr:nvCxnSpPr>
      <xdr:spPr>
        <a:xfrm flipV="1">
          <a:off x="1768661" y="261518400"/>
          <a:ext cx="3546663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6" workbookViewId="0">
      <selection activeCell="G11" sqref="G11"/>
    </sheetView>
  </sheetViews>
  <sheetFormatPr defaultRowHeight="20" customHeight="1"/>
  <cols>
    <col min="1" max="1" width="3" customWidth="1"/>
    <col min="2" max="2" width="31.7265625" customWidth="1"/>
    <col min="6" max="6" width="12.54296875" customWidth="1"/>
    <col min="7" max="7" width="30.90625" bestFit="1" customWidth="1"/>
  </cols>
  <sheetData>
    <row r="1" spans="1:7" s="11" customFormat="1" ht="15" customHeight="1">
      <c r="D1" s="8"/>
    </row>
    <row r="2" spans="1:7" s="11" customFormat="1" ht="15" customHeight="1">
      <c r="D2" s="8"/>
    </row>
    <row r="3" spans="1:7" s="11" customFormat="1" ht="15" customHeight="1">
      <c r="D3" s="8"/>
    </row>
    <row r="4" spans="1:7" s="11" customFormat="1" ht="15" customHeight="1">
      <c r="D4" s="8"/>
    </row>
    <row r="5" spans="1:7" s="11" customFormat="1" ht="15" customHeight="1">
      <c r="D5" s="8"/>
    </row>
    <row r="6" spans="1:7" s="11" customFormat="1" ht="15" customHeight="1">
      <c r="A6" s="8"/>
      <c r="B6" s="8"/>
      <c r="C6" s="8"/>
      <c r="D6" s="8"/>
      <c r="E6" s="8"/>
      <c r="F6" s="8"/>
      <c r="G6" s="8"/>
    </row>
    <row r="7" spans="1:7" s="11" customFormat="1" ht="15" customHeight="1">
      <c r="A7" s="8"/>
      <c r="B7" s="8"/>
      <c r="C7" s="8"/>
      <c r="D7" s="8"/>
      <c r="E7" s="8"/>
      <c r="F7" s="8"/>
      <c r="G7" s="8"/>
    </row>
    <row r="8" spans="1:7" s="11" customFormat="1" ht="15" customHeight="1">
      <c r="A8" s="8"/>
      <c r="B8" s="14" t="s">
        <v>18</v>
      </c>
      <c r="C8" s="1"/>
      <c r="D8" s="1"/>
      <c r="E8" s="1"/>
      <c r="F8" s="8"/>
      <c r="G8" s="8"/>
    </row>
    <row r="9" spans="1:7" s="11" customFormat="1" ht="15" customHeight="1">
      <c r="A9" s="8"/>
      <c r="B9" s="14" t="s">
        <v>36</v>
      </c>
      <c r="C9" s="1"/>
      <c r="D9" s="1"/>
      <c r="E9" s="1"/>
      <c r="F9" s="8"/>
      <c r="G9" s="8"/>
    </row>
    <row r="10" spans="1:7" s="11" customFormat="1" ht="15" customHeight="1">
      <c r="A10" s="8"/>
      <c r="B10" s="14" t="s">
        <v>19</v>
      </c>
      <c r="C10" s="1"/>
      <c r="D10" s="1"/>
      <c r="E10" s="1"/>
      <c r="F10" s="8"/>
      <c r="G10" s="8"/>
    </row>
    <row r="11" spans="1:7" s="11" customFormat="1" ht="15" customHeight="1">
      <c r="A11" s="8"/>
      <c r="B11" s="14" t="s">
        <v>39</v>
      </c>
      <c r="C11" s="1"/>
      <c r="D11" s="1"/>
      <c r="E11" s="1"/>
      <c r="F11" s="8"/>
      <c r="G11" s="10"/>
    </row>
    <row r="12" spans="1:7" s="11" customFormat="1" ht="15" customHeight="1">
      <c r="A12" s="8"/>
      <c r="B12" s="2" t="s">
        <v>20</v>
      </c>
      <c r="C12" s="1"/>
      <c r="D12" s="1"/>
      <c r="E12" s="1"/>
      <c r="F12" s="8"/>
      <c r="G12" s="31"/>
    </row>
    <row r="13" spans="1:7" s="11" customFormat="1" ht="15" customHeight="1">
      <c r="A13" s="8"/>
      <c r="B13" s="14" t="s">
        <v>38</v>
      </c>
      <c r="C13" s="1"/>
      <c r="D13" s="1"/>
      <c r="E13" s="1"/>
      <c r="F13" s="8"/>
      <c r="G13" s="10"/>
    </row>
    <row r="14" spans="1:7" s="11" customFormat="1" ht="15" customHeight="1">
      <c r="A14" s="8"/>
      <c r="B14" s="2" t="s">
        <v>21</v>
      </c>
      <c r="C14" s="1"/>
      <c r="D14" s="1"/>
      <c r="E14" s="1"/>
      <c r="G14" s="10"/>
    </row>
    <row r="15" spans="1:7" s="11" customFormat="1" ht="15" customHeight="1">
      <c r="A15" s="8"/>
      <c r="B15" s="14" t="s">
        <v>37</v>
      </c>
      <c r="C15" s="1"/>
      <c r="D15" s="1"/>
      <c r="E15" s="1"/>
      <c r="F15" s="8"/>
      <c r="G15" s="10"/>
    </row>
    <row r="16" spans="1:7" s="11" customFormat="1" ht="15" customHeight="1">
      <c r="A16" s="8"/>
      <c r="B16" s="14" t="s">
        <v>22</v>
      </c>
      <c r="C16" s="1"/>
      <c r="D16" s="1"/>
      <c r="E16" s="1"/>
      <c r="F16" s="8"/>
      <c r="G16" s="10"/>
    </row>
    <row r="17" spans="1:7" s="11" customFormat="1" ht="15" customHeight="1">
      <c r="A17" s="8"/>
      <c r="B17" s="14" t="s">
        <v>35</v>
      </c>
      <c r="C17" s="1"/>
      <c r="D17" s="1"/>
      <c r="E17" s="1"/>
      <c r="F17" s="8"/>
      <c r="G17" s="10"/>
    </row>
    <row r="18" spans="1:7" s="11" customFormat="1" ht="15" customHeight="1">
      <c r="A18" s="8"/>
      <c r="B18" s="14" t="s">
        <v>23</v>
      </c>
      <c r="C18" s="1"/>
      <c r="D18" s="1"/>
      <c r="E18" s="1"/>
      <c r="F18" s="8"/>
      <c r="G18" s="10"/>
    </row>
    <row r="19" spans="1:7" s="11" customFormat="1" ht="15" customHeight="1">
      <c r="A19" s="8"/>
      <c r="B19" s="14" t="s">
        <v>40</v>
      </c>
      <c r="C19" s="1"/>
      <c r="D19" s="1"/>
      <c r="E19" s="1"/>
      <c r="F19" s="8"/>
      <c r="G19" s="10"/>
    </row>
    <row r="20" spans="1:7" ht="60" customHeight="1">
      <c r="A20" s="15" t="s">
        <v>14</v>
      </c>
      <c r="B20" s="16" t="s">
        <v>0</v>
      </c>
      <c r="C20" s="17" t="s">
        <v>16</v>
      </c>
      <c r="D20" s="17" t="s">
        <v>12</v>
      </c>
      <c r="E20" s="17" t="s">
        <v>15</v>
      </c>
      <c r="F20" s="17" t="s">
        <v>28</v>
      </c>
      <c r="G20" s="17" t="s">
        <v>11</v>
      </c>
    </row>
    <row r="21" spans="1:7" ht="33" customHeight="1">
      <c r="A21" s="18">
        <v>1</v>
      </c>
      <c r="B21" s="5" t="s">
        <v>29</v>
      </c>
      <c r="C21" s="26">
        <v>0</v>
      </c>
      <c r="D21" s="26">
        <v>0</v>
      </c>
      <c r="E21" s="26">
        <v>0</v>
      </c>
      <c r="F21" s="26">
        <v>7249984</v>
      </c>
      <c r="G21" s="4" t="s">
        <v>34</v>
      </c>
    </row>
    <row r="22" spans="1:7" ht="35" customHeight="1">
      <c r="A22" s="18">
        <v>2</v>
      </c>
      <c r="B22" s="5" t="s">
        <v>41</v>
      </c>
      <c r="C22" s="26">
        <v>0</v>
      </c>
      <c r="D22" s="26">
        <v>0</v>
      </c>
      <c r="E22" s="26">
        <v>0</v>
      </c>
      <c r="F22" s="26">
        <f>304200*60%</f>
        <v>182520</v>
      </c>
      <c r="G22" s="27" t="s">
        <v>27</v>
      </c>
    </row>
    <row r="23" spans="1:7" ht="40" customHeight="1">
      <c r="A23" s="18">
        <v>3</v>
      </c>
      <c r="B23" s="5" t="s">
        <v>42</v>
      </c>
      <c r="C23" s="26">
        <v>0</v>
      </c>
      <c r="D23" s="26">
        <v>0</v>
      </c>
      <c r="E23" s="26">
        <v>0</v>
      </c>
      <c r="F23" s="26">
        <f>316702*60%</f>
        <v>190021.19999999998</v>
      </c>
      <c r="G23" s="4" t="s">
        <v>25</v>
      </c>
    </row>
    <row r="24" spans="1:7" ht="33" customHeight="1">
      <c r="A24" s="18">
        <v>4</v>
      </c>
      <c r="B24" s="5" t="s">
        <v>30</v>
      </c>
      <c r="C24" s="26">
        <v>0</v>
      </c>
      <c r="D24" s="26">
        <v>0</v>
      </c>
      <c r="E24" s="26">
        <v>0</v>
      </c>
      <c r="F24" s="26">
        <v>673438</v>
      </c>
      <c r="G24" s="4" t="s">
        <v>26</v>
      </c>
    </row>
    <row r="25" spans="1:7" ht="33" customHeight="1">
      <c r="A25" s="18">
        <v>5</v>
      </c>
      <c r="B25" s="4" t="s">
        <v>31</v>
      </c>
      <c r="C25" s="26">
        <v>0</v>
      </c>
      <c r="D25" s="26">
        <v>0</v>
      </c>
      <c r="E25" s="26">
        <v>0</v>
      </c>
      <c r="F25" s="26">
        <v>1180000</v>
      </c>
      <c r="G25" s="9" t="s">
        <v>17</v>
      </c>
    </row>
    <row r="26" spans="1:7" ht="50" customHeight="1">
      <c r="A26" s="18">
        <v>6</v>
      </c>
      <c r="B26" s="4" t="s">
        <v>33</v>
      </c>
      <c r="C26" s="26">
        <v>0</v>
      </c>
      <c r="D26" s="26">
        <v>0</v>
      </c>
      <c r="E26" s="26">
        <v>0</v>
      </c>
      <c r="F26" s="26">
        <v>108233</v>
      </c>
      <c r="G26" s="22" t="s">
        <v>13</v>
      </c>
    </row>
    <row r="27" spans="1:7" ht="33" customHeight="1">
      <c r="A27" s="18"/>
      <c r="B27" s="4"/>
      <c r="C27" s="26"/>
      <c r="D27" s="26"/>
      <c r="E27" s="26"/>
      <c r="F27" s="19"/>
      <c r="G27" s="22"/>
    </row>
    <row r="28" spans="1:7" ht="20" customHeight="1">
      <c r="A28" s="18"/>
      <c r="B28" s="4"/>
      <c r="C28" s="26"/>
      <c r="D28" s="26"/>
      <c r="E28" s="26"/>
      <c r="F28" s="19"/>
      <c r="G28" s="22"/>
    </row>
    <row r="29" spans="1:7" ht="20" customHeight="1">
      <c r="A29" s="18"/>
      <c r="B29" s="4"/>
      <c r="C29" s="26"/>
      <c r="D29" s="26"/>
      <c r="E29" s="26"/>
      <c r="F29" s="19"/>
      <c r="G29" s="22"/>
    </row>
    <row r="30" spans="1:7" ht="30" customHeight="1">
      <c r="A30" s="18"/>
      <c r="B30" s="17" t="s">
        <v>1</v>
      </c>
      <c r="C30" s="26">
        <f>SUM(C21:C29)</f>
        <v>0</v>
      </c>
      <c r="D30" s="28">
        <f>SUM(D21:D29)</f>
        <v>0</v>
      </c>
      <c r="E30" s="28">
        <f>SUM(E21:E29)</f>
        <v>0</v>
      </c>
      <c r="F30" s="20">
        <f>SUM(F21:F28)</f>
        <v>9584196.1999999993</v>
      </c>
      <c r="G30" s="21"/>
    </row>
    <row r="31" spans="1:7" ht="20" customHeight="1">
      <c r="A31" s="7"/>
      <c r="B31" s="23"/>
      <c r="C31" s="29"/>
      <c r="D31" s="30"/>
      <c r="E31" s="30"/>
      <c r="F31" s="24"/>
      <c r="G31" s="25"/>
    </row>
    <row r="32" spans="1:7" ht="20" customHeight="1">
      <c r="A32" s="1"/>
      <c r="B32" s="3" t="s">
        <v>10</v>
      </c>
      <c r="C32" s="1"/>
      <c r="D32" s="1"/>
      <c r="E32" s="1"/>
      <c r="F32" s="1"/>
      <c r="G32" s="6"/>
    </row>
    <row r="33" spans="1:7" ht="20" customHeight="1">
      <c r="A33" s="1"/>
      <c r="B33" s="12" t="s">
        <v>32</v>
      </c>
      <c r="C33" s="2"/>
      <c r="D33" s="2"/>
      <c r="E33" s="2"/>
      <c r="F33" s="2"/>
      <c r="G33" s="13"/>
    </row>
    <row r="34" spans="1:7" ht="20" customHeight="1">
      <c r="A34" s="2" t="s">
        <v>2</v>
      </c>
      <c r="B34" s="1"/>
      <c r="C34" s="1"/>
      <c r="D34" s="1"/>
      <c r="E34" s="1"/>
      <c r="F34" s="2" t="s">
        <v>3</v>
      </c>
      <c r="G34" s="2"/>
    </row>
    <row r="35" spans="1:7" ht="20" customHeight="1">
      <c r="A35" s="1" t="s">
        <v>4</v>
      </c>
      <c r="B35" s="1"/>
      <c r="C35" s="3"/>
      <c r="D35" s="1"/>
      <c r="E35" s="1"/>
      <c r="F35" s="1" t="s">
        <v>7</v>
      </c>
      <c r="G35" s="1"/>
    </row>
    <row r="36" spans="1:7" ht="20" customHeight="1">
      <c r="A36" s="3" t="s">
        <v>5</v>
      </c>
      <c r="B36" s="3"/>
      <c r="C36" s="3"/>
      <c r="D36" s="1"/>
      <c r="E36" s="1"/>
      <c r="F36" s="1" t="s">
        <v>8</v>
      </c>
      <c r="G36" s="1"/>
    </row>
    <row r="37" spans="1:7" ht="20" customHeight="1">
      <c r="A37" s="3"/>
      <c r="B37" s="3"/>
      <c r="C37" s="1"/>
      <c r="D37" s="2" t="s">
        <v>6</v>
      </c>
      <c r="E37" s="3"/>
      <c r="F37" s="3"/>
      <c r="G37" s="3"/>
    </row>
    <row r="38" spans="1:7" ht="20" customHeight="1">
      <c r="A38" s="1"/>
      <c r="B38" s="1"/>
      <c r="C38" s="1"/>
      <c r="D38" s="1" t="s">
        <v>24</v>
      </c>
      <c r="E38" s="2"/>
      <c r="F38" s="2"/>
      <c r="G38" s="2"/>
    </row>
    <row r="39" spans="1:7" ht="20" customHeight="1">
      <c r="A39" s="1"/>
      <c r="B39" s="1"/>
      <c r="C39" s="1"/>
      <c r="D39" s="1" t="s">
        <v>9</v>
      </c>
      <c r="E39" s="1"/>
      <c r="F39" s="1"/>
      <c r="G39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2026-05-19T12:06:08Z</cp:lastPrinted>
  <dcterms:created xsi:type="dcterms:W3CDTF">2023-11-30T08:32:00Z</dcterms:created>
  <dcterms:modified xsi:type="dcterms:W3CDTF">2026-06-04T10:59:58Z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