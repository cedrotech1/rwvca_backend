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D28" i="19" l="1"/>
  <c r="C28" i="19"/>
  <c r="F24" i="19" l="1"/>
  <c r="F28" i="19" l="1"/>
</calcChain>
</file>

<file path=xl/sharedStrings.xml><?xml version="1.0" encoding="utf-8"?>
<sst xmlns="http://schemas.openxmlformats.org/spreadsheetml/2006/main" count="49" uniqueCount="46">
  <si>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</si>
  <si>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</si>
  <si>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</si>
  <si>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</si>
  <si>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</si>
  <si>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</si>
  <si>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</si>
  <si>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</si>
  <si>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</si>
  <si>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</si>
  <si>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</si>
  <si>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</si>
  <si>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</si>
  <si>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Abdul Karemera</t>
  </si>
  <si>
    <t xml:space="preserve">Payment of petty cash </t>
  </si>
  <si>
    <t>RRA</t>
  </si>
  <si>
    <t>Amount RWVCA/I&amp;M BANK</t>
  </si>
  <si>
    <t>Amount RWVCA/SCHOOL DESKS</t>
  </si>
  <si>
    <t>S/N</t>
  </si>
  <si>
    <t>Amount RWVCA/BK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</si>
  <si>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</si>
  <si>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</si>
  <si>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</si>
  <si>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</si>
  <si>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</si>
  <si>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</si>
  <si>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Amount RWVCA/ACB Plc</t>
  </si>
  <si>
    <t>RSS</t>
  </si>
  <si>
    <t>Payment of WHT 15% for January</t>
  </si>
  <si>
    <t>Payment of tax and contributions for January,2026</t>
  </si>
  <si>
    <t>Payment of WHT 30% for January</t>
  </si>
  <si>
    <t>Available amount:5,412,710RWF/RWVCA</t>
  </si>
  <si>
    <t>Payment invoice of transport</t>
  </si>
  <si>
    <t>Payment of wage for casual worker Gatsibo for January,2026</t>
  </si>
  <si>
    <t>Payment of intern fees for January (Bugesera)</t>
  </si>
  <si>
    <t>Murekatete Stella</t>
  </si>
  <si>
    <t>Payment of sitting allowances  during preparation  election</t>
  </si>
  <si>
    <t>Available amount:370,340,060RWF/RWVCA</t>
  </si>
  <si>
    <t>Available amount:100,309,744RWF/RWVCA</t>
  </si>
  <si>
    <t>Available amount:174,999RWF/RWVCA</t>
  </si>
  <si>
    <t>ADAVANCE TOUR</t>
  </si>
  <si>
    <t>Done, on    12/02/2026</t>
  </si>
  <si>
    <t>Available amount:11,004,535RWF/RWVCA</t>
  </si>
  <si>
    <t>Available amount:92,908,398RWF/RWVCA</t>
  </si>
  <si>
    <t>Via momo 0798666553 (RWVCA)</t>
  </si>
  <si>
    <t>Payment of VAT for January,2026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</si>
</sst>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3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165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2" borderId="1" xfId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0" fontId="12" fillId="0" borderId="0" xfId="0" applyFont="1">
      <alignment vertical="center"/>
    </xf>
    <xf numFmtId="165" fontId="2" fillId="0" borderId="0" xfId="1" applyNumberFormat="1" applyFont="1" applyAlignment="1">
      <alignment vertical="center"/>
    </xf>
    <xf numFmtId="165" fontId="10" fillId="0" borderId="2" xfId="1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65" fontId="11" fillId="0" borderId="0" xfId="0" applyNumberFormat="1" applyFont="1">
      <alignment vertical="center"/>
    </xf>
    <xf numFmtId="41" fontId="5" fillId="0" borderId="1" xfId="2" quotePrefix="1" applyFont="1" applyBorder="1" applyAlignment="1">
      <alignment horizontal="left" vertical="center" wrapText="1"/>
    </xf>
    <xf numFmtId="165" fontId="5" fillId="2" borderId="2" xfId="1" applyNumberFormat="1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131118</xdr:colOff>
      <xdr:row>4</xdr:row>
      <xdr:rowOff>135082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0</xdr:row>
      <xdr:rowOff>0</xdr:rowOff>
    </xdr:from>
    <xdr:to>
      <xdr:col>1</xdr:col>
      <xdr:colOff>1025406</xdr:colOff>
      <xdr:row>4</xdr:row>
      <xdr:rowOff>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0"/>
          <a:ext cx="1133661" cy="672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>
          <a:off x="915410" y="73957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B14" zoomScale="85" zoomScaleNormal="85" workbookViewId="0">
      <selection activeCell="L18" sqref="L18"/>
    </sheetView>
  </sheetViews>
  <sheetFormatPr defaultColWidth="9.1796875" defaultRowHeight="12"/>
  <cols>
    <col min="1" max="1" width="4" style="8" customWidth="1"/>
    <col min="2" max="2" width="19.453125" style="8" customWidth="1"/>
    <col min="3" max="3" width="13.54296875" style="8" customWidth="1"/>
    <col min="4" max="4" width="11.6328125" style="9" customWidth="1"/>
    <col min="5" max="5" width="12.1796875" style="8" customWidth="1"/>
    <col min="6" max="6" width="12.36328125" style="8" customWidth="1"/>
    <col min="7" max="7" width="14.36328125" style="8" customWidth="1"/>
    <col min="8" max="8" width="7.54296875" style="8" customWidth="1"/>
    <col min="9" max="9" width="20.26953125" style="8" customWidth="1"/>
    <col min="10" max="16384" width="9.1796875" style="8"/>
  </cols>
  <sheetData>
    <row r="1" spans="1:7" ht="13">
      <c r="A1" s="26"/>
      <c r="B1" s="17"/>
      <c r="C1" s="26"/>
      <c r="D1" s="17"/>
      <c r="E1" s="15"/>
      <c r="F1" s="30"/>
      <c r="G1" s="15"/>
    </row>
    <row r="3" spans="1:7" ht="14">
      <c r="A3" s="3"/>
      <c r="B3" s="17"/>
      <c r="C3" s="2"/>
      <c r="D3" s="17"/>
      <c r="E3" s="26"/>
      <c r="F3" s="17"/>
      <c r="G3" s="17"/>
    </row>
    <row r="5" spans="1:7" ht="15.5">
      <c r="B5" s="1"/>
      <c r="C5" s="1"/>
      <c r="D5" s="1"/>
      <c r="E5" s="1"/>
      <c r="F5" s="1"/>
      <c r="G5" s="1"/>
    </row>
    <row r="6" spans="1:7" ht="15.5">
      <c r="B6" s="16" t="s">
        <v>20</v>
      </c>
      <c r="C6" s="17"/>
      <c r="D6" s="17"/>
      <c r="E6" s="17"/>
      <c r="F6" s="17"/>
      <c r="G6" s="1"/>
    </row>
    <row r="7" spans="1:7" ht="15.5">
      <c r="B7" s="16" t="s">
        <v>31</v>
      </c>
      <c r="C7" s="17"/>
      <c r="D7" s="17"/>
      <c r="E7" s="17"/>
      <c r="F7" s="17"/>
      <c r="G7" s="1"/>
    </row>
    <row r="8" spans="1:7" ht="15.5">
      <c r="B8" s="16" t="s">
        <v>21</v>
      </c>
      <c r="C8" s="17"/>
      <c r="D8" s="17"/>
      <c r="E8" s="17"/>
      <c r="F8" s="17"/>
      <c r="G8" s="1"/>
    </row>
    <row r="9" spans="1:7" ht="15.5">
      <c r="B9" s="16" t="s">
        <v>42</v>
      </c>
      <c r="C9" s="17"/>
      <c r="D9" s="17"/>
      <c r="E9" s="17"/>
      <c r="F9" s="17"/>
      <c r="G9" s="7"/>
    </row>
    <row r="10" spans="1:7" ht="15.5">
      <c r="B10" s="15" t="s">
        <v>22</v>
      </c>
      <c r="C10" s="17"/>
      <c r="D10" s="17"/>
      <c r="E10" s="17"/>
      <c r="G10" s="27"/>
    </row>
    <row r="11" spans="1:7" ht="15.5">
      <c r="B11" s="16" t="s">
        <v>38</v>
      </c>
      <c r="C11" s="17"/>
      <c r="D11" s="17"/>
      <c r="E11" s="17"/>
      <c r="F11" s="17"/>
      <c r="G11" s="7"/>
    </row>
    <row r="12" spans="1:7" ht="15.5">
      <c r="B12" s="15" t="s">
        <v>23</v>
      </c>
      <c r="C12" s="17"/>
      <c r="D12" s="17"/>
      <c r="E12" s="17"/>
      <c r="F12" s="17"/>
      <c r="G12" s="7"/>
    </row>
    <row r="13" spans="1:7" ht="15.5">
      <c r="B13" s="16" t="s">
        <v>39</v>
      </c>
      <c r="C13" s="17"/>
      <c r="D13" s="17"/>
      <c r="E13" s="17"/>
      <c r="F13" s="17"/>
      <c r="G13" s="7"/>
    </row>
    <row r="14" spans="1:7" ht="15.5">
      <c r="B14" s="16" t="s">
        <v>24</v>
      </c>
      <c r="C14" s="17"/>
      <c r="D14" s="17"/>
      <c r="E14" s="17"/>
      <c r="F14" s="17"/>
      <c r="G14" s="7"/>
    </row>
    <row r="15" spans="1:7" ht="15.5">
      <c r="B15" s="16" t="s">
        <v>37</v>
      </c>
      <c r="C15" s="17"/>
      <c r="D15" s="17"/>
      <c r="E15" s="17"/>
      <c r="F15" s="17"/>
      <c r="G15" s="7"/>
    </row>
    <row r="16" spans="1:7" ht="15.5">
      <c r="B16" s="16" t="s">
        <v>25</v>
      </c>
      <c r="C16" s="17"/>
      <c r="D16" s="17"/>
      <c r="E16" s="17"/>
      <c r="F16" s="17"/>
      <c r="G16" s="7"/>
    </row>
    <row r="17" spans="1:7" ht="15.5">
      <c r="B17" s="16" t="s">
        <v>43</v>
      </c>
      <c r="C17" s="17"/>
      <c r="D17" s="17"/>
      <c r="E17" s="17"/>
      <c r="F17" s="17"/>
      <c r="G17" s="7"/>
    </row>
    <row r="18" spans="1:7" ht="56">
      <c r="A18" s="10" t="s">
        <v>18</v>
      </c>
      <c r="B18" s="11" t="s">
        <v>0</v>
      </c>
      <c r="C18" s="12" t="s">
        <v>26</v>
      </c>
      <c r="D18" s="12" t="s">
        <v>16</v>
      </c>
      <c r="E18" s="12" t="s">
        <v>19</v>
      </c>
      <c r="F18" s="12" t="s">
        <v>17</v>
      </c>
      <c r="G18" s="12" t="s">
        <v>12</v>
      </c>
    </row>
    <row r="19" spans="1:7" ht="39">
      <c r="A19" s="19">
        <v>1</v>
      </c>
      <c r="B19" s="20" t="s">
        <v>29</v>
      </c>
      <c r="C19" s="21">
        <v>0</v>
      </c>
      <c r="D19" s="21">
        <v>0</v>
      </c>
      <c r="E19" s="6">
        <v>0</v>
      </c>
      <c r="F19" s="6">
        <v>7325279</v>
      </c>
      <c r="G19" s="31" t="s">
        <v>27</v>
      </c>
    </row>
    <row r="20" spans="1:7" ht="26">
      <c r="A20" s="19">
        <v>2</v>
      </c>
      <c r="B20" s="23" t="s">
        <v>45</v>
      </c>
      <c r="C20" s="21">
        <v>0</v>
      </c>
      <c r="D20" s="21">
        <v>95447480</v>
      </c>
      <c r="E20" s="6">
        <v>0</v>
      </c>
      <c r="F20" s="6">
        <v>0</v>
      </c>
      <c r="G20" s="20" t="s">
        <v>15</v>
      </c>
    </row>
    <row r="21" spans="1:7" ht="26">
      <c r="A21" s="19">
        <v>3</v>
      </c>
      <c r="B21" s="23" t="s">
        <v>32</v>
      </c>
      <c r="C21" s="21"/>
      <c r="D21" s="21"/>
      <c r="E21" s="6"/>
      <c r="F21" s="21">
        <v>150000</v>
      </c>
      <c r="G21" s="20" t="s">
        <v>40</v>
      </c>
    </row>
    <row r="22" spans="1:7" ht="26">
      <c r="A22" s="19">
        <v>4</v>
      </c>
      <c r="B22" s="23" t="s">
        <v>28</v>
      </c>
      <c r="C22" s="32">
        <v>0</v>
      </c>
      <c r="D22" s="21">
        <v>0</v>
      </c>
      <c r="E22" s="6">
        <v>0</v>
      </c>
      <c r="F22" s="21">
        <v>685717</v>
      </c>
      <c r="G22" s="20" t="s">
        <v>15</v>
      </c>
    </row>
    <row r="23" spans="1:7" ht="26">
      <c r="A23" s="19">
        <v>5</v>
      </c>
      <c r="B23" s="23" t="s">
        <v>30</v>
      </c>
      <c r="C23" s="32">
        <v>0</v>
      </c>
      <c r="D23" s="21">
        <v>0</v>
      </c>
      <c r="E23" s="6">
        <v>0</v>
      </c>
      <c r="F23" s="21">
        <v>642857</v>
      </c>
      <c r="G23" s="20" t="s">
        <v>15</v>
      </c>
    </row>
    <row r="24" spans="1:7" ht="39">
      <c r="A24" s="19">
        <v>6</v>
      </c>
      <c r="B24" s="23" t="s">
        <v>33</v>
      </c>
      <c r="C24" s="32">
        <v>0</v>
      </c>
      <c r="D24" s="21">
        <v>0</v>
      </c>
      <c r="E24" s="6">
        <v>0</v>
      </c>
      <c r="F24" s="21">
        <f>269500*60%</f>
        <v>161700</v>
      </c>
      <c r="G24" s="20" t="s">
        <v>15</v>
      </c>
    </row>
    <row r="25" spans="1:7" ht="26">
      <c r="A25" s="19">
        <v>7</v>
      </c>
      <c r="B25" s="23" t="s">
        <v>34</v>
      </c>
      <c r="C25" s="32">
        <v>0</v>
      </c>
      <c r="D25" s="21">
        <v>0</v>
      </c>
      <c r="E25" s="6">
        <v>0</v>
      </c>
      <c r="F25" s="21">
        <v>100000</v>
      </c>
      <c r="G25" s="20" t="s">
        <v>35</v>
      </c>
    </row>
    <row r="26" spans="1:7" ht="39">
      <c r="A26" s="19">
        <v>8</v>
      </c>
      <c r="B26" s="23" t="s">
        <v>36</v>
      </c>
      <c r="C26" s="32">
        <v>0</v>
      </c>
      <c r="D26" s="21">
        <v>0</v>
      </c>
      <c r="E26" s="6">
        <v>0</v>
      </c>
      <c r="F26" s="21">
        <v>800000</v>
      </c>
      <c r="G26" s="20" t="s">
        <v>11</v>
      </c>
    </row>
    <row r="27" spans="1:7" ht="39">
      <c r="A27" s="19">
        <v>9</v>
      </c>
      <c r="B27" s="23" t="s">
        <v>14</v>
      </c>
      <c r="C27" s="32">
        <v>0</v>
      </c>
      <c r="D27" s="21">
        <v>0</v>
      </c>
      <c r="E27" s="6">
        <v>0</v>
      </c>
      <c r="F27" s="21">
        <v>150000</v>
      </c>
      <c r="G27" s="20" t="s">
        <v>44</v>
      </c>
    </row>
    <row r="28" spans="1:7" ht="26">
      <c r="A28" s="13">
        <v>10</v>
      </c>
      <c r="B28" s="18" t="s">
        <v>1</v>
      </c>
      <c r="C28" s="28">
        <f>SUM(C19:C27)</f>
        <v>0</v>
      </c>
      <c r="D28" s="14">
        <f>SUM(D19:D27)</f>
        <v>95447480</v>
      </c>
      <c r="E28" s="14">
        <v>0</v>
      </c>
      <c r="F28" s="14">
        <f>SUM(F19:F21)</f>
        <v>7475279</v>
      </c>
      <c r="G28" s="22"/>
    </row>
    <row r="29" spans="1:7" ht="13">
      <c r="B29" s="2" t="s">
        <v>10</v>
      </c>
      <c r="C29" s="17"/>
      <c r="D29" s="17"/>
      <c r="E29" s="17"/>
      <c r="F29" s="17"/>
      <c r="G29" s="25"/>
    </row>
    <row r="30" spans="1:7" ht="13">
      <c r="B30" s="24" t="s">
        <v>41</v>
      </c>
      <c r="C30" s="15"/>
      <c r="D30" s="15"/>
      <c r="E30" s="15"/>
      <c r="F30" s="15"/>
      <c r="G30" s="30"/>
    </row>
    <row r="31" spans="1:7" ht="13">
      <c r="B31" s="24"/>
      <c r="C31" s="15"/>
      <c r="D31" s="30"/>
      <c r="E31" s="15"/>
      <c r="F31" s="15"/>
      <c r="G31" s="30"/>
    </row>
    <row r="32" spans="1:7" ht="14">
      <c r="A32" s="4" t="s">
        <v>2</v>
      </c>
      <c r="B32" s="17"/>
      <c r="C32" s="17"/>
      <c r="D32" s="17"/>
      <c r="E32" s="26"/>
      <c r="F32" s="15" t="s">
        <v>3</v>
      </c>
      <c r="G32" s="15"/>
    </row>
    <row r="33" spans="1:7" ht="14">
      <c r="A33" s="3" t="s">
        <v>4</v>
      </c>
      <c r="B33" s="17"/>
      <c r="C33" s="2"/>
      <c r="D33" s="17"/>
      <c r="E33" s="26"/>
      <c r="F33" s="17" t="s">
        <v>7</v>
      </c>
      <c r="G33" s="17"/>
    </row>
    <row r="34" spans="1:7" ht="14">
      <c r="A34" s="5" t="s">
        <v>5</v>
      </c>
      <c r="B34" s="2"/>
      <c r="C34" s="2"/>
      <c r="D34" s="17"/>
      <c r="E34" s="26"/>
      <c r="F34" s="17" t="s">
        <v>8</v>
      </c>
      <c r="G34" s="17"/>
    </row>
    <row r="35" spans="1:7" ht="14">
      <c r="A35" s="5"/>
      <c r="B35" s="2"/>
      <c r="C35" s="26"/>
      <c r="D35" s="15" t="s">
        <v>6</v>
      </c>
      <c r="E35" s="2"/>
      <c r="F35" s="2"/>
      <c r="G35" s="2"/>
    </row>
    <row r="36" spans="1:7" ht="14.5">
      <c r="A36" s="29"/>
      <c r="B36" s="17"/>
      <c r="C36" s="26"/>
      <c r="D36" s="17" t="s">
        <v>13</v>
      </c>
      <c r="E36" s="15"/>
      <c r="F36" s="15"/>
      <c r="G36" s="15"/>
    </row>
    <row r="37" spans="1:7" ht="13">
      <c r="D37" s="17" t="s">
        <v>9</v>
      </c>
    </row>
  </sheetData>
  <pageMargins left="0.7" right="0.7" top="0.27" bottom="0.3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2026-02-12T10:49:53Z</cp:lastPrinted>
  <dcterms:created xsi:type="dcterms:W3CDTF">2023-11-30T08:32:00Z</dcterms:created>
  <dcterms:modified xsi:type="dcterms:W3CDTF">2026-02-12T10:53:31Z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