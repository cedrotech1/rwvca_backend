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300" windowHeight="7290" activeTab="1"/>
  </bookViews>
  <sheets>
    <sheet name="BUDGET Q2 UPDATED" sheetId="28" r:id="rId1"/>
    <sheet name="BUDGET YEAR 2026 UPDATED" sheetId="29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C24" i="29" l="1"/>
  <c r="C52" i="28"/>
  <c r="C51" i="28"/>
  <c r="C59" i="29"/>
  <c r="C58" i="29"/>
  <c r="C14" i="29"/>
  <c r="C95" i="29" l="1"/>
  <c r="C86" i="29"/>
  <c r="C136" i="29"/>
  <c r="C131" i="29"/>
  <c r="C115" i="29"/>
  <c r="C79" i="29"/>
  <c r="C106" i="29"/>
  <c r="C82" i="29"/>
  <c r="C74" i="29"/>
  <c r="C76" i="29" s="1"/>
  <c r="C101" i="29"/>
  <c r="C53" i="29"/>
  <c r="C54" i="29"/>
  <c r="C60" i="29" s="1"/>
  <c r="C52" i="29"/>
  <c r="C49" i="29"/>
  <c r="C48" i="29"/>
  <c r="C46" i="29"/>
  <c r="C45" i="29"/>
  <c r="C44" i="29"/>
  <c r="C39" i="29"/>
  <c r="C32" i="29"/>
  <c r="C30" i="29"/>
  <c r="C42" i="29" s="1"/>
  <c r="C137" i="29" l="1"/>
  <c r="C16" i="29"/>
  <c r="C16" i="28"/>
  <c r="C15" i="29"/>
  <c r="C25" i="29" s="1"/>
  <c r="C26" i="29" s="1"/>
  <c r="C119" i="29"/>
  <c r="C68" i="29"/>
  <c r="C64" i="29"/>
  <c r="C50" i="29"/>
  <c r="C109" i="28"/>
  <c r="C68" i="28"/>
  <c r="C105" i="28"/>
  <c r="C99" i="28"/>
  <c r="C95" i="28"/>
  <c r="C57" i="28"/>
  <c r="C89" i="28"/>
  <c r="C85" i="28"/>
  <c r="C74" i="28"/>
  <c r="C80" i="28"/>
  <c r="C138" i="29" l="1"/>
  <c r="C35" i="28"/>
  <c r="C46" i="28"/>
  <c r="C53" i="28" s="1"/>
  <c r="C14" i="28" l="1"/>
  <c r="C60" i="28" l="1"/>
  <c r="C61" i="28" s="1"/>
  <c r="C44" i="28"/>
  <c r="C29" i="28"/>
  <c r="C36" i="28" s="1"/>
  <c r="C22" i="28"/>
  <c r="C12" i="28"/>
  <c r="C110" i="28" l="1"/>
  <c r="C23" i="28"/>
  <c r="C111" i="28" l="1"/>
</calcChain>
</file>

<file path=xl/comments1.xml><?xml version="1.0" encoding="utf-8"?>
<comments xmlns="http://schemas.openxmlformats.org/spreadsheetml/2006/main">
  <authors>
    <author>HP</author>
  </authors>
  <commentList>
    <comment ref="C4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C4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
Gisozi =5k per month
Kimironko=5k per month
RWVCA=10K per month</t>
        </r>
      </text>
    </comment>
  </commentList>
</comments>
</file>

<file path=xl/sharedStrings.xml><?xml version="1.0" encoding="utf-8"?>
<sst xmlns="http://schemas.openxmlformats.org/spreadsheetml/2006/main" count="280" uniqueCount="188">
  <si>
    <t>DETAILS</t>
  </si>
  <si>
    <t>A</t>
  </si>
  <si>
    <t>B</t>
  </si>
  <si>
    <t>C</t>
  </si>
  <si>
    <t>D</t>
  </si>
  <si>
    <t>E</t>
  </si>
  <si>
    <t>GENERAL &amp; ADMINISTATIVES COSTS</t>
  </si>
  <si>
    <t>SUB TOTAL STAFF COSTS</t>
  </si>
  <si>
    <t>SUB TOTAL UTILITIES COST</t>
  </si>
  <si>
    <t>GROSS EXPENSES</t>
  </si>
  <si>
    <t xml:space="preserve">Prepared by </t>
  </si>
  <si>
    <t>BALANCE CARRIED FORWARD</t>
  </si>
  <si>
    <t>MEMBERSHIP CONTRIBUTION</t>
  </si>
  <si>
    <t>MEMBERSHIP SERVICE FEES</t>
  </si>
  <si>
    <t>Jean Claude Nkomezumutima</t>
  </si>
  <si>
    <t>Marthe Dushimirimana</t>
  </si>
  <si>
    <t>Executive Director</t>
  </si>
  <si>
    <t>Email:rwvca2018@gmail.com</t>
  </si>
  <si>
    <t>Website:www.rwvca.org.rw</t>
  </si>
  <si>
    <t>S/T</t>
  </si>
  <si>
    <t>F</t>
  </si>
  <si>
    <t>G</t>
  </si>
  <si>
    <t>I</t>
  </si>
  <si>
    <t>SHARES PAID BY MEMBERS</t>
  </si>
  <si>
    <t>J</t>
  </si>
  <si>
    <t>K</t>
  </si>
  <si>
    <t>NEW BUDGET REVISED(EXPENDITURES)</t>
  </si>
  <si>
    <t>P</t>
  </si>
  <si>
    <t>Accountant</t>
  </si>
  <si>
    <t>BUDGET AMOUNT (INCOME)</t>
  </si>
  <si>
    <t>VAT COLLECTED</t>
  </si>
  <si>
    <t xml:space="preserve"> ESTIMATED BALANCE END Q2/2026</t>
  </si>
  <si>
    <t>ESTIMATION BUDGET FOR THE APRIL,MAY AND JUNE (Q2)2026</t>
  </si>
  <si>
    <t>PERFORMANCE SECURITY</t>
  </si>
  <si>
    <t>RTB FUND (RPL)</t>
  </si>
  <si>
    <t>H</t>
  </si>
  <si>
    <t>NEW PURCHASE ORDER</t>
  </si>
  <si>
    <t>TOTAL REVENUS PLANNED TO RECEIVE</t>
  </si>
  <si>
    <t>Approuved by</t>
  </si>
  <si>
    <t>Chairman</t>
  </si>
  <si>
    <t>Adbul Rahaman Karemera</t>
  </si>
  <si>
    <t>Verified by</t>
  </si>
  <si>
    <t>Done at Kigali,March,2026</t>
  </si>
  <si>
    <t>BUDGET FOR THE YEAR 2026</t>
  </si>
  <si>
    <t xml:space="preserve">I.REVENUES </t>
  </si>
  <si>
    <t>II.EXPENSES PLANNED</t>
  </si>
  <si>
    <t>ACCOUNT RECEIVABLES(Prepayments,Rbst loon)</t>
  </si>
  <si>
    <t>OTHER RESOURCES(RSSB)</t>
  </si>
  <si>
    <t>1. STAFF COSTS</t>
  </si>
  <si>
    <t>1.2 WAGES (Casual workers+interns)</t>
  </si>
  <si>
    <t>1.3 LUMP SUM</t>
  </si>
  <si>
    <t>1.4 CAPACITY BUILDING (STAFF)Software like quick book and others</t>
  </si>
  <si>
    <t>1.5 ROTATION OF MRO</t>
  </si>
  <si>
    <t>1.6 STAFF TRAINING ON IT</t>
  </si>
  <si>
    <t>1.7 STAFF PHYSICAL MEETING</t>
  </si>
  <si>
    <t>1.8 MEDICAL INSURANCE</t>
  </si>
  <si>
    <t>2. UTILITIES</t>
  </si>
  <si>
    <t>2.1 WATER</t>
  </si>
  <si>
    <t>2.2 ELECTRICITY</t>
  </si>
  <si>
    <t>2.3 FUEL</t>
  </si>
  <si>
    <t>1.1 GROSS SALARIES</t>
  </si>
  <si>
    <t>1.9 STAFF AIRTIME</t>
  </si>
  <si>
    <t>1.5 CAPACITY BUILDING (STAFF)Software like quick book and others</t>
  </si>
  <si>
    <t>1.6 ROTATION OF MRO</t>
  </si>
  <si>
    <t>1.7 STAFF TRAINING ON IT</t>
  </si>
  <si>
    <t>3. OFFICE</t>
  </si>
  <si>
    <t>3.1 INTERNET</t>
  </si>
  <si>
    <t>2.4 VEHICLE INSURANCE (1 car)</t>
  </si>
  <si>
    <t>2.5 CLEANING SERVICE FEES(GUTWARA IMYANDA)</t>
  </si>
  <si>
    <t>2.6 SECURITY FEES</t>
  </si>
  <si>
    <t>SUB TOTAL OFFICE</t>
  </si>
  <si>
    <t>3.2 OFFICE STATIONARIES(Brochures,Busines cards,blanding,Paper,Certificates,staff uniform,bags)</t>
  </si>
  <si>
    <t xml:space="preserve">4.TRANSPORTARION/TRAVEL COST </t>
  </si>
  <si>
    <t>5.SITTING ALLOWANCES AND MISSION FEES</t>
  </si>
  <si>
    <t>SUB TOTAL SITTING ALLOWANCES AND MISSION FEES</t>
  </si>
  <si>
    <t>6.1 KITCHEN MATERIALS</t>
  </si>
  <si>
    <t>6.2 PURCHASE CURTAINS FOR OFFICES</t>
  </si>
  <si>
    <t>SUB TOTAL TAXES</t>
  </si>
  <si>
    <t>6.PROCUREMENT OF MATERIALS AND EQUIPMENTS</t>
  </si>
  <si>
    <t>3.3 PROVISION STAFFFOOD&amp;COMMITEE(Meals and refreshment)</t>
  </si>
  <si>
    <t>3.4 POSTAGES &amp; FAXES (IPOSITA)</t>
  </si>
  <si>
    <t>5.2 SITTING-ALLOWANCES(EXCO+BOARD)</t>
  </si>
  <si>
    <t>SUB TOTAL PROCUREMENT OF MATERIALS AND EQUIPMENTS</t>
  </si>
  <si>
    <t>6.4 PURCHASE OFFICE FURNITURES(Chairs,Tables,..)</t>
  </si>
  <si>
    <t>7.EXTERNAL CONSULTANT</t>
  </si>
  <si>
    <t>7.1 COORDINATION CONSTRUCTION ACTIVITY</t>
  </si>
  <si>
    <t>7.2 LEGAL SERVICE</t>
  </si>
  <si>
    <t>7.3 EXPERT/CONSULTANT(BUSINES PLAN)</t>
  </si>
  <si>
    <t>7.5 COMPANY EXPERT IN FINANCE(Internal Controller)</t>
  </si>
  <si>
    <t>SUB TOTAL EXTERNAL CONSULTANT</t>
  </si>
  <si>
    <t>8.TAXES</t>
  </si>
  <si>
    <t>8.1 TAXES EXPENSES (VAT)</t>
  </si>
  <si>
    <t>8.2 TAX CLEARANCE</t>
  </si>
  <si>
    <t>8.3 SITTING ALLOWANCES 30%</t>
  </si>
  <si>
    <t>8.4 WITHOLDING TAX 15%</t>
  </si>
  <si>
    <t>9.IT EQUIPEMENT AND COMMUNICATION MATERIALS</t>
  </si>
  <si>
    <t>9.1 PROMOTIONAL MATERIALS</t>
  </si>
  <si>
    <t>9.2 IT EQUIPMENTS(up grade camera,screen,video conference.)</t>
  </si>
  <si>
    <t>7.6.REVISING RWVCA's DOCUMENTS(management support)</t>
  </si>
  <si>
    <t>9.3 MEDIA HOUSE(Visibility of RWVCA)</t>
  </si>
  <si>
    <t>SUB TOTAL IT EQUIPEMENT AND COMMUNICATION MATERIALS</t>
  </si>
  <si>
    <t>10.SOCIAL ACTIVITIES</t>
  </si>
  <si>
    <t>10.2 WARDS  BEST MEMBERS</t>
  </si>
  <si>
    <t>SUB TOTAL SOCIAL ACTIVITIES</t>
  </si>
  <si>
    <t>11.3 VALIDATION  PROJECT FEASABILITY</t>
  </si>
  <si>
    <t xml:space="preserve">4.2 OTHER TRANSPORT </t>
  </si>
  <si>
    <t>4.1 TRANSPORT DURING VISITING MRO</t>
  </si>
  <si>
    <t>5.1 MISSION FEES (Visiting MRO,….)</t>
  </si>
  <si>
    <t>11.MEETINGS&amp;VALIDATION&amp;WORKSHOPS&amp;TRAINING</t>
  </si>
  <si>
    <t>SUB TOTAL MEETINGS&amp;VALIDATION&amp;WORKSHOPS&amp;TRAINING</t>
  </si>
  <si>
    <t>3.5 RENTAL EXPENSES</t>
  </si>
  <si>
    <t>11.4 TRAINING FOR WOMEN YOUTH</t>
  </si>
  <si>
    <t>11.5 Organize and provision training on use of IT and AI at workplace for staff and how it's beneficial to members</t>
  </si>
  <si>
    <t>12.SUPPLIERS INVOICES/GUARANTEE</t>
  </si>
  <si>
    <t>12.1 PYT SCHOOL DESKS SUPPLIERS (Guarentee)</t>
  </si>
  <si>
    <t>12.2 PAYMENT SUPPLIERS  INVOICES (Purchase order received in March 2026)</t>
  </si>
  <si>
    <t>SUB TOTAL SUPPLIERS INVOICES/GUARANTEE</t>
  </si>
  <si>
    <t>13.MEMBERSHIP ACTIVITIES</t>
  </si>
  <si>
    <t>13.2 IDENTIFY KEY POTENTIAL MEMBERS +SITES</t>
  </si>
  <si>
    <t>13.3 Identification of the new zones of timber trade that need to avail the MROs</t>
  </si>
  <si>
    <t>13.4 PURCHASE SHARES</t>
  </si>
  <si>
    <t>SUB TOTAL MEMBERSHIP ACTIVITIES</t>
  </si>
  <si>
    <t>13.5 REPRESENTATION FEES FOR CHAIRMAN</t>
  </si>
  <si>
    <t>13.6 ROBBING FEES</t>
  </si>
  <si>
    <t>14.OTHER EXPENSES</t>
  </si>
  <si>
    <t>6.5 PUBLICATION FEES</t>
  </si>
  <si>
    <t>13.9 AWARENESS OF TMS</t>
  </si>
  <si>
    <t>SUB TOTAL OTHERS EXPENSES</t>
  </si>
  <si>
    <t xml:space="preserve">SUB TOTAL TRANSPORTATION/TRAVEL COST </t>
  </si>
  <si>
    <t>6.3 OFFICE EQUIPMENT (Laptop)for Assistant E.D and Staff Ngororero</t>
  </si>
  <si>
    <t>BUDGET</t>
  </si>
  <si>
    <t>PERFORMANCE SECURITY PAYBACK</t>
  </si>
  <si>
    <t>OTHER REVENUE (Refund,VAT received from purchases)</t>
  </si>
  <si>
    <t>REVENUE FROM MINECOFIN (last invoice)</t>
  </si>
  <si>
    <t>SUB TOTAL REVENUES PLANNED</t>
  </si>
  <si>
    <t>1.4 MOTIVATION STAFF (13eme mois include WHT)</t>
  </si>
  <si>
    <t>1.8 STAFF PHYSICAL MEETING</t>
  </si>
  <si>
    <t>1.9 MEDICAL INSURANCE</t>
  </si>
  <si>
    <t>1.10 STAFF AIRTIME</t>
  </si>
  <si>
    <t>1.11 RETREAT OF HQ EMPLOYEES</t>
  </si>
  <si>
    <t>2.4 VEHICLE INSURANCE (2 car)</t>
  </si>
  <si>
    <t>8.5 TRADING LICENSE</t>
  </si>
  <si>
    <t>8.6 PROPERTY TAX</t>
  </si>
  <si>
    <t>8.7 CIT</t>
  </si>
  <si>
    <t>3.2 OFFICE STATIONARIES(Brochures,cartridge,Busines cards,blanding,Paper,bic,Certificates,bags)</t>
  </si>
  <si>
    <t>9.4 HOSTING SERVICE&amp;DEVELOPMENT APPLICATION</t>
  </si>
  <si>
    <t>4.1 VISITING MROs&amp;M&amp;E (Internal control&amp;data collection)</t>
  </si>
  <si>
    <t>13.7 CAPACITY BUILDING( Membership mobilisation)</t>
  </si>
  <si>
    <t>7.7 AUDIT FEES</t>
  </si>
  <si>
    <t>3.6 DECORATION</t>
  </si>
  <si>
    <t>12.1 PYT SCHOOL DESKS SUPPLIERS (Guarentee+Adendum)</t>
  </si>
  <si>
    <t>1.12 WOMEN YOUTH TRAINING</t>
  </si>
  <si>
    <t>Olga</t>
  </si>
  <si>
    <t>10.3 TREE PLANTING DAY</t>
  </si>
  <si>
    <t>13.10 MEMBERSHIP CONTRIBUTION (PSF)</t>
  </si>
  <si>
    <t>14.1 ANNIVERSAL OF RWVCA (Wood Sector forum)</t>
  </si>
  <si>
    <t>10.1 SOCIAL ACTIVITIES PARTICIPATION (Commemoration Genocide against Tutsi,..)</t>
  </si>
  <si>
    <t>10.1 SOCIAL ACTIVITIES PARTICIPATION(Commemoration Genocide against Tutsi,..)</t>
  </si>
  <si>
    <t>7.8 PPD</t>
  </si>
  <si>
    <t>7.2 LEGAL SERVICE(Loyer,huissier)</t>
  </si>
  <si>
    <t>3.7 CAR WASH</t>
  </si>
  <si>
    <t>3.9 REPAIR AND MAINTENANCE VEHICLES</t>
  </si>
  <si>
    <t>14.2 BANK CHARGES</t>
  </si>
  <si>
    <t xml:space="preserve"> ESTIMATED BALANCE END OF THE YEAR 2026</t>
  </si>
  <si>
    <t>13.8 ELECTION (District,Province and National level)</t>
  </si>
  <si>
    <t xml:space="preserve">11.6 PREPARATORY MEETING FOR ELECTION </t>
  </si>
  <si>
    <t>7.4 DESIGN LAYOUT OF BUILDING (market research&amp;demand,..)</t>
  </si>
  <si>
    <t>11.1 GENERAL ASSEMBLY MEETING +INDUCTION(130 participants)</t>
  </si>
  <si>
    <t>11.1 MEETING (ICPCs President) 48 Participants</t>
  </si>
  <si>
    <t>11.2 MEETING ( 121 Timber Suppliers)</t>
  </si>
  <si>
    <t>13.1 KUBARURA ABACURUZI BARI MURI SECTOR YA WOOD</t>
  </si>
  <si>
    <t>14.3 OTHERS EXTRA EXPENSES(MISSELANEOUS EXPENSES)</t>
  </si>
  <si>
    <t>3.6 CAR WASH</t>
  </si>
  <si>
    <t>3.7 REPAIR AND MAINTENANCE VEHICLES</t>
  </si>
  <si>
    <t>6.6  PURCHASE COVER FOR VEHICLE</t>
  </si>
  <si>
    <t>14.1 BANK CHARGES</t>
  </si>
  <si>
    <t>14.2 OTHERS EXTRA EXPENSES(MISSELANEOUS EXPENSES)</t>
  </si>
  <si>
    <t>13.1 IDENTIFY KEY POTENTIAL MEMBERS +SITES</t>
  </si>
  <si>
    <t>13.2 REPRESENTATION FEES FOR CHAIRMAN</t>
  </si>
  <si>
    <t>13.3 ROBBING FEES</t>
  </si>
  <si>
    <t>13.4 MOBILISATION</t>
  </si>
  <si>
    <t>11.4 Organize and provision training on use of IT and AI at workplace for staff and how it's beneficial to members</t>
  </si>
  <si>
    <t>11.1 MEETING (ICPCs President) 30 participants</t>
  </si>
  <si>
    <t>11.2 MEETING (121 Timber Suppliers)</t>
  </si>
  <si>
    <t>7.4 COMPANY EXPERT IN FINANCE(Internal Controller)</t>
  </si>
  <si>
    <t>6.4 PURCHASE COVER FOR VEHICLE</t>
  </si>
  <si>
    <t>OTHER RESOURCES(RSSB+Guarantee phase 4)</t>
  </si>
  <si>
    <t>I.REVENUES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</si>
</sst>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u/>
      <sz val="10"/>
      <color theme="1"/>
      <name val="Book Antiqua"/>
      <family val="1"/>
    </font>
    <font>
      <sz val="12"/>
      <color theme="1"/>
      <name val="Book Antiqua"/>
      <family val="1"/>
    </font>
    <font>
      <sz val="10"/>
      <color rgb="FFFF000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1">
    <xf numFmtId="0" fontId="0" fillId="0" borderId="0" xfId="0"/>
    <xf numFmtId="0" fontId="5" fillId="0" borderId="0" xfId="0" applyFont="1"/>
    <xf numFmtId="165" fontId="5" fillId="0" borderId="0" xfId="1" applyNumberFormat="1" applyFont="1"/>
    <xf numFmtId="165" fontId="4" fillId="3" borderId="1" xfId="1" applyNumberFormat="1" applyFont="1" applyFill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vertical="center" wrapText="1"/>
    </xf>
    <xf numFmtId="165" fontId="5" fillId="4" borderId="1" xfId="1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65" fontId="4" fillId="2" borderId="1" xfId="1" applyNumberFormat="1" applyFont="1" applyFill="1" applyBorder="1" applyAlignment="1">
      <alignment vertical="center" wrapText="1"/>
    </xf>
    <xf numFmtId="165" fontId="5" fillId="0" borderId="0" xfId="0" applyNumberFormat="1" applyFont="1"/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/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165" fontId="4" fillId="3" borderId="1" xfId="1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5" fontId="5" fillId="0" borderId="0" xfId="1" applyNumberFormat="1" applyFont="1" applyFill="1" applyBorder="1" applyAlignment="1">
      <alignment horizontal="center"/>
    </xf>
    <xf numFmtId="0" fontId="5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165" fontId="7" fillId="0" borderId="1" xfId="1" applyNumberFormat="1" applyFont="1" applyBorder="1" applyAlignment="1">
      <alignment vertical="center"/>
    </xf>
    <xf numFmtId="0" fontId="4" fillId="0" borderId="0" xfId="0" applyFont="1"/>
    <xf numFmtId="165" fontId="4" fillId="4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165" fontId="5" fillId="0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5" fontId="8" fillId="0" borderId="1" xfId="1" applyNumberFormat="1" applyFont="1" applyBorder="1" applyAlignment="1">
      <alignment vertical="center"/>
    </xf>
    <xf numFmtId="165" fontId="5" fillId="4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5" fontId="5" fillId="4" borderId="1" xfId="0" applyNumberFormat="1" applyFont="1" applyFill="1" applyBorder="1" applyAlignment="1">
      <alignment horizontal="center"/>
    </xf>
    <xf numFmtId="165" fontId="8" fillId="4" borderId="1" xfId="1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4" fillId="0" borderId="5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65" fontId="9" fillId="4" borderId="1" xfId="1" applyNumberFormat="1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65" fontId="9" fillId="0" borderId="1" xfId="1" applyNumberFormat="1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5" fontId="10" fillId="0" borderId="3" xfId="1" applyNumberFormat="1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165" fontId="5" fillId="0" borderId="3" xfId="1" applyNumberFormat="1" applyFont="1" applyBorder="1" applyAlignment="1">
      <alignment vertical="center"/>
    </xf>
    <xf numFmtId="165" fontId="4" fillId="0" borderId="3" xfId="1" applyNumberFormat="1" applyFont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1" fontId="5" fillId="4" borderId="1" xfId="2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1" fontId="5" fillId="0" borderId="0" xfId="2" applyFont="1" applyAlignment="1">
      <alignment vertical="center"/>
    </xf>
    <xf numFmtId="41" fontId="5" fillId="0" borderId="3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</cellXfs>
  <cellStyles count="3">
    <cellStyle name="Comma [0]" xfId="2" builtinId="6"/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2" name="Picture 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3" name="Image1" descr="logo PSF-FSP (2)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4" name="Picture 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5" name="Image1" descr="logo PSF-FSP (2)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8" name="Picture 7" descr="D:\RWCA documents\Logo\RWVCA 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9" name="Image1" descr="logo PSF-FSP (2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1066800</xdr:colOff>
      <xdr:row>3</xdr:row>
      <xdr:rowOff>107950</xdr:rowOff>
    </xdr:to>
    <xdr:pic>
      <xdr:nvPicPr>
        <xdr:cNvPr id="2" name="Picture 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27000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1270000</xdr:colOff>
      <xdr:row>0</xdr:row>
      <xdr:rowOff>0</xdr:rowOff>
    </xdr:from>
    <xdr:to>
      <xdr:col>2</xdr:col>
      <xdr:colOff>2178050</xdr:colOff>
      <xdr:row>3</xdr:row>
      <xdr:rowOff>13261</xdr:rowOff>
    </xdr:to>
    <xdr:pic>
      <xdr:nvPicPr>
        <xdr:cNvPr id="3" name="Image1" descr="logo PSF-FSP (2)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9800" y="0"/>
          <a:ext cx="908050" cy="5085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Updated%20one%20REPORT%20AND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Q2"/>
      <sheetName val="FIN EPORT Q1"/>
    </sheetNames>
    <sheetDataSet>
      <sheetData sheetId="0"/>
      <sheetData sheetId="1">
        <row r="89">
          <cell r="D89">
            <v>333203294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E120"/>
  <sheetViews>
    <sheetView topLeftCell="A105" workbookViewId="0">
      <selection activeCell="C108" sqref="C108"/>
    </sheetView>
  </sheetViews>
  <sheetFormatPr defaultColWidth="22.1796875" defaultRowHeight="13" x14ac:dyDescent="0.3"/>
  <cols>
    <col min="1" max="1" width="3.54296875" style="1" customWidth="1"/>
    <col min="2" max="2" width="46.26953125" style="24" customWidth="1"/>
    <col min="3" max="3" width="31.26953125" style="2" customWidth="1"/>
    <col min="4" max="16384" width="22.1796875" style="1"/>
  </cols>
  <sheetData>
    <row r="6" spans="1:3" x14ac:dyDescent="0.3">
      <c r="A6" s="26" t="s">
        <v>17</v>
      </c>
      <c r="B6" s="26"/>
    </row>
    <row r="7" spans="1:3" x14ac:dyDescent="0.3">
      <c r="A7" s="26" t="s">
        <v>18</v>
      </c>
      <c r="B7" s="26"/>
    </row>
    <row r="8" spans="1:3" ht="11.25" customHeight="1" x14ac:dyDescent="0.3">
      <c r="A8" s="72"/>
      <c r="B8" s="72"/>
      <c r="C8" s="72"/>
    </row>
    <row r="9" spans="1:3" x14ac:dyDescent="0.3">
      <c r="A9" s="73" t="s">
        <v>32</v>
      </c>
      <c r="B9" s="73"/>
      <c r="C9" s="73"/>
    </row>
    <row r="10" spans="1:3" x14ac:dyDescent="0.3">
      <c r="A10" s="74"/>
      <c r="B10" s="74"/>
      <c r="C10" s="74"/>
    </row>
    <row r="11" spans="1:3" ht="20" customHeight="1" x14ac:dyDescent="0.3">
      <c r="A11" s="75" t="s">
        <v>0</v>
      </c>
      <c r="B11" s="75"/>
      <c r="C11" s="3" t="s">
        <v>29</v>
      </c>
    </row>
    <row r="12" spans="1:3" ht="25" customHeight="1" x14ac:dyDescent="0.3">
      <c r="A12" s="76" t="s">
        <v>11</v>
      </c>
      <c r="B12" s="76"/>
      <c r="C12" s="27">
        <f>+'[1]FIN EPORT Q1'!D89</f>
        <v>333203294</v>
      </c>
    </row>
    <row r="13" spans="1:3" ht="25" customHeight="1" x14ac:dyDescent="0.3">
      <c r="A13" s="77" t="s">
        <v>44</v>
      </c>
      <c r="B13" s="78"/>
      <c r="C13" s="79"/>
    </row>
    <row r="14" spans="1:3" s="6" customFormat="1" ht="22.5" customHeight="1" x14ac:dyDescent="0.3">
      <c r="A14" s="28" t="s">
        <v>1</v>
      </c>
      <c r="B14" s="16" t="s">
        <v>30</v>
      </c>
      <c r="C14" s="30">
        <f>110000000*3</f>
        <v>330000000</v>
      </c>
    </row>
    <row r="15" spans="1:3" s="6" customFormat="1" ht="22.5" customHeight="1" x14ac:dyDescent="0.3">
      <c r="A15" s="28" t="s">
        <v>2</v>
      </c>
      <c r="B15" s="16" t="s">
        <v>33</v>
      </c>
      <c r="C15" s="30">
        <v>74996479</v>
      </c>
    </row>
    <row r="16" spans="1:3" s="6" customFormat="1" ht="28.5" customHeight="1" x14ac:dyDescent="0.3">
      <c r="A16" s="28" t="s">
        <v>3</v>
      </c>
      <c r="B16" s="16" t="s">
        <v>13</v>
      </c>
      <c r="C16" s="25">
        <f>+(10678821+10242480)/2*12</f>
        <v>125527806</v>
      </c>
    </row>
    <row r="17" spans="1:5" s="6" customFormat="1" ht="22.5" customHeight="1" x14ac:dyDescent="0.3">
      <c r="A17" s="28" t="s">
        <v>4</v>
      </c>
      <c r="B17" s="16" t="s">
        <v>12</v>
      </c>
      <c r="C17" s="30">
        <v>3000000</v>
      </c>
    </row>
    <row r="18" spans="1:5" s="6" customFormat="1" ht="22.5" customHeight="1" x14ac:dyDescent="0.3">
      <c r="A18" s="28" t="s">
        <v>5</v>
      </c>
      <c r="B18" s="16" t="s">
        <v>36</v>
      </c>
      <c r="C18" s="30">
        <v>27031440</v>
      </c>
    </row>
    <row r="19" spans="1:5" ht="20" customHeight="1" x14ac:dyDescent="0.3">
      <c r="A19" s="28" t="s">
        <v>20</v>
      </c>
      <c r="B19" s="16" t="s">
        <v>34</v>
      </c>
      <c r="C19" s="30">
        <v>28680000</v>
      </c>
    </row>
    <row r="20" spans="1:5" ht="20" customHeight="1" x14ac:dyDescent="0.3">
      <c r="A20" s="28" t="s">
        <v>25</v>
      </c>
      <c r="B20" s="16" t="s">
        <v>23</v>
      </c>
      <c r="C20" s="5">
        <v>14982257</v>
      </c>
    </row>
    <row r="21" spans="1:5" ht="20" customHeight="1" x14ac:dyDescent="0.3">
      <c r="A21" s="7" t="s">
        <v>27</v>
      </c>
      <c r="B21" s="16" t="s">
        <v>47</v>
      </c>
      <c r="C21" s="30">
        <v>440000</v>
      </c>
    </row>
    <row r="22" spans="1:5" ht="25" customHeight="1" x14ac:dyDescent="0.3">
      <c r="A22" s="7"/>
      <c r="B22" s="10" t="s">
        <v>19</v>
      </c>
      <c r="C22" s="4">
        <f>SUM(C14:C21)</f>
        <v>604657982</v>
      </c>
    </row>
    <row r="23" spans="1:5" ht="25" customHeight="1" x14ac:dyDescent="0.3">
      <c r="A23" s="80" t="s">
        <v>37</v>
      </c>
      <c r="B23" s="80"/>
      <c r="C23" s="27">
        <f>+C22+C12</f>
        <v>937861276</v>
      </c>
    </row>
    <row r="24" spans="1:5" ht="25" customHeight="1" x14ac:dyDescent="0.3">
      <c r="A24" s="81" t="s">
        <v>45</v>
      </c>
      <c r="B24" s="82"/>
      <c r="C24" s="83"/>
    </row>
    <row r="25" spans="1:5" ht="30" customHeight="1" x14ac:dyDescent="0.3">
      <c r="A25" s="11">
        <v>1</v>
      </c>
      <c r="B25" s="12" t="s">
        <v>6</v>
      </c>
      <c r="C25" s="13" t="s">
        <v>26</v>
      </c>
    </row>
    <row r="26" spans="1:5" ht="20" customHeight="1" x14ac:dyDescent="0.3">
      <c r="A26" s="69" t="s">
        <v>48</v>
      </c>
      <c r="B26" s="70"/>
      <c r="C26" s="71"/>
    </row>
    <row r="27" spans="1:5" ht="20" customHeight="1" x14ac:dyDescent="0.3">
      <c r="A27" s="29"/>
      <c r="B27" s="32" t="s">
        <v>60</v>
      </c>
      <c r="C27" s="5">
        <v>61270561</v>
      </c>
      <c r="E27" s="14"/>
    </row>
    <row r="28" spans="1:5" ht="20" customHeight="1" x14ac:dyDescent="0.3">
      <c r="A28" s="29"/>
      <c r="B28" s="32" t="s">
        <v>49</v>
      </c>
      <c r="C28" s="5">
        <v>1000000</v>
      </c>
    </row>
    <row r="29" spans="1:5" ht="20" customHeight="1" x14ac:dyDescent="0.3">
      <c r="A29" s="29"/>
      <c r="B29" s="15" t="s">
        <v>50</v>
      </c>
      <c r="C29" s="9">
        <f>1000000*3</f>
        <v>3000000</v>
      </c>
    </row>
    <row r="30" spans="1:5" ht="35.15" customHeight="1" x14ac:dyDescent="0.3">
      <c r="A30" s="29"/>
      <c r="B30" s="18" t="s">
        <v>51</v>
      </c>
      <c r="C30" s="5">
        <v>2000000</v>
      </c>
    </row>
    <row r="31" spans="1:5" ht="20" customHeight="1" x14ac:dyDescent="0.3">
      <c r="A31" s="29"/>
      <c r="B31" s="18" t="s">
        <v>52</v>
      </c>
      <c r="C31" s="5">
        <v>635232</v>
      </c>
    </row>
    <row r="32" spans="1:5" ht="20" customHeight="1" x14ac:dyDescent="0.3">
      <c r="A32" s="29"/>
      <c r="B32" s="18" t="s">
        <v>53</v>
      </c>
      <c r="C32" s="5">
        <v>3494470</v>
      </c>
    </row>
    <row r="33" spans="1:3" ht="20" customHeight="1" x14ac:dyDescent="0.3">
      <c r="A33" s="29"/>
      <c r="B33" s="18" t="s">
        <v>54</v>
      </c>
      <c r="C33" s="5">
        <v>1538940</v>
      </c>
    </row>
    <row r="34" spans="1:3" ht="20" customHeight="1" x14ac:dyDescent="0.3">
      <c r="A34" s="29"/>
      <c r="B34" s="18" t="s">
        <v>55</v>
      </c>
      <c r="C34" s="34">
        <v>1400000</v>
      </c>
    </row>
    <row r="35" spans="1:3" ht="20" customHeight="1" x14ac:dyDescent="0.3">
      <c r="A35" s="29"/>
      <c r="B35" s="18" t="s">
        <v>61</v>
      </c>
      <c r="C35" s="34">
        <f>590000*3</f>
        <v>1770000</v>
      </c>
    </row>
    <row r="36" spans="1:3" ht="25" customHeight="1" x14ac:dyDescent="0.3">
      <c r="A36" s="35"/>
      <c r="B36" s="35" t="s">
        <v>7</v>
      </c>
      <c r="C36" s="4">
        <f>SUM(C27:C35)</f>
        <v>76109203</v>
      </c>
    </row>
    <row r="37" spans="1:3" ht="20" customHeight="1" x14ac:dyDescent="0.3">
      <c r="A37" s="66" t="s">
        <v>56</v>
      </c>
      <c r="B37" s="67"/>
      <c r="C37" s="68"/>
    </row>
    <row r="38" spans="1:3" ht="20" customHeight="1" x14ac:dyDescent="0.3">
      <c r="A38" s="29"/>
      <c r="B38" s="32" t="s">
        <v>57</v>
      </c>
      <c r="C38" s="5">
        <v>200000</v>
      </c>
    </row>
    <row r="39" spans="1:3" ht="20" customHeight="1" x14ac:dyDescent="0.3">
      <c r="A39" s="29"/>
      <c r="B39" s="32" t="s">
        <v>58</v>
      </c>
      <c r="C39" s="5">
        <v>300000</v>
      </c>
    </row>
    <row r="40" spans="1:3" ht="20" customHeight="1" x14ac:dyDescent="0.3">
      <c r="A40" s="29"/>
      <c r="B40" s="32" t="s">
        <v>59</v>
      </c>
      <c r="C40" s="5">
        <v>4800000</v>
      </c>
    </row>
    <row r="41" spans="1:3" ht="20" customHeight="1" x14ac:dyDescent="0.3">
      <c r="A41" s="29"/>
      <c r="B41" s="32" t="s">
        <v>67</v>
      </c>
      <c r="C41" s="5">
        <v>2587690</v>
      </c>
    </row>
    <row r="42" spans="1:3" ht="25" customHeight="1" x14ac:dyDescent="0.3">
      <c r="A42" s="29"/>
      <c r="B42" s="32" t="s">
        <v>68</v>
      </c>
      <c r="C42" s="5">
        <v>30000</v>
      </c>
    </row>
    <row r="43" spans="1:3" ht="20" customHeight="1" x14ac:dyDescent="0.3">
      <c r="A43" s="29"/>
      <c r="B43" s="32" t="s">
        <v>69</v>
      </c>
      <c r="C43" s="5">
        <v>18000</v>
      </c>
    </row>
    <row r="44" spans="1:3" ht="25" customHeight="1" x14ac:dyDescent="0.3">
      <c r="A44" s="64" t="s">
        <v>8</v>
      </c>
      <c r="B44" s="65"/>
      <c r="C44" s="4">
        <f>SUM(C38:C43)</f>
        <v>7935690</v>
      </c>
    </row>
    <row r="45" spans="1:3" ht="20" customHeight="1" x14ac:dyDescent="0.3">
      <c r="A45" s="66" t="s">
        <v>65</v>
      </c>
      <c r="B45" s="67"/>
      <c r="C45" s="68"/>
    </row>
    <row r="46" spans="1:3" ht="25" customHeight="1" x14ac:dyDescent="0.3">
      <c r="A46" s="29"/>
      <c r="B46" s="32" t="s">
        <v>66</v>
      </c>
      <c r="C46" s="5">
        <f>50000*3</f>
        <v>150000</v>
      </c>
    </row>
    <row r="47" spans="1:3" ht="25" customHeight="1" x14ac:dyDescent="0.3">
      <c r="A47" s="29"/>
      <c r="B47" s="18" t="s">
        <v>71</v>
      </c>
      <c r="C47" s="5">
        <v>1000000</v>
      </c>
    </row>
    <row r="48" spans="1:3" ht="25" customHeight="1" x14ac:dyDescent="0.3">
      <c r="A48" s="29"/>
      <c r="B48" s="18" t="s">
        <v>79</v>
      </c>
      <c r="C48" s="5">
        <v>4500000</v>
      </c>
    </row>
    <row r="49" spans="1:3" ht="30" customHeight="1" x14ac:dyDescent="0.3">
      <c r="A49" s="29"/>
      <c r="B49" s="15" t="s">
        <v>80</v>
      </c>
      <c r="C49" s="5">
        <v>0</v>
      </c>
    </row>
    <row r="50" spans="1:3" ht="30" customHeight="1" x14ac:dyDescent="0.3">
      <c r="A50" s="42"/>
      <c r="B50" s="18" t="s">
        <v>110</v>
      </c>
      <c r="C50" s="5">
        <v>1095000</v>
      </c>
    </row>
    <row r="51" spans="1:3" ht="30" customHeight="1" x14ac:dyDescent="0.3">
      <c r="A51" s="42"/>
      <c r="B51" s="18" t="s">
        <v>172</v>
      </c>
      <c r="C51" s="5">
        <f>250000*3</f>
        <v>750000</v>
      </c>
    </row>
    <row r="52" spans="1:3" ht="30" customHeight="1" x14ac:dyDescent="0.3">
      <c r="A52" s="42"/>
      <c r="B52" s="18" t="s">
        <v>173</v>
      </c>
      <c r="C52" s="5">
        <f>100000*3</f>
        <v>300000</v>
      </c>
    </row>
    <row r="53" spans="1:3" ht="25" customHeight="1" x14ac:dyDescent="0.3">
      <c r="A53" s="39"/>
      <c r="B53" s="31" t="s">
        <v>70</v>
      </c>
      <c r="C53" s="4">
        <f>SUM(C46:C50)</f>
        <v>6745000</v>
      </c>
    </row>
    <row r="54" spans="1:3" ht="20" customHeight="1" x14ac:dyDescent="0.3">
      <c r="A54" s="66" t="s">
        <v>72</v>
      </c>
      <c r="B54" s="67"/>
      <c r="C54" s="68"/>
    </row>
    <row r="55" spans="1:3" ht="25" customHeight="1" x14ac:dyDescent="0.3">
      <c r="A55" s="41"/>
      <c r="B55" s="8" t="s">
        <v>106</v>
      </c>
      <c r="C55" s="5">
        <v>1000000</v>
      </c>
    </row>
    <row r="56" spans="1:3" ht="30" customHeight="1" x14ac:dyDescent="0.3">
      <c r="A56" s="29"/>
      <c r="B56" s="8" t="s">
        <v>105</v>
      </c>
      <c r="C56" s="5">
        <v>1000000</v>
      </c>
    </row>
    <row r="57" spans="1:3" ht="30" customHeight="1" x14ac:dyDescent="0.3">
      <c r="A57" s="29"/>
      <c r="B57" s="54" t="s">
        <v>128</v>
      </c>
      <c r="C57" s="4">
        <f>SUM(C55:C56)</f>
        <v>2000000</v>
      </c>
    </row>
    <row r="58" spans="1:3" ht="20" customHeight="1" x14ac:dyDescent="0.3">
      <c r="A58" s="66" t="s">
        <v>73</v>
      </c>
      <c r="B58" s="67"/>
      <c r="C58" s="68"/>
    </row>
    <row r="59" spans="1:3" ht="30" customHeight="1" x14ac:dyDescent="0.3">
      <c r="A59" s="29"/>
      <c r="B59" s="18" t="s">
        <v>107</v>
      </c>
      <c r="C59" s="5">
        <v>600000</v>
      </c>
    </row>
    <row r="60" spans="1:3" ht="25" customHeight="1" x14ac:dyDescent="0.3">
      <c r="A60" s="29"/>
      <c r="B60" s="18" t="s">
        <v>81</v>
      </c>
      <c r="C60" s="5">
        <f>400000+900000</f>
        <v>1300000</v>
      </c>
    </row>
    <row r="61" spans="1:3" ht="25" customHeight="1" x14ac:dyDescent="0.3">
      <c r="A61" s="42"/>
      <c r="B61" s="31" t="s">
        <v>74</v>
      </c>
      <c r="C61" s="4">
        <f>SUM(C59:C60)</f>
        <v>1900000</v>
      </c>
    </row>
    <row r="62" spans="1:3" ht="20" customHeight="1" x14ac:dyDescent="0.3">
      <c r="A62" s="66" t="s">
        <v>78</v>
      </c>
      <c r="B62" s="67"/>
      <c r="C62" s="68"/>
    </row>
    <row r="63" spans="1:3" ht="25" customHeight="1" x14ac:dyDescent="0.3">
      <c r="A63" s="41"/>
      <c r="B63" s="18" t="s">
        <v>75</v>
      </c>
      <c r="C63" s="5">
        <v>500000</v>
      </c>
    </row>
    <row r="64" spans="1:3" ht="25" customHeight="1" x14ac:dyDescent="0.3">
      <c r="A64" s="41"/>
      <c r="B64" s="18" t="s">
        <v>76</v>
      </c>
      <c r="C64" s="5">
        <v>1848278</v>
      </c>
    </row>
    <row r="65" spans="1:4" ht="25" customHeight="1" x14ac:dyDescent="0.3">
      <c r="A65" s="41"/>
      <c r="B65" s="18" t="s">
        <v>129</v>
      </c>
      <c r="C65" s="33">
        <v>1500000</v>
      </c>
      <c r="D65" s="1" t="s">
        <v>152</v>
      </c>
    </row>
    <row r="66" spans="1:4" ht="25" customHeight="1" x14ac:dyDescent="0.3">
      <c r="A66" s="41"/>
      <c r="B66" s="18" t="s">
        <v>185</v>
      </c>
      <c r="C66" s="9">
        <v>3500000</v>
      </c>
    </row>
    <row r="67" spans="1:4" ht="25" customHeight="1" x14ac:dyDescent="0.3">
      <c r="A67" s="41"/>
      <c r="B67" s="18" t="s">
        <v>125</v>
      </c>
      <c r="C67" s="5">
        <v>120000</v>
      </c>
    </row>
    <row r="68" spans="1:4" ht="25" customHeight="1" x14ac:dyDescent="0.3">
      <c r="A68" s="41"/>
      <c r="B68" s="31" t="s">
        <v>82</v>
      </c>
      <c r="C68" s="27">
        <f>SUM(C63:C67)</f>
        <v>7468278</v>
      </c>
    </row>
    <row r="69" spans="1:4" ht="20" customHeight="1" x14ac:dyDescent="0.3">
      <c r="A69" s="66" t="s">
        <v>84</v>
      </c>
      <c r="B69" s="67"/>
      <c r="C69" s="68"/>
    </row>
    <row r="70" spans="1:4" ht="20" customHeight="1" x14ac:dyDescent="0.3">
      <c r="A70" s="29"/>
      <c r="B70" s="8" t="s">
        <v>85</v>
      </c>
      <c r="C70" s="9">
        <v>18000000</v>
      </c>
    </row>
    <row r="71" spans="1:4" ht="20" customHeight="1" x14ac:dyDescent="0.3">
      <c r="A71" s="29"/>
      <c r="B71" s="8" t="s">
        <v>86</v>
      </c>
      <c r="C71" s="9">
        <v>1770000</v>
      </c>
    </row>
    <row r="72" spans="1:4" ht="20" customHeight="1" x14ac:dyDescent="0.3">
      <c r="A72" s="29"/>
      <c r="B72" s="18" t="s">
        <v>87</v>
      </c>
      <c r="C72" s="5">
        <v>2500000</v>
      </c>
    </row>
    <row r="73" spans="1:4" ht="25" customHeight="1" x14ac:dyDescent="0.3">
      <c r="A73" s="29"/>
      <c r="B73" s="18" t="s">
        <v>184</v>
      </c>
      <c r="C73" s="5">
        <v>4500000</v>
      </c>
    </row>
    <row r="74" spans="1:4" ht="25" customHeight="1" x14ac:dyDescent="0.3">
      <c r="A74" s="31"/>
      <c r="B74" s="40" t="s">
        <v>89</v>
      </c>
      <c r="C74" s="4">
        <f>SUM(C70:C73)</f>
        <v>26770000</v>
      </c>
    </row>
    <row r="75" spans="1:4" ht="20" customHeight="1" x14ac:dyDescent="0.3">
      <c r="A75" s="66" t="s">
        <v>90</v>
      </c>
      <c r="B75" s="67"/>
      <c r="C75" s="68"/>
    </row>
    <row r="76" spans="1:4" ht="20.149999999999999" customHeight="1" x14ac:dyDescent="0.3">
      <c r="A76" s="29"/>
      <c r="B76" s="18" t="s">
        <v>91</v>
      </c>
      <c r="C76" s="5">
        <v>330000000</v>
      </c>
    </row>
    <row r="77" spans="1:4" ht="20.149999999999999" customHeight="1" x14ac:dyDescent="0.3">
      <c r="A77" s="29"/>
      <c r="B77" s="32" t="s">
        <v>92</v>
      </c>
      <c r="C77" s="5">
        <v>50000</v>
      </c>
    </row>
    <row r="78" spans="1:4" ht="20.149999999999999" customHeight="1" x14ac:dyDescent="0.3">
      <c r="A78" s="29"/>
      <c r="B78" s="46" t="s">
        <v>93</v>
      </c>
      <c r="C78" s="47">
        <v>557142</v>
      </c>
    </row>
    <row r="79" spans="1:4" ht="20.149999999999999" customHeight="1" x14ac:dyDescent="0.3">
      <c r="A79" s="29"/>
      <c r="B79" s="46" t="s">
        <v>94</v>
      </c>
      <c r="C79" s="47">
        <v>500000</v>
      </c>
    </row>
    <row r="80" spans="1:4" ht="20.149999999999999" customHeight="1" x14ac:dyDescent="0.3">
      <c r="A80" s="42"/>
      <c r="B80" s="49" t="s">
        <v>77</v>
      </c>
      <c r="C80" s="50">
        <f>SUM(C76:C79)</f>
        <v>331107142</v>
      </c>
    </row>
    <row r="81" spans="1:3" ht="20" customHeight="1" x14ac:dyDescent="0.3">
      <c r="A81" s="66" t="s">
        <v>95</v>
      </c>
      <c r="B81" s="67"/>
      <c r="C81" s="68"/>
    </row>
    <row r="82" spans="1:3" ht="25" customHeight="1" x14ac:dyDescent="0.3">
      <c r="A82" s="17"/>
      <c r="B82" s="8" t="s">
        <v>96</v>
      </c>
      <c r="C82" s="9">
        <v>2000000</v>
      </c>
    </row>
    <row r="83" spans="1:3" ht="30" customHeight="1" x14ac:dyDescent="0.3">
      <c r="A83" s="29"/>
      <c r="B83" s="44" t="s">
        <v>97</v>
      </c>
      <c r="C83" s="45">
        <v>10450000</v>
      </c>
    </row>
    <row r="84" spans="1:3" ht="25" customHeight="1" x14ac:dyDescent="0.3">
      <c r="A84" s="29"/>
      <c r="B84" s="18" t="s">
        <v>99</v>
      </c>
      <c r="C84" s="5">
        <v>3000000</v>
      </c>
    </row>
    <row r="85" spans="1:3" ht="25" customHeight="1" x14ac:dyDescent="0.3">
      <c r="A85" s="29"/>
      <c r="B85" s="31" t="s">
        <v>100</v>
      </c>
      <c r="C85" s="4">
        <f>SUM(C82:C84)</f>
        <v>15450000</v>
      </c>
    </row>
    <row r="86" spans="1:3" ht="20" customHeight="1" x14ac:dyDescent="0.3">
      <c r="A86" s="84" t="s">
        <v>101</v>
      </c>
      <c r="B86" s="85"/>
      <c r="C86" s="85"/>
    </row>
    <row r="87" spans="1:3" ht="25" customHeight="1" x14ac:dyDescent="0.3">
      <c r="A87" s="29"/>
      <c r="B87" s="18" t="s">
        <v>156</v>
      </c>
      <c r="C87" s="5">
        <v>5000000</v>
      </c>
    </row>
    <row r="88" spans="1:3" ht="20.149999999999999" customHeight="1" x14ac:dyDescent="0.3">
      <c r="A88" s="29"/>
      <c r="B88" s="18" t="s">
        <v>102</v>
      </c>
      <c r="C88" s="5">
        <v>2000000</v>
      </c>
    </row>
    <row r="89" spans="1:3" ht="20.149999999999999" customHeight="1" x14ac:dyDescent="0.3">
      <c r="A89" s="42"/>
      <c r="B89" s="43" t="s">
        <v>103</v>
      </c>
      <c r="C89" s="53">
        <f>SUM(C87:C88)</f>
        <v>7000000</v>
      </c>
    </row>
    <row r="90" spans="1:3" ht="20" customHeight="1" x14ac:dyDescent="0.3">
      <c r="A90" s="66" t="s">
        <v>108</v>
      </c>
      <c r="B90" s="67"/>
      <c r="C90" s="68"/>
    </row>
    <row r="91" spans="1:3" ht="20.149999999999999" customHeight="1" x14ac:dyDescent="0.3">
      <c r="A91" s="29"/>
      <c r="B91" s="8" t="s">
        <v>182</v>
      </c>
      <c r="C91" s="5">
        <v>1800000</v>
      </c>
    </row>
    <row r="92" spans="1:3" ht="20.149999999999999" customHeight="1" x14ac:dyDescent="0.3">
      <c r="A92" s="29"/>
      <c r="B92" s="8" t="s">
        <v>183</v>
      </c>
      <c r="C92" s="5">
        <v>4500000</v>
      </c>
    </row>
    <row r="93" spans="1:3" ht="20.149999999999999" customHeight="1" x14ac:dyDescent="0.3">
      <c r="A93" s="29"/>
      <c r="B93" s="8" t="s">
        <v>104</v>
      </c>
      <c r="C93" s="9">
        <v>7000000</v>
      </c>
    </row>
    <row r="94" spans="1:3" ht="35" customHeight="1" x14ac:dyDescent="0.3">
      <c r="A94" s="29"/>
      <c r="B94" s="8" t="s">
        <v>181</v>
      </c>
      <c r="C94" s="9">
        <v>3494470</v>
      </c>
    </row>
    <row r="95" spans="1:3" ht="35" customHeight="1" x14ac:dyDescent="0.3">
      <c r="A95" s="29"/>
      <c r="B95" s="54" t="s">
        <v>109</v>
      </c>
      <c r="C95" s="4">
        <f>SUM(C91:C94)</f>
        <v>16794470</v>
      </c>
    </row>
    <row r="96" spans="1:3" ht="20" customHeight="1" x14ac:dyDescent="0.3">
      <c r="A96" s="66" t="s">
        <v>113</v>
      </c>
      <c r="B96" s="67"/>
      <c r="C96" s="68"/>
    </row>
    <row r="97" spans="1:3" ht="20.149999999999999" customHeight="1" x14ac:dyDescent="0.3">
      <c r="A97" s="29"/>
      <c r="B97" s="8" t="s">
        <v>114</v>
      </c>
      <c r="C97" s="36">
        <v>74996479</v>
      </c>
    </row>
    <row r="98" spans="1:3" ht="30" customHeight="1" x14ac:dyDescent="0.3">
      <c r="A98" s="29"/>
      <c r="B98" s="18" t="s">
        <v>115</v>
      </c>
      <c r="C98" s="5">
        <v>26341440</v>
      </c>
    </row>
    <row r="99" spans="1:3" ht="30" customHeight="1" x14ac:dyDescent="0.3">
      <c r="A99" s="29"/>
      <c r="B99" s="31" t="s">
        <v>116</v>
      </c>
      <c r="C99" s="4">
        <f>SUM(C97:C98)</f>
        <v>101337919</v>
      </c>
    </row>
    <row r="100" spans="1:3" ht="20" customHeight="1" x14ac:dyDescent="0.3">
      <c r="A100" s="66" t="s">
        <v>117</v>
      </c>
      <c r="B100" s="67"/>
      <c r="C100" s="68"/>
    </row>
    <row r="101" spans="1:3" ht="30" customHeight="1" x14ac:dyDescent="0.3">
      <c r="A101" s="29"/>
      <c r="B101" s="8" t="s">
        <v>177</v>
      </c>
      <c r="C101" s="5">
        <v>1200000</v>
      </c>
    </row>
    <row r="102" spans="1:3" ht="30" customHeight="1" x14ac:dyDescent="0.3">
      <c r="A102" s="29"/>
      <c r="B102" s="8" t="s">
        <v>178</v>
      </c>
      <c r="C102" s="9">
        <v>1000000</v>
      </c>
    </row>
    <row r="103" spans="1:3" ht="30" customHeight="1" x14ac:dyDescent="0.3">
      <c r="A103" s="29"/>
      <c r="B103" s="18" t="s">
        <v>179</v>
      </c>
      <c r="C103" s="5">
        <v>1000000</v>
      </c>
    </row>
    <row r="104" spans="1:3" ht="30" customHeight="1" x14ac:dyDescent="0.3">
      <c r="A104" s="29"/>
      <c r="B104" s="8" t="s">
        <v>180</v>
      </c>
      <c r="C104" s="9">
        <v>1000000</v>
      </c>
    </row>
    <row r="105" spans="1:3" ht="30" customHeight="1" x14ac:dyDescent="0.3">
      <c r="A105" s="29"/>
      <c r="B105" s="54" t="s">
        <v>121</v>
      </c>
      <c r="C105" s="27">
        <f>SUM(C101:C104)</f>
        <v>4200000</v>
      </c>
    </row>
    <row r="106" spans="1:3" ht="20" customHeight="1" x14ac:dyDescent="0.3">
      <c r="A106" s="66" t="s">
        <v>124</v>
      </c>
      <c r="B106" s="67"/>
      <c r="C106" s="68"/>
    </row>
    <row r="107" spans="1:3" ht="25" customHeight="1" x14ac:dyDescent="0.3">
      <c r="A107" s="17"/>
      <c r="B107" s="18" t="s">
        <v>175</v>
      </c>
      <c r="C107" s="5">
        <v>250000</v>
      </c>
    </row>
    <row r="108" spans="1:3" ht="30" customHeight="1" x14ac:dyDescent="0.3">
      <c r="A108" s="29"/>
      <c r="B108" s="18" t="s">
        <v>176</v>
      </c>
      <c r="C108" s="5">
        <v>1000000</v>
      </c>
    </row>
    <row r="109" spans="1:3" ht="25" customHeight="1" x14ac:dyDescent="0.3">
      <c r="A109" s="56"/>
      <c r="B109" s="55" t="s">
        <v>127</v>
      </c>
      <c r="C109" s="27">
        <f>SUM(C107:C108)</f>
        <v>1250000</v>
      </c>
    </row>
    <row r="110" spans="1:3" ht="25" customHeight="1" x14ac:dyDescent="0.3">
      <c r="A110" s="19" t="s">
        <v>9</v>
      </c>
      <c r="B110" s="21"/>
      <c r="C110" s="20">
        <f>+C109+C105+C99+C95+C89+C85+C80+C74+C68+C61+C57+C53+C44+C36</f>
        <v>606067702</v>
      </c>
    </row>
    <row r="111" spans="1:3" ht="25" customHeight="1" x14ac:dyDescent="0.3">
      <c r="A111" s="19" t="s">
        <v>31</v>
      </c>
      <c r="B111" s="21"/>
      <c r="C111" s="20">
        <f>+C23-C110</f>
        <v>331793574</v>
      </c>
    </row>
    <row r="112" spans="1:3" ht="20.149999999999999" customHeight="1" x14ac:dyDescent="0.3">
      <c r="B112" s="22" t="s">
        <v>42</v>
      </c>
    </row>
    <row r="113" spans="2:4" ht="20.149999999999999" customHeight="1" x14ac:dyDescent="0.3">
      <c r="B113" s="1"/>
    </row>
    <row r="114" spans="2:4" ht="20.149999999999999" customHeight="1" x14ac:dyDescent="0.3">
      <c r="B114" s="38" t="s">
        <v>10</v>
      </c>
      <c r="C114" s="38" t="s">
        <v>41</v>
      </c>
      <c r="D114" s="38"/>
    </row>
    <row r="115" spans="2:4" ht="20.149999999999999" customHeight="1" x14ac:dyDescent="0.3">
      <c r="B115" s="38" t="s">
        <v>14</v>
      </c>
      <c r="C115" s="38" t="s">
        <v>15</v>
      </c>
      <c r="D115" s="38"/>
    </row>
    <row r="116" spans="2:4" ht="20.149999999999999" customHeight="1" x14ac:dyDescent="0.3">
      <c r="B116" s="38" t="s">
        <v>28</v>
      </c>
      <c r="C116" s="38" t="s">
        <v>16</v>
      </c>
      <c r="D116" s="38"/>
    </row>
    <row r="117" spans="2:4" ht="20.149999999999999" customHeight="1" x14ac:dyDescent="0.3">
      <c r="B117" s="38"/>
      <c r="C117" s="38"/>
      <c r="D117" s="38"/>
    </row>
    <row r="118" spans="2:4" ht="20.149999999999999" customHeight="1" x14ac:dyDescent="0.3">
      <c r="B118" s="14"/>
      <c r="C118" s="38" t="s">
        <v>38</v>
      </c>
    </row>
    <row r="119" spans="2:4" ht="20.149999999999999" customHeight="1" x14ac:dyDescent="0.3">
      <c r="B119" s="1"/>
      <c r="C119" s="38" t="s">
        <v>40</v>
      </c>
    </row>
    <row r="120" spans="2:4" x14ac:dyDescent="0.3">
      <c r="B120" s="23"/>
      <c r="C120" s="38" t="s">
        <v>39</v>
      </c>
    </row>
  </sheetData>
  <mergeCells count="23">
    <mergeCell ref="A100:C100"/>
    <mergeCell ref="A106:C106"/>
    <mergeCell ref="A81:C81"/>
    <mergeCell ref="A86:C86"/>
    <mergeCell ref="A90:C90"/>
    <mergeCell ref="A13:C13"/>
    <mergeCell ref="A23:B23"/>
    <mergeCell ref="A24:C24"/>
    <mergeCell ref="A69:C69"/>
    <mergeCell ref="A96:C96"/>
    <mergeCell ref="A75:C75"/>
    <mergeCell ref="A45:C45"/>
    <mergeCell ref="A58:C58"/>
    <mergeCell ref="A8:C8"/>
    <mergeCell ref="A9:C9"/>
    <mergeCell ref="A10:C10"/>
    <mergeCell ref="A11:B11"/>
    <mergeCell ref="A12:B12"/>
    <mergeCell ref="A44:B44"/>
    <mergeCell ref="A62:C62"/>
    <mergeCell ref="A54:C54"/>
    <mergeCell ref="A37:C37"/>
    <mergeCell ref="A26:C2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47"/>
  <sheetViews>
    <sheetView tabSelected="1" topLeftCell="A85" workbookViewId="0">
      <selection activeCell="D86" sqref="D86"/>
    </sheetView>
  </sheetViews>
  <sheetFormatPr defaultColWidth="22.1796875" defaultRowHeight="13" x14ac:dyDescent="0.3"/>
  <cols>
    <col min="1" max="1" width="3.54296875" style="1" customWidth="1"/>
    <col min="2" max="2" width="46.26953125" style="24" customWidth="1"/>
    <col min="3" max="3" width="31.26953125" style="2" customWidth="1"/>
    <col min="4" max="4" width="22.1796875" style="6"/>
    <col min="5" max="16384" width="22.1796875" style="1"/>
  </cols>
  <sheetData>
    <row r="1" spans="1:3" x14ac:dyDescent="0.3">
      <c r="A1" s="1" t="s">
        <v>130</v>
      </c>
    </row>
    <row r="6" spans="1:3" x14ac:dyDescent="0.3">
      <c r="A6" s="26" t="s">
        <v>17</v>
      </c>
      <c r="B6" s="26"/>
    </row>
    <row r="7" spans="1:3" x14ac:dyDescent="0.3">
      <c r="A7" s="26" t="s">
        <v>18</v>
      </c>
      <c r="B7" s="26"/>
    </row>
    <row r="8" spans="1:3" ht="11.25" customHeight="1" x14ac:dyDescent="0.3">
      <c r="A8" s="72"/>
      <c r="B8" s="72"/>
      <c r="C8" s="72"/>
    </row>
    <row r="9" spans="1:3" x14ac:dyDescent="0.3">
      <c r="A9" s="86" t="s">
        <v>43</v>
      </c>
      <c r="B9" s="86"/>
      <c r="C9" s="86"/>
    </row>
    <row r="10" spans="1:3" x14ac:dyDescent="0.3">
      <c r="A10" s="74"/>
      <c r="B10" s="74"/>
      <c r="C10" s="74"/>
    </row>
    <row r="11" spans="1:3" ht="20" customHeight="1" x14ac:dyDescent="0.3">
      <c r="A11" s="75" t="s">
        <v>0</v>
      </c>
      <c r="B11" s="75"/>
      <c r="C11" s="3" t="s">
        <v>29</v>
      </c>
    </row>
    <row r="12" spans="1:3" ht="25" customHeight="1" x14ac:dyDescent="0.3">
      <c r="A12" s="76" t="s">
        <v>11</v>
      </c>
      <c r="B12" s="76"/>
      <c r="C12" s="27">
        <v>195678686</v>
      </c>
    </row>
    <row r="13" spans="1:3" ht="25" customHeight="1" x14ac:dyDescent="0.3">
      <c r="A13" s="77" t="s">
        <v>187</v>
      </c>
      <c r="B13" s="78"/>
      <c r="C13" s="79"/>
    </row>
    <row r="14" spans="1:3" s="6" customFormat="1" ht="22.5" customHeight="1" x14ac:dyDescent="0.3">
      <c r="A14" s="28" t="s">
        <v>1</v>
      </c>
      <c r="B14" s="16" t="s">
        <v>30</v>
      </c>
      <c r="C14" s="30">
        <f>110000000*12</f>
        <v>1320000000</v>
      </c>
    </row>
    <row r="15" spans="1:3" s="6" customFormat="1" ht="22.5" customHeight="1" x14ac:dyDescent="0.3">
      <c r="A15" s="28" t="s">
        <v>2</v>
      </c>
      <c r="B15" s="16" t="s">
        <v>131</v>
      </c>
      <c r="C15" s="30">
        <f>150000000+104698091</f>
        <v>254698091</v>
      </c>
    </row>
    <row r="16" spans="1:3" s="6" customFormat="1" ht="28.5" customHeight="1" x14ac:dyDescent="0.3">
      <c r="A16" s="28" t="s">
        <v>3</v>
      </c>
      <c r="B16" s="16" t="s">
        <v>13</v>
      </c>
      <c r="C16" s="25">
        <f>+(10678821+10242480)/2*12</f>
        <v>125527806</v>
      </c>
    </row>
    <row r="17" spans="1:5" s="6" customFormat="1" ht="22.5" customHeight="1" x14ac:dyDescent="0.3">
      <c r="A17" s="28" t="s">
        <v>4</v>
      </c>
      <c r="B17" s="16" t="s">
        <v>12</v>
      </c>
      <c r="C17" s="30">
        <v>40000000</v>
      </c>
    </row>
    <row r="18" spans="1:5" s="6" customFormat="1" ht="22.5" customHeight="1" x14ac:dyDescent="0.3">
      <c r="A18" s="28" t="s">
        <v>5</v>
      </c>
      <c r="B18" s="16" t="s">
        <v>36</v>
      </c>
      <c r="C18" s="30">
        <v>27031440</v>
      </c>
      <c r="D18" s="62"/>
    </row>
    <row r="19" spans="1:5" ht="20" customHeight="1" x14ac:dyDescent="0.3">
      <c r="A19" s="28" t="s">
        <v>20</v>
      </c>
      <c r="B19" s="16" t="s">
        <v>34</v>
      </c>
      <c r="C19" s="30">
        <v>28680000</v>
      </c>
    </row>
    <row r="20" spans="1:5" ht="20" customHeight="1" x14ac:dyDescent="0.3">
      <c r="A20" s="28" t="s">
        <v>21</v>
      </c>
      <c r="B20" s="16" t="s">
        <v>23</v>
      </c>
      <c r="C20" s="5">
        <v>14982257</v>
      </c>
    </row>
    <row r="21" spans="1:5" ht="20" customHeight="1" x14ac:dyDescent="0.3">
      <c r="A21" s="28" t="s">
        <v>35</v>
      </c>
      <c r="B21" s="16" t="s">
        <v>133</v>
      </c>
      <c r="C21" s="5">
        <v>739041000</v>
      </c>
    </row>
    <row r="22" spans="1:5" ht="20" customHeight="1" x14ac:dyDescent="0.3">
      <c r="A22" s="28" t="s">
        <v>22</v>
      </c>
      <c r="B22" s="16" t="s">
        <v>132</v>
      </c>
      <c r="C22" s="5">
        <v>115269958</v>
      </c>
    </row>
    <row r="23" spans="1:5" ht="20" customHeight="1" x14ac:dyDescent="0.3">
      <c r="A23" s="28" t="s">
        <v>24</v>
      </c>
      <c r="B23" s="16" t="s">
        <v>46</v>
      </c>
      <c r="C23" s="5">
        <v>17489361</v>
      </c>
    </row>
    <row r="24" spans="1:5" ht="20" customHeight="1" x14ac:dyDescent="0.3">
      <c r="A24" s="7" t="s">
        <v>25</v>
      </c>
      <c r="B24" s="16" t="s">
        <v>186</v>
      </c>
      <c r="C24" s="30">
        <f>440000+1351572</f>
        <v>1791572</v>
      </c>
    </row>
    <row r="25" spans="1:5" ht="25" customHeight="1" x14ac:dyDescent="0.3">
      <c r="A25" s="7"/>
      <c r="B25" s="54" t="s">
        <v>134</v>
      </c>
      <c r="C25" s="4">
        <f>SUM(C14:C24)</f>
        <v>2684511485</v>
      </c>
      <c r="D25" s="60"/>
    </row>
    <row r="26" spans="1:5" ht="25" customHeight="1" x14ac:dyDescent="0.3">
      <c r="A26" s="80" t="s">
        <v>37</v>
      </c>
      <c r="B26" s="80"/>
      <c r="C26" s="27">
        <f>+C25+C12</f>
        <v>2880190171</v>
      </c>
    </row>
    <row r="27" spans="1:5" ht="25" customHeight="1" x14ac:dyDescent="0.3">
      <c r="A27" s="81" t="s">
        <v>45</v>
      </c>
      <c r="B27" s="82"/>
      <c r="C27" s="83"/>
    </row>
    <row r="28" spans="1:5" ht="30" customHeight="1" x14ac:dyDescent="0.3">
      <c r="A28" s="11">
        <v>1</v>
      </c>
      <c r="B28" s="12" t="s">
        <v>6</v>
      </c>
      <c r="C28" s="13" t="s">
        <v>26</v>
      </c>
    </row>
    <row r="29" spans="1:5" ht="20" customHeight="1" x14ac:dyDescent="0.3">
      <c r="A29" s="66" t="s">
        <v>48</v>
      </c>
      <c r="B29" s="67"/>
      <c r="C29" s="68"/>
    </row>
    <row r="30" spans="1:5" ht="20" customHeight="1" x14ac:dyDescent="0.3">
      <c r="A30" s="29"/>
      <c r="B30" s="32" t="s">
        <v>60</v>
      </c>
      <c r="C30" s="5">
        <f>20433089*12</f>
        <v>245197068</v>
      </c>
      <c r="E30" s="14"/>
    </row>
    <row r="31" spans="1:5" ht="20" customHeight="1" x14ac:dyDescent="0.3">
      <c r="A31" s="29"/>
      <c r="B31" s="32" t="s">
        <v>49</v>
      </c>
      <c r="C31" s="5">
        <v>10060000</v>
      </c>
    </row>
    <row r="32" spans="1:5" ht="20" customHeight="1" x14ac:dyDescent="0.3">
      <c r="A32" s="29"/>
      <c r="B32" s="15" t="s">
        <v>50</v>
      </c>
      <c r="C32" s="9">
        <f>1000000*12</f>
        <v>12000000</v>
      </c>
    </row>
    <row r="33" spans="1:3" ht="20" customHeight="1" x14ac:dyDescent="0.3">
      <c r="A33" s="29"/>
      <c r="B33" s="18" t="s">
        <v>135</v>
      </c>
      <c r="C33" s="9">
        <v>15408949</v>
      </c>
    </row>
    <row r="34" spans="1:3" ht="35.15" customHeight="1" x14ac:dyDescent="0.3">
      <c r="A34" s="29"/>
      <c r="B34" s="18" t="s">
        <v>62</v>
      </c>
      <c r="C34" s="5">
        <v>2000000</v>
      </c>
    </row>
    <row r="35" spans="1:3" ht="20" customHeight="1" x14ac:dyDescent="0.3">
      <c r="A35" s="29"/>
      <c r="B35" s="18" t="s">
        <v>63</v>
      </c>
      <c r="C35" s="5">
        <v>2540928</v>
      </c>
    </row>
    <row r="36" spans="1:3" ht="20" customHeight="1" x14ac:dyDescent="0.3">
      <c r="A36" s="29"/>
      <c r="B36" s="18" t="s">
        <v>64</v>
      </c>
      <c r="C36" s="5">
        <v>3494470</v>
      </c>
    </row>
    <row r="37" spans="1:3" ht="20" customHeight="1" x14ac:dyDescent="0.3">
      <c r="A37" s="29"/>
      <c r="B37" s="18" t="s">
        <v>136</v>
      </c>
      <c r="C37" s="5">
        <v>1538940</v>
      </c>
    </row>
    <row r="38" spans="1:3" ht="20" customHeight="1" x14ac:dyDescent="0.3">
      <c r="A38" s="29"/>
      <c r="B38" s="18" t="s">
        <v>137</v>
      </c>
      <c r="C38" s="34">
        <v>18200000</v>
      </c>
    </row>
    <row r="39" spans="1:3" ht="20" customHeight="1" x14ac:dyDescent="0.3">
      <c r="A39" s="29"/>
      <c r="B39" s="18" t="s">
        <v>138</v>
      </c>
      <c r="C39" s="34">
        <f>590000*12</f>
        <v>7080000</v>
      </c>
    </row>
    <row r="40" spans="1:3" ht="20" customHeight="1" x14ac:dyDescent="0.3">
      <c r="A40" s="29"/>
      <c r="B40" s="29" t="s">
        <v>139</v>
      </c>
      <c r="C40" s="34">
        <v>3253050</v>
      </c>
    </row>
    <row r="41" spans="1:3" ht="20" customHeight="1" x14ac:dyDescent="0.3">
      <c r="A41" s="29"/>
      <c r="B41" s="1" t="s">
        <v>151</v>
      </c>
      <c r="C41" s="34">
        <v>9750000</v>
      </c>
    </row>
    <row r="42" spans="1:3" ht="25" customHeight="1" x14ac:dyDescent="0.3">
      <c r="A42" s="35"/>
      <c r="B42" s="35" t="s">
        <v>7</v>
      </c>
      <c r="C42" s="4">
        <f>SUM(C30:C41)</f>
        <v>330523405</v>
      </c>
    </row>
    <row r="43" spans="1:3" ht="20" customHeight="1" x14ac:dyDescent="0.3">
      <c r="A43" s="66" t="s">
        <v>56</v>
      </c>
      <c r="B43" s="67"/>
      <c r="C43" s="68"/>
    </row>
    <row r="44" spans="1:3" ht="20" customHeight="1" x14ac:dyDescent="0.3">
      <c r="A44" s="29"/>
      <c r="B44" s="32" t="s">
        <v>57</v>
      </c>
      <c r="C44" s="5">
        <f>50000*12</f>
        <v>600000</v>
      </c>
    </row>
    <row r="45" spans="1:3" ht="20" customHeight="1" x14ac:dyDescent="0.3">
      <c r="A45" s="29"/>
      <c r="B45" s="32" t="s">
        <v>58</v>
      </c>
      <c r="C45" s="5">
        <f>50000*12</f>
        <v>600000</v>
      </c>
    </row>
    <row r="46" spans="1:3" ht="20" customHeight="1" x14ac:dyDescent="0.3">
      <c r="A46" s="29"/>
      <c r="B46" s="32" t="s">
        <v>59</v>
      </c>
      <c r="C46" s="5">
        <f>1600000*12</f>
        <v>19200000</v>
      </c>
    </row>
    <row r="47" spans="1:3" ht="20" customHeight="1" x14ac:dyDescent="0.3">
      <c r="A47" s="29"/>
      <c r="B47" s="32" t="s">
        <v>140</v>
      </c>
      <c r="C47" s="5">
        <v>5606244</v>
      </c>
    </row>
    <row r="48" spans="1:3" ht="25" customHeight="1" x14ac:dyDescent="0.3">
      <c r="A48" s="29"/>
      <c r="B48" s="32" t="s">
        <v>68</v>
      </c>
      <c r="C48" s="5">
        <f>10000*12</f>
        <v>120000</v>
      </c>
    </row>
    <row r="49" spans="1:3" ht="20" customHeight="1" x14ac:dyDescent="0.3">
      <c r="A49" s="29"/>
      <c r="B49" s="32" t="s">
        <v>69</v>
      </c>
      <c r="C49" s="5">
        <f>+(3000+5000+5000+10000)*12</f>
        <v>276000</v>
      </c>
    </row>
    <row r="50" spans="1:3" ht="25" customHeight="1" x14ac:dyDescent="0.3">
      <c r="A50" s="64" t="s">
        <v>8</v>
      </c>
      <c r="B50" s="65"/>
      <c r="C50" s="4">
        <f>SUM(C44:C49)</f>
        <v>26402244</v>
      </c>
    </row>
    <row r="51" spans="1:3" ht="20" customHeight="1" x14ac:dyDescent="0.3">
      <c r="A51" s="66" t="s">
        <v>65</v>
      </c>
      <c r="B51" s="67"/>
      <c r="C51" s="68"/>
    </row>
    <row r="52" spans="1:3" ht="20" customHeight="1" x14ac:dyDescent="0.3">
      <c r="A52" s="29"/>
      <c r="B52" s="32" t="s">
        <v>66</v>
      </c>
      <c r="C52" s="5">
        <f>50000*12</f>
        <v>600000</v>
      </c>
    </row>
    <row r="53" spans="1:3" ht="25" customHeight="1" x14ac:dyDescent="0.3">
      <c r="A53" s="29"/>
      <c r="B53" s="18" t="s">
        <v>144</v>
      </c>
      <c r="C53" s="5">
        <f>200000*12</f>
        <v>2400000</v>
      </c>
    </row>
    <row r="54" spans="1:3" ht="25" customHeight="1" x14ac:dyDescent="0.3">
      <c r="A54" s="29"/>
      <c r="B54" s="18" t="s">
        <v>79</v>
      </c>
      <c r="C54" s="5">
        <f>1500000*12</f>
        <v>18000000</v>
      </c>
    </row>
    <row r="55" spans="1:3" ht="20" customHeight="1" x14ac:dyDescent="0.3">
      <c r="A55" s="29"/>
      <c r="B55" s="15" t="s">
        <v>80</v>
      </c>
      <c r="C55" s="5">
        <v>30000</v>
      </c>
    </row>
    <row r="56" spans="1:3" ht="20" customHeight="1" x14ac:dyDescent="0.3">
      <c r="A56" s="42"/>
      <c r="B56" s="18" t="s">
        <v>110</v>
      </c>
      <c r="C56" s="5">
        <v>16500000</v>
      </c>
    </row>
    <row r="57" spans="1:3" ht="20" customHeight="1" x14ac:dyDescent="0.3">
      <c r="A57" s="42"/>
      <c r="B57" s="18" t="s">
        <v>149</v>
      </c>
      <c r="C57" s="5">
        <v>1000000</v>
      </c>
    </row>
    <row r="58" spans="1:3" ht="20" customHeight="1" x14ac:dyDescent="0.3">
      <c r="A58" s="42"/>
      <c r="B58" s="18" t="s">
        <v>160</v>
      </c>
      <c r="C58" s="5">
        <f>250000*12</f>
        <v>3000000</v>
      </c>
    </row>
    <row r="59" spans="1:3" ht="20" customHeight="1" x14ac:dyDescent="0.3">
      <c r="A59" s="42"/>
      <c r="B59" s="18" t="s">
        <v>161</v>
      </c>
      <c r="C59" s="5">
        <f>100000*12</f>
        <v>1200000</v>
      </c>
    </row>
    <row r="60" spans="1:3" ht="20" customHeight="1" x14ac:dyDescent="0.3">
      <c r="A60" s="39"/>
      <c r="B60" s="31" t="s">
        <v>70</v>
      </c>
      <c r="C60" s="4">
        <f>SUM(C52:C59)</f>
        <v>42730000</v>
      </c>
    </row>
    <row r="61" spans="1:3" ht="25" customHeight="1" x14ac:dyDescent="0.3">
      <c r="A61" s="69" t="s">
        <v>72</v>
      </c>
      <c r="B61" s="70"/>
      <c r="C61" s="71"/>
    </row>
    <row r="62" spans="1:3" ht="25" customHeight="1" x14ac:dyDescent="0.3">
      <c r="A62" s="41"/>
      <c r="B62" s="8" t="s">
        <v>146</v>
      </c>
      <c r="C62" s="5">
        <v>3000000</v>
      </c>
    </row>
    <row r="63" spans="1:3" ht="20" customHeight="1" x14ac:dyDescent="0.3">
      <c r="A63" s="29"/>
      <c r="B63" s="8" t="s">
        <v>105</v>
      </c>
      <c r="C63" s="5">
        <v>7000000</v>
      </c>
    </row>
    <row r="64" spans="1:3" ht="20" customHeight="1" x14ac:dyDescent="0.3">
      <c r="A64" s="29"/>
      <c r="B64" s="54" t="s">
        <v>128</v>
      </c>
      <c r="C64" s="4">
        <f>SUM(C62:C63)</f>
        <v>10000000</v>
      </c>
    </row>
    <row r="65" spans="1:3" ht="20" customHeight="1" x14ac:dyDescent="0.3">
      <c r="A65" s="66" t="s">
        <v>73</v>
      </c>
      <c r="B65" s="67"/>
      <c r="C65" s="68"/>
    </row>
    <row r="66" spans="1:3" ht="20" customHeight="1" x14ac:dyDescent="0.3">
      <c r="A66" s="29"/>
      <c r="B66" s="18" t="s">
        <v>107</v>
      </c>
      <c r="C66" s="5">
        <v>4764000</v>
      </c>
    </row>
    <row r="67" spans="1:3" ht="20" customHeight="1" x14ac:dyDescent="0.3">
      <c r="A67" s="29"/>
      <c r="B67" s="18" t="s">
        <v>81</v>
      </c>
      <c r="C67" s="5">
        <v>4900000</v>
      </c>
    </row>
    <row r="68" spans="1:3" ht="20" customHeight="1" x14ac:dyDescent="0.3">
      <c r="A68" s="42"/>
      <c r="B68" s="31" t="s">
        <v>74</v>
      </c>
      <c r="C68" s="4">
        <f>SUM(C66:C67)</f>
        <v>9664000</v>
      </c>
    </row>
    <row r="69" spans="1:3" ht="20" customHeight="1" x14ac:dyDescent="0.3">
      <c r="A69" s="66" t="s">
        <v>78</v>
      </c>
      <c r="B69" s="67"/>
      <c r="C69" s="68"/>
    </row>
    <row r="70" spans="1:3" ht="20" customHeight="1" x14ac:dyDescent="0.3">
      <c r="A70" s="41"/>
      <c r="B70" s="18" t="s">
        <v>75</v>
      </c>
      <c r="C70" s="5">
        <v>2000000</v>
      </c>
    </row>
    <row r="71" spans="1:3" ht="20" customHeight="1" x14ac:dyDescent="0.3">
      <c r="A71" s="41"/>
      <c r="B71" s="18" t="s">
        <v>76</v>
      </c>
      <c r="C71" s="5">
        <v>1848278</v>
      </c>
    </row>
    <row r="72" spans="1:3" ht="25" customHeight="1" x14ac:dyDescent="0.3">
      <c r="A72" s="41"/>
      <c r="B72" s="18" t="s">
        <v>129</v>
      </c>
      <c r="C72" s="5">
        <v>1500000</v>
      </c>
    </row>
    <row r="73" spans="1:3" ht="20" customHeight="1" x14ac:dyDescent="0.3">
      <c r="A73" s="41"/>
      <c r="B73" s="18" t="s">
        <v>83</v>
      </c>
      <c r="C73" s="9">
        <v>4500000</v>
      </c>
    </row>
    <row r="74" spans="1:3" ht="20" customHeight="1" x14ac:dyDescent="0.3">
      <c r="A74" s="41"/>
      <c r="B74" s="18" t="s">
        <v>125</v>
      </c>
      <c r="C74" s="5">
        <f>60000*8</f>
        <v>480000</v>
      </c>
    </row>
    <row r="75" spans="1:3" ht="20" customHeight="1" x14ac:dyDescent="0.3">
      <c r="A75" s="41"/>
      <c r="B75" s="18" t="s">
        <v>174</v>
      </c>
      <c r="C75" s="5">
        <v>3500000</v>
      </c>
    </row>
    <row r="76" spans="1:3" ht="25" customHeight="1" x14ac:dyDescent="0.3">
      <c r="A76" s="41"/>
      <c r="B76" s="31" t="s">
        <v>82</v>
      </c>
      <c r="C76" s="27">
        <f>SUM(C70:C75)</f>
        <v>13828278</v>
      </c>
    </row>
    <row r="77" spans="1:3" ht="20" customHeight="1" x14ac:dyDescent="0.3">
      <c r="A77" s="66" t="s">
        <v>84</v>
      </c>
      <c r="B77" s="67"/>
      <c r="C77" s="68"/>
    </row>
    <row r="78" spans="1:3" ht="20" customHeight="1" x14ac:dyDescent="0.3">
      <c r="A78" s="29"/>
      <c r="B78" s="8" t="s">
        <v>85</v>
      </c>
      <c r="C78" s="9">
        <v>18000000</v>
      </c>
    </row>
    <row r="79" spans="1:3" ht="20" customHeight="1" x14ac:dyDescent="0.3">
      <c r="A79" s="29"/>
      <c r="B79" s="8" t="s">
        <v>159</v>
      </c>
      <c r="C79" s="9">
        <f>+(590000*12)+500000</f>
        <v>7580000</v>
      </c>
    </row>
    <row r="80" spans="1:3" ht="20" customHeight="1" x14ac:dyDescent="0.3">
      <c r="A80" s="29"/>
      <c r="B80" s="18" t="s">
        <v>87</v>
      </c>
      <c r="C80" s="5">
        <v>2500000</v>
      </c>
    </row>
    <row r="81" spans="1:3" ht="30" customHeight="1" x14ac:dyDescent="0.3">
      <c r="A81" s="29"/>
      <c r="B81" s="8" t="s">
        <v>166</v>
      </c>
      <c r="C81" s="5">
        <v>15000000</v>
      </c>
    </row>
    <row r="82" spans="1:3" ht="25" customHeight="1" x14ac:dyDescent="0.3">
      <c r="A82" s="29"/>
      <c r="B82" s="18" t="s">
        <v>88</v>
      </c>
      <c r="C82" s="5">
        <f>1500000*12</f>
        <v>18000000</v>
      </c>
    </row>
    <row r="83" spans="1:3" ht="25" customHeight="1" x14ac:dyDescent="0.3">
      <c r="A83" s="29"/>
      <c r="B83" s="18" t="s">
        <v>98</v>
      </c>
      <c r="C83" s="5">
        <v>1000000</v>
      </c>
    </row>
    <row r="84" spans="1:3" ht="20" customHeight="1" x14ac:dyDescent="0.3">
      <c r="A84" s="29"/>
      <c r="B84" s="48" t="s">
        <v>148</v>
      </c>
      <c r="C84" s="5">
        <v>6000000</v>
      </c>
    </row>
    <row r="85" spans="1:3" ht="20" customHeight="1" x14ac:dyDescent="0.3">
      <c r="A85" s="29"/>
      <c r="B85" s="48" t="s">
        <v>158</v>
      </c>
      <c r="C85" s="5">
        <v>1000000</v>
      </c>
    </row>
    <row r="86" spans="1:3" ht="20" customHeight="1" x14ac:dyDescent="0.3">
      <c r="A86" s="31"/>
      <c r="B86" s="40" t="s">
        <v>89</v>
      </c>
      <c r="C86" s="4">
        <f>SUM(C78:C85)</f>
        <v>69080000</v>
      </c>
    </row>
    <row r="87" spans="1:3" ht="20" customHeight="1" x14ac:dyDescent="0.3">
      <c r="A87" s="66" t="s">
        <v>90</v>
      </c>
      <c r="B87" s="67"/>
      <c r="C87" s="68"/>
    </row>
    <row r="88" spans="1:3" ht="20" customHeight="1" x14ac:dyDescent="0.3">
      <c r="A88" s="29"/>
      <c r="B88" s="18" t="s">
        <v>91</v>
      </c>
      <c r="C88" s="5">
        <v>1320000000</v>
      </c>
    </row>
    <row r="89" spans="1:3" ht="20" customHeight="1" x14ac:dyDescent="0.3">
      <c r="A89" s="29"/>
      <c r="B89" s="32" t="s">
        <v>92</v>
      </c>
      <c r="C89" s="5">
        <v>50000</v>
      </c>
    </row>
    <row r="90" spans="1:3" ht="20" customHeight="1" x14ac:dyDescent="0.3">
      <c r="A90" s="29"/>
      <c r="B90" s="46" t="s">
        <v>93</v>
      </c>
      <c r="C90" s="5">
        <v>864706</v>
      </c>
    </row>
    <row r="91" spans="1:3" ht="20" customHeight="1" x14ac:dyDescent="0.3">
      <c r="A91" s="29"/>
      <c r="B91" s="46" t="s">
        <v>94</v>
      </c>
      <c r="C91" s="5">
        <v>74264706</v>
      </c>
    </row>
    <row r="92" spans="1:3" ht="20" customHeight="1" x14ac:dyDescent="0.3">
      <c r="A92" s="42"/>
      <c r="B92" s="46" t="s">
        <v>141</v>
      </c>
      <c r="C92" s="52">
        <v>1000000</v>
      </c>
    </row>
    <row r="93" spans="1:3" ht="20" customHeight="1" x14ac:dyDescent="0.3">
      <c r="A93" s="42"/>
      <c r="B93" s="46" t="s">
        <v>142</v>
      </c>
      <c r="C93" s="52">
        <v>83000</v>
      </c>
    </row>
    <row r="94" spans="1:3" ht="20" customHeight="1" x14ac:dyDescent="0.3">
      <c r="A94" s="42"/>
      <c r="B94" s="46" t="s">
        <v>143</v>
      </c>
      <c r="C94" s="52">
        <v>18219651</v>
      </c>
    </row>
    <row r="95" spans="1:3" ht="20" customHeight="1" x14ac:dyDescent="0.3">
      <c r="A95" s="42"/>
      <c r="B95" s="49" t="s">
        <v>77</v>
      </c>
      <c r="C95" s="53">
        <f>SUM(C88:C94)</f>
        <v>1414482063</v>
      </c>
    </row>
    <row r="96" spans="1:3" ht="20" customHeight="1" x14ac:dyDescent="0.3">
      <c r="A96" s="66" t="s">
        <v>95</v>
      </c>
      <c r="B96" s="67"/>
      <c r="C96" s="68"/>
    </row>
    <row r="97" spans="1:3" ht="20" customHeight="1" x14ac:dyDescent="0.3">
      <c r="A97" s="17"/>
      <c r="B97" s="8" t="s">
        <v>96</v>
      </c>
      <c r="C97" s="9">
        <v>2000000</v>
      </c>
    </row>
    <row r="98" spans="1:3" ht="30" customHeight="1" x14ac:dyDescent="0.3">
      <c r="A98" s="29"/>
      <c r="B98" s="44" t="s">
        <v>97</v>
      </c>
      <c r="C98" s="9">
        <v>15450000</v>
      </c>
    </row>
    <row r="99" spans="1:3" ht="20" customHeight="1" x14ac:dyDescent="0.3">
      <c r="A99" s="29"/>
      <c r="B99" s="18" t="s">
        <v>99</v>
      </c>
      <c r="C99" s="5">
        <v>3000000</v>
      </c>
    </row>
    <row r="100" spans="1:3" ht="25" customHeight="1" x14ac:dyDescent="0.3">
      <c r="A100" s="29"/>
      <c r="B100" s="18" t="s">
        <v>145</v>
      </c>
      <c r="C100" s="5">
        <v>3000000</v>
      </c>
    </row>
    <row r="101" spans="1:3" ht="25" customHeight="1" x14ac:dyDescent="0.3">
      <c r="A101" s="29"/>
      <c r="B101" s="31" t="s">
        <v>100</v>
      </c>
      <c r="C101" s="4">
        <f>SUM(C97:C100)</f>
        <v>23450000</v>
      </c>
    </row>
    <row r="102" spans="1:3" ht="20" customHeight="1" x14ac:dyDescent="0.3">
      <c r="A102" s="89" t="s">
        <v>101</v>
      </c>
      <c r="B102" s="90"/>
      <c r="C102" s="90"/>
    </row>
    <row r="103" spans="1:3" ht="35" customHeight="1" x14ac:dyDescent="0.3">
      <c r="A103" s="29"/>
      <c r="B103" s="18" t="s">
        <v>157</v>
      </c>
      <c r="C103" s="5">
        <v>5500000</v>
      </c>
    </row>
    <row r="104" spans="1:3" ht="20" customHeight="1" x14ac:dyDescent="0.3">
      <c r="A104" s="29"/>
      <c r="B104" s="18" t="s">
        <v>102</v>
      </c>
      <c r="C104" s="5">
        <v>2000000</v>
      </c>
    </row>
    <row r="105" spans="1:3" ht="20" customHeight="1" x14ac:dyDescent="0.3">
      <c r="A105" s="42"/>
      <c r="B105" s="51" t="s">
        <v>153</v>
      </c>
      <c r="C105" s="52">
        <v>2500000</v>
      </c>
    </row>
    <row r="106" spans="1:3" ht="20" customHeight="1" x14ac:dyDescent="0.3">
      <c r="A106" s="42"/>
      <c r="B106" s="43" t="s">
        <v>103</v>
      </c>
      <c r="C106" s="53">
        <f>SUM(C103:C105)</f>
        <v>10000000</v>
      </c>
    </row>
    <row r="107" spans="1:3" ht="20" customHeight="1" x14ac:dyDescent="0.3">
      <c r="A107" s="66" t="s">
        <v>108</v>
      </c>
      <c r="B107" s="67"/>
      <c r="C107" s="68"/>
    </row>
    <row r="108" spans="1:3" ht="30" customHeight="1" x14ac:dyDescent="0.3">
      <c r="A108" s="41"/>
      <c r="B108" s="32" t="s">
        <v>167</v>
      </c>
      <c r="C108" s="63">
        <v>4810000</v>
      </c>
    </row>
    <row r="109" spans="1:3" ht="20" customHeight="1" x14ac:dyDescent="0.3">
      <c r="A109" s="29"/>
      <c r="B109" s="8" t="s">
        <v>168</v>
      </c>
      <c r="C109" s="5">
        <v>1800000</v>
      </c>
    </row>
    <row r="110" spans="1:3" ht="20" customHeight="1" x14ac:dyDescent="0.3">
      <c r="A110" s="29"/>
      <c r="B110" s="8" t="s">
        <v>169</v>
      </c>
      <c r="C110" s="5">
        <v>4500000</v>
      </c>
    </row>
    <row r="111" spans="1:3" ht="20" customHeight="1" x14ac:dyDescent="0.3">
      <c r="A111" s="29"/>
      <c r="B111" s="8" t="s">
        <v>104</v>
      </c>
      <c r="C111" s="9">
        <v>7000000</v>
      </c>
    </row>
    <row r="112" spans="1:3" ht="20" customHeight="1" x14ac:dyDescent="0.3">
      <c r="A112" s="29"/>
      <c r="B112" s="8" t="s">
        <v>111</v>
      </c>
      <c r="C112" s="5">
        <v>0</v>
      </c>
    </row>
    <row r="113" spans="1:3" ht="35" customHeight="1" x14ac:dyDescent="0.3">
      <c r="A113" s="29"/>
      <c r="B113" s="8" t="s">
        <v>112</v>
      </c>
      <c r="C113" s="9">
        <v>3494470</v>
      </c>
    </row>
    <row r="114" spans="1:3" ht="20" customHeight="1" x14ac:dyDescent="0.3">
      <c r="A114" s="29"/>
      <c r="B114" s="8" t="s">
        <v>165</v>
      </c>
      <c r="C114" s="9">
        <v>2300000</v>
      </c>
    </row>
    <row r="115" spans="1:3" ht="35" customHeight="1" x14ac:dyDescent="0.3">
      <c r="A115" s="29"/>
      <c r="B115" s="54" t="s">
        <v>109</v>
      </c>
      <c r="C115" s="4">
        <f>SUM(C108:C114)</f>
        <v>23904470</v>
      </c>
    </row>
    <row r="116" spans="1:3" ht="20" customHeight="1" x14ac:dyDescent="0.3">
      <c r="A116" s="66" t="s">
        <v>113</v>
      </c>
      <c r="B116" s="67"/>
      <c r="C116" s="68"/>
    </row>
    <row r="117" spans="1:3" ht="30" customHeight="1" x14ac:dyDescent="0.3">
      <c r="A117" s="29"/>
      <c r="B117" s="8" t="s">
        <v>150</v>
      </c>
      <c r="C117" s="58">
        <v>388846962</v>
      </c>
    </row>
    <row r="118" spans="1:3" ht="30" customHeight="1" x14ac:dyDescent="0.3">
      <c r="A118" s="29"/>
      <c r="B118" s="18" t="s">
        <v>115</v>
      </c>
      <c r="C118" s="5">
        <v>26341440</v>
      </c>
    </row>
    <row r="119" spans="1:3" ht="20" customHeight="1" x14ac:dyDescent="0.3">
      <c r="A119" s="29"/>
      <c r="B119" s="31" t="s">
        <v>116</v>
      </c>
      <c r="C119" s="4">
        <f>SUM(C117:C118)</f>
        <v>415188402</v>
      </c>
    </row>
    <row r="120" spans="1:3" ht="20" customHeight="1" x14ac:dyDescent="0.3">
      <c r="A120" s="66" t="s">
        <v>117</v>
      </c>
      <c r="B120" s="67"/>
      <c r="C120" s="68"/>
    </row>
    <row r="121" spans="1:3" ht="30" customHeight="1" x14ac:dyDescent="0.3">
      <c r="A121" s="29"/>
      <c r="B121" s="8" t="s">
        <v>170</v>
      </c>
      <c r="C121" s="5">
        <v>0</v>
      </c>
    </row>
    <row r="122" spans="1:3" ht="20" customHeight="1" x14ac:dyDescent="0.3">
      <c r="A122" s="29"/>
      <c r="B122" s="8" t="s">
        <v>118</v>
      </c>
      <c r="C122" s="5">
        <v>2200000</v>
      </c>
    </row>
    <row r="123" spans="1:3" ht="30" customHeight="1" x14ac:dyDescent="0.3">
      <c r="A123" s="29"/>
      <c r="B123" s="8" t="s">
        <v>119</v>
      </c>
      <c r="C123" s="5">
        <v>0</v>
      </c>
    </row>
    <row r="124" spans="1:3" ht="20" customHeight="1" x14ac:dyDescent="0.3">
      <c r="A124" s="29"/>
      <c r="B124" s="8" t="s">
        <v>120</v>
      </c>
      <c r="C124" s="37">
        <v>307500000</v>
      </c>
    </row>
    <row r="125" spans="1:3" ht="20" customHeight="1" x14ac:dyDescent="0.3">
      <c r="A125" s="29"/>
      <c r="B125" s="8" t="s">
        <v>122</v>
      </c>
      <c r="C125" s="9">
        <v>4000000</v>
      </c>
    </row>
    <row r="126" spans="1:3" ht="20" customHeight="1" x14ac:dyDescent="0.3">
      <c r="A126" s="29"/>
      <c r="B126" s="18" t="s">
        <v>123</v>
      </c>
      <c r="C126" s="5">
        <v>5000000</v>
      </c>
    </row>
    <row r="127" spans="1:3" ht="20" customHeight="1" x14ac:dyDescent="0.3">
      <c r="A127" s="29"/>
      <c r="B127" s="8" t="s">
        <v>147</v>
      </c>
      <c r="C127" s="9">
        <v>1000000</v>
      </c>
    </row>
    <row r="128" spans="1:3" ht="20" customHeight="1" x14ac:dyDescent="0.3">
      <c r="A128" s="29"/>
      <c r="B128" s="8" t="s">
        <v>164</v>
      </c>
      <c r="C128" s="9">
        <v>15000000</v>
      </c>
    </row>
    <row r="129" spans="1:4" ht="20" customHeight="1" x14ac:dyDescent="0.3">
      <c r="A129" s="29"/>
      <c r="B129" s="16" t="s">
        <v>126</v>
      </c>
      <c r="C129" s="5">
        <v>1000000</v>
      </c>
    </row>
    <row r="130" spans="1:4" ht="20" customHeight="1" x14ac:dyDescent="0.3">
      <c r="A130" s="29"/>
      <c r="B130" s="16" t="s">
        <v>154</v>
      </c>
      <c r="C130" s="5">
        <v>1000000</v>
      </c>
    </row>
    <row r="131" spans="1:4" ht="20" customHeight="1" x14ac:dyDescent="0.3">
      <c r="A131" s="29"/>
      <c r="B131" s="54" t="s">
        <v>121</v>
      </c>
      <c r="C131" s="27">
        <f>SUM(C121:C130)</f>
        <v>336700000</v>
      </c>
    </row>
    <row r="132" spans="1:4" ht="20" customHeight="1" x14ac:dyDescent="0.3">
      <c r="A132" s="66" t="s">
        <v>124</v>
      </c>
      <c r="B132" s="67"/>
      <c r="C132" s="68"/>
    </row>
    <row r="133" spans="1:4" ht="20" customHeight="1" x14ac:dyDescent="0.3">
      <c r="A133" s="55"/>
      <c r="B133" s="15" t="s">
        <v>155</v>
      </c>
      <c r="C133" s="57">
        <v>20000000</v>
      </c>
    </row>
    <row r="134" spans="1:4" ht="20" customHeight="1" x14ac:dyDescent="0.3">
      <c r="A134" s="17"/>
      <c r="B134" s="18" t="s">
        <v>162</v>
      </c>
      <c r="C134" s="5">
        <v>1500000</v>
      </c>
    </row>
    <row r="135" spans="1:4" ht="30" customHeight="1" x14ac:dyDescent="0.3">
      <c r="A135" s="29"/>
      <c r="B135" s="18" t="s">
        <v>171</v>
      </c>
      <c r="C135" s="5">
        <v>20000000</v>
      </c>
    </row>
    <row r="136" spans="1:4" ht="20" customHeight="1" x14ac:dyDescent="0.3">
      <c r="A136" s="56"/>
      <c r="B136" s="59" t="s">
        <v>127</v>
      </c>
      <c r="C136" s="27">
        <f>SUM(C133:C135)</f>
        <v>41500000</v>
      </c>
    </row>
    <row r="137" spans="1:4" ht="25" customHeight="1" x14ac:dyDescent="0.3">
      <c r="A137" s="19" t="s">
        <v>9</v>
      </c>
      <c r="B137" s="21"/>
      <c r="C137" s="20">
        <f>+C136+C131+C119+C115+C106+C101+C95+C86+C76+C68+C64+C60+C50+C42</f>
        <v>2767452862</v>
      </c>
    </row>
    <row r="138" spans="1:4" ht="25" customHeight="1" x14ac:dyDescent="0.3">
      <c r="A138" s="87" t="s">
        <v>163</v>
      </c>
      <c r="B138" s="88"/>
      <c r="C138" s="20">
        <f>+C26-C137</f>
        <v>112737309</v>
      </c>
    </row>
    <row r="139" spans="1:4" ht="20.149999999999999" customHeight="1" x14ac:dyDescent="0.3">
      <c r="B139" s="22" t="s">
        <v>42</v>
      </c>
    </row>
    <row r="140" spans="1:4" ht="20.149999999999999" customHeight="1" x14ac:dyDescent="0.3">
      <c r="B140" s="1"/>
    </row>
    <row r="141" spans="1:4" ht="20.149999999999999" customHeight="1" x14ac:dyDescent="0.3">
      <c r="B141" s="38" t="s">
        <v>10</v>
      </c>
      <c r="C141" s="38" t="s">
        <v>41</v>
      </c>
      <c r="D141" s="61"/>
    </row>
    <row r="142" spans="1:4" ht="20.149999999999999" customHeight="1" x14ac:dyDescent="0.3">
      <c r="B142" s="38" t="s">
        <v>14</v>
      </c>
      <c r="C142" s="38" t="s">
        <v>15</v>
      </c>
      <c r="D142" s="61"/>
    </row>
    <row r="143" spans="1:4" ht="20.149999999999999" customHeight="1" x14ac:dyDescent="0.3">
      <c r="B143" s="38" t="s">
        <v>28</v>
      </c>
      <c r="C143" s="38" t="s">
        <v>16</v>
      </c>
      <c r="D143" s="61"/>
    </row>
    <row r="144" spans="1:4" ht="20.149999999999999" customHeight="1" x14ac:dyDescent="0.3">
      <c r="B144" s="38"/>
      <c r="C144" s="38"/>
      <c r="D144" s="61"/>
    </row>
    <row r="145" spans="2:3" ht="20.149999999999999" customHeight="1" x14ac:dyDescent="0.3">
      <c r="B145" s="14"/>
      <c r="C145" s="38" t="s">
        <v>38</v>
      </c>
    </row>
    <row r="146" spans="2:3" ht="20.149999999999999" customHeight="1" x14ac:dyDescent="0.3">
      <c r="B146" s="1"/>
      <c r="C146" s="38" t="s">
        <v>40</v>
      </c>
    </row>
    <row r="147" spans="2:3" x14ac:dyDescent="0.3">
      <c r="B147" s="23"/>
      <c r="C147" s="38" t="s">
        <v>39</v>
      </c>
    </row>
  </sheetData>
  <mergeCells count="24">
    <mergeCell ref="A138:B138"/>
    <mergeCell ref="A61:C61"/>
    <mergeCell ref="A65:C65"/>
    <mergeCell ref="A69:C69"/>
    <mergeCell ref="A77:C77"/>
    <mergeCell ref="A87:C87"/>
    <mergeCell ref="A96:C96"/>
    <mergeCell ref="A102:C102"/>
    <mergeCell ref="A107:C107"/>
    <mergeCell ref="A116:C116"/>
    <mergeCell ref="A120:C120"/>
    <mergeCell ref="A132:C132"/>
    <mergeCell ref="A51:C51"/>
    <mergeCell ref="A8:C8"/>
    <mergeCell ref="A9:C9"/>
    <mergeCell ref="A10:C10"/>
    <mergeCell ref="A11:B11"/>
    <mergeCell ref="A12:B12"/>
    <mergeCell ref="A13:C13"/>
    <mergeCell ref="A26:B26"/>
    <mergeCell ref="A27:C27"/>
    <mergeCell ref="A29:C29"/>
    <mergeCell ref="A43:C43"/>
    <mergeCell ref="A50:B5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Q2 UPDATED</vt:lpstr>
      <vt:lpstr>BUDGET YEAR 2026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2026-03-24T14:01:56Z</cp:lastPrinted>
  <dcterms:created xsi:type="dcterms:W3CDTF">2017-09-05T09:43:28Z</dcterms:created>
  <dcterms:modified xsi:type="dcterms:W3CDTF">2026-03-25T07:37:44Z</dcterms:modified>
</cp:coreProperties>
</file>