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21" i="19" l="1"/>
  <c r="F24" i="19" l="1"/>
  <c r="C24" i="19"/>
</calcChain>
</file>

<file path=xl/sharedStrings.xml><?xml version="1.0" encoding="utf-8"?>
<sst xmlns="http://schemas.openxmlformats.org/spreadsheetml/2006/main" count="41" uniqueCount="41">
  <si>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</si>
  <si>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</si>
  <si>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</si>
  <si>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</si>
  <si>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</si>
  <si>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</si>
  <si>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</si>
  <si>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</si>
  <si>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</si>
  <si>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</si>
  <si>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</si>
  <si>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</si>
  <si>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PSF</t>
  </si>
  <si>
    <t>Amount RWVCA/I&amp;M BANK</t>
  </si>
  <si>
    <t>Amount RWVCA/SCHOOL DESKS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</si>
  <si>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</si>
  <si>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</si>
  <si>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</si>
  <si>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</si>
  <si>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</si>
  <si>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</si>
  <si>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</si>
  <si>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</si>
  <si>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</si>
  <si>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</si>
  <si>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amount:5,410,710RWF/RWVCA</t>
  </si>
  <si>
    <t>Available amount:39,285,812F/RWVCA</t>
  </si>
  <si>
    <t>Available amount:362,684,765RWF/RWVCA</t>
  </si>
  <si>
    <t xml:space="preserve">Payment invoice of Hotel during G.A and  induction of new elected </t>
  </si>
  <si>
    <t>St Famille Hotel</t>
  </si>
  <si>
    <t>Payment of wage for casual employee Karongi for March,2026</t>
  </si>
  <si>
    <t>Ntirenganya Anastase</t>
  </si>
  <si>
    <t>D MUNANA LTD</t>
  </si>
  <si>
    <t>Membership Contribution</t>
  </si>
  <si>
    <t>Payment of consultancy invoice for Elaboration of feasibility Studies for Wood Technology Hub Project</t>
  </si>
  <si>
    <t>Done, on    02/04/2026</t>
  </si>
  <si>
    <t>Modern Design</t>
  </si>
  <si>
    <t>Payment of invoice of Wood Award Table</t>
  </si>
  <si>
    <t>Available amount:173,090RWF/RWVCA</t>
  </si>
  <si>
    <t>Available amount:4,427,264RWF/RWVCA</t>
  </si>
  <si>
    <t>Available amount:17,739,766RWF/RWVCA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</si>
</sst>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vertical="center"/>
    </xf>
    <xf numFmtId="165" fontId="1" fillId="2" borderId="1" xfId="1" applyNumberFormat="1" applyFont="1" applyFill="1" applyBorder="1" applyAlignment="1">
      <alignment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90259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352176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0"/>
          <a:ext cx="1352176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14942</xdr:rowOff>
    </xdr:from>
    <xdr:to>
      <xdr:col>1</xdr:col>
      <xdr:colOff>1062759</xdr:colOff>
      <xdr:row>4</xdr:row>
      <xdr:rowOff>134472</xdr:rowOff>
    </xdr:to>
    <xdr:pic>
      <xdr:nvPicPr>
        <xdr:cNvPr id="72" name="Picture 7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4942"/>
          <a:ext cx="1088837" cy="806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</xdr:row>
      <xdr:rowOff>170509</xdr:rowOff>
    </xdr:from>
    <xdr:to>
      <xdr:col>6</xdr:col>
      <xdr:colOff>172273</xdr:colOff>
      <xdr:row>4</xdr:row>
      <xdr:rowOff>170509</xdr:rowOff>
    </xdr:to>
    <xdr:cxnSp macro="">
      <xdr:nvCxnSpPr>
        <xdr:cNvPr id="73" name="Straight Arrow Connector 1"/>
        <xdr:cNvCxnSpPr>
          <a:cxnSpLocks noChangeShapeType="1"/>
        </xdr:cNvCxnSpPr>
      </xdr:nvCxnSpPr>
      <xdr:spPr>
        <a:xfrm>
          <a:off x="870586" y="160422097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3"/>
  <sheetViews>
    <sheetView tabSelected="1" zoomScale="85" zoomScaleNormal="85" workbookViewId="0">
      <selection activeCell="G8" sqref="G8"/>
    </sheetView>
  </sheetViews>
  <sheetFormatPr defaultColWidth="9.1796875" defaultRowHeight="12"/>
  <cols>
    <col min="1" max="1" width="3.26953125" style="7" customWidth="1"/>
    <col min="2" max="2" width="16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3" spans="1:7" ht="15.5">
      <c r="A3" s="1"/>
      <c r="B3" s="1"/>
      <c r="C3" s="1"/>
      <c r="D3" s="1"/>
      <c r="E3" s="2"/>
      <c r="F3" s="2"/>
      <c r="G3" s="2"/>
    </row>
    <row r="4" spans="1:7" ht="15.5">
      <c r="A4" s="1"/>
      <c r="B4" s="1"/>
      <c r="C4" s="1"/>
      <c r="D4" s="1"/>
      <c r="E4" s="1"/>
      <c r="F4" s="1"/>
      <c r="G4" s="1"/>
    </row>
    <row r="5" spans="1:7" ht="15.5">
      <c r="A5" s="1"/>
      <c r="B5" s="1"/>
      <c r="C5" s="1"/>
      <c r="D5" s="1"/>
      <c r="E5" s="1"/>
      <c r="F5" s="1"/>
      <c r="G5" s="1"/>
    </row>
    <row r="6" spans="1:7" ht="18" customHeight="1">
      <c r="A6" s="1"/>
      <c r="B6" s="12" t="s">
        <v>18</v>
      </c>
      <c r="C6" s="1"/>
      <c r="D6" s="1"/>
      <c r="E6" s="1"/>
      <c r="F6" s="1"/>
      <c r="G6" s="1"/>
    </row>
    <row r="7" spans="1:7" ht="18" customHeight="1">
      <c r="A7" s="1"/>
      <c r="B7" s="12" t="s">
        <v>25</v>
      </c>
      <c r="C7" s="1"/>
      <c r="D7" s="1"/>
      <c r="E7" s="1"/>
      <c r="F7" s="1"/>
      <c r="G7" s="1"/>
    </row>
    <row r="8" spans="1:7" ht="18" customHeight="1">
      <c r="A8" s="1"/>
      <c r="B8" s="12" t="s">
        <v>19</v>
      </c>
      <c r="C8" s="1"/>
      <c r="D8" s="1"/>
      <c r="E8" s="1"/>
      <c r="F8" s="1"/>
      <c r="G8" s="1"/>
    </row>
    <row r="9" spans="1:7" ht="18" customHeight="1">
      <c r="A9" s="1"/>
      <c r="B9" s="12" t="s">
        <v>40</v>
      </c>
      <c r="C9" s="1"/>
      <c r="D9" s="1"/>
      <c r="E9" s="1"/>
      <c r="F9" s="1"/>
      <c r="G9" s="6"/>
    </row>
    <row r="10" spans="1:7" ht="18" customHeight="1">
      <c r="A10" s="1"/>
      <c r="B10" s="2" t="s">
        <v>20</v>
      </c>
      <c r="C10" s="1"/>
      <c r="D10" s="1"/>
      <c r="E10" s="1"/>
      <c r="F10" s="1"/>
      <c r="G10" s="11"/>
    </row>
    <row r="11" spans="1:7" ht="18" customHeight="1">
      <c r="A11" s="1"/>
      <c r="B11" s="12" t="s">
        <v>39</v>
      </c>
      <c r="C11" s="1"/>
      <c r="D11" s="1"/>
      <c r="E11" s="1"/>
      <c r="F11" s="1"/>
      <c r="G11" s="6"/>
    </row>
    <row r="12" spans="1:7" ht="18" customHeight="1">
      <c r="A12" s="1"/>
      <c r="B12" s="2" t="s">
        <v>21</v>
      </c>
      <c r="C12" s="1"/>
      <c r="D12" s="1"/>
      <c r="E12" s="1"/>
      <c r="F12" s="23"/>
      <c r="G12" s="6"/>
    </row>
    <row r="13" spans="1:7" ht="18" customHeight="1">
      <c r="A13" s="1"/>
      <c r="B13" s="12" t="s">
        <v>38</v>
      </c>
      <c r="C13" s="1"/>
      <c r="D13" s="1"/>
      <c r="E13" s="1"/>
      <c r="F13" s="1"/>
      <c r="G13" s="6"/>
    </row>
    <row r="14" spans="1:7" ht="18" customHeight="1">
      <c r="A14" s="1"/>
      <c r="B14" s="12" t="s">
        <v>22</v>
      </c>
      <c r="C14" s="1"/>
      <c r="D14" s="1"/>
      <c r="E14" s="1"/>
      <c r="F14" s="1"/>
      <c r="G14" s="6"/>
    </row>
    <row r="15" spans="1:7" ht="18" customHeight="1">
      <c r="A15" s="1"/>
      <c r="B15" s="12" t="s">
        <v>27</v>
      </c>
      <c r="C15" s="1"/>
      <c r="D15" s="1"/>
      <c r="E15" s="1"/>
      <c r="F15" s="1"/>
      <c r="G15" s="6"/>
    </row>
    <row r="16" spans="1:7" ht="18" customHeight="1">
      <c r="A16" s="1"/>
      <c r="B16" s="12" t="s">
        <v>23</v>
      </c>
      <c r="C16" s="1"/>
      <c r="D16" s="1"/>
      <c r="E16" s="1"/>
      <c r="F16" s="1"/>
      <c r="G16" s="6"/>
    </row>
    <row r="17" spans="1:7" ht="18" customHeight="1">
      <c r="A17" s="1"/>
      <c r="B17" s="12" t="s">
        <v>26</v>
      </c>
      <c r="C17" s="1"/>
      <c r="D17" s="1"/>
      <c r="E17" s="1"/>
      <c r="F17" s="1"/>
      <c r="G17" s="6"/>
    </row>
    <row r="18" spans="1:7" ht="60">
      <c r="A18" s="13" t="s">
        <v>15</v>
      </c>
      <c r="B18" s="14" t="s">
        <v>0</v>
      </c>
      <c r="C18" s="15" t="s">
        <v>17</v>
      </c>
      <c r="D18" s="15" t="s">
        <v>13</v>
      </c>
      <c r="E18" s="15" t="s">
        <v>16</v>
      </c>
      <c r="F18" s="15" t="s">
        <v>14</v>
      </c>
      <c r="G18" s="15" t="s">
        <v>11</v>
      </c>
    </row>
    <row r="19" spans="1:7" ht="120" customHeight="1">
      <c r="A19" s="16">
        <v>1</v>
      </c>
      <c r="B19" s="4" t="s">
        <v>34</v>
      </c>
      <c r="C19" s="18"/>
      <c r="D19" s="18"/>
      <c r="E19" s="18"/>
      <c r="F19" s="24">
        <v>5400000</v>
      </c>
      <c r="G19" s="5" t="s">
        <v>32</v>
      </c>
    </row>
    <row r="20" spans="1:7" ht="60" customHeight="1">
      <c r="A20" s="16">
        <v>2</v>
      </c>
      <c r="B20" s="4" t="s">
        <v>28</v>
      </c>
      <c r="C20" s="17">
        <v>0</v>
      </c>
      <c r="D20" s="18">
        <v>0</v>
      </c>
      <c r="E20" s="18">
        <v>0</v>
      </c>
      <c r="F20" s="18">
        <v>4810000</v>
      </c>
      <c r="G20" s="5" t="s">
        <v>29</v>
      </c>
    </row>
    <row r="21" spans="1:7" ht="60" customHeight="1">
      <c r="A21" s="16">
        <v>3</v>
      </c>
      <c r="B21" s="4" t="s">
        <v>30</v>
      </c>
      <c r="C21" s="17">
        <v>0</v>
      </c>
      <c r="D21" s="18">
        <v>0</v>
      </c>
      <c r="E21" s="18">
        <v>0</v>
      </c>
      <c r="F21" s="25">
        <f>298144*0.6</f>
        <v>178886.39999999999</v>
      </c>
      <c r="G21" s="5" t="s">
        <v>31</v>
      </c>
    </row>
    <row r="22" spans="1:7" ht="31">
      <c r="A22" s="16">
        <v>4</v>
      </c>
      <c r="B22" s="5" t="s">
        <v>33</v>
      </c>
      <c r="C22" s="17">
        <v>0</v>
      </c>
      <c r="D22" s="18">
        <v>0</v>
      </c>
      <c r="E22" s="18">
        <v>0</v>
      </c>
      <c r="F22" s="18">
        <v>1000000</v>
      </c>
      <c r="G22" s="5" t="s">
        <v>12</v>
      </c>
    </row>
    <row r="23" spans="1:7" ht="46.5">
      <c r="A23" s="16">
        <v>5</v>
      </c>
      <c r="B23" s="5" t="s">
        <v>37</v>
      </c>
      <c r="C23" s="17">
        <v>0</v>
      </c>
      <c r="D23" s="18">
        <v>0</v>
      </c>
      <c r="E23" s="18">
        <v>0</v>
      </c>
      <c r="F23" s="18">
        <v>968000</v>
      </c>
      <c r="G23" s="22" t="s">
        <v>36</v>
      </c>
    </row>
    <row r="24" spans="1:7" ht="45">
      <c r="A24" s="16"/>
      <c r="B24" s="15" t="s">
        <v>1</v>
      </c>
      <c r="C24" s="19">
        <f>SUM(C19:C23)</f>
        <v>0</v>
      </c>
      <c r="D24" s="20">
        <v>0</v>
      </c>
      <c r="E24" s="20">
        <v>0</v>
      </c>
      <c r="F24" s="20">
        <f>SUM(F19:F23)</f>
        <v>12356886.4</v>
      </c>
      <c r="G24" s="21"/>
    </row>
    <row r="25" spans="1:7" ht="14" customHeight="1">
      <c r="A25" s="1"/>
      <c r="B25" s="3" t="s">
        <v>10</v>
      </c>
      <c r="C25" s="1"/>
      <c r="D25" s="1"/>
      <c r="E25" s="1"/>
      <c r="F25" s="1"/>
      <c r="G25" s="6"/>
    </row>
    <row r="26" spans="1:7" ht="14" customHeight="1">
      <c r="A26" s="1"/>
      <c r="B26" s="9" t="s">
        <v>35</v>
      </c>
      <c r="C26" s="2"/>
      <c r="D26" s="2"/>
      <c r="E26" s="2"/>
      <c r="F26" s="2"/>
      <c r="G26" s="10"/>
    </row>
    <row r="27" spans="1:7" ht="14" customHeight="1">
      <c r="A27" s="2" t="s">
        <v>2</v>
      </c>
      <c r="B27" s="1"/>
      <c r="C27" s="1"/>
      <c r="D27" s="1"/>
      <c r="E27" s="1"/>
      <c r="F27" s="2" t="s">
        <v>3</v>
      </c>
      <c r="G27" s="2"/>
    </row>
    <row r="28" spans="1:7" ht="14" customHeight="1">
      <c r="A28" s="1" t="s">
        <v>4</v>
      </c>
      <c r="B28" s="1"/>
      <c r="C28" s="3"/>
      <c r="D28" s="1"/>
      <c r="E28" s="1"/>
      <c r="F28" s="1" t="s">
        <v>7</v>
      </c>
      <c r="G28" s="1"/>
    </row>
    <row r="29" spans="1:7" ht="14" customHeight="1">
      <c r="A29" s="3" t="s">
        <v>5</v>
      </c>
      <c r="B29" s="3"/>
      <c r="C29" s="3"/>
      <c r="D29" s="1"/>
      <c r="E29" s="1"/>
      <c r="F29" s="1" t="s">
        <v>8</v>
      </c>
      <c r="G29" s="1"/>
    </row>
    <row r="30" spans="1:7" ht="14" customHeight="1">
      <c r="A30" s="3"/>
      <c r="B30" s="3"/>
      <c r="C30" s="1"/>
      <c r="D30" s="2" t="s">
        <v>6</v>
      </c>
      <c r="E30" s="3"/>
      <c r="F30" s="3"/>
      <c r="G30" s="3"/>
    </row>
    <row r="31" spans="1:7" ht="14" customHeight="1">
      <c r="A31" s="1"/>
      <c r="B31" s="1"/>
      <c r="C31" s="1"/>
      <c r="D31" s="1" t="s">
        <v>24</v>
      </c>
      <c r="E31" s="2"/>
      <c r="F31" s="2"/>
      <c r="G31" s="2"/>
    </row>
    <row r="32" spans="1:7" ht="14" customHeight="1">
      <c r="A32" s="1"/>
      <c r="B32" s="1"/>
      <c r="C32" s="1"/>
      <c r="D32" s="1" t="s">
        <v>9</v>
      </c>
      <c r="E32" s="1"/>
      <c r="F32" s="1"/>
      <c r="G32" s="1"/>
    </row>
    <row r="33" ht="14" customHeight="1"/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2026-03-30T12:54:19Z</cp:lastPrinted>
  <dcterms:created xsi:type="dcterms:W3CDTF">2023-11-30T08:32:00Z</dcterms:created>
  <dcterms:modified xsi:type="dcterms:W3CDTF">2026-04-02T06:28:23Z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