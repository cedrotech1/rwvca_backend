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UDGET AND REPORT 2026\"/>
    </mc:Choice>
  </mc:AlternateContent>
  <bookViews>
    <workbookView xWindow="0" yWindow="0" windowWidth="19200" windowHeight="4320" firstSheet="2" activeTab="3"/>
  </bookViews>
  <sheets>
    <sheet name="Financial summary report Q2" sheetId="7" r:id="rId1"/>
    <sheet name="Projection budget summary Q3" sheetId="29" r:id="rId2"/>
    <sheet name="Financial report details Q2" sheetId="30" r:id="rId3"/>
    <sheet name="Projection budget details Q3" sheetId="31" r:id="rId4"/>
    <sheet name="Budget year 2026 revised detail" sheetId="32" r:id="rId5"/>
  </sheets>
  <externalReferences>
    <externalReference r:id="rId6"/>
    <externalReference r:id="rId7"/>
  </externalReferences>
  <definedNames>
    <definedName name="bbbb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cccccccc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dd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'Financial summary report Q2'!$E$1:$L$38</definedName>
    <definedName name="vvvv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</workbook>
</file>

<file path=xl/calcChain.xml><?xml version="1.0" encoding="utf-8"?>
<calcChain xmlns="http://schemas.openxmlformats.org/spreadsheetml/2006/main">
  <c r="D117" i="30" l="1"/>
  <c r="D116" i="30"/>
  <c r="F135" i="32" l="1"/>
  <c r="G135" i="32" s="1"/>
  <c r="C135" i="32"/>
  <c r="G134" i="32"/>
  <c r="E134" i="32"/>
  <c r="D134" i="32"/>
  <c r="D135" i="32" s="1"/>
  <c r="G133" i="32"/>
  <c r="E133" i="32"/>
  <c r="E135" i="32" s="1"/>
  <c r="F131" i="32"/>
  <c r="E131" i="32"/>
  <c r="C130" i="32"/>
  <c r="F129" i="32"/>
  <c r="G129" i="32" s="1"/>
  <c r="F128" i="32"/>
  <c r="G128" i="32" s="1"/>
  <c r="E128" i="32"/>
  <c r="F127" i="32"/>
  <c r="G127" i="32" s="1"/>
  <c r="E127" i="32"/>
  <c r="D127" i="32"/>
  <c r="D130" i="32" s="1"/>
  <c r="F126" i="32"/>
  <c r="G126" i="32" s="1"/>
  <c r="E126" i="32"/>
  <c r="G125" i="32"/>
  <c r="E125" i="32"/>
  <c r="G124" i="32"/>
  <c r="E124" i="32"/>
  <c r="F123" i="32"/>
  <c r="G123" i="32" s="1"/>
  <c r="E123" i="32"/>
  <c r="G122" i="32"/>
  <c r="F122" i="32"/>
  <c r="E122" i="32"/>
  <c r="F120" i="32"/>
  <c r="G120" i="32" s="1"/>
  <c r="C120" i="32"/>
  <c r="G119" i="32"/>
  <c r="E119" i="32"/>
  <c r="G118" i="32"/>
  <c r="D118" i="32"/>
  <c r="E118" i="32" s="1"/>
  <c r="E120" i="32" s="1"/>
  <c r="D116" i="32"/>
  <c r="C116" i="32"/>
  <c r="F115" i="32"/>
  <c r="G115" i="32" s="1"/>
  <c r="E115" i="32"/>
  <c r="F114" i="32"/>
  <c r="G114" i="32" s="1"/>
  <c r="E114" i="32"/>
  <c r="G113" i="32"/>
  <c r="E113" i="32"/>
  <c r="F112" i="32"/>
  <c r="G112" i="32" s="1"/>
  <c r="E112" i="32"/>
  <c r="G111" i="32"/>
  <c r="F111" i="32"/>
  <c r="E111" i="32"/>
  <c r="G110" i="32"/>
  <c r="F110" i="32"/>
  <c r="F116" i="32" s="1"/>
  <c r="G116" i="32" s="1"/>
  <c r="E110" i="32"/>
  <c r="E116" i="32" s="1"/>
  <c r="F108" i="32"/>
  <c r="G108" i="32" s="1"/>
  <c r="D108" i="32"/>
  <c r="C108" i="32"/>
  <c r="G107" i="32"/>
  <c r="E107" i="32"/>
  <c r="G106" i="32"/>
  <c r="E106" i="32"/>
  <c r="E108" i="32" s="1"/>
  <c r="D104" i="32"/>
  <c r="C104" i="32"/>
  <c r="G103" i="32"/>
  <c r="F103" i="32"/>
  <c r="D103" i="32"/>
  <c r="E103" i="32" s="1"/>
  <c r="G102" i="32"/>
  <c r="F102" i="32"/>
  <c r="E102" i="32"/>
  <c r="G101" i="32"/>
  <c r="F101" i="32"/>
  <c r="E101" i="32"/>
  <c r="F100" i="32"/>
  <c r="F104" i="32" s="1"/>
  <c r="G104" i="32" s="1"/>
  <c r="E100" i="32"/>
  <c r="D98" i="32"/>
  <c r="C98" i="32"/>
  <c r="F97" i="32"/>
  <c r="G97" i="32" s="1"/>
  <c r="E97" i="32"/>
  <c r="G96" i="32"/>
  <c r="F96" i="32"/>
  <c r="E96" i="32"/>
  <c r="G95" i="32"/>
  <c r="F95" i="32"/>
  <c r="E95" i="32"/>
  <c r="F94" i="32"/>
  <c r="G94" i="32" s="1"/>
  <c r="E94" i="32"/>
  <c r="F93" i="32"/>
  <c r="G93" i="32" s="1"/>
  <c r="E93" i="32"/>
  <c r="G92" i="32"/>
  <c r="E92" i="32"/>
  <c r="G91" i="32"/>
  <c r="F91" i="32"/>
  <c r="E91" i="32"/>
  <c r="E90" i="32"/>
  <c r="E98" i="32" s="1"/>
  <c r="F88" i="32"/>
  <c r="G88" i="32" s="1"/>
  <c r="E88" i="32"/>
  <c r="D88" i="32"/>
  <c r="C88" i="32"/>
  <c r="G87" i="32"/>
  <c r="E87" i="32"/>
  <c r="G86" i="32"/>
  <c r="E86" i="32"/>
  <c r="F83" i="32"/>
  <c r="E83" i="32"/>
  <c r="G82" i="32"/>
  <c r="F81" i="32"/>
  <c r="G81" i="32" s="1"/>
  <c r="E81" i="32"/>
  <c r="F80" i="32"/>
  <c r="G80" i="32" s="1"/>
  <c r="E80" i="32"/>
  <c r="C79" i="32"/>
  <c r="C84" i="32" s="1"/>
  <c r="F78" i="32"/>
  <c r="G78" i="32" s="1"/>
  <c r="E78" i="32"/>
  <c r="G77" i="32"/>
  <c r="E77" i="32"/>
  <c r="C76" i="32"/>
  <c r="G76" i="32" s="1"/>
  <c r="G75" i="32"/>
  <c r="F75" i="32"/>
  <c r="D75" i="32"/>
  <c r="D84" i="32" s="1"/>
  <c r="D71" i="32"/>
  <c r="F70" i="32"/>
  <c r="G70" i="32" s="1"/>
  <c r="E70" i="32"/>
  <c r="C69" i="32"/>
  <c r="G69" i="32" s="1"/>
  <c r="G68" i="32"/>
  <c r="E68" i="32"/>
  <c r="F67" i="32"/>
  <c r="G67" i="32" s="1"/>
  <c r="E67" i="32"/>
  <c r="F66" i="32"/>
  <c r="F71" i="32" s="1"/>
  <c r="E66" i="32"/>
  <c r="G65" i="32"/>
  <c r="E65" i="32"/>
  <c r="F63" i="32"/>
  <c r="G63" i="32" s="1"/>
  <c r="D63" i="32"/>
  <c r="C63" i="32"/>
  <c r="F62" i="32"/>
  <c r="G62" i="32" s="1"/>
  <c r="E62" i="32"/>
  <c r="G61" i="32"/>
  <c r="E61" i="32"/>
  <c r="E63" i="32" s="1"/>
  <c r="C58" i="32"/>
  <c r="F58" i="32" s="1"/>
  <c r="C57" i="32"/>
  <c r="E57" i="32" s="1"/>
  <c r="G56" i="32"/>
  <c r="E56" i="32"/>
  <c r="D56" i="32"/>
  <c r="G55" i="32"/>
  <c r="F55" i="32"/>
  <c r="E55" i="32"/>
  <c r="G54" i="32"/>
  <c r="E54" i="32"/>
  <c r="C53" i="32"/>
  <c r="G53" i="32" s="1"/>
  <c r="G52" i="32"/>
  <c r="D52" i="32"/>
  <c r="D59" i="32" s="1"/>
  <c r="D72" i="32" s="1"/>
  <c r="C52" i="32"/>
  <c r="E52" i="32" s="1"/>
  <c r="G51" i="32"/>
  <c r="F51" i="32"/>
  <c r="C51" i="32"/>
  <c r="E51" i="32" s="1"/>
  <c r="D49" i="32"/>
  <c r="C49" i="32"/>
  <c r="F48" i="32"/>
  <c r="G48" i="32" s="1"/>
  <c r="C48" i="32"/>
  <c r="E48" i="32" s="1"/>
  <c r="G47" i="32"/>
  <c r="E47" i="32"/>
  <c r="C47" i="32"/>
  <c r="F46" i="32"/>
  <c r="G46" i="32" s="1"/>
  <c r="E46" i="32"/>
  <c r="G45" i="32"/>
  <c r="E45" i="32"/>
  <c r="C45" i="32"/>
  <c r="G44" i="32"/>
  <c r="F44" i="32"/>
  <c r="E44" i="32"/>
  <c r="C44" i="32"/>
  <c r="C43" i="32"/>
  <c r="F43" i="32" s="1"/>
  <c r="D41" i="32"/>
  <c r="F40" i="32"/>
  <c r="G40" i="32" s="1"/>
  <c r="E40" i="32"/>
  <c r="G39" i="32"/>
  <c r="E39" i="32"/>
  <c r="C39" i="32"/>
  <c r="G38" i="32"/>
  <c r="E38" i="32"/>
  <c r="F37" i="32"/>
  <c r="G37" i="32" s="1"/>
  <c r="E37" i="32"/>
  <c r="G36" i="32"/>
  <c r="F36" i="32"/>
  <c r="E36" i="32"/>
  <c r="G35" i="32"/>
  <c r="F35" i="32"/>
  <c r="E35" i="32"/>
  <c r="F34" i="32"/>
  <c r="G34" i="32" s="1"/>
  <c r="E34" i="32"/>
  <c r="F33" i="32"/>
  <c r="G33" i="32" s="1"/>
  <c r="E33" i="32"/>
  <c r="G32" i="32"/>
  <c r="F32" i="32"/>
  <c r="E32" i="32"/>
  <c r="C32" i="32"/>
  <c r="G31" i="32"/>
  <c r="E31" i="32"/>
  <c r="D31" i="32"/>
  <c r="C30" i="32"/>
  <c r="C29" i="32" s="1"/>
  <c r="F23" i="32"/>
  <c r="G23" i="32" s="1"/>
  <c r="E23" i="32"/>
  <c r="C23" i="32"/>
  <c r="G22" i="32"/>
  <c r="F22" i="32"/>
  <c r="E22" i="32"/>
  <c r="G21" i="32"/>
  <c r="E21" i="32"/>
  <c r="G20" i="32"/>
  <c r="F20" i="32"/>
  <c r="E20" i="32"/>
  <c r="D20" i="32"/>
  <c r="G19" i="32"/>
  <c r="E19" i="32"/>
  <c r="F18" i="32"/>
  <c r="G18" i="32" s="1"/>
  <c r="E18" i="32"/>
  <c r="F17" i="32"/>
  <c r="G17" i="32" s="1"/>
  <c r="E17" i="32"/>
  <c r="G16" i="32"/>
  <c r="F16" i="32"/>
  <c r="E16" i="32"/>
  <c r="D16" i="32"/>
  <c r="D24" i="32" s="1"/>
  <c r="D25" i="32" s="1"/>
  <c r="G15" i="32"/>
  <c r="F15" i="32"/>
  <c r="C15" i="32"/>
  <c r="E15" i="32" s="1"/>
  <c r="C14" i="32"/>
  <c r="C24" i="32" s="1"/>
  <c r="C25" i="32" s="1"/>
  <c r="G13" i="32"/>
  <c r="F13" i="32"/>
  <c r="F90" i="32" s="1"/>
  <c r="E13" i="32"/>
  <c r="C13" i="32"/>
  <c r="F12" i="32"/>
  <c r="C41" i="32" l="1"/>
  <c r="F29" i="32"/>
  <c r="E29" i="32"/>
  <c r="G43" i="32"/>
  <c r="F49" i="32"/>
  <c r="G49" i="32" s="1"/>
  <c r="E104" i="32"/>
  <c r="F59" i="32"/>
  <c r="G59" i="32" s="1"/>
  <c r="G58" i="32"/>
  <c r="F98" i="32"/>
  <c r="G98" i="32" s="1"/>
  <c r="G90" i="32"/>
  <c r="C136" i="32"/>
  <c r="D136" i="32"/>
  <c r="D137" i="32" s="1"/>
  <c r="D138" i="32" s="1"/>
  <c r="G71" i="32"/>
  <c r="E75" i="32"/>
  <c r="F30" i="32"/>
  <c r="G30" i="32" s="1"/>
  <c r="E53" i="32"/>
  <c r="E59" i="32" s="1"/>
  <c r="G57" i="32"/>
  <c r="G66" i="32"/>
  <c r="C71" i="32"/>
  <c r="F79" i="32"/>
  <c r="G79" i="32" s="1"/>
  <c r="D120" i="32"/>
  <c r="E129" i="32"/>
  <c r="E130" i="32" s="1"/>
  <c r="E79" i="32"/>
  <c r="F14" i="32"/>
  <c r="E43" i="32"/>
  <c r="E49" i="32" s="1"/>
  <c r="E58" i="32"/>
  <c r="E76" i="32"/>
  <c r="E30" i="32"/>
  <c r="E14" i="32"/>
  <c r="E24" i="32" s="1"/>
  <c r="E25" i="32" s="1"/>
  <c r="C59" i="32"/>
  <c r="F130" i="32"/>
  <c r="E69" i="32"/>
  <c r="E71" i="32" s="1"/>
  <c r="G100" i="32"/>
  <c r="E84" i="32" l="1"/>
  <c r="E136" i="32" s="1"/>
  <c r="G14" i="32"/>
  <c r="F24" i="32"/>
  <c r="E41" i="32"/>
  <c r="E72" i="32" s="1"/>
  <c r="G29" i="32"/>
  <c r="F41" i="32"/>
  <c r="G41" i="32" s="1"/>
  <c r="C137" i="32"/>
  <c r="G130" i="32"/>
  <c r="F136" i="32"/>
  <c r="C72" i="32"/>
  <c r="F84" i="32"/>
  <c r="G84" i="32" s="1"/>
  <c r="G136" i="32" l="1"/>
  <c r="F72" i="32"/>
  <c r="G72" i="32" s="1"/>
  <c r="E137" i="32"/>
  <c r="C138" i="32"/>
  <c r="F25" i="32"/>
  <c r="G24" i="32"/>
  <c r="G25" i="32" l="1"/>
  <c r="F137" i="32"/>
  <c r="G137" i="32" s="1"/>
  <c r="F138" i="32" l="1"/>
  <c r="G138" i="32" s="1"/>
  <c r="C118" i="31" l="1"/>
  <c r="C114" i="31"/>
  <c r="C112" i="31"/>
  <c r="C104" i="31"/>
  <c r="C105" i="31" s="1"/>
  <c r="C100" i="31"/>
  <c r="C94" i="31"/>
  <c r="C90" i="31"/>
  <c r="C84" i="31"/>
  <c r="C79" i="31"/>
  <c r="C72" i="31"/>
  <c r="C77" i="31" s="1"/>
  <c r="C70" i="31"/>
  <c r="C63" i="31"/>
  <c r="C59" i="31"/>
  <c r="C48" i="31"/>
  <c r="C55" i="31" s="1"/>
  <c r="C45" i="31"/>
  <c r="C44" i="31"/>
  <c r="C46" i="31" s="1"/>
  <c r="C37" i="31"/>
  <c r="C31" i="31"/>
  <c r="C38" i="31" s="1"/>
  <c r="C20" i="31"/>
  <c r="C24" i="31" s="1"/>
  <c r="C25" i="31" s="1"/>
  <c r="C119" i="31" l="1"/>
  <c r="C120" i="31" s="1"/>
  <c r="C113" i="30" l="1"/>
  <c r="C114" i="30" s="1"/>
  <c r="D112" i="30"/>
  <c r="D113" i="30" s="1"/>
  <c r="E111" i="30"/>
  <c r="C109" i="30"/>
  <c r="E108" i="30"/>
  <c r="D107" i="30"/>
  <c r="D109" i="30" s="1"/>
  <c r="E106" i="30"/>
  <c r="E105" i="30"/>
  <c r="E103" i="30"/>
  <c r="D103" i="30"/>
  <c r="C103" i="30"/>
  <c r="E102" i="30"/>
  <c r="E101" i="30"/>
  <c r="D101" i="30"/>
  <c r="D99" i="30"/>
  <c r="C99" i="30"/>
  <c r="E98" i="30"/>
  <c r="E97" i="30"/>
  <c r="E96" i="30"/>
  <c r="E95" i="30"/>
  <c r="E94" i="30"/>
  <c r="E99" i="30" s="1"/>
  <c r="E92" i="30"/>
  <c r="D92" i="30"/>
  <c r="C92" i="30"/>
  <c r="E91" i="30"/>
  <c r="E90" i="30"/>
  <c r="C88" i="30"/>
  <c r="E87" i="30"/>
  <c r="D86" i="30"/>
  <c r="D88" i="30" s="1"/>
  <c r="E85" i="30"/>
  <c r="D83" i="30"/>
  <c r="C83" i="30"/>
  <c r="D82" i="30"/>
  <c r="E82" i="30" s="1"/>
  <c r="E83" i="30" s="1"/>
  <c r="E81" i="30"/>
  <c r="E80" i="30"/>
  <c r="E79" i="30"/>
  <c r="D77" i="30"/>
  <c r="C77" i="30"/>
  <c r="E76" i="30"/>
  <c r="E75" i="30"/>
  <c r="E77" i="30" s="1"/>
  <c r="E74" i="30"/>
  <c r="E73" i="30"/>
  <c r="E72" i="30"/>
  <c r="E71" i="30"/>
  <c r="E70" i="30"/>
  <c r="D68" i="30"/>
  <c r="C68" i="30"/>
  <c r="E67" i="30"/>
  <c r="E66" i="30"/>
  <c r="E65" i="30"/>
  <c r="E64" i="30"/>
  <c r="E68" i="30" s="1"/>
  <c r="E63" i="30"/>
  <c r="D61" i="30"/>
  <c r="C60" i="30"/>
  <c r="C61" i="30" s="1"/>
  <c r="E59" i="30"/>
  <c r="D57" i="30"/>
  <c r="C57" i="30"/>
  <c r="E56" i="30"/>
  <c r="E55" i="30"/>
  <c r="E57" i="30" s="1"/>
  <c r="C53" i="30"/>
  <c r="C52" i="30"/>
  <c r="E52" i="30" s="1"/>
  <c r="C51" i="30"/>
  <c r="E51" i="30" s="1"/>
  <c r="E50" i="30"/>
  <c r="E49" i="30"/>
  <c r="E48" i="30"/>
  <c r="D47" i="30"/>
  <c r="E47" i="30" s="1"/>
  <c r="C46" i="30"/>
  <c r="E46" i="30" s="1"/>
  <c r="D44" i="30"/>
  <c r="C44" i="30"/>
  <c r="E43" i="30"/>
  <c r="E42" i="30"/>
  <c r="E41" i="30"/>
  <c r="E40" i="30"/>
  <c r="E39" i="30"/>
  <c r="E44" i="30" s="1"/>
  <c r="E38" i="30"/>
  <c r="D35" i="30"/>
  <c r="C35" i="30"/>
  <c r="C36" i="30" s="1"/>
  <c r="E34" i="30"/>
  <c r="E33" i="30"/>
  <c r="E32" i="30"/>
  <c r="D31" i="30"/>
  <c r="E31" i="30" s="1"/>
  <c r="E30" i="30"/>
  <c r="E29" i="30"/>
  <c r="C29" i="30"/>
  <c r="D28" i="30"/>
  <c r="D36" i="30" s="1"/>
  <c r="E27" i="30"/>
  <c r="D22" i="30"/>
  <c r="D23" i="30" s="1"/>
  <c r="E21" i="30"/>
  <c r="E20" i="30"/>
  <c r="E19" i="30"/>
  <c r="E18" i="30"/>
  <c r="D17" i="30"/>
  <c r="E17" i="30" s="1"/>
  <c r="D16" i="30"/>
  <c r="E16" i="30" s="1"/>
  <c r="E15" i="30"/>
  <c r="C14" i="30"/>
  <c r="C22" i="30" s="1"/>
  <c r="C23" i="30" s="1"/>
  <c r="E12" i="30"/>
  <c r="C115" i="30" l="1"/>
  <c r="E23" i="30"/>
  <c r="E109" i="30"/>
  <c r="D114" i="30"/>
  <c r="E53" i="30"/>
  <c r="E61" i="30"/>
  <c r="E88" i="30"/>
  <c r="E36" i="30"/>
  <c r="E112" i="30"/>
  <c r="E113" i="30" s="1"/>
  <c r="E14" i="30"/>
  <c r="E86" i="30"/>
  <c r="E107" i="30"/>
  <c r="E35" i="30"/>
  <c r="E28" i="30"/>
  <c r="E60" i="30"/>
  <c r="D53" i="30"/>
  <c r="E114" i="30" l="1"/>
  <c r="D115" i="30"/>
  <c r="E115" i="30" s="1"/>
  <c r="G18" i="29" l="1"/>
  <c r="G16" i="29" s="1"/>
  <c r="H16" i="29" s="1"/>
  <c r="G9" i="29"/>
  <c r="H15" i="29" l="1"/>
  <c r="H17" i="29"/>
  <c r="F10" i="29" l="1"/>
  <c r="G10" i="29"/>
  <c r="J31" i="7"/>
  <c r="J30" i="7"/>
  <c r="K22" i="7"/>
  <c r="J24" i="7"/>
  <c r="G19" i="29" l="1"/>
  <c r="H24" i="7" l="1"/>
  <c r="K24" i="7" s="1"/>
  <c r="J25" i="7" l="1"/>
  <c r="J23" i="7" s="1"/>
  <c r="H10" i="7"/>
  <c r="J10" i="7" l="1"/>
  <c r="H25" i="7"/>
  <c r="K25" i="7" s="1"/>
  <c r="H23" i="7" l="1"/>
  <c r="K23" i="7" s="1"/>
  <c r="H19" i="7" l="1"/>
  <c r="H11" i="7" l="1"/>
  <c r="H26" i="7" l="1"/>
  <c r="G17" i="7" l="1"/>
  <c r="J32" i="7" l="1"/>
  <c r="J38" i="7" s="1"/>
  <c r="I32" i="7" l="1"/>
  <c r="J37" i="7" l="1"/>
  <c r="I11" i="7" l="1"/>
  <c r="J11" i="7" l="1"/>
  <c r="J26" i="7" l="1"/>
  <c r="K11" i="7"/>
  <c r="H12" i="7"/>
  <c r="K12" i="7" s="1"/>
  <c r="G15" i="7"/>
  <c r="I37" i="7" l="1"/>
</calcChain>
</file>

<file path=xl/comments1.xml><?xml version="1.0" encoding="utf-8"?>
<comments xmlns="http://schemas.openxmlformats.org/spreadsheetml/2006/main">
  <authors>
    <author>HP</author>
  </authors>
  <commentList>
    <comment ref="D2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Tax and contr. for March paid in April</t>
        </r>
      </text>
    </comment>
    <comment ref="C43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Bishenyi only:3k per month</t>
        </r>
      </text>
    </comment>
    <comment ref="D7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Planned for Q1 but paid on Q2</t>
        </r>
      </text>
    </comment>
    <comment ref="D8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Increase cost due to consultancy</t>
        </r>
      </text>
    </comment>
    <comment ref="D9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Planned for Q1 but pad in Q2</t>
        </r>
      </text>
    </comment>
    <comment ref="D11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Membership paid and others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C45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Bishenyi only:3k per month</t>
        </r>
      </text>
    </comment>
    <comment ref="C5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Gisozi=118,000/month
Kimironko=105,000/mont
Gahanga=80,000 /month
Rubavu=15,000/month
Bishenyi=50,000/month
HQ office =2M per month</t>
        </r>
      </text>
    </comment>
  </commentList>
</comments>
</file>

<file path=xl/comments3.xml><?xml version="1.0" encoding="utf-8"?>
<comments xmlns="http://schemas.openxmlformats.org/spreadsheetml/2006/main">
  <authors>
    <author>HP</author>
  </authors>
  <commentList>
    <comment ref="H25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Main raison:
1.New purchase order via MINEDUC and RTB
2.Inputs &amp;VAT
3.Membership fees</t>
        </r>
      </text>
    </comment>
    <comment ref="F3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refer to current expense</t>
        </r>
      </text>
    </comment>
    <comment ref="F3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increase due to current expense</t>
        </r>
      </text>
    </comment>
    <comment ref="H4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RAISON:
Wage payable </t>
        </r>
      </text>
    </comment>
    <comment ref="C4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Bishenyi only:3k per month
Gisozi =5k per month
Kimironko=5k per month
RWVCA=10K per month</t>
        </r>
      </text>
    </comment>
    <comment ref="H4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Raison:
Fuel consumption</t>
        </r>
      </text>
    </comment>
    <comment ref="F5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due to current expense</t>
        </r>
      </text>
    </comment>
    <comment ref="F53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refer to current expense</t>
        </r>
      </text>
    </comment>
    <comment ref="F5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increase refer to current expense</t>
        </r>
      </text>
    </comment>
    <comment ref="F5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 refer to current expense</t>
        </r>
      </text>
    </comment>
    <comment ref="F5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Budger decrease due to current expense</t>
        </r>
      </text>
    </comment>
    <comment ref="H5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Raison:
1.Stafff food
2.Car wash
3.Decoration and stationaries</t>
        </r>
      </text>
    </comment>
    <comment ref="H63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Raison:
Mission Allowances</t>
        </r>
      </text>
    </comment>
    <comment ref="F6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Activity ended</t>
        </r>
      </text>
    </comment>
    <comment ref="F6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Tarrif increased</t>
        </r>
      </text>
    </comment>
    <comment ref="F7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increase  due to errears </t>
        </r>
      </text>
    </comment>
    <comment ref="F7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Contract ended</t>
        </r>
      </text>
    </comment>
    <comment ref="F8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increase due Visit planned for 2 consultant</t>
        </r>
      </text>
    </comment>
    <comment ref="G8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83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New budget added</t>
        </r>
      </text>
    </comment>
    <comment ref="H8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MAIN RAISON:
1.German consultant
2.Consultant for recovery</t>
        </r>
      </text>
    </comment>
    <comment ref="F8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Decrease refer to cost used in semester 1</t>
        </r>
      </text>
    </comment>
    <comment ref="H8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RAISON:
Transport fees</t>
        </r>
      </text>
    </comment>
    <comment ref="F90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VAT payable increase due to VAT collected</t>
        </r>
      </text>
    </comment>
    <comment ref="F92" authorId="0" shapeId="0">
      <text>
        <r>
          <rPr>
            <b/>
            <sz val="9"/>
            <color indexed="81"/>
            <rFont val="Tahoma"/>
            <family val="2"/>
          </rPr>
          <t>HP
Inama nyinshi byatumye expesnes yiyongera</t>
        </r>
      </text>
    </comment>
    <comment ref="F9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increase due to revision declaration</t>
        </r>
      </text>
    </comment>
    <comment ref="H9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Main Raison:
VAT Payable</t>
        </r>
      </text>
    </comment>
    <comment ref="F10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due to current expense</t>
        </r>
      </text>
    </comment>
    <comment ref="H10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Main Raison:
Activities achieved (award)
Social activities</t>
        </r>
      </text>
    </comment>
    <comment ref="F115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Activity ended</t>
        </r>
      </text>
    </comment>
    <comment ref="H11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RAISON:
Validation project</t>
        </r>
      </text>
    </comment>
    <comment ref="F11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due to Membership contr and shares</t>
        </r>
      </text>
    </comment>
    <comment ref="F11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incres due to 2nd purchase order</t>
        </r>
      </text>
    </comment>
    <comment ref="F12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based on used cost for 6 months</t>
        </r>
      </text>
    </comment>
    <comment ref="F125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based on used cost for 6 months</t>
        </r>
      </text>
    </comment>
    <comment ref="F12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This activity ended</t>
        </r>
      </text>
    </comment>
    <comment ref="D13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Subscription fees for software accounting</t>
        </r>
      </text>
    </comment>
    <comment ref="F13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due to current expenses</t>
        </r>
      </text>
    </comment>
    <comment ref="H13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MAIN RAISON:
1.New activities
2.VAT
</t>
        </r>
      </text>
    </comment>
  </commentList>
</comments>
</file>

<file path=xl/sharedStrings.xml><?xml version="1.0" encoding="utf-8"?>
<sst xmlns="http://schemas.openxmlformats.org/spreadsheetml/2006/main" count="622" uniqueCount="344">
  <si>
    <t>Rwf</t>
  </si>
  <si>
    <t>Expenses</t>
  </si>
  <si>
    <t>Administrative expenses</t>
  </si>
  <si>
    <t>Total</t>
  </si>
  <si>
    <t>Trade and other payables</t>
  </si>
  <si>
    <t>Page 11</t>
  </si>
  <si>
    <t>(Frw)</t>
  </si>
  <si>
    <t>Total Revenues</t>
  </si>
  <si>
    <t>Tax Payable</t>
  </si>
  <si>
    <t>Rwanda Wood Value Chain Association</t>
  </si>
  <si>
    <t>Q2</t>
  </si>
  <si>
    <t>%</t>
  </si>
  <si>
    <t>FINANCIAL STATEMENTS</t>
  </si>
  <si>
    <t>For the Quarter 2(April,May and June,2026)</t>
  </si>
  <si>
    <t>Received</t>
  </si>
  <si>
    <t>Planned</t>
  </si>
  <si>
    <t>EXPENSES</t>
  </si>
  <si>
    <t>REVENUES</t>
  </si>
  <si>
    <t>Finance expenses</t>
  </si>
  <si>
    <t>Operating Expenses</t>
  </si>
  <si>
    <t>Balance (Over received)</t>
  </si>
  <si>
    <t xml:space="preserve">Total Expenses </t>
  </si>
  <si>
    <t>Planned Expenses</t>
  </si>
  <si>
    <t>School desks Phase IV</t>
  </si>
  <si>
    <r>
      <t>Withholding Tax 15</t>
    </r>
    <r>
      <rPr>
        <strike/>
        <sz val="18"/>
        <color theme="1"/>
        <rFont val="Book Antiqua"/>
        <family val="1"/>
      </rPr>
      <t>%</t>
    </r>
  </si>
  <si>
    <t>VAT June</t>
  </si>
  <si>
    <t>Net Surplus (Before payables)</t>
  </si>
  <si>
    <t xml:space="preserve">Projection Bugdet </t>
  </si>
  <si>
    <t>For the Quarter 3(July,August and September,2026)</t>
  </si>
  <si>
    <t>DESCRIPTIONS</t>
  </si>
  <si>
    <t>PAYABLES</t>
  </si>
  <si>
    <t>Revenues (See more details on budget Q3)</t>
  </si>
  <si>
    <t>Revenues (See more details on report Q2)</t>
  </si>
  <si>
    <t>BALANCE AFTER PAYABLES</t>
  </si>
  <si>
    <t>Financial Report</t>
  </si>
  <si>
    <t>Email:rwvca2018@gmail.com</t>
  </si>
  <si>
    <t>Website:www.rwvca.org.rw</t>
  </si>
  <si>
    <t xml:space="preserve">FINANCIAL REPORT Q2 (APRIL,MAY AND JUNE/2026 ) </t>
  </si>
  <si>
    <t>DETAILS</t>
  </si>
  <si>
    <t>BUDGET PLANNED(Q2) INCOME PLANNED</t>
  </si>
  <si>
    <t xml:space="preserve">BUDGET EXECUTION (INCOME)RECEIVED </t>
  </si>
  <si>
    <t>BALANCE(SUPLUS OR DEFICIT)</t>
  </si>
  <si>
    <t>BALANCE CARRIED FORWARD</t>
  </si>
  <si>
    <t xml:space="preserve">I.REVENUES </t>
  </si>
  <si>
    <t>A</t>
  </si>
  <si>
    <t>VAT COLLECTED</t>
  </si>
  <si>
    <t>B</t>
  </si>
  <si>
    <t>PERFORMANCE SECURITY PHASE I</t>
  </si>
  <si>
    <t>C</t>
  </si>
  <si>
    <t>OTHER MEMBERSHIP CONTRIBUTION</t>
  </si>
  <si>
    <t>D</t>
  </si>
  <si>
    <t>ANNUAL MEMBERSHIP CONTRIBUTION</t>
  </si>
  <si>
    <t>E</t>
  </si>
  <si>
    <t>NEW PURCHASE ORDER</t>
  </si>
  <si>
    <t>F</t>
  </si>
  <si>
    <t>RTB FUND (RPL)</t>
  </si>
  <si>
    <t>K</t>
  </si>
  <si>
    <t>SHARES TO BE PAID BY MEMBERS</t>
  </si>
  <si>
    <t>P</t>
  </si>
  <si>
    <t>OTHER RESOURCES(RSSB)</t>
  </si>
  <si>
    <t>TOTAL REVENUES RECEIVED</t>
  </si>
  <si>
    <t>TOTAL REVENUS PLANNED AND RECEIVED WITH OPENING BALANCE</t>
  </si>
  <si>
    <t>II.EXPENSES PLANNED</t>
  </si>
  <si>
    <t>GENERAL &amp; ADMINISTATIVES COSTS</t>
  </si>
  <si>
    <t>BUDGET PLANNED(EXPENSES)</t>
  </si>
  <si>
    <t xml:space="preserve">BUDGET EXECUTION (EXPENSES)RECEIVED </t>
  </si>
  <si>
    <t>1. STAFF COSTS</t>
  </si>
  <si>
    <t>1.1 GROSS SALARIES</t>
  </si>
  <si>
    <t>1.2 WAGES (Casual workers+interns)</t>
  </si>
  <si>
    <t>1.3 LUMP SUM</t>
  </si>
  <si>
    <t>1.4 CAPACITY BUILDING (STAFF)Software like quick book and others</t>
  </si>
  <si>
    <t>1.5 ROTATION OF MRO</t>
  </si>
  <si>
    <t>1.6 STAFF TRAINING ON IT</t>
  </si>
  <si>
    <t>1.7 STAFF PHYSICAL MEETING</t>
  </si>
  <si>
    <t>1.8 MEDICAL INSURANCE</t>
  </si>
  <si>
    <t>1.9 STAFF AIRTIME</t>
  </si>
  <si>
    <t>SUB TOTAL STAFF COSTS</t>
  </si>
  <si>
    <t>2. UTILITIES</t>
  </si>
  <si>
    <t>2.1 WATER</t>
  </si>
  <si>
    <t>2.2 ELECTRICITY</t>
  </si>
  <si>
    <t>2.3 FUEL</t>
  </si>
  <si>
    <t>2.4 VEHICLE INSURANCE (1 car)</t>
  </si>
  <si>
    <t>2.5 CLEANING SERVICE FEES(GUTWARA IMYANDA)</t>
  </si>
  <si>
    <t>2.6 SECURITY FEES</t>
  </si>
  <si>
    <t>SUB TOTAL UTILITIES COST</t>
  </si>
  <si>
    <t>3. OFFICE</t>
  </si>
  <si>
    <t>3.1 INTERNET</t>
  </si>
  <si>
    <t>3.2 OFFICE STATIONARIES(Brochures,Busines cards,blanding,Paper,Certificates,staff uniform,bags,office supplies)</t>
  </si>
  <si>
    <t>3.3 PROVISION STAFFFOOD&amp;COMMITEE(Meals and refreshment)</t>
  </si>
  <si>
    <t>3.4 POSTAGES &amp; FAXES (IPOSITA)</t>
  </si>
  <si>
    <t>3.5 RENTAL EXPENSES</t>
  </si>
  <si>
    <t>3.6 CAR WASH</t>
  </si>
  <si>
    <t>3.7 REPAIR AND MAINTENANCE VEHICLES</t>
  </si>
  <si>
    <t>SUB TOTAL OFFICE</t>
  </si>
  <si>
    <t xml:space="preserve">4.TRANSPORTARION/TRAVEL COST </t>
  </si>
  <si>
    <t>4.1 TRANSPORT DURING VISITING MRO</t>
  </si>
  <si>
    <t xml:space="preserve">4.2 OTHER TRANSPORT </t>
  </si>
  <si>
    <t xml:space="preserve">SUB TOTAL TRANSPORTATION/TRAVEL COST </t>
  </si>
  <si>
    <t>5.SITTING ALLOWANCES AND MISSION FEES</t>
  </si>
  <si>
    <t>5.1 MISSION FEES (Visiting MRO,….)</t>
  </si>
  <si>
    <t>5.2 SITTING-ALLOWANCES(EXCO+BOARD)</t>
  </si>
  <si>
    <t>SUB TOTAL SITTING ALLOWANCES AND MISSION FEES</t>
  </si>
  <si>
    <t>6.PROCUREMENT OF MATERIALS AND EQUIPMENTS</t>
  </si>
  <si>
    <t>6.1 KITCHEN MATERIALS</t>
  </si>
  <si>
    <t>6.2 PURCHASE CURTAINS FOR OFFICES</t>
  </si>
  <si>
    <t>6.3 OFFICE EQUIPMENT (Laptop)for Assistant E.D and Staff Ngororero</t>
  </si>
  <si>
    <t>6.4 PURCHASE COVER FOR VEHICLE</t>
  </si>
  <si>
    <t>6.5 PUBLICATION FEES</t>
  </si>
  <si>
    <t>SUB TOTAL PROCUREMENT OF MATERIALS AND EQUIPMENTS</t>
  </si>
  <si>
    <t>7.EXTERNAL CONSULTANT</t>
  </si>
  <si>
    <t>7.1 COORDINATION CONSTRUCTION ACTIVITY</t>
  </si>
  <si>
    <t>7.2 LEGAL SERVICE</t>
  </si>
  <si>
    <t>7.3 EXPERT/CONSULTANT(BUSINES PLAN)</t>
  </si>
  <si>
    <t>7.4 COMPANY EXPERT IN FINANCE(Internal Controller)</t>
  </si>
  <si>
    <t>7.5 GERMAN CONSULTANT(Last installement )</t>
  </si>
  <si>
    <t>7.6 GERMAN CONSULTANT (Airtiket )</t>
  </si>
  <si>
    <t>7.7 AUDIT FEES</t>
  </si>
  <si>
    <t>SUB TOTAL EXTERNAL CONSULTANT</t>
  </si>
  <si>
    <t>8.TAXES</t>
  </si>
  <si>
    <t>8.1 TAXES EXPENSES (VAT)</t>
  </si>
  <si>
    <t>8.2 DECENTRALISED TAX</t>
  </si>
  <si>
    <t>8.3 SITTING ALLOWANCES 30%</t>
  </si>
  <si>
    <t>8.4 WITHOLDING TAX 15%</t>
  </si>
  <si>
    <t>SUB TOTAL TAXES</t>
  </si>
  <si>
    <t>9.IT EQUIPEMENT AND COMMUNICATION MATERIALS</t>
  </si>
  <si>
    <t>9.1 PROMOTIONAL MATERIALS</t>
  </si>
  <si>
    <t>9.2 IT EQUIPMENTS(up grade camera,screen,video conference,repair,develop IPI)</t>
  </si>
  <si>
    <t>9.3 MEDIA HOUSE(Visibility of RWVCA)</t>
  </si>
  <si>
    <t>SUB TOTAL IT EQUIPEMENT AND COMMUNICATION MATERIALS</t>
  </si>
  <si>
    <t>10.SOCIAL ACTIVITIES</t>
  </si>
  <si>
    <t>10.1 SOCIAL ACTIVITIES PARTICIPATION (Gutabara member,...)</t>
  </si>
  <si>
    <t>10.2 WARDS  BEST MEMBERS</t>
  </si>
  <si>
    <t>SUB TOTAL SOCIAL ACTIVITIES</t>
  </si>
  <si>
    <t>11.MEETINGS&amp;VALIDATION&amp;WORKSHOPS&amp;TRAINING</t>
  </si>
  <si>
    <t>11.1 MEETING (ICPCs President) 30 participants</t>
  </si>
  <si>
    <t>11.2 MEETING (121 Timber Suppliers)</t>
  </si>
  <si>
    <t>11.3 VALIDATION  PROJECT FEASABILITY</t>
  </si>
  <si>
    <t>11.4 Organize and provision training on use of IT and AI at workplace for staff and how it's beneficial to members</t>
  </si>
  <si>
    <t>11.5 G.A MEETING</t>
  </si>
  <si>
    <t>SUB TOTAL MEETINGS&amp;VALIDATION&amp;WORKSHOPS&amp;TRAINING</t>
  </si>
  <si>
    <t>12.SUPPLIERS INVOICES/GUARANTEE</t>
  </si>
  <si>
    <t>12.1 PYT SCHOOL DESKS SUPPLIERS (Guarentee,Adendum)</t>
  </si>
  <si>
    <t>12.2 PAYMENT SUPPLIERS  INVOICES (Purchase order received in March 2026)</t>
  </si>
  <si>
    <t>SUB TOTAL SUPPLIERS INVOICES/GUARANTEE</t>
  </si>
  <si>
    <t>13.MEMBERSHIP ACTIVITIES</t>
  </si>
  <si>
    <t>13.1 IDENTIFY KEY POTENTIAL MEMBERS +SITES</t>
  </si>
  <si>
    <t>13.2 REPRESENTATION FEES FOR CHAIRMAN</t>
  </si>
  <si>
    <t>13.3 ROBBING FEES</t>
  </si>
  <si>
    <t>13.4 MOBILISATION</t>
  </si>
  <si>
    <t>SUB TOTAL MEMBERSHIP ACTIVITIES</t>
  </si>
  <si>
    <t>14.OTHER EXPENSES</t>
  </si>
  <si>
    <t>14.1 BANK CHARGES</t>
  </si>
  <si>
    <t>14.2 OTHERS EXTRA EXPENSES(MISSELANEOUS EXPENSES)</t>
  </si>
  <si>
    <t>SUB TOTAL OTHERS EXPENSES</t>
  </si>
  <si>
    <t>GROSS EXPENSES</t>
  </si>
  <si>
    <t>ESTIMATED BALANCE END Q2/2026</t>
  </si>
  <si>
    <t>Done at Kigali,June,2026</t>
  </si>
  <si>
    <t xml:space="preserve">Prepared by </t>
  </si>
  <si>
    <t>Verified by</t>
  </si>
  <si>
    <t>Jean Claude Nkomezumutima</t>
  </si>
  <si>
    <t>Marthe Dushimirimana</t>
  </si>
  <si>
    <t>Accountant</t>
  </si>
  <si>
    <t>Executive Director</t>
  </si>
  <si>
    <t>Approuved by</t>
  </si>
  <si>
    <t>Adbul Rahaman Karemera</t>
  </si>
  <si>
    <t>Chairman</t>
  </si>
  <si>
    <t>ESTIMATION BUDGET FOR THE JULY,AUGUST AND SEPTEMBER (Q3)2026</t>
  </si>
  <si>
    <t>BUDGET AMOUNT (INCOME)</t>
  </si>
  <si>
    <t>VAT TO BE COLLECTED</t>
  </si>
  <si>
    <t>PERFORMANCE SECURITY</t>
  </si>
  <si>
    <t xml:space="preserve">OTHER MEMBERSHIP CONTRIBUTION </t>
  </si>
  <si>
    <t>NEW PURCHASE ORDER PHASE III</t>
  </si>
  <si>
    <t>NEW PURCHASE ORDER PHASE IV</t>
  </si>
  <si>
    <t>G</t>
  </si>
  <si>
    <t>RTB FUND (RPL) 60%</t>
  </si>
  <si>
    <t>H</t>
  </si>
  <si>
    <t>SHARES PAID BY MEMBERS</t>
  </si>
  <si>
    <t>I</t>
  </si>
  <si>
    <t>RSSB (MATERNITY LEAVE RBST)</t>
  </si>
  <si>
    <t>J</t>
  </si>
  <si>
    <t>INCOME FROM PURCHASE (IN PUTS FROM VAT)</t>
  </si>
  <si>
    <t>S/T</t>
  </si>
  <si>
    <t>TOTAL REVENU PLANNED TO RECEIVE</t>
  </si>
  <si>
    <t>NEW BUDGET REVISED(EXPENDITURES)</t>
  </si>
  <si>
    <t>3.1 INTERNET HQ OFFICE</t>
  </si>
  <si>
    <t>3.2 OFFICE STATIONARIES(Brochures,Busines cards,blanding,Paper,Certificates,staff uniform,bags)</t>
  </si>
  <si>
    <t>3.3 PROVISION STAFFFOOD&amp;COMMITEE(Meals ,refreshment and hygiene products)</t>
  </si>
  <si>
    <t>4.1 TRANSPORT DURING FILED VISITING MRO</t>
  </si>
  <si>
    <t>5.2 SITTING-ALLOWANCES(EXCO)</t>
  </si>
  <si>
    <t>7.5 ACCOMODATION FOR GERMAN CONSULTANT</t>
  </si>
  <si>
    <t>8.2 TAX CLEARANCE</t>
  </si>
  <si>
    <t>8.5 IQP CIT PREPAY</t>
  </si>
  <si>
    <t>9.2 IT EQUIPMENTS(up grade camera,screen,video conference.)</t>
  </si>
  <si>
    <t>9.4 Developing web-based application (PASS)USSD</t>
  </si>
  <si>
    <t>10.1 SOCIAL ACTIVITIES PARTICIPATION (Gutabara,..)</t>
  </si>
  <si>
    <t>12.1 PYT SCHOOL DESKS SUPPLIERS (Guarentee)</t>
  </si>
  <si>
    <t>12.3 PAYMENT SUPPLIERS  INVOICES (Purchase order received in March 2026)</t>
  </si>
  <si>
    <t xml:space="preserve">13.4 Payment 3rd installement to purchase remind shares in ACB </t>
  </si>
  <si>
    <t>14.RPL ACTIVITIES PURCHASE ORDER NO 002</t>
  </si>
  <si>
    <t>SUB TOTAL RTB EXPENSES (RPL)</t>
  </si>
  <si>
    <t>15.OTHER EXPENSES</t>
  </si>
  <si>
    <t xml:space="preserve"> ESTIMATED BALANCE END Q3/2026</t>
  </si>
  <si>
    <t>BUDGET</t>
  </si>
  <si>
    <t>BUDGET FOR THE YEAR 2026 REVISED</t>
  </si>
  <si>
    <t>BUDGET BEFORE REVISION (INCOME)</t>
  </si>
  <si>
    <t>BUDGET EXECUTION FOR 6 MONTHS</t>
  </si>
  <si>
    <t>NEW BUDGET REVISED</t>
  </si>
  <si>
    <t>BUDGET INCREASE OR DECREASE (%)</t>
  </si>
  <si>
    <t xml:space="preserve">IMPLEMENTATION  </t>
  </si>
  <si>
    <t>RECEIVED/RWVCA</t>
  </si>
  <si>
    <t xml:space="preserve">BALANCE </t>
  </si>
  <si>
    <t>NEW BUDGET REVISED (INCOME)</t>
  </si>
  <si>
    <t>STATUS</t>
  </si>
  <si>
    <t>I.REVENUES EXPECTED</t>
  </si>
  <si>
    <t>INCREASE</t>
  </si>
  <si>
    <t>PERFORMANCE SECURITY PAYBACK</t>
  </si>
  <si>
    <t>CONSTANT</t>
  </si>
  <si>
    <t>NEW PURCHASE ORDER III</t>
  </si>
  <si>
    <t>REVENUE FROM MINECOFIN (last invoice)</t>
  </si>
  <si>
    <t>OTHER REVENUE (Refund,VAT received from purchases)</t>
  </si>
  <si>
    <t>ACCOUNT RECEIVABLES(Prepayments,Rbst loon,fees)</t>
  </si>
  <si>
    <t>SUB TOTAL REVENUES PLANNED</t>
  </si>
  <si>
    <t>TOTAL REVENUS PLANNED TO RECEIVE</t>
  </si>
  <si>
    <t>NEW BUDGET INCREASE 11%</t>
  </si>
  <si>
    <t>BUDGET BEFORE REVISION(EXPENDITURES)</t>
  </si>
  <si>
    <t>EXPENSES/RWVCA</t>
  </si>
  <si>
    <t>NEW BUDGET REVISED (EXPENSES)</t>
  </si>
  <si>
    <t>DIFFERENCE</t>
  </si>
  <si>
    <t>1.1 STAFF COSTS</t>
  </si>
  <si>
    <t>1.1.1 NET SALARIES</t>
  </si>
  <si>
    <t>1.1.2 TAX  AND CONTRIBUTIONS</t>
  </si>
  <si>
    <t>1.1.3 WAGES (Casual workers+interns)</t>
  </si>
  <si>
    <t>DECREASE</t>
  </si>
  <si>
    <t>1.1.4 LUMP SUM</t>
  </si>
  <si>
    <t>1.1.5 MOTIVATION STAFF (13eme mois include WHT)</t>
  </si>
  <si>
    <t>1.1.6 CAPACITY BUILDING (STAFF)Software like quick book and others</t>
  </si>
  <si>
    <t>1.1.7 ROTATION OF MRO</t>
  </si>
  <si>
    <t>1.1.8 STAFF TRAINING ON IT</t>
  </si>
  <si>
    <t>1.1.9 STAFF PHYSICAL MEETING</t>
  </si>
  <si>
    <t>1.1.10 MEDICAL INSURANCE</t>
  </si>
  <si>
    <t>1.1.11 STAFF AIRTIME</t>
  </si>
  <si>
    <t>1.1.12 RETREAT OF HQ EMPLOYEES</t>
  </si>
  <si>
    <t>NEW BUDGET DECREASE 2 %</t>
  </si>
  <si>
    <t>1.2 UTILITIES</t>
  </si>
  <si>
    <t>1.2.1 WATER</t>
  </si>
  <si>
    <t>1.2.2 ELECTRICITY</t>
  </si>
  <si>
    <t>1.2.3 FUEL</t>
  </si>
  <si>
    <t>1.2.4 VEHICLE INSURANCE (2 car)</t>
  </si>
  <si>
    <t>1.2.5 CLEANING SERVICE FEES(GUTWARA IMYANDA)</t>
  </si>
  <si>
    <t>1.2.6 SECURITY FEES</t>
  </si>
  <si>
    <t>NEW BUDGET DECREASE 19%</t>
  </si>
  <si>
    <t>1.3 OFFICE</t>
  </si>
  <si>
    <t>1.3.1 INTERNET</t>
  </si>
  <si>
    <t>1.3.2 OFFICE STATIONARIES(Paper,bic,cartouche)</t>
  </si>
  <si>
    <t>1.3.3 PROVISION STAFFFOOD&amp;COMMITEE(Meals&amp;water and hygiene)</t>
  </si>
  <si>
    <t>1.3.4 POSTAGES &amp; FAXES (IPOSITA)</t>
  </si>
  <si>
    <t>1.3.5 RENTAL EXPENSES</t>
  </si>
  <si>
    <t>1.3.6 DECORATION (Flowers,..)</t>
  </si>
  <si>
    <t>1.3.7 CAR WASH</t>
  </si>
  <si>
    <t>1.3.8 REPAIR AND MAINTENANCE VEHICLES</t>
  </si>
  <si>
    <t>NEW BUDGET DECREASE 10%</t>
  </si>
  <si>
    <t>1.4 SITTING ALLOWANCES AND MISSION FEES</t>
  </si>
  <si>
    <t>1.4.1 MISSION FEES (Visiting MRO,M&amp;E,RPL preparation)</t>
  </si>
  <si>
    <t>1.4.2 SITTING-ALLOWANCES(EXCO+BOARD)</t>
  </si>
  <si>
    <t>NEW BUDGET DECREASE 18%</t>
  </si>
  <si>
    <t>1.5 PROCUREMENT OF MATERIALS AND EQUIPMENTS</t>
  </si>
  <si>
    <t>1.5.1 KITCHEN MATERIALS</t>
  </si>
  <si>
    <t>1.5.2 PURCHASE CURTAINS FOR OFFICES</t>
  </si>
  <si>
    <t>1.5.3 OFFICE EQUIPMENT (Laptop,printer)</t>
  </si>
  <si>
    <t>1.5.4 PURCHASE OFFICE FURNITURES(Chairs,Tables,..)</t>
  </si>
  <si>
    <t>1.5.5 PUBLICATION FEES</t>
  </si>
  <si>
    <t>1.5.6  PURCHASE COVER FOR VEHICLE</t>
  </si>
  <si>
    <t>NEW BUDGET DECREASE 40%</t>
  </si>
  <si>
    <t>TOTAL GENERAL &amp; ADMINISTATIVES COSTS</t>
  </si>
  <si>
    <t>DECREASE 4%</t>
  </si>
  <si>
    <t>OPERATING AND OTHER EXPENSES</t>
  </si>
  <si>
    <t>2.1 EXTERNAL CONSULTANT</t>
  </si>
  <si>
    <t>2.1.1 COORDINATION CONSTRUCTION ACTIVITY</t>
  </si>
  <si>
    <t>2.1.2 LEGAL SERVICE(Loyer,huissier)</t>
  </si>
  <si>
    <t>2.1.3 EXPERT/CONSULTANT(STRATEGIC PLAN)</t>
  </si>
  <si>
    <t>2.1.4 PROJECT STUDIES</t>
  </si>
  <si>
    <t>2.1.5 COMPANY EXPERT IN FINANCE(Internal Controller)</t>
  </si>
  <si>
    <t>2.1.6 REVISING RWVCA's DOCUMENTS(management support)</t>
  </si>
  <si>
    <t>2.1.7 AUDIT FEES</t>
  </si>
  <si>
    <t>2.1.8 Hosting German expert (Air ticket and accomodation for presentation studies findings)</t>
  </si>
  <si>
    <t>2.1.9 Consultancy for recovery to MINECOFIN</t>
  </si>
  <si>
    <t>NEW BUDGET INCREASE 52%</t>
  </si>
  <si>
    <t xml:space="preserve">2.2 TRANSPORTATION/TRAVEL COST </t>
  </si>
  <si>
    <t>2.2.1 VISITING MROs&amp;M&amp;E (Internal control&amp;data collection)</t>
  </si>
  <si>
    <t xml:space="preserve">2.2.2 OTHER TRANSPORT </t>
  </si>
  <si>
    <t>NEW BUDGET DECREASE 20%</t>
  </si>
  <si>
    <t>2.3 TAXES</t>
  </si>
  <si>
    <t>2.3.1 TAXES EXPENSES (VAT)</t>
  </si>
  <si>
    <t>2.3.2 TAX CLEARANCE</t>
  </si>
  <si>
    <t>2.3.3 SITTING ALLOWANCES 30%</t>
  </si>
  <si>
    <t>2.3.4 WITHOLDING TAX 15%</t>
  </si>
  <si>
    <t>2.3.5 TRADING LICENSE</t>
  </si>
  <si>
    <t>2.3.6 PROPERTY TAX</t>
  </si>
  <si>
    <t>2.3.7 CIT</t>
  </si>
  <si>
    <t>2.3.8 IQP CIT PREPAYMENT</t>
  </si>
  <si>
    <t>NEW BUDGET INCREASE 12%</t>
  </si>
  <si>
    <t>2.4 IT EQUIPEMENT AND COMMUNICATION MATERIALS</t>
  </si>
  <si>
    <t>2.4.1 PROMOTIONAL MATERIALS</t>
  </si>
  <si>
    <t>2.4.2 IT EQUIPMENTS(up grade camera,screen,video conference and repair)</t>
  </si>
  <si>
    <t>2.4.3 MEDIA HOUSE(Visibility of RWVCA)</t>
  </si>
  <si>
    <t>2.4.4 HOSTING SERVICE&amp;DEVELOPMENT APPLICATION</t>
  </si>
  <si>
    <t>2.5 SOCIAL ACTIVITIES</t>
  </si>
  <si>
    <t>2.5.1 SOCIAL ACTIVITIES PARTICIPATION(Commemoration Genocide against Tutsi,death)</t>
  </si>
  <si>
    <t>2.5.2 WARDS  BEST MEMBERS</t>
  </si>
  <si>
    <t>NEW BUDGET DECREASE 67%</t>
  </si>
  <si>
    <t>2.6 MEETINGS&amp;VALIDATION&amp;WORKSHOPS&amp;TRAINING</t>
  </si>
  <si>
    <t>2.6.1 GENERAL ASSEMBLY MEETING +INDUCTION(130 participants)</t>
  </si>
  <si>
    <t>2.6.2 MEETING (ICPCs President) 48 Participants</t>
  </si>
  <si>
    <t>2.6.3 MEETING ( 121 Timber Suppliers)</t>
  </si>
  <si>
    <t>2.6.4 VALIDATION  PROJECT FEASABILITY</t>
  </si>
  <si>
    <t>2.6.5  RWVCA Wood Sector forum</t>
  </si>
  <si>
    <t xml:space="preserve">2.6.7 PREPARATORY MEETING FOR ELECTION </t>
  </si>
  <si>
    <t>NEW BUDGER INCREASE 1%</t>
  </si>
  <si>
    <t>2.7 SUPPLIERS INVOICES/GUARANTEE</t>
  </si>
  <si>
    <t>2.7.1 PYT SCHOOL DESKS SUPPLIERS (Guarentee+Adendum)</t>
  </si>
  <si>
    <t>2.7.2 PAYMENT SUPPLIERS  INVOICES ( 2 Purchase order received in March 2026)</t>
  </si>
  <si>
    <t>NEW BUDGET DECREASE  0.22%</t>
  </si>
  <si>
    <t>2.8 MEMBERSHIP ACTIVITIES</t>
  </si>
  <si>
    <t>2.8.1 IDENTIFY KEY POTENTIAL MEMBERS +SITES</t>
  </si>
  <si>
    <t>2.8.2 PURCHASE SHARES</t>
  </si>
  <si>
    <t xml:space="preserve">2.8.3 REPRESENTATION FEES </t>
  </si>
  <si>
    <t>2.8.4 ROBBING FEES</t>
  </si>
  <si>
    <t>2.8.5 CAPACITY BUILDING( Membership mobilisation)</t>
  </si>
  <si>
    <t>2.8.6 ELECTION (District,Province and National level)</t>
  </si>
  <si>
    <t>2.8.7 AWARENESS OF TMS</t>
  </si>
  <si>
    <t>2.8.9 MEMBERSHIP CONTRIBUTION (PSF)</t>
  </si>
  <si>
    <t>NEW BUDGET DECREASE 3%</t>
  </si>
  <si>
    <t>RTB  EXPENSES (RPL)</t>
  </si>
  <si>
    <t>2.9 OTHER EXPENSES</t>
  </si>
  <si>
    <t>2.9.1 BANK CHARGES</t>
  </si>
  <si>
    <t>2.9.2 OTHERS EXTRA EXPENSES(MISSELANEOUS EXPENSES):Subscription software,parking metal fabrication</t>
  </si>
  <si>
    <t>NEW BUDGET DECREASE 47%</t>
  </si>
  <si>
    <t>TOTAL OPERATING AND OTHER EXPENSES</t>
  </si>
  <si>
    <t>GROSS EXPENSES (GENERAL ADMINISTRATIVE  AND OPERATING)</t>
  </si>
  <si>
    <t xml:space="preserve"> ESTIMATED BALANCE END OF THE YEAR 2026</t>
  </si>
  <si>
    <t>Performance Guarantee</t>
  </si>
  <si>
    <t>PAYABLES (Performance Guarenntee,VAT,WHT)</t>
  </si>
  <si>
    <t>NEW BUDGET BALANCE INCREASE 49%</t>
  </si>
  <si>
    <t>PROJECTION BUDGET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</si>
</sst>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4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i/>
      <sz val="18"/>
      <name val="Book Antiqua"/>
      <family val="1"/>
    </font>
    <font>
      <b/>
      <sz val="18"/>
      <name val="Book Antiqua"/>
      <family val="1"/>
    </font>
    <font>
      <sz val="18"/>
      <name val="Book Antiqua"/>
      <family val="1"/>
    </font>
    <font>
      <b/>
      <sz val="18"/>
      <color theme="1"/>
      <name val="Book Antiqua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Book Antiqua"/>
      <family val="1"/>
    </font>
    <font>
      <b/>
      <u/>
      <sz val="18"/>
      <color theme="1"/>
      <name val="Book Antiqua"/>
      <family val="1"/>
    </font>
    <font>
      <b/>
      <u val="singleAccounting"/>
      <sz val="18"/>
      <color theme="1"/>
      <name val="Book Antiqua"/>
      <family val="1"/>
    </font>
    <font>
      <b/>
      <sz val="24"/>
      <color theme="1"/>
      <name val="Book Antiqua"/>
      <family val="1"/>
    </font>
    <font>
      <sz val="20"/>
      <color theme="1"/>
      <name val="Book Antiqua"/>
      <family val="1"/>
    </font>
    <font>
      <b/>
      <sz val="20"/>
      <color theme="1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2"/>
      <color theme="1"/>
      <name val="Calibri"/>
      <family val="2"/>
      <scheme val="minor"/>
    </font>
    <font>
      <strike/>
      <sz val="18"/>
      <color theme="1"/>
      <name val="Book Antiqua"/>
      <family val="1"/>
    </font>
    <font>
      <b/>
      <i/>
      <sz val="11"/>
      <name val="Book Antiqua"/>
      <family val="1"/>
    </font>
    <font>
      <b/>
      <u/>
      <sz val="11"/>
      <color theme="1"/>
      <name val="Book Antiqua"/>
      <family val="1"/>
    </font>
    <font>
      <b/>
      <u val="singleAccounting"/>
      <sz val="11"/>
      <color theme="1"/>
      <name val="Book Antiqua"/>
      <family val="1"/>
    </font>
    <font>
      <b/>
      <sz val="11"/>
      <name val="Book Antiqua"/>
      <family val="1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b/>
      <u/>
      <sz val="10"/>
      <color theme="1"/>
      <name val="Book Antiqua"/>
      <family val="1"/>
    </font>
    <font>
      <sz val="10"/>
      <color rgb="FFFF0000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0000"/>
      <name val="Book Antiqua"/>
      <family val="1"/>
    </font>
    <font>
      <sz val="8"/>
      <color theme="1"/>
      <name val="Book Antiqua"/>
      <family val="1"/>
    </font>
    <font>
      <b/>
      <sz val="8"/>
      <color theme="1"/>
      <name val="Book Antiqua"/>
      <family val="1"/>
    </font>
    <font>
      <b/>
      <u/>
      <sz val="8"/>
      <color theme="1"/>
      <name val="Book Antiqua"/>
      <family val="1"/>
    </font>
    <font>
      <b/>
      <sz val="8"/>
      <color theme="1"/>
      <name val="Tahoma"/>
      <family val="2"/>
    </font>
    <font>
      <sz val="8"/>
      <color rgb="FF00B0F0"/>
      <name val="Book Antiqua"/>
      <family val="1"/>
    </font>
    <font>
      <b/>
      <sz val="8"/>
      <color rgb="FF00B0F0"/>
      <name val="Book Antiqua"/>
      <family val="1"/>
    </font>
    <font>
      <b/>
      <strike/>
      <sz val="8"/>
      <color theme="1"/>
      <name val="Book Antiqua"/>
      <family val="1"/>
    </font>
    <font>
      <sz val="8"/>
      <color rgb="FFFF0000"/>
      <name val="Book Antiqua"/>
      <family val="1"/>
    </font>
    <font>
      <sz val="8"/>
      <name val="Book Antiqua"/>
      <family val="1"/>
    </font>
    <font>
      <b/>
      <sz val="8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64" fontId="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41" fontId="7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7" fillId="0" borderId="1"/>
  </cellStyleXfs>
  <cellXfs count="337">
    <xf numFmtId="0" fontId="0" fillId="0" borderId="0" xfId="0"/>
    <xf numFmtId="15" fontId="2" fillId="0" borderId="0" xfId="0" applyNumberFormat="1" applyFont="1" applyAlignment="1">
      <alignment horizontal="left"/>
    </xf>
    <xf numFmtId="15" fontId="2" fillId="0" borderId="1" xfId="0" applyNumberFormat="1" applyFont="1" applyBorder="1" applyAlignment="1">
      <alignment horizontal="left"/>
    </xf>
    <xf numFmtId="0" fontId="9" fillId="0" borderId="0" xfId="0" applyFont="1"/>
    <xf numFmtId="165" fontId="9" fillId="0" borderId="0" xfId="1" applyNumberFormat="1" applyFont="1" applyFill="1" applyBorder="1" applyAlignment="1">
      <alignment horizontal="right"/>
    </xf>
    <xf numFmtId="165" fontId="9" fillId="0" borderId="0" xfId="1" applyNumberFormat="1" applyFont="1" applyFill="1" applyAlignment="1">
      <alignment horizontal="right"/>
    </xf>
    <xf numFmtId="165" fontId="5" fillId="0" borderId="0" xfId="1" applyNumberFormat="1" applyFont="1" applyFill="1" applyAlignment="1">
      <alignment horizontal="right"/>
    </xf>
    <xf numFmtId="165" fontId="5" fillId="0" borderId="1" xfId="1" applyNumberFormat="1" applyFont="1" applyFill="1" applyBorder="1" applyAlignment="1">
      <alignment horizontal="right"/>
    </xf>
    <xf numFmtId="165" fontId="9" fillId="0" borderId="1" xfId="1" applyNumberFormat="1" applyFont="1" applyFill="1" applyBorder="1" applyAlignment="1">
      <alignment horizontal="right"/>
    </xf>
    <xf numFmtId="0" fontId="9" fillId="3" borderId="0" xfId="0" applyFont="1" applyFill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37" fontId="3" fillId="0" borderId="0" xfId="0" applyNumberFormat="1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165" fontId="9" fillId="0" borderId="0" xfId="1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165" fontId="5" fillId="0" borderId="0" xfId="1" applyNumberFormat="1" applyFont="1" applyFill="1" applyAlignment="1">
      <alignment horizontal="right" vertical="center"/>
    </xf>
    <xf numFmtId="165" fontId="9" fillId="0" borderId="0" xfId="1" applyNumberFormat="1" applyFont="1" applyFill="1" applyAlignment="1">
      <alignment horizontal="right" vertical="center"/>
    </xf>
    <xf numFmtId="0" fontId="12" fillId="0" borderId="0" xfId="0" applyFont="1" applyAlignment="1">
      <alignment vertical="center"/>
    </xf>
    <xf numFmtId="165" fontId="9" fillId="0" borderId="0" xfId="1" applyNumberFormat="1" applyFont="1" applyFill="1" applyBorder="1" applyAlignment="1">
      <alignment horizontal="right" vertical="center"/>
    </xf>
    <xf numFmtId="165" fontId="5" fillId="0" borderId="0" xfId="1" applyNumberFormat="1" applyFont="1" applyFill="1" applyBorder="1" applyAlignment="1">
      <alignment horizontal="right" vertical="center"/>
    </xf>
    <xf numFmtId="165" fontId="5" fillId="0" borderId="2" xfId="1" applyNumberFormat="1" applyFont="1" applyFill="1" applyBorder="1" applyAlignment="1">
      <alignment horizontal="right" vertical="center"/>
    </xf>
    <xf numFmtId="165" fontId="11" fillId="0" borderId="0" xfId="1" applyNumberFormat="1" applyFont="1" applyFill="1" applyBorder="1" applyAlignment="1">
      <alignment horizontal="right" vertical="center"/>
    </xf>
    <xf numFmtId="37" fontId="4" fillId="0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37" fontId="3" fillId="0" borderId="0" xfId="0" applyNumberFormat="1" applyFont="1" applyFill="1" applyBorder="1" applyAlignment="1">
      <alignment horizontal="right" vertical="center"/>
    </xf>
    <xf numFmtId="165" fontId="9" fillId="0" borderId="1" xfId="1" applyNumberFormat="1" applyFont="1" applyFill="1" applyBorder="1" applyAlignment="1">
      <alignment horizontal="right" vertical="center"/>
    </xf>
    <xf numFmtId="165" fontId="10" fillId="0" borderId="1" xfId="1" applyNumberFormat="1" applyFont="1" applyFill="1" applyBorder="1" applyAlignment="1">
      <alignment horizontal="right" vertical="center"/>
    </xf>
    <xf numFmtId="165" fontId="11" fillId="0" borderId="1" xfId="1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1" fontId="5" fillId="0" borderId="0" xfId="1" applyNumberFormat="1" applyFont="1" applyFill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 vertical="center"/>
    </xf>
    <xf numFmtId="37" fontId="3" fillId="0" borderId="1" xfId="0" applyNumberFormat="1" applyFont="1" applyFill="1" applyBorder="1" applyAlignment="1">
      <alignment horizontal="right" vertical="center"/>
    </xf>
    <xf numFmtId="0" fontId="9" fillId="0" borderId="0" xfId="0" applyFont="1" applyAlignment="1"/>
    <xf numFmtId="0" fontId="15" fillId="0" borderId="0" xfId="0" applyFont="1"/>
    <xf numFmtId="0" fontId="9" fillId="0" borderId="0" xfId="0" applyFont="1" applyAlignment="1">
      <alignment horizontal="left" wrapText="1" indent="1"/>
    </xf>
    <xf numFmtId="41" fontId="9" fillId="0" borderId="0" xfId="5" applyFont="1" applyAlignment="1">
      <alignment vertical="center"/>
    </xf>
    <xf numFmtId="43" fontId="9" fillId="0" borderId="0" xfId="1" applyNumberFormat="1" applyFont="1" applyFill="1" applyBorder="1" applyAlignment="1">
      <alignment horizontal="right"/>
    </xf>
    <xf numFmtId="43" fontId="11" fillId="0" borderId="0" xfId="1" applyNumberFormat="1" applyFont="1" applyFill="1" applyBorder="1" applyAlignment="1">
      <alignment horizontal="right" vertical="center"/>
    </xf>
    <xf numFmtId="165" fontId="9" fillId="0" borderId="3" xfId="1" applyNumberFormat="1" applyFont="1" applyFill="1" applyBorder="1" applyAlignment="1">
      <alignment horizontal="right" vertical="center"/>
    </xf>
    <xf numFmtId="165" fontId="11" fillId="0" borderId="2" xfId="1" applyNumberFormat="1" applyFont="1" applyFill="1" applyBorder="1" applyAlignment="1">
      <alignment horizontal="right" vertical="center"/>
    </xf>
    <xf numFmtId="43" fontId="5" fillId="0" borderId="0" xfId="1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/>
    </xf>
    <xf numFmtId="15" fontId="19" fillId="0" borderId="0" xfId="0" applyNumberFormat="1" applyFont="1" applyAlignment="1">
      <alignment horizontal="left"/>
    </xf>
    <xf numFmtId="165" fontId="16" fillId="0" borderId="0" xfId="1" applyNumberFormat="1" applyFont="1" applyFill="1" applyAlignment="1">
      <alignment horizontal="right"/>
    </xf>
    <xf numFmtId="165" fontId="15" fillId="0" borderId="0" xfId="1" applyNumberFormat="1" applyFont="1" applyFill="1" applyAlignment="1">
      <alignment horizontal="right"/>
    </xf>
    <xf numFmtId="15" fontId="19" fillId="0" borderId="1" xfId="0" applyNumberFormat="1" applyFont="1" applyBorder="1" applyAlignment="1">
      <alignment horizontal="left"/>
    </xf>
    <xf numFmtId="165" fontId="16" fillId="0" borderId="1" xfId="1" applyNumberFormat="1" applyFont="1" applyFill="1" applyBorder="1" applyAlignment="1">
      <alignment horizontal="right"/>
    </xf>
    <xf numFmtId="165" fontId="15" fillId="0" borderId="1" xfId="1" applyNumberFormat="1" applyFont="1" applyFill="1" applyBorder="1" applyAlignment="1">
      <alignment horizontal="right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165" fontId="16" fillId="0" borderId="0" xfId="1" applyNumberFormat="1" applyFont="1" applyFill="1" applyAlignment="1">
      <alignment horizontal="right" vertical="center"/>
    </xf>
    <xf numFmtId="165" fontId="15" fillId="0" borderId="0" xfId="1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165" fontId="16" fillId="0" borderId="0" xfId="1" applyNumberFormat="1" applyFont="1" applyFill="1" applyBorder="1" applyAlignment="1">
      <alignment horizontal="right" vertical="center"/>
    </xf>
    <xf numFmtId="165" fontId="15" fillId="0" borderId="0" xfId="1" applyNumberFormat="1" applyFont="1" applyFill="1" applyBorder="1" applyAlignment="1">
      <alignment horizontal="right" vertical="center"/>
    </xf>
    <xf numFmtId="0" fontId="15" fillId="0" borderId="0" xfId="0" applyFont="1" applyAlignment="1"/>
    <xf numFmtId="165" fontId="15" fillId="0" borderId="0" xfId="1" applyNumberFormat="1" applyFont="1" applyFill="1" applyBorder="1" applyAlignment="1">
      <alignment horizontal="right"/>
    </xf>
    <xf numFmtId="43" fontId="15" fillId="0" borderId="0" xfId="1" applyNumberFormat="1" applyFont="1" applyFill="1" applyBorder="1" applyAlignment="1">
      <alignment horizontal="right"/>
    </xf>
    <xf numFmtId="165" fontId="16" fillId="0" borderId="2" xfId="1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37" fontId="22" fillId="0" borderId="0" xfId="0" applyNumberFormat="1" applyFont="1" applyFill="1" applyBorder="1" applyAlignment="1">
      <alignment horizontal="right" vertical="center"/>
    </xf>
    <xf numFmtId="37" fontId="22" fillId="0" borderId="0" xfId="0" applyNumberFormat="1" applyFont="1" applyFill="1" applyAlignment="1">
      <alignment horizontal="right" vertical="center"/>
    </xf>
    <xf numFmtId="165" fontId="15" fillId="0" borderId="1" xfId="1" applyNumberFormat="1" applyFont="1" applyFill="1" applyBorder="1" applyAlignment="1">
      <alignment horizontal="right" vertical="center"/>
    </xf>
    <xf numFmtId="41" fontId="15" fillId="0" borderId="0" xfId="5" applyFont="1" applyAlignment="1">
      <alignment vertical="center"/>
    </xf>
    <xf numFmtId="165" fontId="21" fillId="0" borderId="2" xfId="1" applyNumberFormat="1" applyFont="1" applyFill="1" applyBorder="1" applyAlignment="1">
      <alignment horizontal="right" vertical="center"/>
    </xf>
    <xf numFmtId="165" fontId="16" fillId="0" borderId="1" xfId="1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wrapText="1"/>
    </xf>
    <xf numFmtId="0" fontId="16" fillId="0" borderId="0" xfId="0" applyFont="1" applyAlignment="1">
      <alignment vertical="center" wrapText="1"/>
    </xf>
    <xf numFmtId="166" fontId="16" fillId="0" borderId="0" xfId="1" applyNumberFormat="1" applyFont="1" applyFill="1" applyBorder="1" applyAlignment="1">
      <alignment horizontal="right" vertical="center"/>
    </xf>
    <xf numFmtId="165" fontId="5" fillId="0" borderId="0" xfId="0" applyNumberFormat="1" applyFont="1" applyAlignment="1">
      <alignment vertical="center"/>
    </xf>
    <xf numFmtId="15" fontId="2" fillId="0" borderId="0" xfId="0" applyNumberFormat="1" applyFont="1" applyAlignment="1">
      <alignment vertical="center"/>
    </xf>
    <xf numFmtId="15" fontId="2" fillId="0" borderId="1" xfId="0" applyNumberFormat="1" applyFont="1" applyBorder="1" applyAlignment="1">
      <alignment vertical="center"/>
    </xf>
    <xf numFmtId="0" fontId="23" fillId="0" borderId="0" xfId="0" applyFont="1"/>
    <xf numFmtId="165" fontId="24" fillId="0" borderId="0" xfId="10" applyNumberFormat="1" applyFont="1"/>
    <xf numFmtId="41" fontId="24" fillId="0" borderId="0" xfId="5" applyFont="1"/>
    <xf numFmtId="0" fontId="24" fillId="0" borderId="0" xfId="0" applyFont="1" applyAlignment="1">
      <alignment vertical="center"/>
    </xf>
    <xf numFmtId="0" fontId="24" fillId="0" borderId="0" xfId="0" applyFont="1"/>
    <xf numFmtId="0" fontId="23" fillId="3" borderId="5" xfId="0" applyFont="1" applyFill="1" applyBorder="1" applyAlignment="1">
      <alignment horizontal="center" vertical="center" wrapText="1"/>
    </xf>
    <xf numFmtId="41" fontId="23" fillId="3" borderId="4" xfId="5" applyFont="1" applyFill="1" applyBorder="1" applyAlignment="1">
      <alignment horizontal="center" vertical="center" wrapText="1"/>
    </xf>
    <xf numFmtId="165" fontId="23" fillId="4" borderId="5" xfId="10" applyNumberFormat="1" applyFont="1" applyFill="1" applyBorder="1" applyAlignment="1">
      <alignment vertical="center"/>
    </xf>
    <xf numFmtId="41" fontId="24" fillId="0" borderId="4" xfId="5" applyFont="1" applyBorder="1" applyAlignment="1">
      <alignment vertical="center"/>
    </xf>
    <xf numFmtId="41" fontId="24" fillId="0" borderId="0" xfId="0" applyNumberFormat="1" applyFont="1" applyAlignment="1">
      <alignment vertical="center"/>
    </xf>
    <xf numFmtId="41" fontId="24" fillId="5" borderId="4" xfId="5" applyFont="1" applyFill="1" applyBorder="1"/>
    <xf numFmtId="0" fontId="24" fillId="0" borderId="4" xfId="0" applyFont="1" applyBorder="1" applyAlignment="1">
      <alignment horizontal="right"/>
    </xf>
    <xf numFmtId="0" fontId="24" fillId="0" borderId="4" xfId="0" applyFont="1" applyBorder="1" applyAlignment="1">
      <alignment vertical="center"/>
    </xf>
    <xf numFmtId="165" fontId="24" fillId="0" borderId="5" xfId="10" applyNumberFormat="1" applyFont="1" applyFill="1" applyBorder="1" applyAlignment="1">
      <alignment vertical="center"/>
    </xf>
    <xf numFmtId="16" fontId="24" fillId="0" borderId="0" xfId="0" applyNumberFormat="1" applyFont="1" applyAlignment="1">
      <alignment vertical="center"/>
    </xf>
    <xf numFmtId="165" fontId="24" fillId="0" borderId="5" xfId="10" applyNumberFormat="1" applyFont="1" applyBorder="1" applyAlignment="1">
      <alignment vertical="center"/>
    </xf>
    <xf numFmtId="165" fontId="24" fillId="4" borderId="5" xfId="10" applyNumberFormat="1" applyFont="1" applyFill="1" applyBorder="1" applyAlignment="1">
      <alignment vertical="center"/>
    </xf>
    <xf numFmtId="41" fontId="24" fillId="0" borderId="4" xfId="5" applyFont="1" applyBorder="1"/>
    <xf numFmtId="0" fontId="24" fillId="4" borderId="4" xfId="0" applyFont="1" applyFill="1" applyBorder="1" applyAlignment="1">
      <alignment horizontal="right"/>
    </xf>
    <xf numFmtId="0" fontId="23" fillId="4" borderId="4" xfId="0" applyFont="1" applyFill="1" applyBorder="1" applyAlignment="1">
      <alignment vertical="center" wrapText="1"/>
    </xf>
    <xf numFmtId="165" fontId="23" fillId="0" borderId="5" xfId="10" applyNumberFormat="1" applyFont="1" applyBorder="1" applyAlignment="1">
      <alignment vertical="center"/>
    </xf>
    <xf numFmtId="41" fontId="23" fillId="0" borderId="4" xfId="5" applyFont="1" applyBorder="1" applyAlignment="1">
      <alignment vertical="center"/>
    </xf>
    <xf numFmtId="9" fontId="23" fillId="0" borderId="4" xfId="5" applyNumberFormat="1" applyFont="1" applyBorder="1" applyAlignment="1">
      <alignment vertical="center"/>
    </xf>
    <xf numFmtId="0" fontId="23" fillId="6" borderId="4" xfId="0" applyFont="1" applyFill="1" applyBorder="1" applyAlignment="1">
      <alignment vertical="center"/>
    </xf>
    <xf numFmtId="0" fontId="23" fillId="6" borderId="4" xfId="0" applyFont="1" applyFill="1" applyBorder="1" applyAlignment="1">
      <alignment vertical="center" wrapText="1"/>
    </xf>
    <xf numFmtId="165" fontId="23" fillId="6" borderId="5" xfId="10" applyNumberFormat="1" applyFont="1" applyFill="1" applyBorder="1" applyAlignment="1">
      <alignment vertical="center" wrapText="1"/>
    </xf>
    <xf numFmtId="41" fontId="23" fillId="6" borderId="4" xfId="5" applyFont="1" applyFill="1" applyBorder="1" applyAlignment="1">
      <alignment horizontal="center" vertical="center" wrapText="1"/>
    </xf>
    <xf numFmtId="0" fontId="24" fillId="0" borderId="4" xfId="0" applyFont="1" applyBorder="1"/>
    <xf numFmtId="0" fontId="24" fillId="0" borderId="4" xfId="0" applyFont="1" applyBorder="1" applyAlignment="1">
      <alignment horizontal="left" vertical="center" wrapText="1"/>
    </xf>
    <xf numFmtId="165" fontId="24" fillId="0" borderId="0" xfId="0" applyNumberFormat="1" applyFont="1"/>
    <xf numFmtId="0" fontId="24" fillId="4" borderId="4" xfId="0" applyFont="1" applyFill="1" applyBorder="1" applyAlignment="1">
      <alignment horizontal="left" vertical="center" wrapText="1"/>
    </xf>
    <xf numFmtId="0" fontId="24" fillId="0" borderId="4" xfId="0" applyFont="1" applyBorder="1" applyAlignment="1">
      <alignment vertical="center" wrapText="1"/>
    </xf>
    <xf numFmtId="165" fontId="24" fillId="4" borderId="5" xfId="0" applyNumberFormat="1" applyFont="1" applyFill="1" applyBorder="1" applyAlignment="1">
      <alignment horizontal="left" vertical="center"/>
    </xf>
    <xf numFmtId="0" fontId="23" fillId="0" borderId="4" xfId="0" applyFont="1" applyBorder="1" applyAlignment="1">
      <alignment vertical="center"/>
    </xf>
    <xf numFmtId="41" fontId="24" fillId="7" borderId="4" xfId="5" applyFont="1" applyFill="1" applyBorder="1"/>
    <xf numFmtId="41" fontId="24" fillId="0" borderId="0" xfId="0" applyNumberFormat="1" applyFont="1"/>
    <xf numFmtId="0" fontId="24" fillId="0" borderId="5" xfId="0" applyFont="1" applyBorder="1"/>
    <xf numFmtId="0" fontId="23" fillId="0" borderId="5" xfId="0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165" fontId="24" fillId="0" borderId="0" xfId="0" applyNumberFormat="1" applyFont="1" applyAlignment="1">
      <alignment vertical="center"/>
    </xf>
    <xf numFmtId="0" fontId="23" fillId="0" borderId="5" xfId="0" applyFont="1" applyBorder="1" applyAlignment="1">
      <alignment horizontal="center" vertical="center" wrapText="1"/>
    </xf>
    <xf numFmtId="0" fontId="24" fillId="4" borderId="4" xfId="0" applyFont="1" applyFill="1" applyBorder="1" applyAlignment="1">
      <alignment vertical="center" wrapText="1"/>
    </xf>
    <xf numFmtId="41" fontId="26" fillId="0" borderId="4" xfId="5" applyFont="1" applyBorder="1" applyAlignment="1">
      <alignment vertical="center"/>
    </xf>
    <xf numFmtId="0" fontId="24" fillId="0" borderId="9" xfId="0" applyFont="1" applyBorder="1" applyAlignment="1">
      <alignment vertical="center" wrapText="1"/>
    </xf>
    <xf numFmtId="0" fontId="23" fillId="0" borderId="9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165" fontId="27" fillId="0" borderId="5" xfId="10" applyNumberFormat="1" applyFont="1" applyBorder="1" applyAlignment="1">
      <alignment vertical="center"/>
    </xf>
    <xf numFmtId="0" fontId="28" fillId="0" borderId="4" xfId="0" applyFont="1" applyBorder="1" applyAlignment="1">
      <alignment vertical="center" wrapText="1"/>
    </xf>
    <xf numFmtId="165" fontId="28" fillId="0" borderId="8" xfId="10" applyNumberFormat="1" applyFont="1" applyBorder="1" applyAlignment="1">
      <alignment vertical="center"/>
    </xf>
    <xf numFmtId="0" fontId="24" fillId="4" borderId="4" xfId="0" applyFont="1" applyFill="1" applyBorder="1"/>
    <xf numFmtId="0" fontId="27" fillId="4" borderId="4" xfId="0" applyFont="1" applyFill="1" applyBorder="1" applyAlignment="1">
      <alignment vertical="center" wrapText="1"/>
    </xf>
    <xf numFmtId="165" fontId="27" fillId="4" borderId="5" xfId="10" applyNumberFormat="1" applyFont="1" applyFill="1" applyBorder="1" applyAlignment="1">
      <alignment vertical="center"/>
    </xf>
    <xf numFmtId="0" fontId="23" fillId="0" borderId="8" xfId="0" applyFont="1" applyBorder="1" applyAlignment="1">
      <alignment vertical="center" wrapText="1"/>
    </xf>
    <xf numFmtId="165" fontId="23" fillId="0" borderId="8" xfId="10" applyNumberFormat="1" applyFont="1" applyBorder="1" applyAlignment="1">
      <alignment vertical="center"/>
    </xf>
    <xf numFmtId="41" fontId="23" fillId="0" borderId="4" xfId="5" applyFont="1" applyBorder="1"/>
    <xf numFmtId="165" fontId="24" fillId="4" borderId="5" xfId="0" applyNumberFormat="1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vertical="center" wrapText="1"/>
    </xf>
    <xf numFmtId="165" fontId="23" fillId="3" borderId="5" xfId="10" applyNumberFormat="1" applyFont="1" applyFill="1" applyBorder="1" applyAlignment="1">
      <alignment vertical="center"/>
    </xf>
    <xf numFmtId="41" fontId="23" fillId="7" borderId="4" xfId="5" applyFont="1" applyFill="1" applyBorder="1" applyAlignment="1">
      <alignment vertical="center"/>
    </xf>
    <xf numFmtId="43" fontId="24" fillId="0" borderId="0" xfId="0" applyNumberFormat="1" applyFont="1" applyAlignment="1">
      <alignment vertical="center"/>
    </xf>
    <xf numFmtId="165" fontId="24" fillId="0" borderId="0" xfId="10" applyNumberFormat="1" applyFont="1" applyFill="1" applyBorder="1" applyAlignment="1">
      <alignment horizontal="center"/>
    </xf>
    <xf numFmtId="0" fontId="24" fillId="0" borderId="0" xfId="0" applyFont="1" applyAlignment="1">
      <alignment horizontal="left"/>
    </xf>
    <xf numFmtId="41" fontId="24" fillId="0" borderId="0" xfId="5" applyFont="1" applyAlignment="1">
      <alignment horizontal="left"/>
    </xf>
    <xf numFmtId="0" fontId="24" fillId="4" borderId="0" xfId="0" applyFont="1" applyFill="1" applyAlignment="1">
      <alignment wrapText="1"/>
    </xf>
    <xf numFmtId="0" fontId="24" fillId="0" borderId="0" xfId="0" applyFont="1" applyAlignment="1">
      <alignment wrapText="1"/>
    </xf>
    <xf numFmtId="165" fontId="23" fillId="3" borderId="4" xfId="10" applyNumberFormat="1" applyFont="1" applyFill="1" applyBorder="1" applyAlignment="1">
      <alignment vertical="center" wrapText="1"/>
    </xf>
    <xf numFmtId="165" fontId="23" fillId="4" borderId="4" xfId="10" applyNumberFormat="1" applyFont="1" applyFill="1" applyBorder="1" applyAlignment="1">
      <alignment vertical="center"/>
    </xf>
    <xf numFmtId="14" fontId="24" fillId="0" borderId="0" xfId="0" applyNumberFormat="1" applyFont="1" applyAlignment="1">
      <alignment vertical="center"/>
    </xf>
    <xf numFmtId="165" fontId="24" fillId="0" borderId="4" xfId="10" applyNumberFormat="1" applyFont="1" applyFill="1" applyBorder="1" applyAlignment="1">
      <alignment vertical="center"/>
    </xf>
    <xf numFmtId="165" fontId="24" fillId="0" borderId="4" xfId="10" applyNumberFormat="1" applyFont="1" applyBorder="1" applyAlignment="1">
      <alignment vertical="center"/>
    </xf>
    <xf numFmtId="165" fontId="23" fillId="0" borderId="4" xfId="10" applyNumberFormat="1" applyFont="1" applyBorder="1" applyAlignment="1">
      <alignment vertical="center"/>
    </xf>
    <xf numFmtId="165" fontId="23" fillId="6" borderId="4" xfId="10" applyNumberFormat="1" applyFont="1" applyFill="1" applyBorder="1" applyAlignment="1">
      <alignment vertical="center" wrapText="1"/>
    </xf>
    <xf numFmtId="165" fontId="26" fillId="0" borderId="4" xfId="10" applyNumberFormat="1" applyFont="1" applyBorder="1" applyAlignment="1">
      <alignment vertical="center"/>
    </xf>
    <xf numFmtId="165" fontId="26" fillId="4" borderId="4" xfId="10" applyNumberFormat="1" applyFont="1" applyFill="1" applyBorder="1" applyAlignment="1">
      <alignment vertical="center"/>
    </xf>
    <xf numFmtId="165" fontId="24" fillId="4" borderId="4" xfId="0" applyNumberFormat="1" applyFont="1" applyFill="1" applyBorder="1" applyAlignment="1">
      <alignment horizontal="left" vertical="center"/>
    </xf>
    <xf numFmtId="165" fontId="26" fillId="4" borderId="4" xfId="0" applyNumberFormat="1" applyFont="1" applyFill="1" applyBorder="1" applyAlignment="1">
      <alignment horizontal="left" vertical="center"/>
    </xf>
    <xf numFmtId="165" fontId="26" fillId="0" borderId="9" xfId="10" applyNumberFormat="1" applyFont="1" applyBorder="1" applyAlignment="1">
      <alignment vertical="center"/>
    </xf>
    <xf numFmtId="165" fontId="28" fillId="0" borderId="9" xfId="10" applyNumberFormat="1" applyFont="1" applyBorder="1" applyAlignment="1">
      <alignment vertical="center"/>
    </xf>
    <xf numFmtId="0" fontId="15" fillId="0" borderId="0" xfId="0" applyFont="1" applyAlignment="1">
      <alignment vertical="center" wrapText="1"/>
    </xf>
    <xf numFmtId="165" fontId="31" fillId="0" borderId="9" xfId="10" applyNumberFormat="1" applyFont="1" applyBorder="1" applyAlignment="1">
      <alignment vertical="center"/>
    </xf>
    <xf numFmtId="165" fontId="24" fillId="4" borderId="4" xfId="10" applyNumberFormat="1" applyFont="1" applyFill="1" applyBorder="1" applyAlignment="1">
      <alignment vertical="center"/>
    </xf>
    <xf numFmtId="165" fontId="24" fillId="4" borderId="4" xfId="0" applyNumberFormat="1" applyFont="1" applyFill="1" applyBorder="1" applyAlignment="1">
      <alignment horizontal="center"/>
    </xf>
    <xf numFmtId="165" fontId="23" fillId="4" borderId="9" xfId="10" applyNumberFormat="1" applyFont="1" applyFill="1" applyBorder="1" applyAlignment="1">
      <alignment vertical="center"/>
    </xf>
    <xf numFmtId="165" fontId="23" fillId="3" borderId="4" xfId="10" applyNumberFormat="1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32" fillId="0" borderId="0" xfId="0" applyFont="1"/>
    <xf numFmtId="0" fontId="32" fillId="0" borderId="0" xfId="0" applyFont="1" applyAlignment="1">
      <alignment wrapText="1"/>
    </xf>
    <xf numFmtId="165" fontId="32" fillId="0" borderId="0" xfId="10" applyNumberFormat="1" applyFont="1"/>
    <xf numFmtId="41" fontId="32" fillId="0" borderId="0" xfId="5" applyFont="1" applyAlignment="1">
      <alignment vertical="center"/>
    </xf>
    <xf numFmtId="41" fontId="32" fillId="0" borderId="0" xfId="5" applyFont="1"/>
    <xf numFmtId="0" fontId="33" fillId="0" borderId="0" xfId="0" applyFont="1"/>
    <xf numFmtId="165" fontId="33" fillId="3" borderId="4" xfId="10" applyNumberFormat="1" applyFont="1" applyFill="1" applyBorder="1" applyAlignment="1">
      <alignment vertical="center" wrapText="1"/>
    </xf>
    <xf numFmtId="41" fontId="35" fillId="9" borderId="4" xfId="5" applyFont="1" applyFill="1" applyBorder="1" applyAlignment="1">
      <alignment vertical="center"/>
    </xf>
    <xf numFmtId="41" fontId="35" fillId="0" borderId="4" xfId="5" applyFont="1" applyBorder="1" applyAlignment="1">
      <alignment vertical="center" wrapText="1"/>
    </xf>
    <xf numFmtId="41" fontId="35" fillId="0" borderId="4" xfId="5" applyFont="1" applyBorder="1" applyAlignment="1">
      <alignment vertical="center"/>
    </xf>
    <xf numFmtId="165" fontId="33" fillId="4" borderId="4" xfId="10" applyNumberFormat="1" applyFont="1" applyFill="1" applyBorder="1" applyAlignment="1">
      <alignment vertical="center"/>
    </xf>
    <xf numFmtId="41" fontId="35" fillId="3" borderId="4" xfId="5" applyFont="1" applyFill="1" applyBorder="1" applyAlignment="1">
      <alignment vertical="center"/>
    </xf>
    <xf numFmtId="41" fontId="35" fillId="3" borderId="4" xfId="5" applyFont="1" applyFill="1" applyBorder="1" applyAlignment="1">
      <alignment vertical="center" wrapText="1"/>
    </xf>
    <xf numFmtId="41" fontId="35" fillId="0" borderId="4" xfId="5" applyFont="1" applyBorder="1" applyAlignment="1">
      <alignment horizontal="right" vertical="center"/>
    </xf>
    <xf numFmtId="41" fontId="35" fillId="0" borderId="4" xfId="5" applyFont="1" applyBorder="1" applyAlignment="1">
      <alignment horizontal="center" vertical="center"/>
    </xf>
    <xf numFmtId="41" fontId="32" fillId="5" borderId="4" xfId="5" applyFont="1" applyFill="1" applyBorder="1" applyAlignment="1">
      <alignment vertical="center"/>
    </xf>
    <xf numFmtId="41" fontId="32" fillId="5" borderId="4" xfId="5" applyFont="1" applyFill="1" applyBorder="1"/>
    <xf numFmtId="41" fontId="33" fillId="5" borderId="4" xfId="5" applyFont="1" applyFill="1" applyBorder="1" applyAlignment="1">
      <alignment vertical="center"/>
    </xf>
    <xf numFmtId="0" fontId="32" fillId="0" borderId="4" xfId="0" applyFont="1" applyBorder="1" applyAlignment="1">
      <alignment horizontal="right"/>
    </xf>
    <xf numFmtId="0" fontId="32" fillId="0" borderId="4" xfId="0" applyFont="1" applyBorder="1" applyAlignment="1">
      <alignment vertical="center"/>
    </xf>
    <xf numFmtId="165" fontId="32" fillId="0" borderId="5" xfId="10" applyNumberFormat="1" applyFont="1" applyFill="1" applyBorder="1" applyAlignment="1">
      <alignment vertical="center"/>
    </xf>
    <xf numFmtId="41" fontId="32" fillId="0" borderId="4" xfId="5" applyFont="1" applyBorder="1" applyAlignment="1">
      <alignment vertical="center"/>
    </xf>
    <xf numFmtId="41" fontId="36" fillId="0" borderId="4" xfId="5" applyFont="1" applyBorder="1" applyAlignment="1">
      <alignment vertical="center"/>
    </xf>
    <xf numFmtId="41" fontId="36" fillId="0" borderId="4" xfId="5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41" fontId="32" fillId="0" borderId="4" xfId="5" applyFont="1" applyBorder="1" applyAlignment="1">
      <alignment horizontal="center" vertical="center"/>
    </xf>
    <xf numFmtId="165" fontId="32" fillId="0" borderId="5" xfId="10" applyNumberFormat="1" applyFont="1" applyBorder="1" applyAlignment="1">
      <alignment vertical="center"/>
    </xf>
    <xf numFmtId="0" fontId="32" fillId="0" borderId="4" xfId="0" applyFont="1" applyBorder="1" applyAlignment="1">
      <alignment vertical="center" wrapText="1"/>
    </xf>
    <xf numFmtId="0" fontId="32" fillId="4" borderId="4" xfId="0" applyFont="1" applyFill="1" applyBorder="1" applyAlignment="1">
      <alignment horizontal="right"/>
    </xf>
    <xf numFmtId="0" fontId="33" fillId="4" borderId="4" xfId="0" applyFont="1" applyFill="1" applyBorder="1" applyAlignment="1">
      <alignment vertical="center" wrapText="1"/>
    </xf>
    <xf numFmtId="165" fontId="33" fillId="0" borderId="5" xfId="10" applyNumberFormat="1" applyFont="1" applyBorder="1" applyAlignment="1">
      <alignment vertical="center"/>
    </xf>
    <xf numFmtId="41" fontId="33" fillId="0" borderId="4" xfId="5" applyFont="1" applyBorder="1" applyAlignment="1">
      <alignment vertical="center"/>
    </xf>
    <xf numFmtId="41" fontId="33" fillId="0" borderId="4" xfId="5" applyFont="1" applyBorder="1"/>
    <xf numFmtId="41" fontId="37" fillId="0" borderId="4" xfId="5" applyFont="1" applyBorder="1" applyAlignment="1">
      <alignment vertical="center"/>
    </xf>
    <xf numFmtId="165" fontId="33" fillId="4" borderId="5" xfId="10" applyNumberFormat="1" applyFont="1" applyFill="1" applyBorder="1" applyAlignment="1">
      <alignment vertical="center"/>
    </xf>
    <xf numFmtId="41" fontId="37" fillId="0" borderId="4" xfId="5" applyFont="1" applyBorder="1" applyAlignment="1">
      <alignment horizontal="center" vertical="center"/>
    </xf>
    <xf numFmtId="41" fontId="37" fillId="0" borderId="4" xfId="5" applyFont="1" applyBorder="1" applyAlignment="1">
      <alignment vertical="center" wrapText="1"/>
    </xf>
    <xf numFmtId="41" fontId="32" fillId="5" borderId="4" xfId="5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vertical="center"/>
    </xf>
    <xf numFmtId="0" fontId="33" fillId="9" borderId="4" xfId="0" applyFont="1" applyFill="1" applyBorder="1" applyAlignment="1">
      <alignment vertical="center" wrapText="1"/>
    </xf>
    <xf numFmtId="165" fontId="33" fillId="9" borderId="5" xfId="10" applyNumberFormat="1" applyFont="1" applyFill="1" applyBorder="1" applyAlignment="1">
      <alignment vertical="center" wrapText="1"/>
    </xf>
    <xf numFmtId="41" fontId="35" fillId="9" borderId="4" xfId="5" applyFont="1" applyFill="1" applyBorder="1" applyAlignment="1">
      <alignment vertical="center" wrapText="1"/>
    </xf>
    <xf numFmtId="41" fontId="35" fillId="9" borderId="4" xfId="5" applyFont="1" applyFill="1" applyBorder="1" applyAlignment="1">
      <alignment horizontal="right" vertical="center"/>
    </xf>
    <xf numFmtId="41" fontId="35" fillId="9" borderId="4" xfId="5" applyFont="1" applyFill="1" applyBorder="1" applyAlignment="1">
      <alignment horizontal="center" vertical="center"/>
    </xf>
    <xf numFmtId="41" fontId="32" fillId="7" borderId="4" xfId="5" applyFont="1" applyFill="1" applyBorder="1" applyAlignment="1">
      <alignment vertical="center"/>
    </xf>
    <xf numFmtId="41" fontId="32" fillId="7" borderId="4" xfId="5" applyFont="1" applyFill="1" applyBorder="1"/>
    <xf numFmtId="41" fontId="32" fillId="7" borderId="4" xfId="5" applyFont="1" applyFill="1" applyBorder="1" applyAlignment="1">
      <alignment horizontal="center" vertical="center"/>
    </xf>
    <xf numFmtId="0" fontId="32" fillId="0" borderId="4" xfId="0" applyFont="1" applyBorder="1"/>
    <xf numFmtId="0" fontId="32" fillId="0" borderId="4" xfId="0" applyFont="1" applyBorder="1" applyAlignment="1">
      <alignment horizontal="left" vertical="center" wrapText="1"/>
    </xf>
    <xf numFmtId="165" fontId="32" fillId="4" borderId="5" xfId="10" applyNumberFormat="1" applyFont="1" applyFill="1" applyBorder="1" applyAlignment="1">
      <alignment vertical="center"/>
    </xf>
    <xf numFmtId="0" fontId="32" fillId="4" borderId="4" xfId="0" applyFont="1" applyFill="1" applyBorder="1" applyAlignment="1">
      <alignment horizontal="left" vertical="center" wrapText="1"/>
    </xf>
    <xf numFmtId="41" fontId="32" fillId="0" borderId="4" xfId="5" applyFont="1" applyBorder="1"/>
    <xf numFmtId="165" fontId="32" fillId="4" borderId="5" xfId="0" applyNumberFormat="1" applyFont="1" applyFill="1" applyBorder="1" applyAlignment="1">
      <alignment horizontal="left" vertical="center"/>
    </xf>
    <xf numFmtId="0" fontId="33" fillId="0" borderId="4" xfId="0" applyFont="1" applyBorder="1" applyAlignment="1">
      <alignment vertical="center"/>
    </xf>
    <xf numFmtId="41" fontId="36" fillId="0" borderId="4" xfId="5" applyFont="1" applyBorder="1" applyAlignment="1">
      <alignment vertical="center" wrapText="1"/>
    </xf>
    <xf numFmtId="41" fontId="38" fillId="7" borderId="4" xfId="5" applyFont="1" applyFill="1" applyBorder="1" applyAlignment="1">
      <alignment horizontal="right" vertical="center"/>
    </xf>
    <xf numFmtId="41" fontId="33" fillId="7" borderId="4" xfId="5" applyFont="1" applyFill="1" applyBorder="1" applyAlignment="1">
      <alignment horizontal="right" vertical="center"/>
    </xf>
    <xf numFmtId="0" fontId="32" fillId="0" borderId="5" xfId="0" applyFont="1" applyBorder="1"/>
    <xf numFmtId="0" fontId="33" fillId="0" borderId="5" xfId="0" applyFont="1" applyBorder="1" applyAlignment="1">
      <alignment vertical="center" wrapText="1"/>
    </xf>
    <xf numFmtId="0" fontId="33" fillId="0" borderId="4" xfId="0" applyFont="1" applyBorder="1" applyAlignment="1">
      <alignment vertical="center" wrapText="1"/>
    </xf>
    <xf numFmtId="43" fontId="32" fillId="0" borderId="0" xfId="0" applyNumberFormat="1" applyFont="1"/>
    <xf numFmtId="0" fontId="33" fillId="0" borderId="5" xfId="0" applyFont="1" applyBorder="1" applyAlignment="1">
      <alignment horizontal="center" vertical="center" wrapText="1"/>
    </xf>
    <xf numFmtId="41" fontId="39" fillId="0" borderId="4" xfId="5" applyFont="1" applyBorder="1" applyAlignment="1">
      <alignment vertical="center"/>
    </xf>
    <xf numFmtId="0" fontId="33" fillId="10" borderId="5" xfId="0" applyFont="1" applyFill="1" applyBorder="1" applyAlignment="1">
      <alignment horizontal="center" vertical="center" wrapText="1"/>
    </xf>
    <xf numFmtId="0" fontId="33" fillId="10" borderId="4" xfId="0" applyFont="1" applyFill="1" applyBorder="1" applyAlignment="1">
      <alignment vertical="center" wrapText="1"/>
    </xf>
    <xf numFmtId="165" fontId="33" fillId="10" borderId="8" xfId="10" applyNumberFormat="1" applyFont="1" applyFill="1" applyBorder="1" applyAlignment="1">
      <alignment vertical="center" wrapText="1"/>
    </xf>
    <xf numFmtId="41" fontId="32" fillId="10" borderId="4" xfId="5" applyFont="1" applyFill="1" applyBorder="1" applyAlignment="1">
      <alignment vertical="center"/>
    </xf>
    <xf numFmtId="41" fontId="32" fillId="10" borderId="4" xfId="5" applyFont="1" applyFill="1" applyBorder="1" applyAlignment="1">
      <alignment horizontal="center" vertical="center"/>
    </xf>
    <xf numFmtId="0" fontId="33" fillId="9" borderId="5" xfId="0" applyFont="1" applyFill="1" applyBorder="1" applyAlignment="1">
      <alignment horizontal="center" vertical="center" wrapText="1"/>
    </xf>
    <xf numFmtId="41" fontId="32" fillId="9" borderId="4" xfId="5" applyFont="1" applyFill="1" applyBorder="1" applyAlignment="1">
      <alignment vertical="center"/>
    </xf>
    <xf numFmtId="41" fontId="32" fillId="9" borderId="4" xfId="5" applyFont="1" applyFill="1" applyBorder="1" applyAlignment="1">
      <alignment wrapText="1"/>
    </xf>
    <xf numFmtId="41" fontId="33" fillId="9" borderId="4" xfId="5" applyFont="1" applyFill="1" applyBorder="1" applyAlignment="1">
      <alignment horizontal="right" vertical="center"/>
    </xf>
    <xf numFmtId="41" fontId="32" fillId="6" borderId="4" xfId="5" applyFont="1" applyFill="1" applyBorder="1" applyAlignment="1">
      <alignment vertical="center"/>
    </xf>
    <xf numFmtId="41" fontId="32" fillId="6" borderId="4" xfId="5" applyFont="1" applyFill="1" applyBorder="1"/>
    <xf numFmtId="41" fontId="32" fillId="6" borderId="4" xfId="5" applyFont="1" applyFill="1" applyBorder="1" applyAlignment="1">
      <alignment horizontal="center" vertical="center"/>
    </xf>
    <xf numFmtId="0" fontId="32" fillId="4" borderId="4" xfId="0" applyFont="1" applyFill="1" applyBorder="1" applyAlignment="1">
      <alignment vertical="center" wrapText="1"/>
    </xf>
    <xf numFmtId="0" fontId="32" fillId="0" borderId="9" xfId="0" applyFont="1" applyBorder="1" applyAlignment="1">
      <alignment vertical="center" wrapText="1"/>
    </xf>
    <xf numFmtId="0" fontId="37" fillId="0" borderId="4" xfId="5" applyNumberFormat="1" applyFont="1" applyBorder="1" applyAlignment="1">
      <alignment horizontal="right" vertical="center"/>
    </xf>
    <xf numFmtId="0" fontId="33" fillId="0" borderId="9" xfId="0" applyFont="1" applyBorder="1" applyAlignment="1">
      <alignment vertical="center" wrapText="1"/>
    </xf>
    <xf numFmtId="41" fontId="33" fillId="6" borderId="4" xfId="5" applyFont="1" applyFill="1" applyBorder="1" applyAlignment="1">
      <alignment horizontal="right" vertical="center" indent="1"/>
    </xf>
    <xf numFmtId="41" fontId="32" fillId="6" borderId="4" xfId="5" applyFont="1" applyFill="1" applyBorder="1" applyAlignment="1">
      <alignment horizontal="right" vertical="center"/>
    </xf>
    <xf numFmtId="0" fontId="40" fillId="0" borderId="4" xfId="0" applyFont="1" applyBorder="1" applyAlignment="1">
      <alignment vertical="center" wrapText="1"/>
    </xf>
    <xf numFmtId="165" fontId="32" fillId="0" borderId="8" xfId="10" applyNumberFormat="1" applyFont="1" applyBorder="1" applyAlignment="1">
      <alignment vertical="center"/>
    </xf>
    <xf numFmtId="0" fontId="41" fillId="0" borderId="4" xfId="0" applyFont="1" applyBorder="1" applyAlignment="1">
      <alignment vertical="center" wrapText="1"/>
    </xf>
    <xf numFmtId="165" fontId="33" fillId="0" borderId="8" xfId="10" applyNumberFormat="1" applyFont="1" applyBorder="1" applyAlignment="1">
      <alignment vertical="center"/>
    </xf>
    <xf numFmtId="41" fontId="33" fillId="6" borderId="4" xfId="5" applyFont="1" applyFill="1" applyBorder="1" applyAlignment="1">
      <alignment horizontal="right" vertical="center"/>
    </xf>
    <xf numFmtId="0" fontId="32" fillId="4" borderId="4" xfId="0" applyFont="1" applyFill="1" applyBorder="1"/>
    <xf numFmtId="0" fontId="40" fillId="4" borderId="4" xfId="0" applyFont="1" applyFill="1" applyBorder="1" applyAlignment="1">
      <alignment vertical="center" wrapText="1"/>
    </xf>
    <xf numFmtId="0" fontId="33" fillId="0" borderId="8" xfId="0" applyFont="1" applyBorder="1" applyAlignment="1">
      <alignment vertical="center" wrapText="1"/>
    </xf>
    <xf numFmtId="41" fontId="32" fillId="0" borderId="8" xfId="5" applyFont="1" applyBorder="1" applyAlignment="1">
      <alignment horizontal="center" vertical="center" wrapText="1"/>
    </xf>
    <xf numFmtId="41" fontId="32" fillId="0" borderId="4" xfId="5" applyFont="1" applyBorder="1" applyAlignment="1">
      <alignment vertical="top"/>
    </xf>
    <xf numFmtId="165" fontId="32" fillId="0" borderId="4" xfId="10" applyNumberFormat="1" applyFont="1" applyBorder="1" applyAlignment="1">
      <alignment vertical="center"/>
    </xf>
    <xf numFmtId="165" fontId="32" fillId="4" borderId="4" xfId="10" applyNumberFormat="1" applyFont="1" applyFill="1" applyBorder="1" applyAlignment="1">
      <alignment vertical="center"/>
    </xf>
    <xf numFmtId="41" fontId="32" fillId="4" borderId="4" xfId="5" applyFont="1" applyFill="1" applyBorder="1" applyAlignment="1">
      <alignment horizontal="center" vertical="center" wrapText="1"/>
    </xf>
    <xf numFmtId="165" fontId="33" fillId="0" borderId="4" xfId="10" applyNumberFormat="1" applyFont="1" applyBorder="1" applyAlignment="1">
      <alignment vertical="center"/>
    </xf>
    <xf numFmtId="165" fontId="32" fillId="4" borderId="4" xfId="0" applyNumberFormat="1" applyFont="1" applyFill="1" applyBorder="1" applyAlignment="1">
      <alignment horizontal="center" vertical="center"/>
    </xf>
    <xf numFmtId="0" fontId="32" fillId="4" borderId="4" xfId="0" applyFont="1" applyFill="1" applyBorder="1" applyAlignment="1">
      <alignment vertical="center"/>
    </xf>
    <xf numFmtId="41" fontId="33" fillId="4" borderId="4" xfId="5" applyFont="1" applyFill="1" applyBorder="1" applyAlignment="1">
      <alignment vertical="center"/>
    </xf>
    <xf numFmtId="41" fontId="37" fillId="4" borderId="4" xfId="5" applyFont="1" applyFill="1" applyBorder="1" applyAlignment="1">
      <alignment vertical="center"/>
    </xf>
    <xf numFmtId="0" fontId="33" fillId="4" borderId="4" xfId="0" applyFont="1" applyFill="1" applyBorder="1" applyAlignment="1">
      <alignment horizontal="center" vertical="center"/>
    </xf>
    <xf numFmtId="0" fontId="33" fillId="4" borderId="4" xfId="0" applyFont="1" applyFill="1" applyBorder="1" applyAlignment="1">
      <alignment horizontal="center" vertical="center" wrapText="1"/>
    </xf>
    <xf numFmtId="0" fontId="33" fillId="10" borderId="4" xfId="0" applyFont="1" applyFill="1" applyBorder="1" applyAlignment="1">
      <alignment horizontal="center" vertical="center"/>
    </xf>
    <xf numFmtId="165" fontId="33" fillId="10" borderId="4" xfId="10" applyNumberFormat="1" applyFont="1" applyFill="1" applyBorder="1" applyAlignment="1">
      <alignment vertical="center"/>
    </xf>
    <xf numFmtId="41" fontId="33" fillId="10" borderId="4" xfId="5" applyFont="1" applyFill="1" applyBorder="1" applyAlignment="1">
      <alignment vertical="center" wrapText="1"/>
    </xf>
    <xf numFmtId="165" fontId="33" fillId="11" borderId="4" xfId="10" applyNumberFormat="1" applyFont="1" applyFill="1" applyBorder="1" applyAlignment="1">
      <alignment vertical="center"/>
    </xf>
    <xf numFmtId="41" fontId="32" fillId="11" borderId="4" xfId="5" applyFont="1" applyFill="1" applyBorder="1" applyAlignment="1">
      <alignment vertical="center"/>
    </xf>
    <xf numFmtId="41" fontId="32" fillId="11" borderId="4" xfId="5" applyFont="1" applyFill="1" applyBorder="1" applyAlignment="1">
      <alignment horizontal="center" vertical="center"/>
    </xf>
    <xf numFmtId="41" fontId="33" fillId="11" borderId="4" xfId="5" applyFont="1" applyFill="1" applyBorder="1" applyAlignment="1">
      <alignment vertical="center" wrapText="1"/>
    </xf>
    <xf numFmtId="165" fontId="33" fillId="12" borderId="4" xfId="10" applyNumberFormat="1" applyFont="1" applyFill="1" applyBorder="1" applyAlignment="1">
      <alignment vertical="center"/>
    </xf>
    <xf numFmtId="41" fontId="32" fillId="12" borderId="4" xfId="5" applyFont="1" applyFill="1" applyBorder="1" applyAlignment="1">
      <alignment vertical="center"/>
    </xf>
    <xf numFmtId="41" fontId="32" fillId="12" borderId="4" xfId="5" applyFont="1" applyFill="1" applyBorder="1" applyAlignment="1">
      <alignment horizontal="center" vertical="center"/>
    </xf>
    <xf numFmtId="41" fontId="32" fillId="12" borderId="4" xfId="5" applyFont="1" applyFill="1" applyBorder="1" applyAlignment="1">
      <alignment vertical="center" wrapText="1"/>
    </xf>
    <xf numFmtId="165" fontId="32" fillId="0" borderId="0" xfId="10" applyNumberFormat="1" applyFont="1" applyFill="1" applyBorder="1" applyAlignment="1">
      <alignment horizontal="center"/>
    </xf>
    <xf numFmtId="41" fontId="32" fillId="0" borderId="0" xfId="5" applyFont="1" applyBorder="1" applyAlignment="1">
      <alignment vertical="center"/>
    </xf>
    <xf numFmtId="0" fontId="32" fillId="0" borderId="0" xfId="0" applyFont="1" applyAlignment="1">
      <alignment horizontal="left"/>
    </xf>
    <xf numFmtId="41" fontId="32" fillId="0" borderId="0" xfId="5" applyFont="1" applyAlignment="1">
      <alignment horizontal="left" vertical="center"/>
    </xf>
    <xf numFmtId="165" fontId="32" fillId="0" borderId="0" xfId="0" applyNumberFormat="1" applyFont="1"/>
    <xf numFmtId="0" fontId="32" fillId="4" borderId="0" xfId="0" applyFont="1" applyFill="1" applyAlignment="1">
      <alignment wrapText="1"/>
    </xf>
    <xf numFmtId="1" fontId="5" fillId="0" borderId="1" xfId="1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1" fontId="16" fillId="0" borderId="1" xfId="1" applyNumberFormat="1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0" fontId="23" fillId="5" borderId="7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left" vertical="center"/>
    </xf>
    <xf numFmtId="0" fontId="23" fillId="3" borderId="9" xfId="0" applyFont="1" applyFill="1" applyBorder="1" applyAlignment="1">
      <alignment horizontal="left" vertical="center"/>
    </xf>
    <xf numFmtId="0" fontId="25" fillId="0" borderId="0" xfId="0" applyFont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25" fillId="0" borderId="0" xfId="0" applyFont="1" applyAlignment="1">
      <alignment horizontal="left"/>
    </xf>
    <xf numFmtId="0" fontId="23" fillId="3" borderId="4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0" fontId="23" fillId="7" borderId="5" xfId="0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/>
    </xf>
    <xf numFmtId="0" fontId="23" fillId="5" borderId="8" xfId="0" applyFont="1" applyFill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/>
    </xf>
    <xf numFmtId="0" fontId="23" fillId="7" borderId="8" xfId="0" applyFont="1" applyFill="1" applyBorder="1" applyAlignment="1">
      <alignment horizontal="center" vertical="center"/>
    </xf>
    <xf numFmtId="0" fontId="23" fillId="7" borderId="9" xfId="0" applyFont="1" applyFill="1" applyBorder="1" applyAlignment="1">
      <alignment horizontal="center" vertical="center" wrapText="1"/>
    </xf>
    <xf numFmtId="0" fontId="23" fillId="5" borderId="10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center" vertical="center" wrapText="1"/>
    </xf>
    <xf numFmtId="0" fontId="33" fillId="5" borderId="6" xfId="0" applyFont="1" applyFill="1" applyBorder="1" applyAlignment="1">
      <alignment horizontal="center" vertical="center"/>
    </xf>
    <xf numFmtId="0" fontId="33" fillId="5" borderId="7" xfId="0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3" fillId="3" borderId="4" xfId="0" applyFont="1" applyFill="1" applyBorder="1" applyAlignment="1">
      <alignment horizontal="center" vertical="center"/>
    </xf>
    <xf numFmtId="41" fontId="35" fillId="8" borderId="5" xfId="5" applyFont="1" applyFill="1" applyBorder="1" applyAlignment="1">
      <alignment horizontal="center" vertical="center"/>
    </xf>
    <xf numFmtId="41" fontId="35" fillId="8" borderId="9" xfId="5" applyFont="1" applyFill="1" applyBorder="1" applyAlignment="1">
      <alignment horizontal="center" vertical="center"/>
    </xf>
    <xf numFmtId="0" fontId="33" fillId="0" borderId="4" xfId="0" applyFont="1" applyBorder="1" applyAlignment="1">
      <alignment horizontal="left" vertical="center"/>
    </xf>
    <xf numFmtId="0" fontId="33" fillId="7" borderId="5" xfId="0" applyFont="1" applyFill="1" applyBorder="1" applyAlignment="1">
      <alignment horizontal="center" vertical="center" wrapText="1"/>
    </xf>
    <xf numFmtId="0" fontId="33" fillId="7" borderId="8" xfId="0" applyFont="1" applyFill="1" applyBorder="1" applyAlignment="1">
      <alignment horizontal="center" vertical="center" wrapText="1"/>
    </xf>
    <xf numFmtId="0" fontId="33" fillId="4" borderId="4" xfId="0" applyFont="1" applyFill="1" applyBorder="1" applyAlignment="1">
      <alignment horizontal="center" vertical="center"/>
    </xf>
    <xf numFmtId="0" fontId="33" fillId="5" borderId="5" xfId="0" applyFont="1" applyFill="1" applyBorder="1" applyAlignment="1">
      <alignment horizontal="center" vertical="center"/>
    </xf>
    <xf numFmtId="0" fontId="33" fillId="5" borderId="8" xfId="0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 wrapText="1"/>
    </xf>
    <xf numFmtId="0" fontId="33" fillId="11" borderId="9" xfId="0" applyFont="1" applyFill="1" applyBorder="1" applyAlignment="1">
      <alignment horizontal="center" vertical="center" wrapText="1"/>
    </xf>
    <xf numFmtId="0" fontId="33" fillId="12" borderId="5" xfId="0" applyFont="1" applyFill="1" applyBorder="1" applyAlignment="1">
      <alignment horizontal="center" vertical="center"/>
    </xf>
    <xf numFmtId="0" fontId="33" fillId="12" borderId="9" xfId="0" applyFont="1" applyFill="1" applyBorder="1" applyAlignment="1">
      <alignment horizontal="center" vertical="center"/>
    </xf>
    <xf numFmtId="0" fontId="33" fillId="7" borderId="5" xfId="0" applyFont="1" applyFill="1" applyBorder="1" applyAlignment="1">
      <alignment horizontal="center"/>
    </xf>
    <xf numFmtId="0" fontId="33" fillId="7" borderId="8" xfId="0" applyFont="1" applyFill="1" applyBorder="1" applyAlignment="1">
      <alignment horizontal="center"/>
    </xf>
    <xf numFmtId="0" fontId="33" fillId="7" borderId="9" xfId="0" applyFont="1" applyFill="1" applyBorder="1" applyAlignment="1">
      <alignment horizontal="center" vertical="center" wrapText="1"/>
    </xf>
    <xf numFmtId="0" fontId="33" fillId="6" borderId="5" xfId="0" applyFont="1" applyFill="1" applyBorder="1" applyAlignment="1">
      <alignment horizontal="center" vertical="center" wrapText="1"/>
    </xf>
    <xf numFmtId="0" fontId="33" fillId="6" borderId="9" xfId="0" applyFont="1" applyFill="1" applyBorder="1" applyAlignment="1">
      <alignment horizontal="center" vertical="center" wrapText="1"/>
    </xf>
  </cellXfs>
  <cellStyles count="12">
    <cellStyle name="Comma" xfId="1" builtinId="3"/>
    <cellStyle name="Comma [0]" xfId="5" builtinId="6"/>
    <cellStyle name="Comma 2" xfId="10"/>
    <cellStyle name="Comma 2 2" xfId="2"/>
    <cellStyle name="Comma 4" xfId="7"/>
    <cellStyle name="Comma 4 2" xfId="8"/>
    <cellStyle name="HeaderCellStyle" xfId="11"/>
    <cellStyle name="Normal" xfId="0" builtinId="0"/>
    <cellStyle name="Normal 2" xfId="3"/>
    <cellStyle name="Normal 2 2" xfId="4"/>
    <cellStyle name="Normal 3" xfId="6"/>
    <cellStyle name="Normal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0</xdr:rowOff>
    </xdr:from>
    <xdr:to>
      <xdr:col>1</xdr:col>
      <xdr:colOff>1879600</xdr:colOff>
      <xdr:row>4</xdr:row>
      <xdr:rowOff>57150</xdr:rowOff>
    </xdr:to>
    <xdr:pic>
      <xdr:nvPicPr>
        <xdr:cNvPr id="4" name="Picture 3" descr="D:\RWCA documents\Logo\RWVCA logo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143000" cy="717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1016000</xdr:colOff>
      <xdr:row>0</xdr:row>
      <xdr:rowOff>0</xdr:rowOff>
    </xdr:from>
    <xdr:to>
      <xdr:col>5</xdr:col>
      <xdr:colOff>0</xdr:colOff>
      <xdr:row>4</xdr:row>
      <xdr:rowOff>19050</xdr:rowOff>
    </xdr:to>
    <xdr:pic>
      <xdr:nvPicPr>
        <xdr:cNvPr id="5" name="Image1" descr="logo PSF-FSP (2)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37250" y="0"/>
          <a:ext cx="1212850" cy="679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1</xdr:col>
      <xdr:colOff>1854200</xdr:colOff>
      <xdr:row>3</xdr:row>
      <xdr:rowOff>158750</xdr:rowOff>
    </xdr:to>
    <xdr:pic>
      <xdr:nvPicPr>
        <xdr:cNvPr id="4" name="Picture 3" descr="D:\RWCA documents\Logo\RWVCA logo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5400" y="0"/>
          <a:ext cx="1136650" cy="65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1212850</xdr:colOff>
      <xdr:row>0</xdr:row>
      <xdr:rowOff>0</xdr:rowOff>
    </xdr:from>
    <xdr:to>
      <xdr:col>3</xdr:col>
      <xdr:colOff>0</xdr:colOff>
      <xdr:row>4</xdr:row>
      <xdr:rowOff>6350</xdr:rowOff>
    </xdr:to>
    <xdr:pic>
      <xdr:nvPicPr>
        <xdr:cNvPr id="5" name="Image1" descr="logo PSF-FSP (2)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92650" y="0"/>
          <a:ext cx="971550" cy="666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0</xdr:rowOff>
    </xdr:from>
    <xdr:to>
      <xdr:col>1</xdr:col>
      <xdr:colOff>1358900</xdr:colOff>
      <xdr:row>4</xdr:row>
      <xdr:rowOff>19050</xdr:rowOff>
    </xdr:to>
    <xdr:pic>
      <xdr:nvPicPr>
        <xdr:cNvPr id="2" name="Picture 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56210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0</xdr:colOff>
      <xdr:row>4</xdr:row>
      <xdr:rowOff>57711</xdr:rowOff>
    </xdr:to>
    <xdr:pic>
      <xdr:nvPicPr>
        <xdr:cNvPr id="4" name="Image1" descr="logo PSF-FSP (2)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47050" y="0"/>
          <a:ext cx="1162050" cy="5911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RAFT%20FINANCIAL%20REPORT%20Q2%202026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QUARTER%203%20YEAR%202026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Q2"/>
      <sheetName val="FIN REPORT Q2"/>
    </sheetNames>
    <sheetDataSet>
      <sheetData sheetId="0"/>
      <sheetData sheetId="1">
        <row r="23">
          <cell r="C23">
            <v>931182133</v>
          </cell>
          <cell r="D23">
            <v>913992181</v>
          </cell>
        </row>
        <row r="101">
          <cell r="E101">
            <v>59079458</v>
          </cell>
        </row>
        <row r="102">
          <cell r="E102">
            <v>21599024</v>
          </cell>
        </row>
        <row r="111">
          <cell r="C111">
            <v>250000</v>
          </cell>
          <cell r="D111">
            <v>277656</v>
          </cell>
        </row>
        <row r="114">
          <cell r="C114">
            <v>608820286</v>
          </cell>
          <cell r="D114">
            <v>509042564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Q2 UPDATED"/>
      <sheetName val="BUDGET Q3 UPDATED"/>
    </sheetNames>
    <sheetDataSet>
      <sheetData sheetId="0"/>
      <sheetData sheetId="1">
        <row r="25">
          <cell r="C25">
            <v>1148602867</v>
          </cell>
        </row>
        <row r="119">
          <cell r="C119">
            <v>888184853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9"/>
  <sheetViews>
    <sheetView view="pageBreakPreview" topLeftCell="D28" zoomScale="60" zoomScaleNormal="59" workbookViewId="0">
      <selection activeCell="H39" sqref="H39"/>
    </sheetView>
  </sheetViews>
  <sheetFormatPr defaultColWidth="9.1796875" defaultRowHeight="26"/>
  <cols>
    <col min="1" max="3" width="9.1796875" style="3" hidden="1" customWidth="1"/>
    <col min="4" max="4" width="2.7265625" style="3" customWidth="1"/>
    <col min="5" max="5" width="3.7265625" style="3" customWidth="1"/>
    <col min="6" max="6" width="7.81640625" style="10" customWidth="1"/>
    <col min="7" max="7" width="68.54296875" style="3" customWidth="1"/>
    <col min="8" max="8" width="21.90625" style="5" customWidth="1"/>
    <col min="9" max="9" width="5.81640625" style="5" hidden="1" customWidth="1"/>
    <col min="10" max="10" width="30.6328125" style="5" customWidth="1"/>
    <col min="11" max="11" width="25" style="5" customWidth="1"/>
    <col min="12" max="12" width="0.36328125" style="3" customWidth="1"/>
    <col min="13" max="13" width="11.54296875" style="3" customWidth="1"/>
    <col min="14" max="258" width="9.1796875" style="3"/>
    <col min="259" max="259" width="3.81640625" style="3" customWidth="1"/>
    <col min="260" max="260" width="39.7265625" style="3" customWidth="1"/>
    <col min="261" max="261" width="9.7265625" style="3" customWidth="1"/>
    <col min="262" max="262" width="20.81640625" style="3" customWidth="1"/>
    <col min="263" max="263" width="16" style="3" customWidth="1"/>
    <col min="264" max="264" width="16.1796875" style="3" customWidth="1"/>
    <col min="265" max="265" width="13.54296875" style="3" customWidth="1"/>
    <col min="266" max="266" width="16.81640625" style="3" customWidth="1"/>
    <col min="267" max="268" width="9.1796875" style="3"/>
    <col min="269" max="269" width="11.54296875" style="3" customWidth="1"/>
    <col min="270" max="514" width="9.1796875" style="3"/>
    <col min="515" max="515" width="3.81640625" style="3" customWidth="1"/>
    <col min="516" max="516" width="39.7265625" style="3" customWidth="1"/>
    <col min="517" max="517" width="9.7265625" style="3" customWidth="1"/>
    <col min="518" max="518" width="20.81640625" style="3" customWidth="1"/>
    <col min="519" max="519" width="16" style="3" customWidth="1"/>
    <col min="520" max="520" width="16.1796875" style="3" customWidth="1"/>
    <col min="521" max="521" width="13.54296875" style="3" customWidth="1"/>
    <col min="522" max="522" width="16.81640625" style="3" customWidth="1"/>
    <col min="523" max="524" width="9.1796875" style="3"/>
    <col min="525" max="525" width="11.54296875" style="3" customWidth="1"/>
    <col min="526" max="770" width="9.1796875" style="3"/>
    <col min="771" max="771" width="3.81640625" style="3" customWidth="1"/>
    <col min="772" max="772" width="39.7265625" style="3" customWidth="1"/>
    <col min="773" max="773" width="9.7265625" style="3" customWidth="1"/>
    <col min="774" max="774" width="20.81640625" style="3" customWidth="1"/>
    <col min="775" max="775" width="16" style="3" customWidth="1"/>
    <col min="776" max="776" width="16.1796875" style="3" customWidth="1"/>
    <col min="777" max="777" width="13.54296875" style="3" customWidth="1"/>
    <col min="778" max="778" width="16.81640625" style="3" customWidth="1"/>
    <col min="779" max="780" width="9.1796875" style="3"/>
    <col min="781" max="781" width="11.54296875" style="3" customWidth="1"/>
    <col min="782" max="1026" width="9.1796875" style="3"/>
    <col min="1027" max="1027" width="3.81640625" style="3" customWidth="1"/>
    <col min="1028" max="1028" width="39.7265625" style="3" customWidth="1"/>
    <col min="1029" max="1029" width="9.7265625" style="3" customWidth="1"/>
    <col min="1030" max="1030" width="20.81640625" style="3" customWidth="1"/>
    <col min="1031" max="1031" width="16" style="3" customWidth="1"/>
    <col min="1032" max="1032" width="16.1796875" style="3" customWidth="1"/>
    <col min="1033" max="1033" width="13.54296875" style="3" customWidth="1"/>
    <col min="1034" max="1034" width="16.81640625" style="3" customWidth="1"/>
    <col min="1035" max="1036" width="9.1796875" style="3"/>
    <col min="1037" max="1037" width="11.54296875" style="3" customWidth="1"/>
    <col min="1038" max="1282" width="9.1796875" style="3"/>
    <col min="1283" max="1283" width="3.81640625" style="3" customWidth="1"/>
    <col min="1284" max="1284" width="39.7265625" style="3" customWidth="1"/>
    <col min="1285" max="1285" width="9.7265625" style="3" customWidth="1"/>
    <col min="1286" max="1286" width="20.81640625" style="3" customWidth="1"/>
    <col min="1287" max="1287" width="16" style="3" customWidth="1"/>
    <col min="1288" max="1288" width="16.1796875" style="3" customWidth="1"/>
    <col min="1289" max="1289" width="13.54296875" style="3" customWidth="1"/>
    <col min="1290" max="1290" width="16.81640625" style="3" customWidth="1"/>
    <col min="1291" max="1292" width="9.1796875" style="3"/>
    <col min="1293" max="1293" width="11.54296875" style="3" customWidth="1"/>
    <col min="1294" max="1538" width="9.1796875" style="3"/>
    <col min="1539" max="1539" width="3.81640625" style="3" customWidth="1"/>
    <col min="1540" max="1540" width="39.7265625" style="3" customWidth="1"/>
    <col min="1541" max="1541" width="9.7265625" style="3" customWidth="1"/>
    <col min="1542" max="1542" width="20.81640625" style="3" customWidth="1"/>
    <col min="1543" max="1543" width="16" style="3" customWidth="1"/>
    <col min="1544" max="1544" width="16.1796875" style="3" customWidth="1"/>
    <col min="1545" max="1545" width="13.54296875" style="3" customWidth="1"/>
    <col min="1546" max="1546" width="16.81640625" style="3" customWidth="1"/>
    <col min="1547" max="1548" width="9.1796875" style="3"/>
    <col min="1549" max="1549" width="11.54296875" style="3" customWidth="1"/>
    <col min="1550" max="1794" width="9.1796875" style="3"/>
    <col min="1795" max="1795" width="3.81640625" style="3" customWidth="1"/>
    <col min="1796" max="1796" width="39.7265625" style="3" customWidth="1"/>
    <col min="1797" max="1797" width="9.7265625" style="3" customWidth="1"/>
    <col min="1798" max="1798" width="20.81640625" style="3" customWidth="1"/>
    <col min="1799" max="1799" width="16" style="3" customWidth="1"/>
    <col min="1800" max="1800" width="16.1796875" style="3" customWidth="1"/>
    <col min="1801" max="1801" width="13.54296875" style="3" customWidth="1"/>
    <col min="1802" max="1802" width="16.81640625" style="3" customWidth="1"/>
    <col min="1803" max="1804" width="9.1796875" style="3"/>
    <col min="1805" max="1805" width="11.54296875" style="3" customWidth="1"/>
    <col min="1806" max="2050" width="9.1796875" style="3"/>
    <col min="2051" max="2051" width="3.81640625" style="3" customWidth="1"/>
    <col min="2052" max="2052" width="39.7265625" style="3" customWidth="1"/>
    <col min="2053" max="2053" width="9.7265625" style="3" customWidth="1"/>
    <col min="2054" max="2054" width="20.81640625" style="3" customWidth="1"/>
    <col min="2055" max="2055" width="16" style="3" customWidth="1"/>
    <col min="2056" max="2056" width="16.1796875" style="3" customWidth="1"/>
    <col min="2057" max="2057" width="13.54296875" style="3" customWidth="1"/>
    <col min="2058" max="2058" width="16.81640625" style="3" customWidth="1"/>
    <col min="2059" max="2060" width="9.1796875" style="3"/>
    <col min="2061" max="2061" width="11.54296875" style="3" customWidth="1"/>
    <col min="2062" max="2306" width="9.1796875" style="3"/>
    <col min="2307" max="2307" width="3.81640625" style="3" customWidth="1"/>
    <col min="2308" max="2308" width="39.7265625" style="3" customWidth="1"/>
    <col min="2309" max="2309" width="9.7265625" style="3" customWidth="1"/>
    <col min="2310" max="2310" width="20.81640625" style="3" customWidth="1"/>
    <col min="2311" max="2311" width="16" style="3" customWidth="1"/>
    <col min="2312" max="2312" width="16.1796875" style="3" customWidth="1"/>
    <col min="2313" max="2313" width="13.54296875" style="3" customWidth="1"/>
    <col min="2314" max="2314" width="16.81640625" style="3" customWidth="1"/>
    <col min="2315" max="2316" width="9.1796875" style="3"/>
    <col min="2317" max="2317" width="11.54296875" style="3" customWidth="1"/>
    <col min="2318" max="2562" width="9.1796875" style="3"/>
    <col min="2563" max="2563" width="3.81640625" style="3" customWidth="1"/>
    <col min="2564" max="2564" width="39.7265625" style="3" customWidth="1"/>
    <col min="2565" max="2565" width="9.7265625" style="3" customWidth="1"/>
    <col min="2566" max="2566" width="20.81640625" style="3" customWidth="1"/>
    <col min="2567" max="2567" width="16" style="3" customWidth="1"/>
    <col min="2568" max="2568" width="16.1796875" style="3" customWidth="1"/>
    <col min="2569" max="2569" width="13.54296875" style="3" customWidth="1"/>
    <col min="2570" max="2570" width="16.81640625" style="3" customWidth="1"/>
    <col min="2571" max="2572" width="9.1796875" style="3"/>
    <col min="2573" max="2573" width="11.54296875" style="3" customWidth="1"/>
    <col min="2574" max="2818" width="9.1796875" style="3"/>
    <col min="2819" max="2819" width="3.81640625" style="3" customWidth="1"/>
    <col min="2820" max="2820" width="39.7265625" style="3" customWidth="1"/>
    <col min="2821" max="2821" width="9.7265625" style="3" customWidth="1"/>
    <col min="2822" max="2822" width="20.81640625" style="3" customWidth="1"/>
    <col min="2823" max="2823" width="16" style="3" customWidth="1"/>
    <col min="2824" max="2824" width="16.1796875" style="3" customWidth="1"/>
    <col min="2825" max="2825" width="13.54296875" style="3" customWidth="1"/>
    <col min="2826" max="2826" width="16.81640625" style="3" customWidth="1"/>
    <col min="2827" max="2828" width="9.1796875" style="3"/>
    <col min="2829" max="2829" width="11.54296875" style="3" customWidth="1"/>
    <col min="2830" max="3074" width="9.1796875" style="3"/>
    <col min="3075" max="3075" width="3.81640625" style="3" customWidth="1"/>
    <col min="3076" max="3076" width="39.7265625" style="3" customWidth="1"/>
    <col min="3077" max="3077" width="9.7265625" style="3" customWidth="1"/>
    <col min="3078" max="3078" width="20.81640625" style="3" customWidth="1"/>
    <col min="3079" max="3079" width="16" style="3" customWidth="1"/>
    <col min="3080" max="3080" width="16.1796875" style="3" customWidth="1"/>
    <col min="3081" max="3081" width="13.54296875" style="3" customWidth="1"/>
    <col min="3082" max="3082" width="16.81640625" style="3" customWidth="1"/>
    <col min="3083" max="3084" width="9.1796875" style="3"/>
    <col min="3085" max="3085" width="11.54296875" style="3" customWidth="1"/>
    <col min="3086" max="3330" width="9.1796875" style="3"/>
    <col min="3331" max="3331" width="3.81640625" style="3" customWidth="1"/>
    <col min="3332" max="3332" width="39.7265625" style="3" customWidth="1"/>
    <col min="3333" max="3333" width="9.7265625" style="3" customWidth="1"/>
    <col min="3334" max="3334" width="20.81640625" style="3" customWidth="1"/>
    <col min="3335" max="3335" width="16" style="3" customWidth="1"/>
    <col min="3336" max="3336" width="16.1796875" style="3" customWidth="1"/>
    <col min="3337" max="3337" width="13.54296875" style="3" customWidth="1"/>
    <col min="3338" max="3338" width="16.81640625" style="3" customWidth="1"/>
    <col min="3339" max="3340" width="9.1796875" style="3"/>
    <col min="3341" max="3341" width="11.54296875" style="3" customWidth="1"/>
    <col min="3342" max="3586" width="9.1796875" style="3"/>
    <col min="3587" max="3587" width="3.81640625" style="3" customWidth="1"/>
    <col min="3588" max="3588" width="39.7265625" style="3" customWidth="1"/>
    <col min="3589" max="3589" width="9.7265625" style="3" customWidth="1"/>
    <col min="3590" max="3590" width="20.81640625" style="3" customWidth="1"/>
    <col min="3591" max="3591" width="16" style="3" customWidth="1"/>
    <col min="3592" max="3592" width="16.1796875" style="3" customWidth="1"/>
    <col min="3593" max="3593" width="13.54296875" style="3" customWidth="1"/>
    <col min="3594" max="3594" width="16.81640625" style="3" customWidth="1"/>
    <col min="3595" max="3596" width="9.1796875" style="3"/>
    <col min="3597" max="3597" width="11.54296875" style="3" customWidth="1"/>
    <col min="3598" max="3842" width="9.1796875" style="3"/>
    <col min="3843" max="3843" width="3.81640625" style="3" customWidth="1"/>
    <col min="3844" max="3844" width="39.7265625" style="3" customWidth="1"/>
    <col min="3845" max="3845" width="9.7265625" style="3" customWidth="1"/>
    <col min="3846" max="3846" width="20.81640625" style="3" customWidth="1"/>
    <col min="3847" max="3847" width="16" style="3" customWidth="1"/>
    <col min="3848" max="3848" width="16.1796875" style="3" customWidth="1"/>
    <col min="3849" max="3849" width="13.54296875" style="3" customWidth="1"/>
    <col min="3850" max="3850" width="16.81640625" style="3" customWidth="1"/>
    <col min="3851" max="3852" width="9.1796875" style="3"/>
    <col min="3853" max="3853" width="11.54296875" style="3" customWidth="1"/>
    <col min="3854" max="4098" width="9.1796875" style="3"/>
    <col min="4099" max="4099" width="3.81640625" style="3" customWidth="1"/>
    <col min="4100" max="4100" width="39.7265625" style="3" customWidth="1"/>
    <col min="4101" max="4101" width="9.7265625" style="3" customWidth="1"/>
    <col min="4102" max="4102" width="20.81640625" style="3" customWidth="1"/>
    <col min="4103" max="4103" width="16" style="3" customWidth="1"/>
    <col min="4104" max="4104" width="16.1796875" style="3" customWidth="1"/>
    <col min="4105" max="4105" width="13.54296875" style="3" customWidth="1"/>
    <col min="4106" max="4106" width="16.81640625" style="3" customWidth="1"/>
    <col min="4107" max="4108" width="9.1796875" style="3"/>
    <col min="4109" max="4109" width="11.54296875" style="3" customWidth="1"/>
    <col min="4110" max="4354" width="9.1796875" style="3"/>
    <col min="4355" max="4355" width="3.81640625" style="3" customWidth="1"/>
    <col min="4356" max="4356" width="39.7265625" style="3" customWidth="1"/>
    <col min="4357" max="4357" width="9.7265625" style="3" customWidth="1"/>
    <col min="4358" max="4358" width="20.81640625" style="3" customWidth="1"/>
    <col min="4359" max="4359" width="16" style="3" customWidth="1"/>
    <col min="4360" max="4360" width="16.1796875" style="3" customWidth="1"/>
    <col min="4361" max="4361" width="13.54296875" style="3" customWidth="1"/>
    <col min="4362" max="4362" width="16.81640625" style="3" customWidth="1"/>
    <col min="4363" max="4364" width="9.1796875" style="3"/>
    <col min="4365" max="4365" width="11.54296875" style="3" customWidth="1"/>
    <col min="4366" max="4610" width="9.1796875" style="3"/>
    <col min="4611" max="4611" width="3.81640625" style="3" customWidth="1"/>
    <col min="4612" max="4612" width="39.7265625" style="3" customWidth="1"/>
    <col min="4613" max="4613" width="9.7265625" style="3" customWidth="1"/>
    <col min="4614" max="4614" width="20.81640625" style="3" customWidth="1"/>
    <col min="4615" max="4615" width="16" style="3" customWidth="1"/>
    <col min="4616" max="4616" width="16.1796875" style="3" customWidth="1"/>
    <col min="4617" max="4617" width="13.54296875" style="3" customWidth="1"/>
    <col min="4618" max="4618" width="16.81640625" style="3" customWidth="1"/>
    <col min="4619" max="4620" width="9.1796875" style="3"/>
    <col min="4621" max="4621" width="11.54296875" style="3" customWidth="1"/>
    <col min="4622" max="4866" width="9.1796875" style="3"/>
    <col min="4867" max="4867" width="3.81640625" style="3" customWidth="1"/>
    <col min="4868" max="4868" width="39.7265625" style="3" customWidth="1"/>
    <col min="4869" max="4869" width="9.7265625" style="3" customWidth="1"/>
    <col min="4870" max="4870" width="20.81640625" style="3" customWidth="1"/>
    <col min="4871" max="4871" width="16" style="3" customWidth="1"/>
    <col min="4872" max="4872" width="16.1796875" style="3" customWidth="1"/>
    <col min="4873" max="4873" width="13.54296875" style="3" customWidth="1"/>
    <col min="4874" max="4874" width="16.81640625" style="3" customWidth="1"/>
    <col min="4875" max="4876" width="9.1796875" style="3"/>
    <col min="4877" max="4877" width="11.54296875" style="3" customWidth="1"/>
    <col min="4878" max="5122" width="9.1796875" style="3"/>
    <col min="5123" max="5123" width="3.81640625" style="3" customWidth="1"/>
    <col min="5124" max="5124" width="39.7265625" style="3" customWidth="1"/>
    <col min="5125" max="5125" width="9.7265625" style="3" customWidth="1"/>
    <col min="5126" max="5126" width="20.81640625" style="3" customWidth="1"/>
    <col min="5127" max="5127" width="16" style="3" customWidth="1"/>
    <col min="5128" max="5128" width="16.1796875" style="3" customWidth="1"/>
    <col min="5129" max="5129" width="13.54296875" style="3" customWidth="1"/>
    <col min="5130" max="5130" width="16.81640625" style="3" customWidth="1"/>
    <col min="5131" max="5132" width="9.1796875" style="3"/>
    <col min="5133" max="5133" width="11.54296875" style="3" customWidth="1"/>
    <col min="5134" max="5378" width="9.1796875" style="3"/>
    <col min="5379" max="5379" width="3.81640625" style="3" customWidth="1"/>
    <col min="5380" max="5380" width="39.7265625" style="3" customWidth="1"/>
    <col min="5381" max="5381" width="9.7265625" style="3" customWidth="1"/>
    <col min="5382" max="5382" width="20.81640625" style="3" customWidth="1"/>
    <col min="5383" max="5383" width="16" style="3" customWidth="1"/>
    <col min="5384" max="5384" width="16.1796875" style="3" customWidth="1"/>
    <col min="5385" max="5385" width="13.54296875" style="3" customWidth="1"/>
    <col min="5386" max="5386" width="16.81640625" style="3" customWidth="1"/>
    <col min="5387" max="5388" width="9.1796875" style="3"/>
    <col min="5389" max="5389" width="11.54296875" style="3" customWidth="1"/>
    <col min="5390" max="5634" width="9.1796875" style="3"/>
    <col min="5635" max="5635" width="3.81640625" style="3" customWidth="1"/>
    <col min="5636" max="5636" width="39.7265625" style="3" customWidth="1"/>
    <col min="5637" max="5637" width="9.7265625" style="3" customWidth="1"/>
    <col min="5638" max="5638" width="20.81640625" style="3" customWidth="1"/>
    <col min="5639" max="5639" width="16" style="3" customWidth="1"/>
    <col min="5640" max="5640" width="16.1796875" style="3" customWidth="1"/>
    <col min="5641" max="5641" width="13.54296875" style="3" customWidth="1"/>
    <col min="5642" max="5642" width="16.81640625" style="3" customWidth="1"/>
    <col min="5643" max="5644" width="9.1796875" style="3"/>
    <col min="5645" max="5645" width="11.54296875" style="3" customWidth="1"/>
    <col min="5646" max="5890" width="9.1796875" style="3"/>
    <col min="5891" max="5891" width="3.81640625" style="3" customWidth="1"/>
    <col min="5892" max="5892" width="39.7265625" style="3" customWidth="1"/>
    <col min="5893" max="5893" width="9.7265625" style="3" customWidth="1"/>
    <col min="5894" max="5894" width="20.81640625" style="3" customWidth="1"/>
    <col min="5895" max="5895" width="16" style="3" customWidth="1"/>
    <col min="5896" max="5896" width="16.1796875" style="3" customWidth="1"/>
    <col min="5897" max="5897" width="13.54296875" style="3" customWidth="1"/>
    <col min="5898" max="5898" width="16.81640625" style="3" customWidth="1"/>
    <col min="5899" max="5900" width="9.1796875" style="3"/>
    <col min="5901" max="5901" width="11.54296875" style="3" customWidth="1"/>
    <col min="5902" max="6146" width="9.1796875" style="3"/>
    <col min="6147" max="6147" width="3.81640625" style="3" customWidth="1"/>
    <col min="6148" max="6148" width="39.7265625" style="3" customWidth="1"/>
    <col min="6149" max="6149" width="9.7265625" style="3" customWidth="1"/>
    <col min="6150" max="6150" width="20.81640625" style="3" customWidth="1"/>
    <col min="6151" max="6151" width="16" style="3" customWidth="1"/>
    <col min="6152" max="6152" width="16.1796875" style="3" customWidth="1"/>
    <col min="6153" max="6153" width="13.54296875" style="3" customWidth="1"/>
    <col min="6154" max="6154" width="16.81640625" style="3" customWidth="1"/>
    <col min="6155" max="6156" width="9.1796875" style="3"/>
    <col min="6157" max="6157" width="11.54296875" style="3" customWidth="1"/>
    <col min="6158" max="6402" width="9.1796875" style="3"/>
    <col min="6403" max="6403" width="3.81640625" style="3" customWidth="1"/>
    <col min="6404" max="6404" width="39.7265625" style="3" customWidth="1"/>
    <col min="6405" max="6405" width="9.7265625" style="3" customWidth="1"/>
    <col min="6406" max="6406" width="20.81640625" style="3" customWidth="1"/>
    <col min="6407" max="6407" width="16" style="3" customWidth="1"/>
    <col min="6408" max="6408" width="16.1796875" style="3" customWidth="1"/>
    <col min="6409" max="6409" width="13.54296875" style="3" customWidth="1"/>
    <col min="6410" max="6410" width="16.81640625" style="3" customWidth="1"/>
    <col min="6411" max="6412" width="9.1796875" style="3"/>
    <col min="6413" max="6413" width="11.54296875" style="3" customWidth="1"/>
    <col min="6414" max="6658" width="9.1796875" style="3"/>
    <col min="6659" max="6659" width="3.81640625" style="3" customWidth="1"/>
    <col min="6660" max="6660" width="39.7265625" style="3" customWidth="1"/>
    <col min="6661" max="6661" width="9.7265625" style="3" customWidth="1"/>
    <col min="6662" max="6662" width="20.81640625" style="3" customWidth="1"/>
    <col min="6663" max="6663" width="16" style="3" customWidth="1"/>
    <col min="6664" max="6664" width="16.1796875" style="3" customWidth="1"/>
    <col min="6665" max="6665" width="13.54296875" style="3" customWidth="1"/>
    <col min="6666" max="6666" width="16.81640625" style="3" customWidth="1"/>
    <col min="6667" max="6668" width="9.1796875" style="3"/>
    <col min="6669" max="6669" width="11.54296875" style="3" customWidth="1"/>
    <col min="6670" max="6914" width="9.1796875" style="3"/>
    <col min="6915" max="6915" width="3.81640625" style="3" customWidth="1"/>
    <col min="6916" max="6916" width="39.7265625" style="3" customWidth="1"/>
    <col min="6917" max="6917" width="9.7265625" style="3" customWidth="1"/>
    <col min="6918" max="6918" width="20.81640625" style="3" customWidth="1"/>
    <col min="6919" max="6919" width="16" style="3" customWidth="1"/>
    <col min="6920" max="6920" width="16.1796875" style="3" customWidth="1"/>
    <col min="6921" max="6921" width="13.54296875" style="3" customWidth="1"/>
    <col min="6922" max="6922" width="16.81640625" style="3" customWidth="1"/>
    <col min="6923" max="6924" width="9.1796875" style="3"/>
    <col min="6925" max="6925" width="11.54296875" style="3" customWidth="1"/>
    <col min="6926" max="7170" width="9.1796875" style="3"/>
    <col min="7171" max="7171" width="3.81640625" style="3" customWidth="1"/>
    <col min="7172" max="7172" width="39.7265625" style="3" customWidth="1"/>
    <col min="7173" max="7173" width="9.7265625" style="3" customWidth="1"/>
    <col min="7174" max="7174" width="20.81640625" style="3" customWidth="1"/>
    <col min="7175" max="7175" width="16" style="3" customWidth="1"/>
    <col min="7176" max="7176" width="16.1796875" style="3" customWidth="1"/>
    <col min="7177" max="7177" width="13.54296875" style="3" customWidth="1"/>
    <col min="7178" max="7178" width="16.81640625" style="3" customWidth="1"/>
    <col min="7179" max="7180" width="9.1796875" style="3"/>
    <col min="7181" max="7181" width="11.54296875" style="3" customWidth="1"/>
    <col min="7182" max="7426" width="9.1796875" style="3"/>
    <col min="7427" max="7427" width="3.81640625" style="3" customWidth="1"/>
    <col min="7428" max="7428" width="39.7265625" style="3" customWidth="1"/>
    <col min="7429" max="7429" width="9.7265625" style="3" customWidth="1"/>
    <col min="7430" max="7430" width="20.81640625" style="3" customWidth="1"/>
    <col min="7431" max="7431" width="16" style="3" customWidth="1"/>
    <col min="7432" max="7432" width="16.1796875" style="3" customWidth="1"/>
    <col min="7433" max="7433" width="13.54296875" style="3" customWidth="1"/>
    <col min="7434" max="7434" width="16.81640625" style="3" customWidth="1"/>
    <col min="7435" max="7436" width="9.1796875" style="3"/>
    <col min="7437" max="7437" width="11.54296875" style="3" customWidth="1"/>
    <col min="7438" max="7682" width="9.1796875" style="3"/>
    <col min="7683" max="7683" width="3.81640625" style="3" customWidth="1"/>
    <col min="7684" max="7684" width="39.7265625" style="3" customWidth="1"/>
    <col min="7685" max="7685" width="9.7265625" style="3" customWidth="1"/>
    <col min="7686" max="7686" width="20.81640625" style="3" customWidth="1"/>
    <col min="7687" max="7687" width="16" style="3" customWidth="1"/>
    <col min="7688" max="7688" width="16.1796875" style="3" customWidth="1"/>
    <col min="7689" max="7689" width="13.54296875" style="3" customWidth="1"/>
    <col min="7690" max="7690" width="16.81640625" style="3" customWidth="1"/>
    <col min="7691" max="7692" width="9.1796875" style="3"/>
    <col min="7693" max="7693" width="11.54296875" style="3" customWidth="1"/>
    <col min="7694" max="7938" width="9.1796875" style="3"/>
    <col min="7939" max="7939" width="3.81640625" style="3" customWidth="1"/>
    <col min="7940" max="7940" width="39.7265625" style="3" customWidth="1"/>
    <col min="7941" max="7941" width="9.7265625" style="3" customWidth="1"/>
    <col min="7942" max="7942" width="20.81640625" style="3" customWidth="1"/>
    <col min="7943" max="7943" width="16" style="3" customWidth="1"/>
    <col min="7944" max="7944" width="16.1796875" style="3" customWidth="1"/>
    <col min="7945" max="7945" width="13.54296875" style="3" customWidth="1"/>
    <col min="7946" max="7946" width="16.81640625" style="3" customWidth="1"/>
    <col min="7947" max="7948" width="9.1796875" style="3"/>
    <col min="7949" max="7949" width="11.54296875" style="3" customWidth="1"/>
    <col min="7950" max="8194" width="9.1796875" style="3"/>
    <col min="8195" max="8195" width="3.81640625" style="3" customWidth="1"/>
    <col min="8196" max="8196" width="39.7265625" style="3" customWidth="1"/>
    <col min="8197" max="8197" width="9.7265625" style="3" customWidth="1"/>
    <col min="8198" max="8198" width="20.81640625" style="3" customWidth="1"/>
    <col min="8199" max="8199" width="16" style="3" customWidth="1"/>
    <col min="8200" max="8200" width="16.1796875" style="3" customWidth="1"/>
    <col min="8201" max="8201" width="13.54296875" style="3" customWidth="1"/>
    <col min="8202" max="8202" width="16.81640625" style="3" customWidth="1"/>
    <col min="8203" max="8204" width="9.1796875" style="3"/>
    <col min="8205" max="8205" width="11.54296875" style="3" customWidth="1"/>
    <col min="8206" max="8450" width="9.1796875" style="3"/>
    <col min="8451" max="8451" width="3.81640625" style="3" customWidth="1"/>
    <col min="8452" max="8452" width="39.7265625" style="3" customWidth="1"/>
    <col min="8453" max="8453" width="9.7265625" style="3" customWidth="1"/>
    <col min="8454" max="8454" width="20.81640625" style="3" customWidth="1"/>
    <col min="8455" max="8455" width="16" style="3" customWidth="1"/>
    <col min="8456" max="8456" width="16.1796875" style="3" customWidth="1"/>
    <col min="8457" max="8457" width="13.54296875" style="3" customWidth="1"/>
    <col min="8458" max="8458" width="16.81640625" style="3" customWidth="1"/>
    <col min="8459" max="8460" width="9.1796875" style="3"/>
    <col min="8461" max="8461" width="11.54296875" style="3" customWidth="1"/>
    <col min="8462" max="8706" width="9.1796875" style="3"/>
    <col min="8707" max="8707" width="3.81640625" style="3" customWidth="1"/>
    <col min="8708" max="8708" width="39.7265625" style="3" customWidth="1"/>
    <col min="8709" max="8709" width="9.7265625" style="3" customWidth="1"/>
    <col min="8710" max="8710" width="20.81640625" style="3" customWidth="1"/>
    <col min="8711" max="8711" width="16" style="3" customWidth="1"/>
    <col min="8712" max="8712" width="16.1796875" style="3" customWidth="1"/>
    <col min="8713" max="8713" width="13.54296875" style="3" customWidth="1"/>
    <col min="8714" max="8714" width="16.81640625" style="3" customWidth="1"/>
    <col min="8715" max="8716" width="9.1796875" style="3"/>
    <col min="8717" max="8717" width="11.54296875" style="3" customWidth="1"/>
    <col min="8718" max="8962" width="9.1796875" style="3"/>
    <col min="8963" max="8963" width="3.81640625" style="3" customWidth="1"/>
    <col min="8964" max="8964" width="39.7265625" style="3" customWidth="1"/>
    <col min="8965" max="8965" width="9.7265625" style="3" customWidth="1"/>
    <col min="8966" max="8966" width="20.81640625" style="3" customWidth="1"/>
    <col min="8967" max="8967" width="16" style="3" customWidth="1"/>
    <col min="8968" max="8968" width="16.1796875" style="3" customWidth="1"/>
    <col min="8969" max="8969" width="13.54296875" style="3" customWidth="1"/>
    <col min="8970" max="8970" width="16.81640625" style="3" customWidth="1"/>
    <col min="8971" max="8972" width="9.1796875" style="3"/>
    <col min="8973" max="8973" width="11.54296875" style="3" customWidth="1"/>
    <col min="8974" max="9218" width="9.1796875" style="3"/>
    <col min="9219" max="9219" width="3.81640625" style="3" customWidth="1"/>
    <col min="9220" max="9220" width="39.7265625" style="3" customWidth="1"/>
    <col min="9221" max="9221" width="9.7265625" style="3" customWidth="1"/>
    <col min="9222" max="9222" width="20.81640625" style="3" customWidth="1"/>
    <col min="9223" max="9223" width="16" style="3" customWidth="1"/>
    <col min="9224" max="9224" width="16.1796875" style="3" customWidth="1"/>
    <col min="9225" max="9225" width="13.54296875" style="3" customWidth="1"/>
    <col min="9226" max="9226" width="16.81640625" style="3" customWidth="1"/>
    <col min="9227" max="9228" width="9.1796875" style="3"/>
    <col min="9229" max="9229" width="11.54296875" style="3" customWidth="1"/>
    <col min="9230" max="9474" width="9.1796875" style="3"/>
    <col min="9475" max="9475" width="3.81640625" style="3" customWidth="1"/>
    <col min="9476" max="9476" width="39.7265625" style="3" customWidth="1"/>
    <col min="9477" max="9477" width="9.7265625" style="3" customWidth="1"/>
    <col min="9478" max="9478" width="20.81640625" style="3" customWidth="1"/>
    <col min="9479" max="9479" width="16" style="3" customWidth="1"/>
    <col min="9480" max="9480" width="16.1796875" style="3" customWidth="1"/>
    <col min="9481" max="9481" width="13.54296875" style="3" customWidth="1"/>
    <col min="9482" max="9482" width="16.81640625" style="3" customWidth="1"/>
    <col min="9483" max="9484" width="9.1796875" style="3"/>
    <col min="9485" max="9485" width="11.54296875" style="3" customWidth="1"/>
    <col min="9486" max="9730" width="9.1796875" style="3"/>
    <col min="9731" max="9731" width="3.81640625" style="3" customWidth="1"/>
    <col min="9732" max="9732" width="39.7265625" style="3" customWidth="1"/>
    <col min="9733" max="9733" width="9.7265625" style="3" customWidth="1"/>
    <col min="9734" max="9734" width="20.81640625" style="3" customWidth="1"/>
    <col min="9735" max="9735" width="16" style="3" customWidth="1"/>
    <col min="9736" max="9736" width="16.1796875" style="3" customWidth="1"/>
    <col min="9737" max="9737" width="13.54296875" style="3" customWidth="1"/>
    <col min="9738" max="9738" width="16.81640625" style="3" customWidth="1"/>
    <col min="9739" max="9740" width="9.1796875" style="3"/>
    <col min="9741" max="9741" width="11.54296875" style="3" customWidth="1"/>
    <col min="9742" max="9986" width="9.1796875" style="3"/>
    <col min="9987" max="9987" width="3.81640625" style="3" customWidth="1"/>
    <col min="9988" max="9988" width="39.7265625" style="3" customWidth="1"/>
    <col min="9989" max="9989" width="9.7265625" style="3" customWidth="1"/>
    <col min="9990" max="9990" width="20.81640625" style="3" customWidth="1"/>
    <col min="9991" max="9991" width="16" style="3" customWidth="1"/>
    <col min="9992" max="9992" width="16.1796875" style="3" customWidth="1"/>
    <col min="9993" max="9993" width="13.54296875" style="3" customWidth="1"/>
    <col min="9994" max="9994" width="16.81640625" style="3" customWidth="1"/>
    <col min="9995" max="9996" width="9.1796875" style="3"/>
    <col min="9997" max="9997" width="11.54296875" style="3" customWidth="1"/>
    <col min="9998" max="10242" width="9.1796875" style="3"/>
    <col min="10243" max="10243" width="3.81640625" style="3" customWidth="1"/>
    <col min="10244" max="10244" width="39.7265625" style="3" customWidth="1"/>
    <col min="10245" max="10245" width="9.7265625" style="3" customWidth="1"/>
    <col min="10246" max="10246" width="20.81640625" style="3" customWidth="1"/>
    <col min="10247" max="10247" width="16" style="3" customWidth="1"/>
    <col min="10248" max="10248" width="16.1796875" style="3" customWidth="1"/>
    <col min="10249" max="10249" width="13.54296875" style="3" customWidth="1"/>
    <col min="10250" max="10250" width="16.81640625" style="3" customWidth="1"/>
    <col min="10251" max="10252" width="9.1796875" style="3"/>
    <col min="10253" max="10253" width="11.54296875" style="3" customWidth="1"/>
    <col min="10254" max="10498" width="9.1796875" style="3"/>
    <col min="10499" max="10499" width="3.81640625" style="3" customWidth="1"/>
    <col min="10500" max="10500" width="39.7265625" style="3" customWidth="1"/>
    <col min="10501" max="10501" width="9.7265625" style="3" customWidth="1"/>
    <col min="10502" max="10502" width="20.81640625" style="3" customWidth="1"/>
    <col min="10503" max="10503" width="16" style="3" customWidth="1"/>
    <col min="10504" max="10504" width="16.1796875" style="3" customWidth="1"/>
    <col min="10505" max="10505" width="13.54296875" style="3" customWidth="1"/>
    <col min="10506" max="10506" width="16.81640625" style="3" customWidth="1"/>
    <col min="10507" max="10508" width="9.1796875" style="3"/>
    <col min="10509" max="10509" width="11.54296875" style="3" customWidth="1"/>
    <col min="10510" max="10754" width="9.1796875" style="3"/>
    <col min="10755" max="10755" width="3.81640625" style="3" customWidth="1"/>
    <col min="10756" max="10756" width="39.7265625" style="3" customWidth="1"/>
    <col min="10757" max="10757" width="9.7265625" style="3" customWidth="1"/>
    <col min="10758" max="10758" width="20.81640625" style="3" customWidth="1"/>
    <col min="10759" max="10759" width="16" style="3" customWidth="1"/>
    <col min="10760" max="10760" width="16.1796875" style="3" customWidth="1"/>
    <col min="10761" max="10761" width="13.54296875" style="3" customWidth="1"/>
    <col min="10762" max="10762" width="16.81640625" style="3" customWidth="1"/>
    <col min="10763" max="10764" width="9.1796875" style="3"/>
    <col min="10765" max="10765" width="11.54296875" style="3" customWidth="1"/>
    <col min="10766" max="11010" width="9.1796875" style="3"/>
    <col min="11011" max="11011" width="3.81640625" style="3" customWidth="1"/>
    <col min="11012" max="11012" width="39.7265625" style="3" customWidth="1"/>
    <col min="11013" max="11013" width="9.7265625" style="3" customWidth="1"/>
    <col min="11014" max="11014" width="20.81640625" style="3" customWidth="1"/>
    <col min="11015" max="11015" width="16" style="3" customWidth="1"/>
    <col min="11016" max="11016" width="16.1796875" style="3" customWidth="1"/>
    <col min="11017" max="11017" width="13.54296875" style="3" customWidth="1"/>
    <col min="11018" max="11018" width="16.81640625" style="3" customWidth="1"/>
    <col min="11019" max="11020" width="9.1796875" style="3"/>
    <col min="11021" max="11021" width="11.54296875" style="3" customWidth="1"/>
    <col min="11022" max="11266" width="9.1796875" style="3"/>
    <col min="11267" max="11267" width="3.81640625" style="3" customWidth="1"/>
    <col min="11268" max="11268" width="39.7265625" style="3" customWidth="1"/>
    <col min="11269" max="11269" width="9.7265625" style="3" customWidth="1"/>
    <col min="11270" max="11270" width="20.81640625" style="3" customWidth="1"/>
    <col min="11271" max="11271" width="16" style="3" customWidth="1"/>
    <col min="11272" max="11272" width="16.1796875" style="3" customWidth="1"/>
    <col min="11273" max="11273" width="13.54296875" style="3" customWidth="1"/>
    <col min="11274" max="11274" width="16.81640625" style="3" customWidth="1"/>
    <col min="11275" max="11276" width="9.1796875" style="3"/>
    <col min="11277" max="11277" width="11.54296875" style="3" customWidth="1"/>
    <col min="11278" max="11522" width="9.1796875" style="3"/>
    <col min="11523" max="11523" width="3.81640625" style="3" customWidth="1"/>
    <col min="11524" max="11524" width="39.7265625" style="3" customWidth="1"/>
    <col min="11525" max="11525" width="9.7265625" style="3" customWidth="1"/>
    <col min="11526" max="11526" width="20.81640625" style="3" customWidth="1"/>
    <col min="11527" max="11527" width="16" style="3" customWidth="1"/>
    <col min="11528" max="11528" width="16.1796875" style="3" customWidth="1"/>
    <col min="11529" max="11529" width="13.54296875" style="3" customWidth="1"/>
    <col min="11530" max="11530" width="16.81640625" style="3" customWidth="1"/>
    <col min="11531" max="11532" width="9.1796875" style="3"/>
    <col min="11533" max="11533" width="11.54296875" style="3" customWidth="1"/>
    <col min="11534" max="11778" width="9.1796875" style="3"/>
    <col min="11779" max="11779" width="3.81640625" style="3" customWidth="1"/>
    <col min="11780" max="11780" width="39.7265625" style="3" customWidth="1"/>
    <col min="11781" max="11781" width="9.7265625" style="3" customWidth="1"/>
    <col min="11782" max="11782" width="20.81640625" style="3" customWidth="1"/>
    <col min="11783" max="11783" width="16" style="3" customWidth="1"/>
    <col min="11784" max="11784" width="16.1796875" style="3" customWidth="1"/>
    <col min="11785" max="11785" width="13.54296875" style="3" customWidth="1"/>
    <col min="11786" max="11786" width="16.81640625" style="3" customWidth="1"/>
    <col min="11787" max="11788" width="9.1796875" style="3"/>
    <col min="11789" max="11789" width="11.54296875" style="3" customWidth="1"/>
    <col min="11790" max="12034" width="9.1796875" style="3"/>
    <col min="12035" max="12035" width="3.81640625" style="3" customWidth="1"/>
    <col min="12036" max="12036" width="39.7265625" style="3" customWidth="1"/>
    <col min="12037" max="12037" width="9.7265625" style="3" customWidth="1"/>
    <col min="12038" max="12038" width="20.81640625" style="3" customWidth="1"/>
    <col min="12039" max="12039" width="16" style="3" customWidth="1"/>
    <col min="12040" max="12040" width="16.1796875" style="3" customWidth="1"/>
    <col min="12041" max="12041" width="13.54296875" style="3" customWidth="1"/>
    <col min="12042" max="12042" width="16.81640625" style="3" customWidth="1"/>
    <col min="12043" max="12044" width="9.1796875" style="3"/>
    <col min="12045" max="12045" width="11.54296875" style="3" customWidth="1"/>
    <col min="12046" max="12290" width="9.1796875" style="3"/>
    <col min="12291" max="12291" width="3.81640625" style="3" customWidth="1"/>
    <col min="12292" max="12292" width="39.7265625" style="3" customWidth="1"/>
    <col min="12293" max="12293" width="9.7265625" style="3" customWidth="1"/>
    <col min="12294" max="12294" width="20.81640625" style="3" customWidth="1"/>
    <col min="12295" max="12295" width="16" style="3" customWidth="1"/>
    <col min="12296" max="12296" width="16.1796875" style="3" customWidth="1"/>
    <col min="12297" max="12297" width="13.54296875" style="3" customWidth="1"/>
    <col min="12298" max="12298" width="16.81640625" style="3" customWidth="1"/>
    <col min="12299" max="12300" width="9.1796875" style="3"/>
    <col min="12301" max="12301" width="11.54296875" style="3" customWidth="1"/>
    <col min="12302" max="12546" width="9.1796875" style="3"/>
    <col min="12547" max="12547" width="3.81640625" style="3" customWidth="1"/>
    <col min="12548" max="12548" width="39.7265625" style="3" customWidth="1"/>
    <col min="12549" max="12549" width="9.7265625" style="3" customWidth="1"/>
    <col min="12550" max="12550" width="20.81640625" style="3" customWidth="1"/>
    <col min="12551" max="12551" width="16" style="3" customWidth="1"/>
    <col min="12552" max="12552" width="16.1796875" style="3" customWidth="1"/>
    <col min="12553" max="12553" width="13.54296875" style="3" customWidth="1"/>
    <col min="12554" max="12554" width="16.81640625" style="3" customWidth="1"/>
    <col min="12555" max="12556" width="9.1796875" style="3"/>
    <col min="12557" max="12557" width="11.54296875" style="3" customWidth="1"/>
    <col min="12558" max="12802" width="9.1796875" style="3"/>
    <col min="12803" max="12803" width="3.81640625" style="3" customWidth="1"/>
    <col min="12804" max="12804" width="39.7265625" style="3" customWidth="1"/>
    <col min="12805" max="12805" width="9.7265625" style="3" customWidth="1"/>
    <col min="12806" max="12806" width="20.81640625" style="3" customWidth="1"/>
    <col min="12807" max="12807" width="16" style="3" customWidth="1"/>
    <col min="12808" max="12808" width="16.1796875" style="3" customWidth="1"/>
    <col min="12809" max="12809" width="13.54296875" style="3" customWidth="1"/>
    <col min="12810" max="12810" width="16.81640625" style="3" customWidth="1"/>
    <col min="12811" max="12812" width="9.1796875" style="3"/>
    <col min="12813" max="12813" width="11.54296875" style="3" customWidth="1"/>
    <col min="12814" max="13058" width="9.1796875" style="3"/>
    <col min="13059" max="13059" width="3.81640625" style="3" customWidth="1"/>
    <col min="13060" max="13060" width="39.7265625" style="3" customWidth="1"/>
    <col min="13061" max="13061" width="9.7265625" style="3" customWidth="1"/>
    <col min="13062" max="13062" width="20.81640625" style="3" customWidth="1"/>
    <col min="13063" max="13063" width="16" style="3" customWidth="1"/>
    <col min="13064" max="13064" width="16.1796875" style="3" customWidth="1"/>
    <col min="13065" max="13065" width="13.54296875" style="3" customWidth="1"/>
    <col min="13066" max="13066" width="16.81640625" style="3" customWidth="1"/>
    <col min="13067" max="13068" width="9.1796875" style="3"/>
    <col min="13069" max="13069" width="11.54296875" style="3" customWidth="1"/>
    <col min="13070" max="13314" width="9.1796875" style="3"/>
    <col min="13315" max="13315" width="3.81640625" style="3" customWidth="1"/>
    <col min="13316" max="13316" width="39.7265625" style="3" customWidth="1"/>
    <col min="13317" max="13317" width="9.7265625" style="3" customWidth="1"/>
    <col min="13318" max="13318" width="20.81640625" style="3" customWidth="1"/>
    <col min="13319" max="13319" width="16" style="3" customWidth="1"/>
    <col min="13320" max="13320" width="16.1796875" style="3" customWidth="1"/>
    <col min="13321" max="13321" width="13.54296875" style="3" customWidth="1"/>
    <col min="13322" max="13322" width="16.81640625" style="3" customWidth="1"/>
    <col min="13323" max="13324" width="9.1796875" style="3"/>
    <col min="13325" max="13325" width="11.54296875" style="3" customWidth="1"/>
    <col min="13326" max="13570" width="9.1796875" style="3"/>
    <col min="13571" max="13571" width="3.81640625" style="3" customWidth="1"/>
    <col min="13572" max="13572" width="39.7265625" style="3" customWidth="1"/>
    <col min="13573" max="13573" width="9.7265625" style="3" customWidth="1"/>
    <col min="13574" max="13574" width="20.81640625" style="3" customWidth="1"/>
    <col min="13575" max="13575" width="16" style="3" customWidth="1"/>
    <col min="13576" max="13576" width="16.1796875" style="3" customWidth="1"/>
    <col min="13577" max="13577" width="13.54296875" style="3" customWidth="1"/>
    <col min="13578" max="13578" width="16.81640625" style="3" customWidth="1"/>
    <col min="13579" max="13580" width="9.1796875" style="3"/>
    <col min="13581" max="13581" width="11.54296875" style="3" customWidth="1"/>
    <col min="13582" max="13826" width="9.1796875" style="3"/>
    <col min="13827" max="13827" width="3.81640625" style="3" customWidth="1"/>
    <col min="13828" max="13828" width="39.7265625" style="3" customWidth="1"/>
    <col min="13829" max="13829" width="9.7265625" style="3" customWidth="1"/>
    <col min="13830" max="13830" width="20.81640625" style="3" customWidth="1"/>
    <col min="13831" max="13831" width="16" style="3" customWidth="1"/>
    <col min="13832" max="13832" width="16.1796875" style="3" customWidth="1"/>
    <col min="13833" max="13833" width="13.54296875" style="3" customWidth="1"/>
    <col min="13834" max="13834" width="16.81640625" style="3" customWidth="1"/>
    <col min="13835" max="13836" width="9.1796875" style="3"/>
    <col min="13837" max="13837" width="11.54296875" style="3" customWidth="1"/>
    <col min="13838" max="14082" width="9.1796875" style="3"/>
    <col min="14083" max="14083" width="3.81640625" style="3" customWidth="1"/>
    <col min="14084" max="14084" width="39.7265625" style="3" customWidth="1"/>
    <col min="14085" max="14085" width="9.7265625" style="3" customWidth="1"/>
    <col min="14086" max="14086" width="20.81640625" style="3" customWidth="1"/>
    <col min="14087" max="14087" width="16" style="3" customWidth="1"/>
    <col min="14088" max="14088" width="16.1796875" style="3" customWidth="1"/>
    <col min="14089" max="14089" width="13.54296875" style="3" customWidth="1"/>
    <col min="14090" max="14090" width="16.81640625" style="3" customWidth="1"/>
    <col min="14091" max="14092" width="9.1796875" style="3"/>
    <col min="14093" max="14093" width="11.54296875" style="3" customWidth="1"/>
    <col min="14094" max="14338" width="9.1796875" style="3"/>
    <col min="14339" max="14339" width="3.81640625" style="3" customWidth="1"/>
    <col min="14340" max="14340" width="39.7265625" style="3" customWidth="1"/>
    <col min="14341" max="14341" width="9.7265625" style="3" customWidth="1"/>
    <col min="14342" max="14342" width="20.81640625" style="3" customWidth="1"/>
    <col min="14343" max="14343" width="16" style="3" customWidth="1"/>
    <col min="14344" max="14344" width="16.1796875" style="3" customWidth="1"/>
    <col min="14345" max="14345" width="13.54296875" style="3" customWidth="1"/>
    <col min="14346" max="14346" width="16.81640625" style="3" customWidth="1"/>
    <col min="14347" max="14348" width="9.1796875" style="3"/>
    <col min="14349" max="14349" width="11.54296875" style="3" customWidth="1"/>
    <col min="14350" max="14594" width="9.1796875" style="3"/>
    <col min="14595" max="14595" width="3.81640625" style="3" customWidth="1"/>
    <col min="14596" max="14596" width="39.7265625" style="3" customWidth="1"/>
    <col min="14597" max="14597" width="9.7265625" style="3" customWidth="1"/>
    <col min="14598" max="14598" width="20.81640625" style="3" customWidth="1"/>
    <col min="14599" max="14599" width="16" style="3" customWidth="1"/>
    <col min="14600" max="14600" width="16.1796875" style="3" customWidth="1"/>
    <col min="14601" max="14601" width="13.54296875" style="3" customWidth="1"/>
    <col min="14602" max="14602" width="16.81640625" style="3" customWidth="1"/>
    <col min="14603" max="14604" width="9.1796875" style="3"/>
    <col min="14605" max="14605" width="11.54296875" style="3" customWidth="1"/>
    <col min="14606" max="14850" width="9.1796875" style="3"/>
    <col min="14851" max="14851" width="3.81640625" style="3" customWidth="1"/>
    <col min="14852" max="14852" width="39.7265625" style="3" customWidth="1"/>
    <col min="14853" max="14853" width="9.7265625" style="3" customWidth="1"/>
    <col min="14854" max="14854" width="20.81640625" style="3" customWidth="1"/>
    <col min="14855" max="14855" width="16" style="3" customWidth="1"/>
    <col min="14856" max="14856" width="16.1796875" style="3" customWidth="1"/>
    <col min="14857" max="14857" width="13.54296875" style="3" customWidth="1"/>
    <col min="14858" max="14858" width="16.81640625" style="3" customWidth="1"/>
    <col min="14859" max="14860" width="9.1796875" style="3"/>
    <col min="14861" max="14861" width="11.54296875" style="3" customWidth="1"/>
    <col min="14862" max="15106" width="9.1796875" style="3"/>
    <col min="15107" max="15107" width="3.81640625" style="3" customWidth="1"/>
    <col min="15108" max="15108" width="39.7265625" style="3" customWidth="1"/>
    <col min="15109" max="15109" width="9.7265625" style="3" customWidth="1"/>
    <col min="15110" max="15110" width="20.81640625" style="3" customWidth="1"/>
    <col min="15111" max="15111" width="16" style="3" customWidth="1"/>
    <col min="15112" max="15112" width="16.1796875" style="3" customWidth="1"/>
    <col min="15113" max="15113" width="13.54296875" style="3" customWidth="1"/>
    <col min="15114" max="15114" width="16.81640625" style="3" customWidth="1"/>
    <col min="15115" max="15116" width="9.1796875" style="3"/>
    <col min="15117" max="15117" width="11.54296875" style="3" customWidth="1"/>
    <col min="15118" max="15362" width="9.1796875" style="3"/>
    <col min="15363" max="15363" width="3.81640625" style="3" customWidth="1"/>
    <col min="15364" max="15364" width="39.7265625" style="3" customWidth="1"/>
    <col min="15365" max="15365" width="9.7265625" style="3" customWidth="1"/>
    <col min="15366" max="15366" width="20.81640625" style="3" customWidth="1"/>
    <col min="15367" max="15367" width="16" style="3" customWidth="1"/>
    <col min="15368" max="15368" width="16.1796875" style="3" customWidth="1"/>
    <col min="15369" max="15369" width="13.54296875" style="3" customWidth="1"/>
    <col min="15370" max="15370" width="16.81640625" style="3" customWidth="1"/>
    <col min="15371" max="15372" width="9.1796875" style="3"/>
    <col min="15373" max="15373" width="11.54296875" style="3" customWidth="1"/>
    <col min="15374" max="15618" width="9.1796875" style="3"/>
    <col min="15619" max="15619" width="3.81640625" style="3" customWidth="1"/>
    <col min="15620" max="15620" width="39.7265625" style="3" customWidth="1"/>
    <col min="15621" max="15621" width="9.7265625" style="3" customWidth="1"/>
    <col min="15622" max="15622" width="20.81640625" style="3" customWidth="1"/>
    <col min="15623" max="15623" width="16" style="3" customWidth="1"/>
    <col min="15624" max="15624" width="16.1796875" style="3" customWidth="1"/>
    <col min="15625" max="15625" width="13.54296875" style="3" customWidth="1"/>
    <col min="15626" max="15626" width="16.81640625" style="3" customWidth="1"/>
    <col min="15627" max="15628" width="9.1796875" style="3"/>
    <col min="15629" max="15629" width="11.54296875" style="3" customWidth="1"/>
    <col min="15630" max="15874" width="9.1796875" style="3"/>
    <col min="15875" max="15875" width="3.81640625" style="3" customWidth="1"/>
    <col min="15876" max="15876" width="39.7265625" style="3" customWidth="1"/>
    <col min="15877" max="15877" width="9.7265625" style="3" customWidth="1"/>
    <col min="15878" max="15878" width="20.81640625" style="3" customWidth="1"/>
    <col min="15879" max="15879" width="16" style="3" customWidth="1"/>
    <col min="15880" max="15880" width="16.1796875" style="3" customWidth="1"/>
    <col min="15881" max="15881" width="13.54296875" style="3" customWidth="1"/>
    <col min="15882" max="15882" width="16.81640625" style="3" customWidth="1"/>
    <col min="15883" max="15884" width="9.1796875" style="3"/>
    <col min="15885" max="15885" width="11.54296875" style="3" customWidth="1"/>
    <col min="15886" max="16130" width="9.1796875" style="3"/>
    <col min="16131" max="16131" width="3.81640625" style="3" customWidth="1"/>
    <col min="16132" max="16132" width="39.7265625" style="3" customWidth="1"/>
    <col min="16133" max="16133" width="9.7265625" style="3" customWidth="1"/>
    <col min="16134" max="16134" width="20.81640625" style="3" customWidth="1"/>
    <col min="16135" max="16135" width="16" style="3" customWidth="1"/>
    <col min="16136" max="16136" width="16.1796875" style="3" customWidth="1"/>
    <col min="16137" max="16137" width="13.54296875" style="3" customWidth="1"/>
    <col min="16138" max="16138" width="16.81640625" style="3" customWidth="1"/>
    <col min="16139" max="16140" width="9.1796875" style="3"/>
    <col min="16141" max="16141" width="11.54296875" style="3" customWidth="1"/>
    <col min="16142" max="16384" width="9.1796875" style="3"/>
  </cols>
  <sheetData>
    <row r="1" spans="5:11" ht="26.25" customHeight="1">
      <c r="G1" s="1" t="s">
        <v>9</v>
      </c>
      <c r="H1" s="6"/>
      <c r="I1" s="6"/>
    </row>
    <row r="2" spans="5:11" ht="26.25" customHeight="1">
      <c r="G2" s="1" t="s">
        <v>34</v>
      </c>
      <c r="H2" s="6"/>
      <c r="I2" s="6"/>
    </row>
    <row r="3" spans="5:11" ht="26.25" customHeight="1">
      <c r="G3" s="2" t="s">
        <v>13</v>
      </c>
      <c r="H3" s="7"/>
      <c r="I3" s="7"/>
      <c r="J3" s="8"/>
      <c r="K3" s="8"/>
    </row>
    <row r="5" spans="5:11" ht="23.5">
      <c r="E5" s="9"/>
      <c r="F5" s="282" t="s">
        <v>12</v>
      </c>
      <c r="G5" s="282"/>
      <c r="H5" s="282"/>
      <c r="I5" s="282"/>
      <c r="J5" s="282"/>
      <c r="K5" s="282"/>
    </row>
    <row r="7" spans="5:11" s="14" customFormat="1">
      <c r="F7" s="16"/>
      <c r="H7" s="281" t="s">
        <v>10</v>
      </c>
      <c r="I7" s="281"/>
      <c r="J7" s="281"/>
      <c r="K7" s="281"/>
    </row>
    <row r="8" spans="5:11" s="14" customFormat="1" ht="39.75" customHeight="1">
      <c r="F8" s="16"/>
      <c r="H8" s="17" t="s">
        <v>6</v>
      </c>
      <c r="I8" s="18"/>
      <c r="J8" s="17" t="s">
        <v>6</v>
      </c>
      <c r="K8" s="17" t="s">
        <v>11</v>
      </c>
    </row>
    <row r="9" spans="5:11" s="14" customFormat="1" ht="30.5">
      <c r="F9" s="11">
        <v>1</v>
      </c>
      <c r="G9" s="19" t="s">
        <v>17</v>
      </c>
      <c r="H9" s="17" t="s">
        <v>14</v>
      </c>
      <c r="I9" s="17"/>
      <c r="J9" s="21" t="s">
        <v>15</v>
      </c>
      <c r="K9" s="20"/>
    </row>
    <row r="10" spans="5:11" s="34" customFormat="1" ht="35.25" customHeight="1">
      <c r="F10" s="10"/>
      <c r="G10" s="36" t="s">
        <v>32</v>
      </c>
      <c r="H10" s="5">
        <f>+'[1]FIN REPORT Q2'!$D$23</f>
        <v>913992181</v>
      </c>
      <c r="I10" s="5">
        <v>16433945</v>
      </c>
      <c r="J10" s="4">
        <f>+'[1]FIN REPORT Q2'!$C$23</f>
        <v>931182133</v>
      </c>
      <c r="K10" s="38"/>
    </row>
    <row r="11" spans="5:11" s="14" customFormat="1" ht="40.5" customHeight="1" thickBot="1">
      <c r="F11" s="16"/>
      <c r="G11" s="12" t="s">
        <v>7</v>
      </c>
      <c r="H11" s="22">
        <f>SUM(H10:H10)</f>
        <v>913992181</v>
      </c>
      <c r="I11" s="22">
        <f>SUM(I10:I10)</f>
        <v>16433945</v>
      </c>
      <c r="J11" s="22">
        <f>SUM(J10:J10)</f>
        <v>931182133</v>
      </c>
      <c r="K11" s="42">
        <f>+H11*100/J11</f>
        <v>98.153964579988354</v>
      </c>
    </row>
    <row r="12" spans="5:11" s="14" customFormat="1" ht="26.5" thickTop="1">
      <c r="F12" s="16"/>
      <c r="G12" s="12" t="s">
        <v>20</v>
      </c>
      <c r="H12" s="40">
        <f>+J11-H11</f>
        <v>17189952</v>
      </c>
      <c r="I12" s="23"/>
      <c r="J12" s="23"/>
      <c r="K12" s="39">
        <f>+H12*100/H11</f>
        <v>1.8807548201552942</v>
      </c>
    </row>
    <row r="13" spans="5:11" s="14" customFormat="1" ht="25.5">
      <c r="F13" s="11"/>
      <c r="G13" s="25"/>
      <c r="H13" s="26"/>
      <c r="I13" s="13"/>
      <c r="J13" s="26"/>
      <c r="K13" s="13"/>
    </row>
    <row r="14" spans="5:11" s="14" customFormat="1" ht="25.5">
      <c r="F14" s="11"/>
      <c r="G14" s="25"/>
      <c r="H14" s="18"/>
      <c r="I14" s="13"/>
      <c r="J14" s="13" t="s">
        <v>5</v>
      </c>
      <c r="K14" s="13"/>
    </row>
    <row r="15" spans="5:11" s="14" customFormat="1">
      <c r="F15" s="11"/>
      <c r="G15" s="73" t="str">
        <f>G1</f>
        <v>Rwanda Wood Value Chain Association</v>
      </c>
      <c r="H15" s="18"/>
      <c r="I15" s="23"/>
      <c r="J15" s="23"/>
      <c r="K15" s="23"/>
    </row>
    <row r="16" spans="5:11" s="14" customFormat="1" ht="37.5" customHeight="1">
      <c r="F16" s="11"/>
      <c r="G16" s="73" t="s">
        <v>34</v>
      </c>
      <c r="H16" s="18"/>
      <c r="I16" s="23"/>
      <c r="J16" s="23"/>
      <c r="K16" s="23"/>
    </row>
    <row r="17" spans="6:11" s="14" customFormat="1">
      <c r="F17" s="11"/>
      <c r="G17" s="74" t="str">
        <f>G3</f>
        <v>For the Quarter 2(April,May and June,2026)</v>
      </c>
      <c r="H17" s="27"/>
      <c r="I17" s="28"/>
      <c r="J17" s="28"/>
      <c r="K17" s="29"/>
    </row>
    <row r="18" spans="6:11" s="14" customFormat="1">
      <c r="F18" s="11"/>
      <c r="G18" s="30"/>
      <c r="H18" s="18"/>
      <c r="I18" s="23"/>
      <c r="J18" s="23"/>
      <c r="K18" s="23"/>
    </row>
    <row r="19" spans="6:11" s="14" customFormat="1">
      <c r="F19" s="16"/>
      <c r="H19" s="281" t="str">
        <f>H7</f>
        <v>Q2</v>
      </c>
      <c r="I19" s="281"/>
      <c r="J19" s="281"/>
      <c r="K19" s="281"/>
    </row>
    <row r="20" spans="6:11" s="12" customFormat="1" ht="30.5">
      <c r="F20" s="11">
        <v>2</v>
      </c>
      <c r="G20" s="19" t="s">
        <v>16</v>
      </c>
      <c r="H20" s="17" t="s">
        <v>0</v>
      </c>
      <c r="I20" s="17"/>
      <c r="J20" s="17" t="s">
        <v>0</v>
      </c>
      <c r="K20" s="13" t="s">
        <v>11</v>
      </c>
    </row>
    <row r="21" spans="6:11" s="12" customFormat="1" ht="30.5">
      <c r="F21" s="11"/>
      <c r="G21" s="19"/>
      <c r="H21" s="17" t="s">
        <v>1</v>
      </c>
      <c r="I21" s="17"/>
      <c r="J21" s="17" t="s">
        <v>22</v>
      </c>
      <c r="K21" s="13"/>
    </row>
    <row r="22" spans="6:11" s="14" customFormat="1">
      <c r="F22" s="16"/>
      <c r="G22" s="14" t="s">
        <v>2</v>
      </c>
      <c r="H22" s="37">
        <v>90789893</v>
      </c>
      <c r="J22" s="37">
        <v>85107489</v>
      </c>
      <c r="K22" s="13">
        <f>+H22*100/J22</f>
        <v>106.67673793078303</v>
      </c>
    </row>
    <row r="23" spans="6:11" s="14" customFormat="1">
      <c r="F23" s="16"/>
      <c r="G23" s="14" t="s">
        <v>19</v>
      </c>
      <c r="H23" s="18">
        <f>+H25-H24-H22</f>
        <v>417975015</v>
      </c>
      <c r="I23" s="18"/>
      <c r="J23" s="18">
        <f>+J25-J24-J22</f>
        <v>523462797</v>
      </c>
      <c r="K23" s="13">
        <f>+H23*100/J23</f>
        <v>79.848084218294503</v>
      </c>
    </row>
    <row r="24" spans="6:11" s="14" customFormat="1">
      <c r="F24" s="16"/>
      <c r="G24" s="14" t="s">
        <v>18</v>
      </c>
      <c r="H24" s="18">
        <f>+'[1]FIN REPORT Q2'!$D$111</f>
        <v>277656</v>
      </c>
      <c r="I24" s="18"/>
      <c r="J24" s="18">
        <f>+'[1]FIN REPORT Q2'!$C$111</f>
        <v>250000</v>
      </c>
      <c r="K24" s="13">
        <f>+H24*100/J24</f>
        <v>111.0624</v>
      </c>
    </row>
    <row r="25" spans="6:11" s="14" customFormat="1" ht="26.5" thickBot="1">
      <c r="F25" s="16"/>
      <c r="G25" s="12" t="s">
        <v>21</v>
      </c>
      <c r="H25" s="41">
        <f>+'[1]FIN REPORT Q2'!$D$114</f>
        <v>509042564</v>
      </c>
      <c r="I25" s="17"/>
      <c r="J25" s="41">
        <f>+'[1]FIN REPORT Q2'!$C$114</f>
        <v>608820286</v>
      </c>
      <c r="K25" s="13">
        <f>+H25*100/J25</f>
        <v>83.611301348785872</v>
      </c>
    </row>
    <row r="26" spans="6:11" s="14" customFormat="1" ht="26.5" thickTop="1">
      <c r="F26" s="16"/>
      <c r="G26" s="12" t="s">
        <v>26</v>
      </c>
      <c r="H26" s="32">
        <f>+H11-H25</f>
        <v>404949617</v>
      </c>
      <c r="I26" s="27"/>
      <c r="J26" s="32">
        <f>+J11-J25</f>
        <v>322361847</v>
      </c>
      <c r="K26" s="33"/>
    </row>
    <row r="27" spans="6:11" s="14" customFormat="1">
      <c r="F27" s="16"/>
      <c r="H27" s="18"/>
      <c r="I27" s="18"/>
      <c r="J27" s="18"/>
      <c r="K27" s="13"/>
    </row>
    <row r="28" spans="6:11" s="14" customFormat="1" ht="25.5">
      <c r="F28" s="11">
        <v>3</v>
      </c>
      <c r="G28" s="12" t="s">
        <v>30</v>
      </c>
      <c r="H28" s="18"/>
      <c r="I28" s="18"/>
      <c r="J28" s="18"/>
      <c r="K28" s="13"/>
    </row>
    <row r="29" spans="6:11" s="14" customFormat="1" ht="30.5">
      <c r="F29" s="11">
        <v>3.1</v>
      </c>
      <c r="G29" s="19" t="s">
        <v>4</v>
      </c>
      <c r="H29" s="31"/>
      <c r="I29" s="23"/>
      <c r="J29" s="31"/>
      <c r="K29" s="18"/>
    </row>
    <row r="30" spans="6:11" s="14" customFormat="1">
      <c r="F30" s="16"/>
      <c r="G30" s="14" t="s">
        <v>340</v>
      </c>
      <c r="H30" s="18">
        <v>0</v>
      </c>
      <c r="I30" s="24"/>
      <c r="J30" s="24">
        <f>+'[1]FIN REPORT Q2'!$E$101</f>
        <v>59079458</v>
      </c>
      <c r="K30" s="24"/>
    </row>
    <row r="31" spans="6:11" s="14" customFormat="1">
      <c r="F31" s="16"/>
      <c r="G31" s="14" t="s">
        <v>23</v>
      </c>
      <c r="H31" s="18">
        <v>0</v>
      </c>
      <c r="I31" s="18"/>
      <c r="J31" s="20">
        <f>+'[1]FIN REPORT Q2'!$E$102</f>
        <v>21599024</v>
      </c>
      <c r="K31" s="20"/>
    </row>
    <row r="32" spans="6:11" s="14" customFormat="1" ht="32.25" customHeight="1" thickBot="1">
      <c r="F32" s="16"/>
      <c r="G32" s="12" t="s">
        <v>3</v>
      </c>
      <c r="H32" s="22"/>
      <c r="I32" s="22">
        <f>SUM(I29:I31)</f>
        <v>0</v>
      </c>
      <c r="J32" s="22">
        <f>SUM(J30:J31)</f>
        <v>80678482</v>
      </c>
      <c r="K32" s="20"/>
    </row>
    <row r="33" spans="6:13" s="14" customFormat="1" ht="26.5" thickTop="1">
      <c r="F33" s="16"/>
      <c r="H33" s="18"/>
      <c r="I33" s="18"/>
      <c r="J33" s="20"/>
      <c r="K33" s="20"/>
    </row>
    <row r="34" spans="6:13" s="14" customFormat="1" ht="30.5">
      <c r="F34" s="11">
        <v>3.2</v>
      </c>
      <c r="G34" s="19" t="s">
        <v>8</v>
      </c>
      <c r="H34" s="18"/>
      <c r="I34" s="17"/>
      <c r="J34" s="17"/>
      <c r="K34" s="13"/>
      <c r="M34" s="15"/>
    </row>
    <row r="35" spans="6:13" s="14" customFormat="1" ht="37.5" customHeight="1">
      <c r="F35" s="16"/>
      <c r="G35" s="14" t="s">
        <v>25</v>
      </c>
      <c r="H35" s="18">
        <v>0</v>
      </c>
      <c r="I35" s="20"/>
      <c r="J35" s="20">
        <v>145000000</v>
      </c>
      <c r="K35" s="20"/>
      <c r="M35" s="15"/>
    </row>
    <row r="36" spans="6:13" s="14" customFormat="1" ht="37.5" customHeight="1">
      <c r="F36" s="16"/>
      <c r="G36" s="14" t="s">
        <v>24</v>
      </c>
      <c r="H36" s="18">
        <v>0</v>
      </c>
      <c r="I36" s="24"/>
      <c r="J36" s="20">
        <v>264706</v>
      </c>
      <c r="K36" s="13"/>
      <c r="M36" s="15"/>
    </row>
    <row r="37" spans="6:13" s="14" customFormat="1" ht="37.5" customHeight="1" thickBot="1">
      <c r="F37" s="16"/>
      <c r="G37" s="12" t="s">
        <v>3</v>
      </c>
      <c r="H37" s="22">
        <v>0</v>
      </c>
      <c r="I37" s="22">
        <f>SUM(I36:J36)</f>
        <v>264706</v>
      </c>
      <c r="J37" s="22">
        <f>SUM(J35:J36)</f>
        <v>145264706</v>
      </c>
      <c r="K37" s="13"/>
      <c r="M37" s="15"/>
    </row>
    <row r="38" spans="6:13" s="14" customFormat="1" ht="33" customHeight="1" thickTop="1">
      <c r="F38" s="16"/>
      <c r="G38" s="12" t="s">
        <v>33</v>
      </c>
      <c r="J38" s="72">
        <f>+H26-J32-J37</f>
        <v>179006429</v>
      </c>
      <c r="K38" s="21"/>
    </row>
    <row r="39" spans="6:13" s="14" customFormat="1" ht="33" customHeight="1">
      <c r="F39" s="16"/>
      <c r="G39" s="12"/>
      <c r="H39" s="21"/>
      <c r="I39" s="21"/>
      <c r="J39" s="21"/>
      <c r="K39" s="21"/>
    </row>
  </sheetData>
  <sortState ref="G41:H41">
    <sortCondition ref="H41"/>
  </sortState>
  <mergeCells count="3">
    <mergeCell ref="H7:K7"/>
    <mergeCell ref="H19:K19"/>
    <mergeCell ref="F5:K5"/>
  </mergeCells>
  <pageMargins left="0.7" right="0.7" top="0.75" bottom="0.75" header="0.3" footer="0.3"/>
  <pageSetup scale="57" fitToHeight="0" orientation="portrait" r:id="rId1"/>
  <rowBreaks count="1" manualBreakCount="1">
    <brk id="14" min="4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opLeftCell="D7" workbookViewId="0">
      <selection activeCell="G24" sqref="G24"/>
    </sheetView>
  </sheetViews>
  <sheetFormatPr defaultColWidth="9.1796875" defaultRowHeight="14.5"/>
  <cols>
    <col min="1" max="3" width="9.1796875" style="35" hidden="1" customWidth="1"/>
    <col min="4" max="4" width="5.7265625" style="43" customWidth="1"/>
    <col min="5" max="5" width="47.6328125" style="35" customWidth="1"/>
    <col min="6" max="6" width="5.81640625" style="46" hidden="1" customWidth="1"/>
    <col min="7" max="7" width="14.36328125" style="46" customWidth="1"/>
    <col min="8" max="8" width="14" style="46" customWidth="1"/>
    <col min="9" max="9" width="0.36328125" style="35" hidden="1" customWidth="1"/>
    <col min="10" max="10" width="11.54296875" style="35" customWidth="1"/>
    <col min="11" max="255" width="9.1796875" style="35"/>
    <col min="256" max="256" width="3.81640625" style="35" customWidth="1"/>
    <col min="257" max="257" width="39.7265625" style="35" customWidth="1"/>
    <col min="258" max="258" width="9.7265625" style="35" customWidth="1"/>
    <col min="259" max="259" width="20.81640625" style="35" customWidth="1"/>
    <col min="260" max="260" width="16" style="35" customWidth="1"/>
    <col min="261" max="261" width="16.1796875" style="35" customWidth="1"/>
    <col min="262" max="262" width="13.54296875" style="35" customWidth="1"/>
    <col min="263" max="263" width="16.81640625" style="35" customWidth="1"/>
    <col min="264" max="265" width="9.1796875" style="35"/>
    <col min="266" max="266" width="11.54296875" style="35" customWidth="1"/>
    <col min="267" max="511" width="9.1796875" style="35"/>
    <col min="512" max="512" width="3.81640625" style="35" customWidth="1"/>
    <col min="513" max="513" width="39.7265625" style="35" customWidth="1"/>
    <col min="514" max="514" width="9.7265625" style="35" customWidth="1"/>
    <col min="515" max="515" width="20.81640625" style="35" customWidth="1"/>
    <col min="516" max="516" width="16" style="35" customWidth="1"/>
    <col min="517" max="517" width="16.1796875" style="35" customWidth="1"/>
    <col min="518" max="518" width="13.54296875" style="35" customWidth="1"/>
    <col min="519" max="519" width="16.81640625" style="35" customWidth="1"/>
    <col min="520" max="521" width="9.1796875" style="35"/>
    <col min="522" max="522" width="11.54296875" style="35" customWidth="1"/>
    <col min="523" max="767" width="9.1796875" style="35"/>
    <col min="768" max="768" width="3.81640625" style="35" customWidth="1"/>
    <col min="769" max="769" width="39.7265625" style="35" customWidth="1"/>
    <col min="770" max="770" width="9.7265625" style="35" customWidth="1"/>
    <col min="771" max="771" width="20.81640625" style="35" customWidth="1"/>
    <col min="772" max="772" width="16" style="35" customWidth="1"/>
    <col min="773" max="773" width="16.1796875" style="35" customWidth="1"/>
    <col min="774" max="774" width="13.54296875" style="35" customWidth="1"/>
    <col min="775" max="775" width="16.81640625" style="35" customWidth="1"/>
    <col min="776" max="777" width="9.1796875" style="35"/>
    <col min="778" max="778" width="11.54296875" style="35" customWidth="1"/>
    <col min="779" max="1023" width="9.1796875" style="35"/>
    <col min="1024" max="1024" width="3.81640625" style="35" customWidth="1"/>
    <col min="1025" max="1025" width="39.7265625" style="35" customWidth="1"/>
    <col min="1026" max="1026" width="9.7265625" style="35" customWidth="1"/>
    <col min="1027" max="1027" width="20.81640625" style="35" customWidth="1"/>
    <col min="1028" max="1028" width="16" style="35" customWidth="1"/>
    <col min="1029" max="1029" width="16.1796875" style="35" customWidth="1"/>
    <col min="1030" max="1030" width="13.54296875" style="35" customWidth="1"/>
    <col min="1031" max="1031" width="16.81640625" style="35" customWidth="1"/>
    <col min="1032" max="1033" width="9.1796875" style="35"/>
    <col min="1034" max="1034" width="11.54296875" style="35" customWidth="1"/>
    <col min="1035" max="1279" width="9.1796875" style="35"/>
    <col min="1280" max="1280" width="3.81640625" style="35" customWidth="1"/>
    <col min="1281" max="1281" width="39.7265625" style="35" customWidth="1"/>
    <col min="1282" max="1282" width="9.7265625" style="35" customWidth="1"/>
    <col min="1283" max="1283" width="20.81640625" style="35" customWidth="1"/>
    <col min="1284" max="1284" width="16" style="35" customWidth="1"/>
    <col min="1285" max="1285" width="16.1796875" style="35" customWidth="1"/>
    <col min="1286" max="1286" width="13.54296875" style="35" customWidth="1"/>
    <col min="1287" max="1287" width="16.81640625" style="35" customWidth="1"/>
    <col min="1288" max="1289" width="9.1796875" style="35"/>
    <col min="1290" max="1290" width="11.54296875" style="35" customWidth="1"/>
    <col min="1291" max="1535" width="9.1796875" style="35"/>
    <col min="1536" max="1536" width="3.81640625" style="35" customWidth="1"/>
    <col min="1537" max="1537" width="39.7265625" style="35" customWidth="1"/>
    <col min="1538" max="1538" width="9.7265625" style="35" customWidth="1"/>
    <col min="1539" max="1539" width="20.81640625" style="35" customWidth="1"/>
    <col min="1540" max="1540" width="16" style="35" customWidth="1"/>
    <col min="1541" max="1541" width="16.1796875" style="35" customWidth="1"/>
    <col min="1542" max="1542" width="13.54296875" style="35" customWidth="1"/>
    <col min="1543" max="1543" width="16.81640625" style="35" customWidth="1"/>
    <col min="1544" max="1545" width="9.1796875" style="35"/>
    <col min="1546" max="1546" width="11.54296875" style="35" customWidth="1"/>
    <col min="1547" max="1791" width="9.1796875" style="35"/>
    <col min="1792" max="1792" width="3.81640625" style="35" customWidth="1"/>
    <col min="1793" max="1793" width="39.7265625" style="35" customWidth="1"/>
    <col min="1794" max="1794" width="9.7265625" style="35" customWidth="1"/>
    <col min="1795" max="1795" width="20.81640625" style="35" customWidth="1"/>
    <col min="1796" max="1796" width="16" style="35" customWidth="1"/>
    <col min="1797" max="1797" width="16.1796875" style="35" customWidth="1"/>
    <col min="1798" max="1798" width="13.54296875" style="35" customWidth="1"/>
    <col min="1799" max="1799" width="16.81640625" style="35" customWidth="1"/>
    <col min="1800" max="1801" width="9.1796875" style="35"/>
    <col min="1802" max="1802" width="11.54296875" style="35" customWidth="1"/>
    <col min="1803" max="2047" width="9.1796875" style="35"/>
    <col min="2048" max="2048" width="3.81640625" style="35" customWidth="1"/>
    <col min="2049" max="2049" width="39.7265625" style="35" customWidth="1"/>
    <col min="2050" max="2050" width="9.7265625" style="35" customWidth="1"/>
    <col min="2051" max="2051" width="20.81640625" style="35" customWidth="1"/>
    <col min="2052" max="2052" width="16" style="35" customWidth="1"/>
    <col min="2053" max="2053" width="16.1796875" style="35" customWidth="1"/>
    <col min="2054" max="2054" width="13.54296875" style="35" customWidth="1"/>
    <col min="2055" max="2055" width="16.81640625" style="35" customWidth="1"/>
    <col min="2056" max="2057" width="9.1796875" style="35"/>
    <col min="2058" max="2058" width="11.54296875" style="35" customWidth="1"/>
    <col min="2059" max="2303" width="9.1796875" style="35"/>
    <col min="2304" max="2304" width="3.81640625" style="35" customWidth="1"/>
    <col min="2305" max="2305" width="39.7265625" style="35" customWidth="1"/>
    <col min="2306" max="2306" width="9.7265625" style="35" customWidth="1"/>
    <col min="2307" max="2307" width="20.81640625" style="35" customWidth="1"/>
    <col min="2308" max="2308" width="16" style="35" customWidth="1"/>
    <col min="2309" max="2309" width="16.1796875" style="35" customWidth="1"/>
    <col min="2310" max="2310" width="13.54296875" style="35" customWidth="1"/>
    <col min="2311" max="2311" width="16.81640625" style="35" customWidth="1"/>
    <col min="2312" max="2313" width="9.1796875" style="35"/>
    <col min="2314" max="2314" width="11.54296875" style="35" customWidth="1"/>
    <col min="2315" max="2559" width="9.1796875" style="35"/>
    <col min="2560" max="2560" width="3.81640625" style="35" customWidth="1"/>
    <col min="2561" max="2561" width="39.7265625" style="35" customWidth="1"/>
    <col min="2562" max="2562" width="9.7265625" style="35" customWidth="1"/>
    <col min="2563" max="2563" width="20.81640625" style="35" customWidth="1"/>
    <col min="2564" max="2564" width="16" style="35" customWidth="1"/>
    <col min="2565" max="2565" width="16.1796875" style="35" customWidth="1"/>
    <col min="2566" max="2566" width="13.54296875" style="35" customWidth="1"/>
    <col min="2567" max="2567" width="16.81640625" style="35" customWidth="1"/>
    <col min="2568" max="2569" width="9.1796875" style="35"/>
    <col min="2570" max="2570" width="11.54296875" style="35" customWidth="1"/>
    <col min="2571" max="2815" width="9.1796875" style="35"/>
    <col min="2816" max="2816" width="3.81640625" style="35" customWidth="1"/>
    <col min="2817" max="2817" width="39.7265625" style="35" customWidth="1"/>
    <col min="2818" max="2818" width="9.7265625" style="35" customWidth="1"/>
    <col min="2819" max="2819" width="20.81640625" style="35" customWidth="1"/>
    <col min="2820" max="2820" width="16" style="35" customWidth="1"/>
    <col min="2821" max="2821" width="16.1796875" style="35" customWidth="1"/>
    <col min="2822" max="2822" width="13.54296875" style="35" customWidth="1"/>
    <col min="2823" max="2823" width="16.81640625" style="35" customWidth="1"/>
    <col min="2824" max="2825" width="9.1796875" style="35"/>
    <col min="2826" max="2826" width="11.54296875" style="35" customWidth="1"/>
    <col min="2827" max="3071" width="9.1796875" style="35"/>
    <col min="3072" max="3072" width="3.81640625" style="35" customWidth="1"/>
    <col min="3073" max="3073" width="39.7265625" style="35" customWidth="1"/>
    <col min="3074" max="3074" width="9.7265625" style="35" customWidth="1"/>
    <col min="3075" max="3075" width="20.81640625" style="35" customWidth="1"/>
    <col min="3076" max="3076" width="16" style="35" customWidth="1"/>
    <col min="3077" max="3077" width="16.1796875" style="35" customWidth="1"/>
    <col min="3078" max="3078" width="13.54296875" style="35" customWidth="1"/>
    <col min="3079" max="3079" width="16.81640625" style="35" customWidth="1"/>
    <col min="3080" max="3081" width="9.1796875" style="35"/>
    <col min="3082" max="3082" width="11.54296875" style="35" customWidth="1"/>
    <col min="3083" max="3327" width="9.1796875" style="35"/>
    <col min="3328" max="3328" width="3.81640625" style="35" customWidth="1"/>
    <col min="3329" max="3329" width="39.7265625" style="35" customWidth="1"/>
    <col min="3330" max="3330" width="9.7265625" style="35" customWidth="1"/>
    <col min="3331" max="3331" width="20.81640625" style="35" customWidth="1"/>
    <col min="3332" max="3332" width="16" style="35" customWidth="1"/>
    <col min="3333" max="3333" width="16.1796875" style="35" customWidth="1"/>
    <col min="3334" max="3334" width="13.54296875" style="35" customWidth="1"/>
    <col min="3335" max="3335" width="16.81640625" style="35" customWidth="1"/>
    <col min="3336" max="3337" width="9.1796875" style="35"/>
    <col min="3338" max="3338" width="11.54296875" style="35" customWidth="1"/>
    <col min="3339" max="3583" width="9.1796875" style="35"/>
    <col min="3584" max="3584" width="3.81640625" style="35" customWidth="1"/>
    <col min="3585" max="3585" width="39.7265625" style="35" customWidth="1"/>
    <col min="3586" max="3586" width="9.7265625" style="35" customWidth="1"/>
    <col min="3587" max="3587" width="20.81640625" style="35" customWidth="1"/>
    <col min="3588" max="3588" width="16" style="35" customWidth="1"/>
    <col min="3589" max="3589" width="16.1796875" style="35" customWidth="1"/>
    <col min="3590" max="3590" width="13.54296875" style="35" customWidth="1"/>
    <col min="3591" max="3591" width="16.81640625" style="35" customWidth="1"/>
    <col min="3592" max="3593" width="9.1796875" style="35"/>
    <col min="3594" max="3594" width="11.54296875" style="35" customWidth="1"/>
    <col min="3595" max="3839" width="9.1796875" style="35"/>
    <col min="3840" max="3840" width="3.81640625" style="35" customWidth="1"/>
    <col min="3841" max="3841" width="39.7265625" style="35" customWidth="1"/>
    <col min="3842" max="3842" width="9.7265625" style="35" customWidth="1"/>
    <col min="3843" max="3843" width="20.81640625" style="35" customWidth="1"/>
    <col min="3844" max="3844" width="16" style="35" customWidth="1"/>
    <col min="3845" max="3845" width="16.1796875" style="35" customWidth="1"/>
    <col min="3846" max="3846" width="13.54296875" style="35" customWidth="1"/>
    <col min="3847" max="3847" width="16.81640625" style="35" customWidth="1"/>
    <col min="3848" max="3849" width="9.1796875" style="35"/>
    <col min="3850" max="3850" width="11.54296875" style="35" customWidth="1"/>
    <col min="3851" max="4095" width="9.1796875" style="35"/>
    <col min="4096" max="4096" width="3.81640625" style="35" customWidth="1"/>
    <col min="4097" max="4097" width="39.7265625" style="35" customWidth="1"/>
    <col min="4098" max="4098" width="9.7265625" style="35" customWidth="1"/>
    <col min="4099" max="4099" width="20.81640625" style="35" customWidth="1"/>
    <col min="4100" max="4100" width="16" style="35" customWidth="1"/>
    <col min="4101" max="4101" width="16.1796875" style="35" customWidth="1"/>
    <col min="4102" max="4102" width="13.54296875" style="35" customWidth="1"/>
    <col min="4103" max="4103" width="16.81640625" style="35" customWidth="1"/>
    <col min="4104" max="4105" width="9.1796875" style="35"/>
    <col min="4106" max="4106" width="11.54296875" style="35" customWidth="1"/>
    <col min="4107" max="4351" width="9.1796875" style="35"/>
    <col min="4352" max="4352" width="3.81640625" style="35" customWidth="1"/>
    <col min="4353" max="4353" width="39.7265625" style="35" customWidth="1"/>
    <col min="4354" max="4354" width="9.7265625" style="35" customWidth="1"/>
    <col min="4355" max="4355" width="20.81640625" style="35" customWidth="1"/>
    <col min="4356" max="4356" width="16" style="35" customWidth="1"/>
    <col min="4357" max="4357" width="16.1796875" style="35" customWidth="1"/>
    <col min="4358" max="4358" width="13.54296875" style="35" customWidth="1"/>
    <col min="4359" max="4359" width="16.81640625" style="35" customWidth="1"/>
    <col min="4360" max="4361" width="9.1796875" style="35"/>
    <col min="4362" max="4362" width="11.54296875" style="35" customWidth="1"/>
    <col min="4363" max="4607" width="9.1796875" style="35"/>
    <col min="4608" max="4608" width="3.81640625" style="35" customWidth="1"/>
    <col min="4609" max="4609" width="39.7265625" style="35" customWidth="1"/>
    <col min="4610" max="4610" width="9.7265625" style="35" customWidth="1"/>
    <col min="4611" max="4611" width="20.81640625" style="35" customWidth="1"/>
    <col min="4612" max="4612" width="16" style="35" customWidth="1"/>
    <col min="4613" max="4613" width="16.1796875" style="35" customWidth="1"/>
    <col min="4614" max="4614" width="13.54296875" style="35" customWidth="1"/>
    <col min="4615" max="4615" width="16.81640625" style="35" customWidth="1"/>
    <col min="4616" max="4617" width="9.1796875" style="35"/>
    <col min="4618" max="4618" width="11.54296875" style="35" customWidth="1"/>
    <col min="4619" max="4863" width="9.1796875" style="35"/>
    <col min="4864" max="4864" width="3.81640625" style="35" customWidth="1"/>
    <col min="4865" max="4865" width="39.7265625" style="35" customWidth="1"/>
    <col min="4866" max="4866" width="9.7265625" style="35" customWidth="1"/>
    <col min="4867" max="4867" width="20.81640625" style="35" customWidth="1"/>
    <col min="4868" max="4868" width="16" style="35" customWidth="1"/>
    <col min="4869" max="4869" width="16.1796875" style="35" customWidth="1"/>
    <col min="4870" max="4870" width="13.54296875" style="35" customWidth="1"/>
    <col min="4871" max="4871" width="16.81640625" style="35" customWidth="1"/>
    <col min="4872" max="4873" width="9.1796875" style="35"/>
    <col min="4874" max="4874" width="11.54296875" style="35" customWidth="1"/>
    <col min="4875" max="5119" width="9.1796875" style="35"/>
    <col min="5120" max="5120" width="3.81640625" style="35" customWidth="1"/>
    <col min="5121" max="5121" width="39.7265625" style="35" customWidth="1"/>
    <col min="5122" max="5122" width="9.7265625" style="35" customWidth="1"/>
    <col min="5123" max="5123" width="20.81640625" style="35" customWidth="1"/>
    <col min="5124" max="5124" width="16" style="35" customWidth="1"/>
    <col min="5125" max="5125" width="16.1796875" style="35" customWidth="1"/>
    <col min="5126" max="5126" width="13.54296875" style="35" customWidth="1"/>
    <col min="5127" max="5127" width="16.81640625" style="35" customWidth="1"/>
    <col min="5128" max="5129" width="9.1796875" style="35"/>
    <col min="5130" max="5130" width="11.54296875" style="35" customWidth="1"/>
    <col min="5131" max="5375" width="9.1796875" style="35"/>
    <col min="5376" max="5376" width="3.81640625" style="35" customWidth="1"/>
    <col min="5377" max="5377" width="39.7265625" style="35" customWidth="1"/>
    <col min="5378" max="5378" width="9.7265625" style="35" customWidth="1"/>
    <col min="5379" max="5379" width="20.81640625" style="35" customWidth="1"/>
    <col min="5380" max="5380" width="16" style="35" customWidth="1"/>
    <col min="5381" max="5381" width="16.1796875" style="35" customWidth="1"/>
    <col min="5382" max="5382" width="13.54296875" style="35" customWidth="1"/>
    <col min="5383" max="5383" width="16.81640625" style="35" customWidth="1"/>
    <col min="5384" max="5385" width="9.1796875" style="35"/>
    <col min="5386" max="5386" width="11.54296875" style="35" customWidth="1"/>
    <col min="5387" max="5631" width="9.1796875" style="35"/>
    <col min="5632" max="5632" width="3.81640625" style="35" customWidth="1"/>
    <col min="5633" max="5633" width="39.7265625" style="35" customWidth="1"/>
    <col min="5634" max="5634" width="9.7265625" style="35" customWidth="1"/>
    <col min="5635" max="5635" width="20.81640625" style="35" customWidth="1"/>
    <col min="5636" max="5636" width="16" style="35" customWidth="1"/>
    <col min="5637" max="5637" width="16.1796875" style="35" customWidth="1"/>
    <col min="5638" max="5638" width="13.54296875" style="35" customWidth="1"/>
    <col min="5639" max="5639" width="16.81640625" style="35" customWidth="1"/>
    <col min="5640" max="5641" width="9.1796875" style="35"/>
    <col min="5642" max="5642" width="11.54296875" style="35" customWidth="1"/>
    <col min="5643" max="5887" width="9.1796875" style="35"/>
    <col min="5888" max="5888" width="3.81640625" style="35" customWidth="1"/>
    <col min="5889" max="5889" width="39.7265625" style="35" customWidth="1"/>
    <col min="5890" max="5890" width="9.7265625" style="35" customWidth="1"/>
    <col min="5891" max="5891" width="20.81640625" style="35" customWidth="1"/>
    <col min="5892" max="5892" width="16" style="35" customWidth="1"/>
    <col min="5893" max="5893" width="16.1796875" style="35" customWidth="1"/>
    <col min="5894" max="5894" width="13.54296875" style="35" customWidth="1"/>
    <col min="5895" max="5895" width="16.81640625" style="35" customWidth="1"/>
    <col min="5896" max="5897" width="9.1796875" style="35"/>
    <col min="5898" max="5898" width="11.54296875" style="35" customWidth="1"/>
    <col min="5899" max="6143" width="9.1796875" style="35"/>
    <col min="6144" max="6144" width="3.81640625" style="35" customWidth="1"/>
    <col min="6145" max="6145" width="39.7265625" style="35" customWidth="1"/>
    <col min="6146" max="6146" width="9.7265625" style="35" customWidth="1"/>
    <col min="6147" max="6147" width="20.81640625" style="35" customWidth="1"/>
    <col min="6148" max="6148" width="16" style="35" customWidth="1"/>
    <col min="6149" max="6149" width="16.1796875" style="35" customWidth="1"/>
    <col min="6150" max="6150" width="13.54296875" style="35" customWidth="1"/>
    <col min="6151" max="6151" width="16.81640625" style="35" customWidth="1"/>
    <col min="6152" max="6153" width="9.1796875" style="35"/>
    <col min="6154" max="6154" width="11.54296875" style="35" customWidth="1"/>
    <col min="6155" max="6399" width="9.1796875" style="35"/>
    <col min="6400" max="6400" width="3.81640625" style="35" customWidth="1"/>
    <col min="6401" max="6401" width="39.7265625" style="35" customWidth="1"/>
    <col min="6402" max="6402" width="9.7265625" style="35" customWidth="1"/>
    <col min="6403" max="6403" width="20.81640625" style="35" customWidth="1"/>
    <col min="6404" max="6404" width="16" style="35" customWidth="1"/>
    <col min="6405" max="6405" width="16.1796875" style="35" customWidth="1"/>
    <col min="6406" max="6406" width="13.54296875" style="35" customWidth="1"/>
    <col min="6407" max="6407" width="16.81640625" style="35" customWidth="1"/>
    <col min="6408" max="6409" width="9.1796875" style="35"/>
    <col min="6410" max="6410" width="11.54296875" style="35" customWidth="1"/>
    <col min="6411" max="6655" width="9.1796875" style="35"/>
    <col min="6656" max="6656" width="3.81640625" style="35" customWidth="1"/>
    <col min="6657" max="6657" width="39.7265625" style="35" customWidth="1"/>
    <col min="6658" max="6658" width="9.7265625" style="35" customWidth="1"/>
    <col min="6659" max="6659" width="20.81640625" style="35" customWidth="1"/>
    <col min="6660" max="6660" width="16" style="35" customWidth="1"/>
    <col min="6661" max="6661" width="16.1796875" style="35" customWidth="1"/>
    <col min="6662" max="6662" width="13.54296875" style="35" customWidth="1"/>
    <col min="6663" max="6663" width="16.81640625" style="35" customWidth="1"/>
    <col min="6664" max="6665" width="9.1796875" style="35"/>
    <col min="6666" max="6666" width="11.54296875" style="35" customWidth="1"/>
    <col min="6667" max="6911" width="9.1796875" style="35"/>
    <col min="6912" max="6912" width="3.81640625" style="35" customWidth="1"/>
    <col min="6913" max="6913" width="39.7265625" style="35" customWidth="1"/>
    <col min="6914" max="6914" width="9.7265625" style="35" customWidth="1"/>
    <col min="6915" max="6915" width="20.81640625" style="35" customWidth="1"/>
    <col min="6916" max="6916" width="16" style="35" customWidth="1"/>
    <col min="6917" max="6917" width="16.1796875" style="35" customWidth="1"/>
    <col min="6918" max="6918" width="13.54296875" style="35" customWidth="1"/>
    <col min="6919" max="6919" width="16.81640625" style="35" customWidth="1"/>
    <col min="6920" max="6921" width="9.1796875" style="35"/>
    <col min="6922" max="6922" width="11.54296875" style="35" customWidth="1"/>
    <col min="6923" max="7167" width="9.1796875" style="35"/>
    <col min="7168" max="7168" width="3.81640625" style="35" customWidth="1"/>
    <col min="7169" max="7169" width="39.7265625" style="35" customWidth="1"/>
    <col min="7170" max="7170" width="9.7265625" style="35" customWidth="1"/>
    <col min="7171" max="7171" width="20.81640625" style="35" customWidth="1"/>
    <col min="7172" max="7172" width="16" style="35" customWidth="1"/>
    <col min="7173" max="7173" width="16.1796875" style="35" customWidth="1"/>
    <col min="7174" max="7174" width="13.54296875" style="35" customWidth="1"/>
    <col min="7175" max="7175" width="16.81640625" style="35" customWidth="1"/>
    <col min="7176" max="7177" width="9.1796875" style="35"/>
    <col min="7178" max="7178" width="11.54296875" style="35" customWidth="1"/>
    <col min="7179" max="7423" width="9.1796875" style="35"/>
    <col min="7424" max="7424" width="3.81640625" style="35" customWidth="1"/>
    <col min="7425" max="7425" width="39.7265625" style="35" customWidth="1"/>
    <col min="7426" max="7426" width="9.7265625" style="35" customWidth="1"/>
    <col min="7427" max="7427" width="20.81640625" style="35" customWidth="1"/>
    <col min="7428" max="7428" width="16" style="35" customWidth="1"/>
    <col min="7429" max="7429" width="16.1796875" style="35" customWidth="1"/>
    <col min="7430" max="7430" width="13.54296875" style="35" customWidth="1"/>
    <col min="7431" max="7431" width="16.81640625" style="35" customWidth="1"/>
    <col min="7432" max="7433" width="9.1796875" style="35"/>
    <col min="7434" max="7434" width="11.54296875" style="35" customWidth="1"/>
    <col min="7435" max="7679" width="9.1796875" style="35"/>
    <col min="7680" max="7680" width="3.81640625" style="35" customWidth="1"/>
    <col min="7681" max="7681" width="39.7265625" style="35" customWidth="1"/>
    <col min="7682" max="7682" width="9.7265625" style="35" customWidth="1"/>
    <col min="7683" max="7683" width="20.81640625" style="35" customWidth="1"/>
    <col min="7684" max="7684" width="16" style="35" customWidth="1"/>
    <col min="7685" max="7685" width="16.1796875" style="35" customWidth="1"/>
    <col min="7686" max="7686" width="13.54296875" style="35" customWidth="1"/>
    <col min="7687" max="7687" width="16.81640625" style="35" customWidth="1"/>
    <col min="7688" max="7689" width="9.1796875" style="35"/>
    <col min="7690" max="7690" width="11.54296875" style="35" customWidth="1"/>
    <col min="7691" max="7935" width="9.1796875" style="35"/>
    <col min="7936" max="7936" width="3.81640625" style="35" customWidth="1"/>
    <col min="7937" max="7937" width="39.7265625" style="35" customWidth="1"/>
    <col min="7938" max="7938" width="9.7265625" style="35" customWidth="1"/>
    <col min="7939" max="7939" width="20.81640625" style="35" customWidth="1"/>
    <col min="7940" max="7940" width="16" style="35" customWidth="1"/>
    <col min="7941" max="7941" width="16.1796875" style="35" customWidth="1"/>
    <col min="7942" max="7942" width="13.54296875" style="35" customWidth="1"/>
    <col min="7943" max="7943" width="16.81640625" style="35" customWidth="1"/>
    <col min="7944" max="7945" width="9.1796875" style="35"/>
    <col min="7946" max="7946" width="11.54296875" style="35" customWidth="1"/>
    <col min="7947" max="8191" width="9.1796875" style="35"/>
    <col min="8192" max="8192" width="3.81640625" style="35" customWidth="1"/>
    <col min="8193" max="8193" width="39.7265625" style="35" customWidth="1"/>
    <col min="8194" max="8194" width="9.7265625" style="35" customWidth="1"/>
    <col min="8195" max="8195" width="20.81640625" style="35" customWidth="1"/>
    <col min="8196" max="8196" width="16" style="35" customWidth="1"/>
    <col min="8197" max="8197" width="16.1796875" style="35" customWidth="1"/>
    <col min="8198" max="8198" width="13.54296875" style="35" customWidth="1"/>
    <col min="8199" max="8199" width="16.81640625" style="35" customWidth="1"/>
    <col min="8200" max="8201" width="9.1796875" style="35"/>
    <col min="8202" max="8202" width="11.54296875" style="35" customWidth="1"/>
    <col min="8203" max="8447" width="9.1796875" style="35"/>
    <col min="8448" max="8448" width="3.81640625" style="35" customWidth="1"/>
    <col min="8449" max="8449" width="39.7265625" style="35" customWidth="1"/>
    <col min="8450" max="8450" width="9.7265625" style="35" customWidth="1"/>
    <col min="8451" max="8451" width="20.81640625" style="35" customWidth="1"/>
    <col min="8452" max="8452" width="16" style="35" customWidth="1"/>
    <col min="8453" max="8453" width="16.1796875" style="35" customWidth="1"/>
    <col min="8454" max="8454" width="13.54296875" style="35" customWidth="1"/>
    <col min="8455" max="8455" width="16.81640625" style="35" customWidth="1"/>
    <col min="8456" max="8457" width="9.1796875" style="35"/>
    <col min="8458" max="8458" width="11.54296875" style="35" customWidth="1"/>
    <col min="8459" max="8703" width="9.1796875" style="35"/>
    <col min="8704" max="8704" width="3.81640625" style="35" customWidth="1"/>
    <col min="8705" max="8705" width="39.7265625" style="35" customWidth="1"/>
    <col min="8706" max="8706" width="9.7265625" style="35" customWidth="1"/>
    <col min="8707" max="8707" width="20.81640625" style="35" customWidth="1"/>
    <col min="8708" max="8708" width="16" style="35" customWidth="1"/>
    <col min="8709" max="8709" width="16.1796875" style="35" customWidth="1"/>
    <col min="8710" max="8710" width="13.54296875" style="35" customWidth="1"/>
    <col min="8711" max="8711" width="16.81640625" style="35" customWidth="1"/>
    <col min="8712" max="8713" width="9.1796875" style="35"/>
    <col min="8714" max="8714" width="11.54296875" style="35" customWidth="1"/>
    <col min="8715" max="8959" width="9.1796875" style="35"/>
    <col min="8960" max="8960" width="3.81640625" style="35" customWidth="1"/>
    <col min="8961" max="8961" width="39.7265625" style="35" customWidth="1"/>
    <col min="8962" max="8962" width="9.7265625" style="35" customWidth="1"/>
    <col min="8963" max="8963" width="20.81640625" style="35" customWidth="1"/>
    <col min="8964" max="8964" width="16" style="35" customWidth="1"/>
    <col min="8965" max="8965" width="16.1796875" style="35" customWidth="1"/>
    <col min="8966" max="8966" width="13.54296875" style="35" customWidth="1"/>
    <col min="8967" max="8967" width="16.81640625" style="35" customWidth="1"/>
    <col min="8968" max="8969" width="9.1796875" style="35"/>
    <col min="8970" max="8970" width="11.54296875" style="35" customWidth="1"/>
    <col min="8971" max="9215" width="9.1796875" style="35"/>
    <col min="9216" max="9216" width="3.81640625" style="35" customWidth="1"/>
    <col min="9217" max="9217" width="39.7265625" style="35" customWidth="1"/>
    <col min="9218" max="9218" width="9.7265625" style="35" customWidth="1"/>
    <col min="9219" max="9219" width="20.81640625" style="35" customWidth="1"/>
    <col min="9220" max="9220" width="16" style="35" customWidth="1"/>
    <col min="9221" max="9221" width="16.1796875" style="35" customWidth="1"/>
    <col min="9222" max="9222" width="13.54296875" style="35" customWidth="1"/>
    <col min="9223" max="9223" width="16.81640625" style="35" customWidth="1"/>
    <col min="9224" max="9225" width="9.1796875" style="35"/>
    <col min="9226" max="9226" width="11.54296875" style="35" customWidth="1"/>
    <col min="9227" max="9471" width="9.1796875" style="35"/>
    <col min="9472" max="9472" width="3.81640625" style="35" customWidth="1"/>
    <col min="9473" max="9473" width="39.7265625" style="35" customWidth="1"/>
    <col min="9474" max="9474" width="9.7265625" style="35" customWidth="1"/>
    <col min="9475" max="9475" width="20.81640625" style="35" customWidth="1"/>
    <col min="9476" max="9476" width="16" style="35" customWidth="1"/>
    <col min="9477" max="9477" width="16.1796875" style="35" customWidth="1"/>
    <col min="9478" max="9478" width="13.54296875" style="35" customWidth="1"/>
    <col min="9479" max="9479" width="16.81640625" style="35" customWidth="1"/>
    <col min="9480" max="9481" width="9.1796875" style="35"/>
    <col min="9482" max="9482" width="11.54296875" style="35" customWidth="1"/>
    <col min="9483" max="9727" width="9.1796875" style="35"/>
    <col min="9728" max="9728" width="3.81640625" style="35" customWidth="1"/>
    <col min="9729" max="9729" width="39.7265625" style="35" customWidth="1"/>
    <col min="9730" max="9730" width="9.7265625" style="35" customWidth="1"/>
    <col min="9731" max="9731" width="20.81640625" style="35" customWidth="1"/>
    <col min="9732" max="9732" width="16" style="35" customWidth="1"/>
    <col min="9733" max="9733" width="16.1796875" style="35" customWidth="1"/>
    <col min="9734" max="9734" width="13.54296875" style="35" customWidth="1"/>
    <col min="9735" max="9735" width="16.81640625" style="35" customWidth="1"/>
    <col min="9736" max="9737" width="9.1796875" style="35"/>
    <col min="9738" max="9738" width="11.54296875" style="35" customWidth="1"/>
    <col min="9739" max="9983" width="9.1796875" style="35"/>
    <col min="9984" max="9984" width="3.81640625" style="35" customWidth="1"/>
    <col min="9985" max="9985" width="39.7265625" style="35" customWidth="1"/>
    <col min="9986" max="9986" width="9.7265625" style="35" customWidth="1"/>
    <col min="9987" max="9987" width="20.81640625" style="35" customWidth="1"/>
    <col min="9988" max="9988" width="16" style="35" customWidth="1"/>
    <col min="9989" max="9989" width="16.1796875" style="35" customWidth="1"/>
    <col min="9990" max="9990" width="13.54296875" style="35" customWidth="1"/>
    <col min="9991" max="9991" width="16.81640625" style="35" customWidth="1"/>
    <col min="9992" max="9993" width="9.1796875" style="35"/>
    <col min="9994" max="9994" width="11.54296875" style="35" customWidth="1"/>
    <col min="9995" max="10239" width="9.1796875" style="35"/>
    <col min="10240" max="10240" width="3.81640625" style="35" customWidth="1"/>
    <col min="10241" max="10241" width="39.7265625" style="35" customWidth="1"/>
    <col min="10242" max="10242" width="9.7265625" style="35" customWidth="1"/>
    <col min="10243" max="10243" width="20.81640625" style="35" customWidth="1"/>
    <col min="10244" max="10244" width="16" style="35" customWidth="1"/>
    <col min="10245" max="10245" width="16.1796875" style="35" customWidth="1"/>
    <col min="10246" max="10246" width="13.54296875" style="35" customWidth="1"/>
    <col min="10247" max="10247" width="16.81640625" style="35" customWidth="1"/>
    <col min="10248" max="10249" width="9.1796875" style="35"/>
    <col min="10250" max="10250" width="11.54296875" style="35" customWidth="1"/>
    <col min="10251" max="10495" width="9.1796875" style="35"/>
    <col min="10496" max="10496" width="3.81640625" style="35" customWidth="1"/>
    <col min="10497" max="10497" width="39.7265625" style="35" customWidth="1"/>
    <col min="10498" max="10498" width="9.7265625" style="35" customWidth="1"/>
    <col min="10499" max="10499" width="20.81640625" style="35" customWidth="1"/>
    <col min="10500" max="10500" width="16" style="35" customWidth="1"/>
    <col min="10501" max="10501" width="16.1796875" style="35" customWidth="1"/>
    <col min="10502" max="10502" width="13.54296875" style="35" customWidth="1"/>
    <col min="10503" max="10503" width="16.81640625" style="35" customWidth="1"/>
    <col min="10504" max="10505" width="9.1796875" style="35"/>
    <col min="10506" max="10506" width="11.54296875" style="35" customWidth="1"/>
    <col min="10507" max="10751" width="9.1796875" style="35"/>
    <col min="10752" max="10752" width="3.81640625" style="35" customWidth="1"/>
    <col min="10753" max="10753" width="39.7265625" style="35" customWidth="1"/>
    <col min="10754" max="10754" width="9.7265625" style="35" customWidth="1"/>
    <col min="10755" max="10755" width="20.81640625" style="35" customWidth="1"/>
    <col min="10756" max="10756" width="16" style="35" customWidth="1"/>
    <col min="10757" max="10757" width="16.1796875" style="35" customWidth="1"/>
    <col min="10758" max="10758" width="13.54296875" style="35" customWidth="1"/>
    <col min="10759" max="10759" width="16.81640625" style="35" customWidth="1"/>
    <col min="10760" max="10761" width="9.1796875" style="35"/>
    <col min="10762" max="10762" width="11.54296875" style="35" customWidth="1"/>
    <col min="10763" max="11007" width="9.1796875" style="35"/>
    <col min="11008" max="11008" width="3.81640625" style="35" customWidth="1"/>
    <col min="11009" max="11009" width="39.7265625" style="35" customWidth="1"/>
    <col min="11010" max="11010" width="9.7265625" style="35" customWidth="1"/>
    <col min="11011" max="11011" width="20.81640625" style="35" customWidth="1"/>
    <col min="11012" max="11012" width="16" style="35" customWidth="1"/>
    <col min="11013" max="11013" width="16.1796875" style="35" customWidth="1"/>
    <col min="11014" max="11014" width="13.54296875" style="35" customWidth="1"/>
    <col min="11015" max="11015" width="16.81640625" style="35" customWidth="1"/>
    <col min="11016" max="11017" width="9.1796875" style="35"/>
    <col min="11018" max="11018" width="11.54296875" style="35" customWidth="1"/>
    <col min="11019" max="11263" width="9.1796875" style="35"/>
    <col min="11264" max="11264" width="3.81640625" style="35" customWidth="1"/>
    <col min="11265" max="11265" width="39.7265625" style="35" customWidth="1"/>
    <col min="11266" max="11266" width="9.7265625" style="35" customWidth="1"/>
    <col min="11267" max="11267" width="20.81640625" style="35" customWidth="1"/>
    <col min="11268" max="11268" width="16" style="35" customWidth="1"/>
    <col min="11269" max="11269" width="16.1796875" style="35" customWidth="1"/>
    <col min="11270" max="11270" width="13.54296875" style="35" customWidth="1"/>
    <col min="11271" max="11271" width="16.81640625" style="35" customWidth="1"/>
    <col min="11272" max="11273" width="9.1796875" style="35"/>
    <col min="11274" max="11274" width="11.54296875" style="35" customWidth="1"/>
    <col min="11275" max="11519" width="9.1796875" style="35"/>
    <col min="11520" max="11520" width="3.81640625" style="35" customWidth="1"/>
    <col min="11521" max="11521" width="39.7265625" style="35" customWidth="1"/>
    <col min="11522" max="11522" width="9.7265625" style="35" customWidth="1"/>
    <col min="11523" max="11523" width="20.81640625" style="35" customWidth="1"/>
    <col min="11524" max="11524" width="16" style="35" customWidth="1"/>
    <col min="11525" max="11525" width="16.1796875" style="35" customWidth="1"/>
    <col min="11526" max="11526" width="13.54296875" style="35" customWidth="1"/>
    <col min="11527" max="11527" width="16.81640625" style="35" customWidth="1"/>
    <col min="11528" max="11529" width="9.1796875" style="35"/>
    <col min="11530" max="11530" width="11.54296875" style="35" customWidth="1"/>
    <col min="11531" max="11775" width="9.1796875" style="35"/>
    <col min="11776" max="11776" width="3.81640625" style="35" customWidth="1"/>
    <col min="11777" max="11777" width="39.7265625" style="35" customWidth="1"/>
    <col min="11778" max="11778" width="9.7265625" style="35" customWidth="1"/>
    <col min="11779" max="11779" width="20.81640625" style="35" customWidth="1"/>
    <col min="11780" max="11780" width="16" style="35" customWidth="1"/>
    <col min="11781" max="11781" width="16.1796875" style="35" customWidth="1"/>
    <col min="11782" max="11782" width="13.54296875" style="35" customWidth="1"/>
    <col min="11783" max="11783" width="16.81640625" style="35" customWidth="1"/>
    <col min="11784" max="11785" width="9.1796875" style="35"/>
    <col min="11786" max="11786" width="11.54296875" style="35" customWidth="1"/>
    <col min="11787" max="12031" width="9.1796875" style="35"/>
    <col min="12032" max="12032" width="3.81640625" style="35" customWidth="1"/>
    <col min="12033" max="12033" width="39.7265625" style="35" customWidth="1"/>
    <col min="12034" max="12034" width="9.7265625" style="35" customWidth="1"/>
    <col min="12035" max="12035" width="20.81640625" style="35" customWidth="1"/>
    <col min="12036" max="12036" width="16" style="35" customWidth="1"/>
    <col min="12037" max="12037" width="16.1796875" style="35" customWidth="1"/>
    <col min="12038" max="12038" width="13.54296875" style="35" customWidth="1"/>
    <col min="12039" max="12039" width="16.81640625" style="35" customWidth="1"/>
    <col min="12040" max="12041" width="9.1796875" style="35"/>
    <col min="12042" max="12042" width="11.54296875" style="35" customWidth="1"/>
    <col min="12043" max="12287" width="9.1796875" style="35"/>
    <col min="12288" max="12288" width="3.81640625" style="35" customWidth="1"/>
    <col min="12289" max="12289" width="39.7265625" style="35" customWidth="1"/>
    <col min="12290" max="12290" width="9.7265625" style="35" customWidth="1"/>
    <col min="12291" max="12291" width="20.81640625" style="35" customWidth="1"/>
    <col min="12292" max="12292" width="16" style="35" customWidth="1"/>
    <col min="12293" max="12293" width="16.1796875" style="35" customWidth="1"/>
    <col min="12294" max="12294" width="13.54296875" style="35" customWidth="1"/>
    <col min="12295" max="12295" width="16.81640625" style="35" customWidth="1"/>
    <col min="12296" max="12297" width="9.1796875" style="35"/>
    <col min="12298" max="12298" width="11.54296875" style="35" customWidth="1"/>
    <col min="12299" max="12543" width="9.1796875" style="35"/>
    <col min="12544" max="12544" width="3.81640625" style="35" customWidth="1"/>
    <col min="12545" max="12545" width="39.7265625" style="35" customWidth="1"/>
    <col min="12546" max="12546" width="9.7265625" style="35" customWidth="1"/>
    <col min="12547" max="12547" width="20.81640625" style="35" customWidth="1"/>
    <col min="12548" max="12548" width="16" style="35" customWidth="1"/>
    <col min="12549" max="12549" width="16.1796875" style="35" customWidth="1"/>
    <col min="12550" max="12550" width="13.54296875" style="35" customWidth="1"/>
    <col min="12551" max="12551" width="16.81640625" style="35" customWidth="1"/>
    <col min="12552" max="12553" width="9.1796875" style="35"/>
    <col min="12554" max="12554" width="11.54296875" style="35" customWidth="1"/>
    <col min="12555" max="12799" width="9.1796875" style="35"/>
    <col min="12800" max="12800" width="3.81640625" style="35" customWidth="1"/>
    <col min="12801" max="12801" width="39.7265625" style="35" customWidth="1"/>
    <col min="12802" max="12802" width="9.7265625" style="35" customWidth="1"/>
    <col min="12803" max="12803" width="20.81640625" style="35" customWidth="1"/>
    <col min="12804" max="12804" width="16" style="35" customWidth="1"/>
    <col min="12805" max="12805" width="16.1796875" style="35" customWidth="1"/>
    <col min="12806" max="12806" width="13.54296875" style="35" customWidth="1"/>
    <col min="12807" max="12807" width="16.81640625" style="35" customWidth="1"/>
    <col min="12808" max="12809" width="9.1796875" style="35"/>
    <col min="12810" max="12810" width="11.54296875" style="35" customWidth="1"/>
    <col min="12811" max="13055" width="9.1796875" style="35"/>
    <col min="13056" max="13056" width="3.81640625" style="35" customWidth="1"/>
    <col min="13057" max="13057" width="39.7265625" style="35" customWidth="1"/>
    <col min="13058" max="13058" width="9.7265625" style="35" customWidth="1"/>
    <col min="13059" max="13059" width="20.81640625" style="35" customWidth="1"/>
    <col min="13060" max="13060" width="16" style="35" customWidth="1"/>
    <col min="13061" max="13061" width="16.1796875" style="35" customWidth="1"/>
    <col min="13062" max="13062" width="13.54296875" style="35" customWidth="1"/>
    <col min="13063" max="13063" width="16.81640625" style="35" customWidth="1"/>
    <col min="13064" max="13065" width="9.1796875" style="35"/>
    <col min="13066" max="13066" width="11.54296875" style="35" customWidth="1"/>
    <col min="13067" max="13311" width="9.1796875" style="35"/>
    <col min="13312" max="13312" width="3.81640625" style="35" customWidth="1"/>
    <col min="13313" max="13313" width="39.7265625" style="35" customWidth="1"/>
    <col min="13314" max="13314" width="9.7265625" style="35" customWidth="1"/>
    <col min="13315" max="13315" width="20.81640625" style="35" customWidth="1"/>
    <col min="13316" max="13316" width="16" style="35" customWidth="1"/>
    <col min="13317" max="13317" width="16.1796875" style="35" customWidth="1"/>
    <col min="13318" max="13318" width="13.54296875" style="35" customWidth="1"/>
    <col min="13319" max="13319" width="16.81640625" style="35" customWidth="1"/>
    <col min="13320" max="13321" width="9.1796875" style="35"/>
    <col min="13322" max="13322" width="11.54296875" style="35" customWidth="1"/>
    <col min="13323" max="13567" width="9.1796875" style="35"/>
    <col min="13568" max="13568" width="3.81640625" style="35" customWidth="1"/>
    <col min="13569" max="13569" width="39.7265625" style="35" customWidth="1"/>
    <col min="13570" max="13570" width="9.7265625" style="35" customWidth="1"/>
    <col min="13571" max="13571" width="20.81640625" style="35" customWidth="1"/>
    <col min="13572" max="13572" width="16" style="35" customWidth="1"/>
    <col min="13573" max="13573" width="16.1796875" style="35" customWidth="1"/>
    <col min="13574" max="13574" width="13.54296875" style="35" customWidth="1"/>
    <col min="13575" max="13575" width="16.81640625" style="35" customWidth="1"/>
    <col min="13576" max="13577" width="9.1796875" style="35"/>
    <col min="13578" max="13578" width="11.54296875" style="35" customWidth="1"/>
    <col min="13579" max="13823" width="9.1796875" style="35"/>
    <col min="13824" max="13824" width="3.81640625" style="35" customWidth="1"/>
    <col min="13825" max="13825" width="39.7265625" style="35" customWidth="1"/>
    <col min="13826" max="13826" width="9.7265625" style="35" customWidth="1"/>
    <col min="13827" max="13827" width="20.81640625" style="35" customWidth="1"/>
    <col min="13828" max="13828" width="16" style="35" customWidth="1"/>
    <col min="13829" max="13829" width="16.1796875" style="35" customWidth="1"/>
    <col min="13830" max="13830" width="13.54296875" style="35" customWidth="1"/>
    <col min="13831" max="13831" width="16.81640625" style="35" customWidth="1"/>
    <col min="13832" max="13833" width="9.1796875" style="35"/>
    <col min="13834" max="13834" width="11.54296875" style="35" customWidth="1"/>
    <col min="13835" max="14079" width="9.1796875" style="35"/>
    <col min="14080" max="14080" width="3.81640625" style="35" customWidth="1"/>
    <col min="14081" max="14081" width="39.7265625" style="35" customWidth="1"/>
    <col min="14082" max="14082" width="9.7265625" style="35" customWidth="1"/>
    <col min="14083" max="14083" width="20.81640625" style="35" customWidth="1"/>
    <col min="14084" max="14084" width="16" style="35" customWidth="1"/>
    <col min="14085" max="14085" width="16.1796875" style="35" customWidth="1"/>
    <col min="14086" max="14086" width="13.54296875" style="35" customWidth="1"/>
    <col min="14087" max="14087" width="16.81640625" style="35" customWidth="1"/>
    <col min="14088" max="14089" width="9.1796875" style="35"/>
    <col min="14090" max="14090" width="11.54296875" style="35" customWidth="1"/>
    <col min="14091" max="14335" width="9.1796875" style="35"/>
    <col min="14336" max="14336" width="3.81640625" style="35" customWidth="1"/>
    <col min="14337" max="14337" width="39.7265625" style="35" customWidth="1"/>
    <col min="14338" max="14338" width="9.7265625" style="35" customWidth="1"/>
    <col min="14339" max="14339" width="20.81640625" style="35" customWidth="1"/>
    <col min="14340" max="14340" width="16" style="35" customWidth="1"/>
    <col min="14341" max="14341" width="16.1796875" style="35" customWidth="1"/>
    <col min="14342" max="14342" width="13.54296875" style="35" customWidth="1"/>
    <col min="14343" max="14343" width="16.81640625" style="35" customWidth="1"/>
    <col min="14344" max="14345" width="9.1796875" style="35"/>
    <col min="14346" max="14346" width="11.54296875" style="35" customWidth="1"/>
    <col min="14347" max="14591" width="9.1796875" style="35"/>
    <col min="14592" max="14592" width="3.81640625" style="35" customWidth="1"/>
    <col min="14593" max="14593" width="39.7265625" style="35" customWidth="1"/>
    <col min="14594" max="14594" width="9.7265625" style="35" customWidth="1"/>
    <col min="14595" max="14595" width="20.81640625" style="35" customWidth="1"/>
    <col min="14596" max="14596" width="16" style="35" customWidth="1"/>
    <col min="14597" max="14597" width="16.1796875" style="35" customWidth="1"/>
    <col min="14598" max="14598" width="13.54296875" style="35" customWidth="1"/>
    <col min="14599" max="14599" width="16.81640625" style="35" customWidth="1"/>
    <col min="14600" max="14601" width="9.1796875" style="35"/>
    <col min="14602" max="14602" width="11.54296875" style="35" customWidth="1"/>
    <col min="14603" max="14847" width="9.1796875" style="35"/>
    <col min="14848" max="14848" width="3.81640625" style="35" customWidth="1"/>
    <col min="14849" max="14849" width="39.7265625" style="35" customWidth="1"/>
    <col min="14850" max="14850" width="9.7265625" style="35" customWidth="1"/>
    <col min="14851" max="14851" width="20.81640625" style="35" customWidth="1"/>
    <col min="14852" max="14852" width="16" style="35" customWidth="1"/>
    <col min="14853" max="14853" width="16.1796875" style="35" customWidth="1"/>
    <col min="14854" max="14854" width="13.54296875" style="35" customWidth="1"/>
    <col min="14855" max="14855" width="16.81640625" style="35" customWidth="1"/>
    <col min="14856" max="14857" width="9.1796875" style="35"/>
    <col min="14858" max="14858" width="11.54296875" style="35" customWidth="1"/>
    <col min="14859" max="15103" width="9.1796875" style="35"/>
    <col min="15104" max="15104" width="3.81640625" style="35" customWidth="1"/>
    <col min="15105" max="15105" width="39.7265625" style="35" customWidth="1"/>
    <col min="15106" max="15106" width="9.7265625" style="35" customWidth="1"/>
    <col min="15107" max="15107" width="20.81640625" style="35" customWidth="1"/>
    <col min="15108" max="15108" width="16" style="35" customWidth="1"/>
    <col min="15109" max="15109" width="16.1796875" style="35" customWidth="1"/>
    <col min="15110" max="15110" width="13.54296875" style="35" customWidth="1"/>
    <col min="15111" max="15111" width="16.81640625" style="35" customWidth="1"/>
    <col min="15112" max="15113" width="9.1796875" style="35"/>
    <col min="15114" max="15114" width="11.54296875" style="35" customWidth="1"/>
    <col min="15115" max="15359" width="9.1796875" style="35"/>
    <col min="15360" max="15360" width="3.81640625" style="35" customWidth="1"/>
    <col min="15361" max="15361" width="39.7265625" style="35" customWidth="1"/>
    <col min="15362" max="15362" width="9.7265625" style="35" customWidth="1"/>
    <col min="15363" max="15363" width="20.81640625" style="35" customWidth="1"/>
    <col min="15364" max="15364" width="16" style="35" customWidth="1"/>
    <col min="15365" max="15365" width="16.1796875" style="35" customWidth="1"/>
    <col min="15366" max="15366" width="13.54296875" style="35" customWidth="1"/>
    <col min="15367" max="15367" width="16.81640625" style="35" customWidth="1"/>
    <col min="15368" max="15369" width="9.1796875" style="35"/>
    <col min="15370" max="15370" width="11.54296875" style="35" customWidth="1"/>
    <col min="15371" max="15615" width="9.1796875" style="35"/>
    <col min="15616" max="15616" width="3.81640625" style="35" customWidth="1"/>
    <col min="15617" max="15617" width="39.7265625" style="35" customWidth="1"/>
    <col min="15618" max="15618" width="9.7265625" style="35" customWidth="1"/>
    <col min="15619" max="15619" width="20.81640625" style="35" customWidth="1"/>
    <col min="15620" max="15620" width="16" style="35" customWidth="1"/>
    <col min="15621" max="15621" width="16.1796875" style="35" customWidth="1"/>
    <col min="15622" max="15622" width="13.54296875" style="35" customWidth="1"/>
    <col min="15623" max="15623" width="16.81640625" style="35" customWidth="1"/>
    <col min="15624" max="15625" width="9.1796875" style="35"/>
    <col min="15626" max="15626" width="11.54296875" style="35" customWidth="1"/>
    <col min="15627" max="15871" width="9.1796875" style="35"/>
    <col min="15872" max="15872" width="3.81640625" style="35" customWidth="1"/>
    <col min="15873" max="15873" width="39.7265625" style="35" customWidth="1"/>
    <col min="15874" max="15874" width="9.7265625" style="35" customWidth="1"/>
    <col min="15875" max="15875" width="20.81640625" style="35" customWidth="1"/>
    <col min="15876" max="15876" width="16" style="35" customWidth="1"/>
    <col min="15877" max="15877" width="16.1796875" style="35" customWidth="1"/>
    <col min="15878" max="15878" width="13.54296875" style="35" customWidth="1"/>
    <col min="15879" max="15879" width="16.81640625" style="35" customWidth="1"/>
    <col min="15880" max="15881" width="9.1796875" style="35"/>
    <col min="15882" max="15882" width="11.54296875" style="35" customWidth="1"/>
    <col min="15883" max="16127" width="9.1796875" style="35"/>
    <col min="16128" max="16128" width="3.81640625" style="35" customWidth="1"/>
    <col min="16129" max="16129" width="39.7265625" style="35" customWidth="1"/>
    <col min="16130" max="16130" width="9.7265625" style="35" customWidth="1"/>
    <col min="16131" max="16131" width="20.81640625" style="35" customWidth="1"/>
    <col min="16132" max="16132" width="16" style="35" customWidth="1"/>
    <col min="16133" max="16133" width="16.1796875" style="35" customWidth="1"/>
    <col min="16134" max="16134" width="13.54296875" style="35" customWidth="1"/>
    <col min="16135" max="16135" width="16.81640625" style="35" customWidth="1"/>
    <col min="16136" max="16137" width="9.1796875" style="35"/>
    <col min="16138" max="16138" width="11.54296875" style="35" customWidth="1"/>
    <col min="16139" max="16384" width="9.1796875" style="35"/>
  </cols>
  <sheetData>
    <row r="1" spans="4:8" ht="26.25" customHeight="1">
      <c r="E1" s="44" t="s">
        <v>9</v>
      </c>
      <c r="F1" s="45"/>
    </row>
    <row r="2" spans="4:8" ht="26.25" customHeight="1">
      <c r="E2" s="44" t="s">
        <v>27</v>
      </c>
      <c r="F2" s="45"/>
    </row>
    <row r="3" spans="4:8" ht="26.25" customHeight="1">
      <c r="E3" s="47" t="s">
        <v>28</v>
      </c>
      <c r="F3" s="48"/>
      <c r="G3" s="49"/>
      <c r="H3" s="49"/>
    </row>
    <row r="5" spans="4:8">
      <c r="D5" s="283" t="s">
        <v>343</v>
      </c>
      <c r="E5" s="283"/>
      <c r="F5" s="283"/>
      <c r="G5" s="283"/>
      <c r="H5" s="283"/>
    </row>
    <row r="7" spans="4:8" s="50" customFormat="1" ht="20" customHeight="1">
      <c r="D7" s="51"/>
      <c r="E7" s="70" t="s">
        <v>29</v>
      </c>
      <c r="F7" s="53"/>
      <c r="G7" s="52" t="s">
        <v>6</v>
      </c>
      <c r="H7" s="52" t="s">
        <v>11</v>
      </c>
    </row>
    <row r="8" spans="4:8" s="50" customFormat="1">
      <c r="D8" s="54">
        <v>1</v>
      </c>
      <c r="E8" s="55" t="s">
        <v>17</v>
      </c>
      <c r="F8" s="52"/>
      <c r="G8" s="56" t="s">
        <v>15</v>
      </c>
      <c r="H8" s="57"/>
    </row>
    <row r="9" spans="4:8" s="58" customFormat="1" ht="20" customHeight="1">
      <c r="D9" s="43"/>
      <c r="E9" s="69" t="s">
        <v>31</v>
      </c>
      <c r="F9" s="46">
        <v>16433945</v>
      </c>
      <c r="G9" s="59">
        <f>+'[2]BUDGET Q3 UPDATED'!$C$25</f>
        <v>1148602867</v>
      </c>
      <c r="H9" s="60"/>
    </row>
    <row r="10" spans="4:8" s="50" customFormat="1" ht="20" customHeight="1" thickBot="1">
      <c r="D10" s="51"/>
      <c r="E10" s="55" t="s">
        <v>7</v>
      </c>
      <c r="F10" s="61">
        <f>SUM(F9:F9)</f>
        <v>16433945</v>
      </c>
      <c r="G10" s="61">
        <f>SUM(G9:G9)</f>
        <v>1148602867</v>
      </c>
      <c r="H10" s="71">
        <v>100</v>
      </c>
    </row>
    <row r="11" spans="4:8" s="50" customFormat="1" ht="15" thickTop="1">
      <c r="D11" s="54"/>
      <c r="E11" s="62"/>
      <c r="F11" s="64"/>
      <c r="G11" s="63"/>
      <c r="H11" s="64"/>
    </row>
    <row r="12" spans="4:8" s="50" customFormat="1">
      <c r="D12" s="51"/>
      <c r="F12" s="284"/>
      <c r="G12" s="284"/>
      <c r="H12" s="284"/>
    </row>
    <row r="13" spans="4:8" s="55" customFormat="1">
      <c r="D13" s="54">
        <v>2</v>
      </c>
      <c r="E13" s="55" t="s">
        <v>16</v>
      </c>
      <c r="F13" s="52"/>
      <c r="G13" s="52" t="s">
        <v>0</v>
      </c>
      <c r="H13" s="64" t="s">
        <v>11</v>
      </c>
    </row>
    <row r="14" spans="4:8" s="55" customFormat="1">
      <c r="D14" s="54"/>
      <c r="F14" s="52"/>
      <c r="G14" s="52" t="s">
        <v>22</v>
      </c>
      <c r="H14" s="64"/>
    </row>
    <row r="15" spans="4:8" s="50" customFormat="1">
      <c r="D15" s="51"/>
      <c r="E15" s="50" t="s">
        <v>2</v>
      </c>
      <c r="G15" s="66">
        <v>81806326</v>
      </c>
      <c r="H15" s="64">
        <f>+G15*100/G18</f>
        <v>9.2105067682346533</v>
      </c>
    </row>
    <row r="16" spans="4:8" s="50" customFormat="1">
      <c r="D16" s="51"/>
      <c r="E16" s="50" t="s">
        <v>19</v>
      </c>
      <c r="F16" s="53"/>
      <c r="G16" s="53">
        <f>+G18-G17-G15</f>
        <v>806028527</v>
      </c>
      <c r="H16" s="64">
        <f>+G16*100/G18</f>
        <v>90.75008702045497</v>
      </c>
    </row>
    <row r="17" spans="4:8" s="50" customFormat="1">
      <c r="D17" s="51"/>
      <c r="E17" s="50" t="s">
        <v>18</v>
      </c>
      <c r="F17" s="53"/>
      <c r="G17" s="53">
        <v>350000</v>
      </c>
      <c r="H17" s="64">
        <f>+G17*100/G18</f>
        <v>3.9406211310383604E-2</v>
      </c>
    </row>
    <row r="18" spans="4:8" s="50" customFormat="1" ht="16.5" thickBot="1">
      <c r="D18" s="51"/>
      <c r="E18" s="55" t="s">
        <v>21</v>
      </c>
      <c r="F18" s="52"/>
      <c r="G18" s="67">
        <f>+'[2]BUDGET Q3 UPDATED'!$C$119</f>
        <v>888184853</v>
      </c>
      <c r="H18" s="64">
        <v>100</v>
      </c>
    </row>
    <row r="19" spans="4:8" s="50" customFormat="1" ht="15" thickTop="1">
      <c r="D19" s="51"/>
      <c r="E19" s="55" t="s">
        <v>26</v>
      </c>
      <c r="F19" s="65"/>
      <c r="G19" s="68">
        <f>+G10-G18</f>
        <v>260418014</v>
      </c>
      <c r="H19" s="64"/>
    </row>
    <row r="20" spans="4:8" s="50" customFormat="1">
      <c r="D20" s="51"/>
      <c r="F20" s="53"/>
      <c r="G20" s="53"/>
      <c r="H20" s="64"/>
    </row>
  </sheetData>
  <mergeCells count="2">
    <mergeCell ref="D5:H5"/>
    <mergeCell ref="F12:H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6:G126"/>
  <sheetViews>
    <sheetView workbookViewId="0">
      <selection activeCell="A9" sqref="A9:E9"/>
    </sheetView>
  </sheetViews>
  <sheetFormatPr defaultColWidth="22.1796875" defaultRowHeight="13"/>
  <cols>
    <col min="1" max="1" width="3.54296875" style="79" customWidth="1"/>
    <col min="2" max="2" width="46.26953125" style="142" customWidth="1"/>
    <col min="3" max="3" width="20.6328125" style="76" customWidth="1"/>
    <col min="4" max="4" width="15" style="77" customWidth="1"/>
    <col min="5" max="5" width="16.90625" style="77" customWidth="1"/>
    <col min="6" max="6" width="22.1796875" style="78"/>
    <col min="7" max="16384" width="22.1796875" style="79"/>
  </cols>
  <sheetData>
    <row r="6" spans="1:6">
      <c r="A6" s="75" t="s">
        <v>35</v>
      </c>
      <c r="B6" s="75"/>
    </row>
    <row r="7" spans="1:6">
      <c r="A7" s="75" t="s">
        <v>36</v>
      </c>
      <c r="B7" s="75"/>
    </row>
    <row r="8" spans="1:6" ht="11.25" customHeight="1">
      <c r="A8" s="289"/>
      <c r="B8" s="289"/>
      <c r="C8" s="289"/>
    </row>
    <row r="9" spans="1:6" ht="14.5">
      <c r="A9" s="290" t="s">
        <v>37</v>
      </c>
      <c r="B9" s="290"/>
      <c r="C9" s="290"/>
      <c r="D9" s="290"/>
      <c r="E9" s="290"/>
    </row>
    <row r="10" spans="1:6">
      <c r="A10" s="291"/>
      <c r="B10" s="291"/>
      <c r="C10" s="291"/>
    </row>
    <row r="11" spans="1:6" ht="60" customHeight="1">
      <c r="A11" s="292" t="s">
        <v>38</v>
      </c>
      <c r="B11" s="292"/>
      <c r="C11" s="80" t="s">
        <v>39</v>
      </c>
      <c r="D11" s="81" t="s">
        <v>40</v>
      </c>
      <c r="E11" s="81" t="s">
        <v>41</v>
      </c>
    </row>
    <row r="12" spans="1:6" ht="25" customHeight="1">
      <c r="A12" s="293" t="s">
        <v>42</v>
      </c>
      <c r="B12" s="293"/>
      <c r="C12" s="82">
        <v>416175397</v>
      </c>
      <c r="D12" s="83">
        <v>416175397</v>
      </c>
      <c r="E12" s="83">
        <f>+C12-D12</f>
        <v>0</v>
      </c>
      <c r="F12" s="84"/>
    </row>
    <row r="13" spans="1:6" ht="25" customHeight="1">
      <c r="A13" s="285" t="s">
        <v>43</v>
      </c>
      <c r="B13" s="286"/>
      <c r="C13" s="286"/>
      <c r="D13" s="85"/>
      <c r="E13" s="85"/>
      <c r="F13" s="84"/>
    </row>
    <row r="14" spans="1:6" s="78" customFormat="1" ht="22.5" customHeight="1">
      <c r="A14" s="86" t="s">
        <v>44</v>
      </c>
      <c r="B14" s="87" t="s">
        <v>45</v>
      </c>
      <c r="C14" s="88">
        <f>110000000*3</f>
        <v>330000000</v>
      </c>
      <c r="D14" s="83">
        <v>410634837</v>
      </c>
      <c r="E14" s="83">
        <f t="shared" ref="E14:E21" si="0">+C14-D14</f>
        <v>-80634837</v>
      </c>
      <c r="F14" s="89"/>
    </row>
    <row r="15" spans="1:6" s="78" customFormat="1" ht="22.5" customHeight="1">
      <c r="A15" s="86" t="s">
        <v>46</v>
      </c>
      <c r="B15" s="87" t="s">
        <v>47</v>
      </c>
      <c r="C15" s="88">
        <v>74996479</v>
      </c>
      <c r="D15" s="83">
        <v>0</v>
      </c>
      <c r="E15" s="83">
        <f t="shared" si="0"/>
        <v>74996479</v>
      </c>
      <c r="F15" s="89"/>
    </row>
    <row r="16" spans="1:6" s="78" customFormat="1" ht="28.5" customHeight="1">
      <c r="A16" s="86" t="s">
        <v>48</v>
      </c>
      <c r="B16" s="87" t="s">
        <v>49</v>
      </c>
      <c r="C16" s="90">
        <v>40000000</v>
      </c>
      <c r="D16" s="83">
        <f>12316955+13327569+14000000</f>
        <v>39644524</v>
      </c>
      <c r="E16" s="83">
        <f t="shared" si="0"/>
        <v>355476</v>
      </c>
    </row>
    <row r="17" spans="1:7" s="78" customFormat="1" ht="22.5" customHeight="1">
      <c r="A17" s="86" t="s">
        <v>50</v>
      </c>
      <c r="B17" s="87" t="s">
        <v>51</v>
      </c>
      <c r="C17" s="88">
        <v>3000000</v>
      </c>
      <c r="D17" s="83">
        <f>11575000+700000</f>
        <v>12275000</v>
      </c>
      <c r="E17" s="83">
        <f t="shared" si="0"/>
        <v>-9275000</v>
      </c>
      <c r="F17" s="89"/>
    </row>
    <row r="18" spans="1:7" s="78" customFormat="1" ht="22.5" customHeight="1">
      <c r="A18" s="86" t="s">
        <v>52</v>
      </c>
      <c r="B18" s="87" t="s">
        <v>53</v>
      </c>
      <c r="C18" s="91">
        <v>22908000</v>
      </c>
      <c r="D18" s="83">
        <v>0</v>
      </c>
      <c r="E18" s="83">
        <f t="shared" si="0"/>
        <v>22908000</v>
      </c>
    </row>
    <row r="19" spans="1:7" ht="20" customHeight="1">
      <c r="A19" s="86" t="s">
        <v>54</v>
      </c>
      <c r="B19" s="87" t="s">
        <v>55</v>
      </c>
      <c r="C19" s="88">
        <v>28680000</v>
      </c>
      <c r="D19" s="92">
        <v>28680000</v>
      </c>
      <c r="E19" s="92">
        <f t="shared" si="0"/>
        <v>0</v>
      </c>
    </row>
    <row r="20" spans="1:7" ht="20" customHeight="1">
      <c r="A20" s="86" t="s">
        <v>56</v>
      </c>
      <c r="B20" s="87" t="s">
        <v>57</v>
      </c>
      <c r="C20" s="90">
        <v>14982257</v>
      </c>
      <c r="D20" s="92">
        <v>6100000</v>
      </c>
      <c r="E20" s="92">
        <f>+C20-D20</f>
        <v>8882257</v>
      </c>
    </row>
    <row r="21" spans="1:7" ht="20" customHeight="1">
      <c r="A21" s="93" t="s">
        <v>58</v>
      </c>
      <c r="B21" s="87" t="s">
        <v>59</v>
      </c>
      <c r="C21" s="88">
        <v>440000</v>
      </c>
      <c r="D21" s="92">
        <v>482423</v>
      </c>
      <c r="E21" s="92">
        <f t="shared" si="0"/>
        <v>-42423</v>
      </c>
    </row>
    <row r="22" spans="1:7" ht="25" customHeight="1">
      <c r="A22" s="93"/>
      <c r="B22" s="94" t="s">
        <v>60</v>
      </c>
      <c r="C22" s="95">
        <f>SUM(C14:C21)</f>
        <v>515006736</v>
      </c>
      <c r="D22" s="96">
        <f>SUM(D14:D21)</f>
        <v>497816784</v>
      </c>
      <c r="E22" s="97">
        <v>0.8</v>
      </c>
      <c r="F22" s="89"/>
    </row>
    <row r="23" spans="1:7" ht="25" customHeight="1">
      <c r="A23" s="296" t="s">
        <v>61</v>
      </c>
      <c r="B23" s="296"/>
      <c r="C23" s="82">
        <f>+C22+C12</f>
        <v>931182133</v>
      </c>
      <c r="D23" s="96">
        <f>+D22+D12</f>
        <v>913992181</v>
      </c>
      <c r="E23" s="96">
        <f>+C23-D23</f>
        <v>17189952</v>
      </c>
      <c r="F23" s="89"/>
    </row>
    <row r="24" spans="1:7" ht="25" customHeight="1">
      <c r="A24" s="297" t="s">
        <v>62</v>
      </c>
      <c r="B24" s="298"/>
      <c r="C24" s="298"/>
      <c r="D24" s="85"/>
      <c r="E24" s="85"/>
    </row>
    <row r="25" spans="1:7" ht="50" customHeight="1">
      <c r="A25" s="98">
        <v>1</v>
      </c>
      <c r="B25" s="99" t="s">
        <v>63</v>
      </c>
      <c r="C25" s="100" t="s">
        <v>64</v>
      </c>
      <c r="D25" s="101" t="s">
        <v>65</v>
      </c>
      <c r="E25" s="101" t="s">
        <v>41</v>
      </c>
    </row>
    <row r="26" spans="1:7" ht="20" customHeight="1">
      <c r="A26" s="299" t="s">
        <v>66</v>
      </c>
      <c r="B26" s="300"/>
      <c r="C26" s="300"/>
      <c r="D26" s="92"/>
      <c r="E26" s="92"/>
    </row>
    <row r="27" spans="1:7" ht="20" customHeight="1">
      <c r="A27" s="102"/>
      <c r="B27" s="103" t="s">
        <v>67</v>
      </c>
      <c r="C27" s="90">
        <v>61270561</v>
      </c>
      <c r="D27" s="83">
        <v>67598615</v>
      </c>
      <c r="E27" s="83">
        <f t="shared" ref="E27:E36" si="1">+C27-D27</f>
        <v>-6328054</v>
      </c>
      <c r="G27" s="104"/>
    </row>
    <row r="28" spans="1:7" ht="20" customHeight="1">
      <c r="A28" s="102"/>
      <c r="B28" s="103" t="s">
        <v>68</v>
      </c>
      <c r="C28" s="90">
        <v>1000000</v>
      </c>
      <c r="D28" s="92">
        <f>1001119+56000</f>
        <v>1057119</v>
      </c>
      <c r="E28" s="92">
        <f t="shared" si="1"/>
        <v>-57119</v>
      </c>
    </row>
    <row r="29" spans="1:7" ht="20" customHeight="1">
      <c r="A29" s="102"/>
      <c r="B29" s="105" t="s">
        <v>69</v>
      </c>
      <c r="C29" s="91">
        <f>1000000*3</f>
        <v>3000000</v>
      </c>
      <c r="D29" s="92">
        <v>3000000</v>
      </c>
      <c r="E29" s="92">
        <f t="shared" si="1"/>
        <v>0</v>
      </c>
    </row>
    <row r="30" spans="1:7" ht="35.15" customHeight="1">
      <c r="A30" s="102"/>
      <c r="B30" s="106" t="s">
        <v>70</v>
      </c>
      <c r="C30" s="90">
        <v>2000000</v>
      </c>
      <c r="D30" s="83">
        <v>0</v>
      </c>
      <c r="E30" s="83">
        <f t="shared" si="1"/>
        <v>2000000</v>
      </c>
    </row>
    <row r="31" spans="1:7" ht="20" customHeight="1">
      <c r="A31" s="102"/>
      <c r="B31" s="106" t="s">
        <v>71</v>
      </c>
      <c r="C31" s="90">
        <v>635232</v>
      </c>
      <c r="D31" s="83">
        <f>102552+162108</f>
        <v>264660</v>
      </c>
      <c r="E31" s="83">
        <f t="shared" si="1"/>
        <v>370572</v>
      </c>
      <c r="F31" s="89"/>
    </row>
    <row r="32" spans="1:7" ht="20" customHeight="1">
      <c r="A32" s="102"/>
      <c r="B32" s="106" t="s">
        <v>72</v>
      </c>
      <c r="C32" s="90">
        <v>3494470</v>
      </c>
      <c r="D32" s="92">
        <v>0</v>
      </c>
      <c r="E32" s="92">
        <f t="shared" si="1"/>
        <v>3494470</v>
      </c>
    </row>
    <row r="33" spans="1:6" ht="20" customHeight="1">
      <c r="A33" s="102"/>
      <c r="B33" s="106" t="s">
        <v>73</v>
      </c>
      <c r="C33" s="90">
        <v>1538940</v>
      </c>
      <c r="D33" s="92">
        <v>0</v>
      </c>
      <c r="E33" s="92">
        <f t="shared" si="1"/>
        <v>1538940</v>
      </c>
    </row>
    <row r="34" spans="1:6" ht="20" customHeight="1">
      <c r="A34" s="102"/>
      <c r="B34" s="106" t="s">
        <v>74</v>
      </c>
      <c r="C34" s="107">
        <v>1400000</v>
      </c>
      <c r="D34" s="92">
        <v>0</v>
      </c>
      <c r="E34" s="92">
        <f t="shared" si="1"/>
        <v>1400000</v>
      </c>
    </row>
    <row r="35" spans="1:6" ht="20" customHeight="1">
      <c r="A35" s="102"/>
      <c r="B35" s="106" t="s">
        <v>75</v>
      </c>
      <c r="C35" s="107">
        <f>590000*3</f>
        <v>1770000</v>
      </c>
      <c r="D35" s="92">
        <f>1200000+600000</f>
        <v>1800000</v>
      </c>
      <c r="E35" s="92">
        <f t="shared" si="1"/>
        <v>-30000</v>
      </c>
      <c r="F35" s="89"/>
    </row>
    <row r="36" spans="1:6" ht="25" customHeight="1">
      <c r="A36" s="108"/>
      <c r="B36" s="108" t="s">
        <v>76</v>
      </c>
      <c r="C36" s="95">
        <f>SUM(C27:C35)</f>
        <v>76109203</v>
      </c>
      <c r="D36" s="96">
        <f>SUM(D27:D35)</f>
        <v>73720394</v>
      </c>
      <c r="E36" s="96">
        <f t="shared" si="1"/>
        <v>2388809</v>
      </c>
      <c r="F36" s="89"/>
    </row>
    <row r="37" spans="1:6" ht="20" customHeight="1">
      <c r="A37" s="294" t="s">
        <v>77</v>
      </c>
      <c r="B37" s="295"/>
      <c r="C37" s="295"/>
      <c r="D37" s="109"/>
      <c r="E37" s="109"/>
    </row>
    <row r="38" spans="1:6" ht="20" customHeight="1">
      <c r="A38" s="102"/>
      <c r="B38" s="103" t="s">
        <v>78</v>
      </c>
      <c r="C38" s="90">
        <v>200000</v>
      </c>
      <c r="D38" s="83">
        <v>30100</v>
      </c>
      <c r="E38" s="83">
        <f t="shared" ref="E38:E43" si="2">+C38-D38</f>
        <v>169900</v>
      </c>
    </row>
    <row r="39" spans="1:6" ht="20" customHeight="1">
      <c r="A39" s="102"/>
      <c r="B39" s="103" t="s">
        <v>79</v>
      </c>
      <c r="C39" s="90">
        <v>300000</v>
      </c>
      <c r="D39" s="92">
        <v>114000</v>
      </c>
      <c r="E39" s="92">
        <f t="shared" si="2"/>
        <v>186000</v>
      </c>
    </row>
    <row r="40" spans="1:6" ht="20" customHeight="1">
      <c r="A40" s="102"/>
      <c r="B40" s="103" t="s">
        <v>80</v>
      </c>
      <c r="C40" s="90">
        <v>4800000</v>
      </c>
      <c r="D40" s="92">
        <v>3200000</v>
      </c>
      <c r="E40" s="92">
        <f t="shared" si="2"/>
        <v>1600000</v>
      </c>
    </row>
    <row r="41" spans="1:6" ht="20" customHeight="1">
      <c r="A41" s="102"/>
      <c r="B41" s="103" t="s">
        <v>81</v>
      </c>
      <c r="C41" s="90">
        <v>2587690</v>
      </c>
      <c r="D41" s="92">
        <v>2587690</v>
      </c>
      <c r="E41" s="92">
        <f t="shared" si="2"/>
        <v>0</v>
      </c>
    </row>
    <row r="42" spans="1:6" ht="25" customHeight="1">
      <c r="A42" s="102"/>
      <c r="B42" s="103" t="s">
        <v>82</v>
      </c>
      <c r="C42" s="90">
        <v>30000</v>
      </c>
      <c r="D42" s="83">
        <v>35000</v>
      </c>
      <c r="E42" s="83">
        <f t="shared" si="2"/>
        <v>-5000</v>
      </c>
      <c r="F42" s="89"/>
    </row>
    <row r="43" spans="1:6" ht="20" customHeight="1">
      <c r="A43" s="102"/>
      <c r="B43" s="103" t="s">
        <v>83</v>
      </c>
      <c r="C43" s="90">
        <v>18000</v>
      </c>
      <c r="D43" s="92">
        <v>0</v>
      </c>
      <c r="E43" s="92">
        <f t="shared" si="2"/>
        <v>18000</v>
      </c>
    </row>
    <row r="44" spans="1:6" ht="25" customHeight="1">
      <c r="A44" s="301" t="s">
        <v>84</v>
      </c>
      <c r="B44" s="302"/>
      <c r="C44" s="95">
        <f>SUM(C38:C43)</f>
        <v>7935690</v>
      </c>
      <c r="D44" s="96">
        <f>SUM(D38:D43)</f>
        <v>5966790</v>
      </c>
      <c r="E44" s="96">
        <f>SUM(E38:E43)</f>
        <v>1968900</v>
      </c>
    </row>
    <row r="45" spans="1:6" ht="20" customHeight="1">
      <c r="A45" s="294" t="s">
        <v>85</v>
      </c>
      <c r="B45" s="295"/>
      <c r="C45" s="295"/>
      <c r="D45" s="109"/>
      <c r="E45" s="109"/>
    </row>
    <row r="46" spans="1:6" ht="25" customHeight="1">
      <c r="A46" s="102"/>
      <c r="B46" s="103" t="s">
        <v>86</v>
      </c>
      <c r="C46" s="90">
        <f>50000*3</f>
        <v>150000</v>
      </c>
      <c r="D46" s="83">
        <v>150000</v>
      </c>
      <c r="E46" s="83">
        <f t="shared" ref="E46:E52" si="3">+C46-D46</f>
        <v>0</v>
      </c>
    </row>
    <row r="47" spans="1:6" ht="40" customHeight="1">
      <c r="A47" s="102"/>
      <c r="B47" s="106" t="s">
        <v>87</v>
      </c>
      <c r="C47" s="90">
        <v>1000000</v>
      </c>
      <c r="D47" s="83">
        <f>50000+11500+13600+314000</f>
        <v>389100</v>
      </c>
      <c r="E47" s="83">
        <f t="shared" si="3"/>
        <v>610900</v>
      </c>
      <c r="F47" s="89"/>
    </row>
    <row r="48" spans="1:6" ht="25" customHeight="1">
      <c r="A48" s="102"/>
      <c r="B48" s="106" t="s">
        <v>88</v>
      </c>
      <c r="C48" s="90">
        <v>4500000</v>
      </c>
      <c r="D48" s="83">
        <v>3051121</v>
      </c>
      <c r="E48" s="83">
        <f t="shared" si="3"/>
        <v>1448879</v>
      </c>
    </row>
    <row r="49" spans="1:7" ht="30" customHeight="1">
      <c r="A49" s="102"/>
      <c r="B49" s="105" t="s">
        <v>89</v>
      </c>
      <c r="C49" s="90">
        <v>0</v>
      </c>
      <c r="D49" s="83">
        <v>2000</v>
      </c>
      <c r="E49" s="83">
        <f t="shared" si="3"/>
        <v>-2000</v>
      </c>
      <c r="G49" s="110"/>
    </row>
    <row r="50" spans="1:7" ht="30" customHeight="1">
      <c r="A50" s="111"/>
      <c r="B50" s="106" t="s">
        <v>90</v>
      </c>
      <c r="C50" s="90">
        <v>1095000</v>
      </c>
      <c r="D50" s="83">
        <v>1104000</v>
      </c>
      <c r="E50" s="83">
        <f t="shared" si="3"/>
        <v>-9000</v>
      </c>
    </row>
    <row r="51" spans="1:7" ht="30" customHeight="1">
      <c r="A51" s="111"/>
      <c r="B51" s="106" t="s">
        <v>91</v>
      </c>
      <c r="C51" s="90">
        <f>250000*3</f>
        <v>750000</v>
      </c>
      <c r="D51" s="83">
        <v>452000</v>
      </c>
      <c r="E51" s="83">
        <f t="shared" si="3"/>
        <v>298000</v>
      </c>
    </row>
    <row r="52" spans="1:7" ht="30" customHeight="1">
      <c r="A52" s="111"/>
      <c r="B52" s="106" t="s">
        <v>92</v>
      </c>
      <c r="C52" s="90">
        <f>100000*3</f>
        <v>300000</v>
      </c>
      <c r="D52" s="83">
        <v>272084</v>
      </c>
      <c r="E52" s="83">
        <f t="shared" si="3"/>
        <v>27916</v>
      </c>
      <c r="F52" s="89"/>
    </row>
    <row r="53" spans="1:7" ht="25" customHeight="1">
      <c r="A53" s="112"/>
      <c r="B53" s="113" t="s">
        <v>93</v>
      </c>
      <c r="C53" s="95">
        <f>SUM(C46:C50)</f>
        <v>6745000</v>
      </c>
      <c r="D53" s="96">
        <f>SUM(D46:D52)</f>
        <v>5420305</v>
      </c>
      <c r="E53" s="96">
        <f>SUM(E46:E52)</f>
        <v>2374695</v>
      </c>
      <c r="F53" s="114"/>
    </row>
    <row r="54" spans="1:7" ht="20" customHeight="1">
      <c r="A54" s="294" t="s">
        <v>94</v>
      </c>
      <c r="B54" s="295"/>
      <c r="C54" s="295"/>
      <c r="D54" s="109"/>
      <c r="E54" s="109"/>
      <c r="F54" s="84"/>
    </row>
    <row r="55" spans="1:7" ht="25" customHeight="1">
      <c r="A55" s="115"/>
      <c r="B55" s="116" t="s">
        <v>95</v>
      </c>
      <c r="C55" s="90">
        <v>1000000</v>
      </c>
      <c r="D55" s="92">
        <v>0</v>
      </c>
      <c r="E55" s="92">
        <f>+C55-D55</f>
        <v>1000000</v>
      </c>
    </row>
    <row r="56" spans="1:7" ht="30" customHeight="1">
      <c r="A56" s="102"/>
      <c r="B56" s="116" t="s">
        <v>96</v>
      </c>
      <c r="C56" s="90">
        <v>1000000</v>
      </c>
      <c r="D56" s="83">
        <v>405442</v>
      </c>
      <c r="E56" s="83">
        <f>+C56-D56</f>
        <v>594558</v>
      </c>
      <c r="F56" s="89"/>
    </row>
    <row r="57" spans="1:7" ht="30" customHeight="1">
      <c r="A57" s="102"/>
      <c r="B57" s="94" t="s">
        <v>97</v>
      </c>
      <c r="C57" s="95">
        <f>SUM(C55:C56)</f>
        <v>2000000</v>
      </c>
      <c r="D57" s="96">
        <f>SUM(D55:D56)</f>
        <v>405442</v>
      </c>
      <c r="E57" s="96">
        <f>SUM(E55:E56)</f>
        <v>1594558</v>
      </c>
    </row>
    <row r="58" spans="1:7" ht="20" customHeight="1">
      <c r="A58" s="294" t="s">
        <v>98</v>
      </c>
      <c r="B58" s="295"/>
      <c r="C58" s="295"/>
      <c r="D58" s="109"/>
      <c r="E58" s="109"/>
    </row>
    <row r="59" spans="1:7" ht="30" customHeight="1">
      <c r="A59" s="102"/>
      <c r="B59" s="106" t="s">
        <v>99</v>
      </c>
      <c r="C59" s="90">
        <v>600000</v>
      </c>
      <c r="D59" s="83">
        <v>549840</v>
      </c>
      <c r="E59" s="83">
        <f>+C59-D59</f>
        <v>50160</v>
      </c>
    </row>
    <row r="60" spans="1:7" ht="25" customHeight="1">
      <c r="A60" s="102"/>
      <c r="B60" s="106" t="s">
        <v>100</v>
      </c>
      <c r="C60" s="90">
        <f>400000+900000</f>
        <v>1300000</v>
      </c>
      <c r="D60" s="117">
        <v>400000</v>
      </c>
      <c r="E60" s="83">
        <f>+C60-D60</f>
        <v>900000</v>
      </c>
      <c r="F60" s="89"/>
    </row>
    <row r="61" spans="1:7" ht="25" customHeight="1">
      <c r="A61" s="111"/>
      <c r="B61" s="113" t="s">
        <v>101</v>
      </c>
      <c r="C61" s="95">
        <f>SUM(C59:C60)</f>
        <v>1900000</v>
      </c>
      <c r="D61" s="96">
        <f>SUM(D59:D60)</f>
        <v>949840</v>
      </c>
      <c r="E61" s="96">
        <f>SUM(E59:E60)</f>
        <v>950160</v>
      </c>
    </row>
    <row r="62" spans="1:7" ht="20" customHeight="1">
      <c r="A62" s="294" t="s">
        <v>102</v>
      </c>
      <c r="B62" s="295"/>
      <c r="C62" s="295"/>
      <c r="D62" s="109"/>
      <c r="E62" s="109"/>
    </row>
    <row r="63" spans="1:7" ht="25" customHeight="1">
      <c r="A63" s="115"/>
      <c r="B63" s="106" t="s">
        <v>103</v>
      </c>
      <c r="C63" s="90">
        <v>500000</v>
      </c>
      <c r="D63" s="83">
        <v>0</v>
      </c>
      <c r="E63" s="83">
        <f>+C63-D63</f>
        <v>500000</v>
      </c>
    </row>
    <row r="64" spans="1:7" ht="25" customHeight="1">
      <c r="A64" s="115"/>
      <c r="B64" s="106" t="s">
        <v>104</v>
      </c>
      <c r="C64" s="90">
        <v>1848278</v>
      </c>
      <c r="D64" s="83">
        <v>1231500</v>
      </c>
      <c r="E64" s="83">
        <f>+C64-D64</f>
        <v>616778</v>
      </c>
    </row>
    <row r="65" spans="1:5" ht="25" customHeight="1">
      <c r="A65" s="115"/>
      <c r="B65" s="106" t="s">
        <v>105</v>
      </c>
      <c r="C65" s="90">
        <v>1500000</v>
      </c>
      <c r="D65" s="92">
        <v>0</v>
      </c>
      <c r="E65" s="92">
        <f>+C65-D65</f>
        <v>1500000</v>
      </c>
    </row>
    <row r="66" spans="1:5" ht="25" customHeight="1">
      <c r="A66" s="115"/>
      <c r="B66" s="106" t="s">
        <v>106</v>
      </c>
      <c r="C66" s="91">
        <v>3500000</v>
      </c>
      <c r="D66" s="92">
        <v>0</v>
      </c>
      <c r="E66" s="92">
        <f>+C66-D66</f>
        <v>3500000</v>
      </c>
    </row>
    <row r="67" spans="1:5" ht="25" customHeight="1">
      <c r="A67" s="115"/>
      <c r="B67" s="106" t="s">
        <v>107</v>
      </c>
      <c r="C67" s="90">
        <v>120000</v>
      </c>
      <c r="D67" s="83">
        <v>100000</v>
      </c>
      <c r="E67" s="83">
        <f>+C67-D67</f>
        <v>20000</v>
      </c>
    </row>
    <row r="68" spans="1:5" ht="25" customHeight="1">
      <c r="A68" s="115"/>
      <c r="B68" s="113" t="s">
        <v>108</v>
      </c>
      <c r="C68" s="82">
        <f>SUM(C63:C67)</f>
        <v>7468278</v>
      </c>
      <c r="D68" s="96">
        <f>SUM(D63:D67)</f>
        <v>1331500</v>
      </c>
      <c r="E68" s="96">
        <f>SUM(E63:E67)</f>
        <v>6136778</v>
      </c>
    </row>
    <row r="69" spans="1:5" ht="20" customHeight="1">
      <c r="A69" s="294" t="s">
        <v>109</v>
      </c>
      <c r="B69" s="295"/>
      <c r="C69" s="295"/>
      <c r="D69" s="109"/>
      <c r="E69" s="109"/>
    </row>
    <row r="70" spans="1:5" ht="20" customHeight="1">
      <c r="A70" s="102"/>
      <c r="B70" s="116" t="s">
        <v>110</v>
      </c>
      <c r="C70" s="91">
        <v>10800000</v>
      </c>
      <c r="D70" s="92">
        <v>6400000</v>
      </c>
      <c r="E70" s="92">
        <f t="shared" ref="E70:E76" si="4">+C70-D70</f>
        <v>4400000</v>
      </c>
    </row>
    <row r="71" spans="1:5" ht="20" customHeight="1">
      <c r="A71" s="102"/>
      <c r="B71" s="116" t="s">
        <v>111</v>
      </c>
      <c r="C71" s="91">
        <v>1770000</v>
      </c>
      <c r="D71" s="83">
        <v>2360000</v>
      </c>
      <c r="E71" s="83">
        <f t="shared" si="4"/>
        <v>-590000</v>
      </c>
    </row>
    <row r="72" spans="1:5" ht="20" customHeight="1">
      <c r="A72" s="102"/>
      <c r="B72" s="106" t="s">
        <v>112</v>
      </c>
      <c r="C72" s="90">
        <v>2500000</v>
      </c>
      <c r="D72" s="92">
        <v>0</v>
      </c>
      <c r="E72" s="92">
        <f t="shared" si="4"/>
        <v>2500000</v>
      </c>
    </row>
    <row r="73" spans="1:5" ht="25" customHeight="1">
      <c r="A73" s="102"/>
      <c r="B73" s="106" t="s">
        <v>113</v>
      </c>
      <c r="C73" s="90">
        <v>4500000</v>
      </c>
      <c r="D73" s="83">
        <v>4500000</v>
      </c>
      <c r="E73" s="83">
        <f t="shared" si="4"/>
        <v>0</v>
      </c>
    </row>
    <row r="74" spans="1:5" ht="25" customHeight="1">
      <c r="A74" s="102"/>
      <c r="B74" s="118" t="s">
        <v>114</v>
      </c>
      <c r="C74" s="90">
        <v>14695000</v>
      </c>
      <c r="D74" s="83">
        <v>14695000</v>
      </c>
      <c r="E74" s="83">
        <f t="shared" si="4"/>
        <v>0</v>
      </c>
    </row>
    <row r="75" spans="1:5" ht="25" customHeight="1">
      <c r="A75" s="102"/>
      <c r="B75" s="118" t="s">
        <v>115</v>
      </c>
      <c r="C75" s="90">
        <v>0</v>
      </c>
      <c r="D75" s="83">
        <v>9138800</v>
      </c>
      <c r="E75" s="83">
        <f t="shared" si="4"/>
        <v>-9138800</v>
      </c>
    </row>
    <row r="76" spans="1:5" ht="25" customHeight="1">
      <c r="A76" s="102"/>
      <c r="B76" s="118" t="s">
        <v>116</v>
      </c>
      <c r="C76" s="90">
        <v>0</v>
      </c>
      <c r="D76" s="83">
        <v>6000000</v>
      </c>
      <c r="E76" s="83">
        <f t="shared" si="4"/>
        <v>-6000000</v>
      </c>
    </row>
    <row r="77" spans="1:5" ht="25" customHeight="1">
      <c r="A77" s="113"/>
      <c r="B77" s="119" t="s">
        <v>117</v>
      </c>
      <c r="C77" s="95">
        <f>SUM(C70:C76)</f>
        <v>34265000</v>
      </c>
      <c r="D77" s="96">
        <f>SUM(D70:D76)</f>
        <v>43093800</v>
      </c>
      <c r="E77" s="96">
        <f>SUM(E70:E76)</f>
        <v>-8828800</v>
      </c>
    </row>
    <row r="78" spans="1:5" ht="20" customHeight="1">
      <c r="A78" s="294" t="s">
        <v>118</v>
      </c>
      <c r="B78" s="295"/>
      <c r="C78" s="295"/>
      <c r="D78" s="109"/>
      <c r="E78" s="109"/>
    </row>
    <row r="79" spans="1:5" ht="20.149999999999999" customHeight="1">
      <c r="A79" s="102"/>
      <c r="B79" s="106" t="s">
        <v>119</v>
      </c>
      <c r="C79" s="90">
        <v>330000000</v>
      </c>
      <c r="D79" s="92">
        <v>351402779</v>
      </c>
      <c r="E79" s="92">
        <f>+C79-D79</f>
        <v>-21402779</v>
      </c>
    </row>
    <row r="80" spans="1:5" ht="20.149999999999999" customHeight="1">
      <c r="A80" s="102"/>
      <c r="B80" s="103" t="s">
        <v>120</v>
      </c>
      <c r="C80" s="90">
        <v>50000</v>
      </c>
      <c r="D80" s="92">
        <v>15000</v>
      </c>
      <c r="E80" s="92">
        <f>+C80-D80</f>
        <v>35000</v>
      </c>
    </row>
    <row r="81" spans="1:5" ht="20.149999999999999" customHeight="1">
      <c r="A81" s="102"/>
      <c r="B81" s="120" t="s">
        <v>121</v>
      </c>
      <c r="C81" s="121">
        <v>557142</v>
      </c>
      <c r="D81" s="92">
        <v>428571</v>
      </c>
      <c r="E81" s="92">
        <f>+C81-D81</f>
        <v>128571</v>
      </c>
    </row>
    <row r="82" spans="1:5" ht="20.149999999999999" customHeight="1">
      <c r="A82" s="102"/>
      <c r="B82" s="120" t="s">
        <v>122</v>
      </c>
      <c r="C82" s="121">
        <v>500000</v>
      </c>
      <c r="D82" s="83">
        <f>4008661-428571</f>
        <v>3580090</v>
      </c>
      <c r="E82" s="83">
        <f>+C82-D82</f>
        <v>-3080090</v>
      </c>
    </row>
    <row r="83" spans="1:5" ht="20.149999999999999" customHeight="1">
      <c r="A83" s="111"/>
      <c r="B83" s="122" t="s">
        <v>123</v>
      </c>
      <c r="C83" s="123">
        <f>SUM(C79:C82)</f>
        <v>331107142</v>
      </c>
      <c r="D83" s="96">
        <f>SUM(D79:D82)</f>
        <v>355426440</v>
      </c>
      <c r="E83" s="96">
        <f>SUM(E79:E82)</f>
        <v>-24319298</v>
      </c>
    </row>
    <row r="84" spans="1:5" ht="20" customHeight="1">
      <c r="A84" s="294" t="s">
        <v>124</v>
      </c>
      <c r="B84" s="295"/>
      <c r="C84" s="295"/>
      <c r="D84" s="109"/>
      <c r="E84" s="109"/>
    </row>
    <row r="85" spans="1:5" ht="25" customHeight="1">
      <c r="A85" s="124"/>
      <c r="B85" s="116" t="s">
        <v>125</v>
      </c>
      <c r="C85" s="91">
        <v>2000000</v>
      </c>
      <c r="D85" s="83">
        <v>0</v>
      </c>
      <c r="E85" s="83">
        <f>+C85-D85</f>
        <v>2000000</v>
      </c>
    </row>
    <row r="86" spans="1:5" ht="30" customHeight="1">
      <c r="A86" s="102"/>
      <c r="B86" s="125" t="s">
        <v>126</v>
      </c>
      <c r="C86" s="126">
        <v>10450000</v>
      </c>
      <c r="D86" s="83">
        <f>81000+708000</f>
        <v>789000</v>
      </c>
      <c r="E86" s="83">
        <f>+C86-D86</f>
        <v>9661000</v>
      </c>
    </row>
    <row r="87" spans="1:5" ht="25" customHeight="1">
      <c r="A87" s="102"/>
      <c r="B87" s="106" t="s">
        <v>127</v>
      </c>
      <c r="C87" s="90">
        <v>3000000</v>
      </c>
      <c r="D87" s="83">
        <v>0</v>
      </c>
      <c r="E87" s="83">
        <f>+C87-D87</f>
        <v>3000000</v>
      </c>
    </row>
    <row r="88" spans="1:5" ht="25" customHeight="1">
      <c r="A88" s="102"/>
      <c r="B88" s="113" t="s">
        <v>128</v>
      </c>
      <c r="C88" s="95">
        <f>SUM(C85:C87)</f>
        <v>15450000</v>
      </c>
      <c r="D88" s="96">
        <f>SUM(D85:D87)</f>
        <v>789000</v>
      </c>
      <c r="E88" s="96">
        <f>SUM(E85:E87)</f>
        <v>14661000</v>
      </c>
    </row>
    <row r="89" spans="1:5" ht="20" customHeight="1">
      <c r="A89" s="303" t="s">
        <v>129</v>
      </c>
      <c r="B89" s="304"/>
      <c r="C89" s="304"/>
      <c r="D89" s="109"/>
      <c r="E89" s="109"/>
    </row>
    <row r="90" spans="1:5" ht="25" customHeight="1">
      <c r="A90" s="102"/>
      <c r="B90" s="106" t="s">
        <v>130</v>
      </c>
      <c r="C90" s="90">
        <v>5000000</v>
      </c>
      <c r="D90" s="83">
        <v>300000</v>
      </c>
      <c r="E90" s="83">
        <f>+C90-D90</f>
        <v>4700000</v>
      </c>
    </row>
    <row r="91" spans="1:5" ht="20.149999999999999" customHeight="1">
      <c r="A91" s="102"/>
      <c r="B91" s="106" t="s">
        <v>131</v>
      </c>
      <c r="C91" s="90">
        <v>2000000</v>
      </c>
      <c r="D91" s="92">
        <v>968000</v>
      </c>
      <c r="E91" s="92">
        <f>+C91-D91</f>
        <v>1032000</v>
      </c>
    </row>
    <row r="92" spans="1:5" ht="20.149999999999999" customHeight="1">
      <c r="A92" s="111"/>
      <c r="B92" s="127" t="s">
        <v>132</v>
      </c>
      <c r="C92" s="128">
        <f>SUM(C90:C91)</f>
        <v>7000000</v>
      </c>
      <c r="D92" s="129">
        <f>SUM(D90:D91)</f>
        <v>1268000</v>
      </c>
      <c r="E92" s="129">
        <f>SUM(E90:E91)</f>
        <v>5732000</v>
      </c>
    </row>
    <row r="93" spans="1:5" ht="20" customHeight="1">
      <c r="A93" s="294" t="s">
        <v>133</v>
      </c>
      <c r="B93" s="295"/>
      <c r="C93" s="295"/>
      <c r="D93" s="109"/>
      <c r="E93" s="109"/>
    </row>
    <row r="94" spans="1:5" ht="20.149999999999999" customHeight="1">
      <c r="A94" s="102"/>
      <c r="B94" s="116" t="s">
        <v>134</v>
      </c>
      <c r="C94" s="90">
        <v>1800000</v>
      </c>
      <c r="D94" s="92">
        <v>0</v>
      </c>
      <c r="E94" s="92">
        <f>+C94-D94</f>
        <v>1800000</v>
      </c>
    </row>
    <row r="95" spans="1:5" ht="20.149999999999999" customHeight="1">
      <c r="A95" s="102"/>
      <c r="B95" s="116" t="s">
        <v>135</v>
      </c>
      <c r="C95" s="90">
        <v>4500000</v>
      </c>
      <c r="D95" s="92">
        <v>0</v>
      </c>
      <c r="E95" s="92">
        <f t="shared" ref="E95:E96" si="5">+C95-D95</f>
        <v>4500000</v>
      </c>
    </row>
    <row r="96" spans="1:5" ht="20.149999999999999" customHeight="1">
      <c r="A96" s="102"/>
      <c r="B96" s="116" t="s">
        <v>136</v>
      </c>
      <c r="C96" s="91">
        <v>7000000</v>
      </c>
      <c r="D96" s="92">
        <v>0</v>
      </c>
      <c r="E96" s="92">
        <f t="shared" si="5"/>
        <v>7000000</v>
      </c>
    </row>
    <row r="97" spans="1:6" ht="35" customHeight="1">
      <c r="A97" s="102"/>
      <c r="B97" s="116" t="s">
        <v>137</v>
      </c>
      <c r="C97" s="91">
        <v>3494470</v>
      </c>
      <c r="D97" s="83">
        <v>0</v>
      </c>
      <c r="E97" s="83">
        <f>+C97-D97</f>
        <v>3494470</v>
      </c>
    </row>
    <row r="98" spans="1:6" ht="20" customHeight="1">
      <c r="A98" s="102"/>
      <c r="B98" s="116" t="s">
        <v>138</v>
      </c>
      <c r="C98" s="91">
        <v>0</v>
      </c>
      <c r="D98" s="83">
        <v>4810000</v>
      </c>
      <c r="E98" s="83">
        <f>+C98-D98</f>
        <v>-4810000</v>
      </c>
    </row>
    <row r="99" spans="1:6" ht="35" customHeight="1">
      <c r="A99" s="102"/>
      <c r="B99" s="94" t="s">
        <v>139</v>
      </c>
      <c r="C99" s="95">
        <f>SUM(C94:C97)</f>
        <v>16794470</v>
      </c>
      <c r="D99" s="96">
        <f>SUM(D94:D98)</f>
        <v>4810000</v>
      </c>
      <c r="E99" s="96">
        <f>SUM(E94:E98)</f>
        <v>11984470</v>
      </c>
    </row>
    <row r="100" spans="1:6" ht="20" customHeight="1">
      <c r="A100" s="294" t="s">
        <v>140</v>
      </c>
      <c r="B100" s="295"/>
      <c r="C100" s="295"/>
      <c r="D100" s="109"/>
      <c r="E100" s="109"/>
    </row>
    <row r="101" spans="1:6" ht="30" customHeight="1">
      <c r="A101" s="102"/>
      <c r="B101" s="116" t="s">
        <v>141</v>
      </c>
      <c r="C101" s="130">
        <v>74996479</v>
      </c>
      <c r="D101" s="83">
        <f>4877914+7722107+2772000+545000</f>
        <v>15917021</v>
      </c>
      <c r="E101" s="83">
        <f>+C101-D101</f>
        <v>59079458</v>
      </c>
    </row>
    <row r="102" spans="1:6" ht="30" customHeight="1">
      <c r="A102" s="102"/>
      <c r="B102" s="106" t="s">
        <v>142</v>
      </c>
      <c r="C102" s="90">
        <v>21599024</v>
      </c>
      <c r="D102" s="83">
        <v>0</v>
      </c>
      <c r="E102" s="83">
        <f>+C102-D102</f>
        <v>21599024</v>
      </c>
    </row>
    <row r="103" spans="1:6" ht="30" customHeight="1">
      <c r="A103" s="102"/>
      <c r="B103" s="113" t="s">
        <v>143</v>
      </c>
      <c r="C103" s="95">
        <f>SUM(C101:C102)</f>
        <v>96595503</v>
      </c>
      <c r="D103" s="96">
        <f>SUM(D101:D102)</f>
        <v>15917021</v>
      </c>
      <c r="E103" s="96">
        <f>SUM(E102:E102)</f>
        <v>21599024</v>
      </c>
    </row>
    <row r="104" spans="1:6" ht="20" customHeight="1">
      <c r="A104" s="294" t="s">
        <v>144</v>
      </c>
      <c r="B104" s="295"/>
      <c r="C104" s="295"/>
      <c r="D104" s="109"/>
      <c r="E104" s="109"/>
    </row>
    <row r="105" spans="1:6" ht="30" customHeight="1">
      <c r="A105" s="102"/>
      <c r="B105" s="116" t="s">
        <v>145</v>
      </c>
      <c r="C105" s="90">
        <v>1200000</v>
      </c>
      <c r="D105" s="92">
        <v>0</v>
      </c>
      <c r="E105" s="92">
        <f>+C105-D105</f>
        <v>1200000</v>
      </c>
    </row>
    <row r="106" spans="1:6" ht="30" customHeight="1">
      <c r="A106" s="102"/>
      <c r="B106" s="116" t="s">
        <v>146</v>
      </c>
      <c r="C106" s="91">
        <v>1000000</v>
      </c>
      <c r="D106" s="92">
        <v>0</v>
      </c>
      <c r="E106" s="92">
        <f>+C106-D106</f>
        <v>1000000</v>
      </c>
    </row>
    <row r="107" spans="1:6" ht="30" customHeight="1">
      <c r="A107" s="102"/>
      <c r="B107" s="106" t="s">
        <v>147</v>
      </c>
      <c r="C107" s="90">
        <v>1000000</v>
      </c>
      <c r="D107" s="83">
        <f>37000+24000+67500</f>
        <v>128500</v>
      </c>
      <c r="E107" s="83">
        <f>+C107-D107</f>
        <v>871500</v>
      </c>
      <c r="F107" s="89"/>
    </row>
    <row r="108" spans="1:6" ht="30" customHeight="1">
      <c r="A108" s="102"/>
      <c r="B108" s="116" t="s">
        <v>148</v>
      </c>
      <c r="C108" s="91">
        <v>1000000</v>
      </c>
      <c r="D108" s="92">
        <v>0</v>
      </c>
      <c r="E108" s="92">
        <f>+C108-D108</f>
        <v>1000000</v>
      </c>
    </row>
    <row r="109" spans="1:6" ht="30" customHeight="1">
      <c r="A109" s="102"/>
      <c r="B109" s="94" t="s">
        <v>149</v>
      </c>
      <c r="C109" s="82">
        <f>SUM(C105:C108)</f>
        <v>4200000</v>
      </c>
      <c r="D109" s="96">
        <f>SUM(D105:D108)</f>
        <v>128500</v>
      </c>
      <c r="E109" s="96">
        <f>SUM(E105:E108)</f>
        <v>4071500</v>
      </c>
    </row>
    <row r="110" spans="1:6" ht="20" customHeight="1">
      <c r="A110" s="294" t="s">
        <v>150</v>
      </c>
      <c r="B110" s="295"/>
      <c r="C110" s="295"/>
      <c r="D110" s="109"/>
      <c r="E110" s="109"/>
    </row>
    <row r="111" spans="1:6" ht="25" customHeight="1">
      <c r="A111" s="124"/>
      <c r="B111" s="106" t="s">
        <v>151</v>
      </c>
      <c r="C111" s="90">
        <v>250000</v>
      </c>
      <c r="D111" s="83">
        <v>277656</v>
      </c>
      <c r="E111" s="83">
        <f>+C111-D111</f>
        <v>-27656</v>
      </c>
      <c r="F111" s="89"/>
    </row>
    <row r="112" spans="1:6" ht="30" customHeight="1">
      <c r="A112" s="102"/>
      <c r="B112" s="106" t="s">
        <v>152</v>
      </c>
      <c r="C112" s="90">
        <v>1000000</v>
      </c>
      <c r="D112" s="83">
        <f>1000000+20000+30000+161318</f>
        <v>1211318</v>
      </c>
      <c r="E112" s="83">
        <f>+C112-D112</f>
        <v>-211318</v>
      </c>
    </row>
    <row r="113" spans="1:6" ht="25" customHeight="1">
      <c r="A113" s="131"/>
      <c r="B113" s="132" t="s">
        <v>153</v>
      </c>
      <c r="C113" s="82">
        <f>SUM(C111:C112)</f>
        <v>1250000</v>
      </c>
      <c r="D113" s="96">
        <f>SUM(D111:D112)</f>
        <v>1488974</v>
      </c>
      <c r="E113" s="96">
        <f>SUM(E111:E112)</f>
        <v>-238974</v>
      </c>
    </row>
    <row r="114" spans="1:6" ht="25" customHeight="1">
      <c r="A114" s="133" t="s">
        <v>154</v>
      </c>
      <c r="B114" s="134"/>
      <c r="C114" s="135">
        <f>+C113+C109+C103+C99+C92+C88+C83+C77+C68+C61+C57+C53+C44+C36</f>
        <v>608820286</v>
      </c>
      <c r="D114" s="136">
        <f>+D113+D109+D103+D99+D93+D88+D83+D77+D68+D61+D53+D44+D36</f>
        <v>509042564</v>
      </c>
      <c r="E114" s="136">
        <f>+C114-D114</f>
        <v>99777722</v>
      </c>
      <c r="F114" s="137"/>
    </row>
    <row r="115" spans="1:6" ht="25" customHeight="1">
      <c r="A115" s="133" t="s">
        <v>155</v>
      </c>
      <c r="B115" s="134"/>
      <c r="C115" s="135">
        <f>+C23-C114</f>
        <v>322361847</v>
      </c>
      <c r="D115" s="136">
        <f>+D23-D114</f>
        <v>404949617</v>
      </c>
      <c r="E115" s="136">
        <f>+C115-D115</f>
        <v>-82587770</v>
      </c>
      <c r="F115" s="137"/>
    </row>
    <row r="116" spans="1:6" ht="25" customHeight="1">
      <c r="A116" s="133" t="s">
        <v>341</v>
      </c>
      <c r="B116" s="134"/>
      <c r="C116" s="161">
        <v>0</v>
      </c>
      <c r="D116" s="136">
        <f>80678482+145264706</f>
        <v>225943188</v>
      </c>
      <c r="E116" s="136"/>
      <c r="F116" s="137"/>
    </row>
    <row r="117" spans="1:6" ht="25" customHeight="1">
      <c r="A117" s="287" t="s">
        <v>33</v>
      </c>
      <c r="B117" s="288"/>
      <c r="C117" s="161"/>
      <c r="D117" s="136">
        <f>+D115-D116</f>
        <v>179006429</v>
      </c>
      <c r="E117" s="136"/>
      <c r="F117" s="137"/>
    </row>
    <row r="118" spans="1:6" ht="20.149999999999999" customHeight="1">
      <c r="B118" s="138" t="s">
        <v>156</v>
      </c>
      <c r="F118" s="84"/>
    </row>
    <row r="119" spans="1:6" ht="20.149999999999999" customHeight="1">
      <c r="B119" s="79"/>
    </row>
    <row r="120" spans="1:6" ht="20.149999999999999" customHeight="1">
      <c r="B120" s="139" t="s">
        <v>157</v>
      </c>
      <c r="D120" s="139" t="s">
        <v>158</v>
      </c>
      <c r="E120" s="140"/>
    </row>
    <row r="121" spans="1:6" ht="20.149999999999999" customHeight="1">
      <c r="B121" s="139" t="s">
        <v>159</v>
      </c>
      <c r="D121" s="139" t="s">
        <v>160</v>
      </c>
      <c r="E121" s="140"/>
    </row>
    <row r="122" spans="1:6" ht="20.149999999999999" customHeight="1">
      <c r="B122" s="139" t="s">
        <v>161</v>
      </c>
      <c r="D122" s="139" t="s">
        <v>162</v>
      </c>
      <c r="E122" s="140"/>
    </row>
    <row r="123" spans="1:6" ht="20.149999999999999" customHeight="1">
      <c r="B123" s="139"/>
      <c r="C123" s="139"/>
      <c r="D123" s="140"/>
    </row>
    <row r="124" spans="1:6" ht="20.149999999999999" customHeight="1">
      <c r="B124" s="104"/>
      <c r="C124" s="139" t="s">
        <v>163</v>
      </c>
    </row>
    <row r="125" spans="1:6" ht="20.149999999999999" customHeight="1">
      <c r="B125" s="79"/>
      <c r="C125" s="139" t="s">
        <v>164</v>
      </c>
    </row>
    <row r="126" spans="1:6">
      <c r="B126" s="141"/>
      <c r="C126" s="139" t="s">
        <v>165</v>
      </c>
    </row>
  </sheetData>
  <mergeCells count="24">
    <mergeCell ref="A100:C100"/>
    <mergeCell ref="A104:C104"/>
    <mergeCell ref="A110:C110"/>
    <mergeCell ref="A62:C62"/>
    <mergeCell ref="A69:C69"/>
    <mergeCell ref="A78:C78"/>
    <mergeCell ref="A89:C89"/>
    <mergeCell ref="A93:C93"/>
    <mergeCell ref="A13:C13"/>
    <mergeCell ref="A117:B117"/>
    <mergeCell ref="A8:C8"/>
    <mergeCell ref="A9:E9"/>
    <mergeCell ref="A10:C10"/>
    <mergeCell ref="A11:B11"/>
    <mergeCell ref="A12:B12"/>
    <mergeCell ref="A84:C84"/>
    <mergeCell ref="A23:B23"/>
    <mergeCell ref="A24:C24"/>
    <mergeCell ref="A26:C26"/>
    <mergeCell ref="A37:C37"/>
    <mergeCell ref="A44:B44"/>
    <mergeCell ref="A45:C45"/>
    <mergeCell ref="A54:C54"/>
    <mergeCell ref="A58:C58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6:E129"/>
  <sheetViews>
    <sheetView tabSelected="1" workbookViewId="0">
      <selection activeCell="D12" sqref="D12"/>
    </sheetView>
  </sheetViews>
  <sheetFormatPr defaultColWidth="22.1796875" defaultRowHeight="13"/>
  <cols>
    <col min="1" max="1" width="3.54296875" style="79" customWidth="1"/>
    <col min="2" max="2" width="46.26953125" style="142" customWidth="1"/>
    <col min="3" max="3" width="31.26953125" style="76" customWidth="1"/>
    <col min="4" max="4" width="22.1796875" style="78"/>
    <col min="5" max="16384" width="22.1796875" style="79"/>
  </cols>
  <sheetData>
    <row r="6" spans="1:5">
      <c r="A6" s="75" t="s">
        <v>35</v>
      </c>
      <c r="B6" s="75"/>
    </row>
    <row r="7" spans="1:5">
      <c r="A7" s="75" t="s">
        <v>36</v>
      </c>
      <c r="B7" s="75"/>
    </row>
    <row r="8" spans="1:5" ht="11.25" customHeight="1">
      <c r="A8" s="289"/>
      <c r="B8" s="289"/>
      <c r="C8" s="289"/>
    </row>
    <row r="9" spans="1:5">
      <c r="A9" s="289" t="s">
        <v>166</v>
      </c>
      <c r="B9" s="289"/>
      <c r="C9" s="289"/>
    </row>
    <row r="10" spans="1:5">
      <c r="A10" s="291"/>
      <c r="B10" s="291"/>
      <c r="C10" s="291"/>
    </row>
    <row r="11" spans="1:5" ht="20" customHeight="1">
      <c r="A11" s="292" t="s">
        <v>38</v>
      </c>
      <c r="B11" s="292"/>
      <c r="C11" s="143" t="s">
        <v>167</v>
      </c>
    </row>
    <row r="12" spans="1:5" ht="25" customHeight="1">
      <c r="A12" s="293" t="s">
        <v>42</v>
      </c>
      <c r="B12" s="293"/>
      <c r="C12" s="144">
        <v>365094760</v>
      </c>
      <c r="D12" s="145"/>
    </row>
    <row r="13" spans="1:5" ht="25" customHeight="1">
      <c r="A13" s="285" t="s">
        <v>43</v>
      </c>
      <c r="B13" s="286"/>
      <c r="C13" s="306"/>
    </row>
    <row r="14" spans="1:5" s="78" customFormat="1" ht="22.5" customHeight="1">
      <c r="A14" s="86" t="s">
        <v>44</v>
      </c>
      <c r="B14" s="87" t="s">
        <v>168</v>
      </c>
      <c r="C14" s="146">
        <v>410634537</v>
      </c>
    </row>
    <row r="15" spans="1:5" s="78" customFormat="1" ht="22.5" customHeight="1">
      <c r="A15" s="86" t="s">
        <v>46</v>
      </c>
      <c r="B15" s="87" t="s">
        <v>169</v>
      </c>
      <c r="C15" s="146">
        <v>179695570</v>
      </c>
      <c r="E15" s="114"/>
    </row>
    <row r="16" spans="1:5" s="78" customFormat="1" ht="28.5" customHeight="1">
      <c r="A16" s="86" t="s">
        <v>48</v>
      </c>
      <c r="B16" s="87" t="s">
        <v>170</v>
      </c>
      <c r="C16" s="147">
        <v>40000000</v>
      </c>
      <c r="E16" s="114"/>
    </row>
    <row r="17" spans="1:5" s="78" customFormat="1" ht="22.5" customHeight="1">
      <c r="A17" s="86" t="s">
        <v>50</v>
      </c>
      <c r="B17" s="87" t="s">
        <v>51</v>
      </c>
      <c r="C17" s="146">
        <v>10000000</v>
      </c>
    </row>
    <row r="18" spans="1:5" s="78" customFormat="1" ht="22.5" customHeight="1">
      <c r="A18" s="86" t="s">
        <v>52</v>
      </c>
      <c r="B18" s="87" t="s">
        <v>171</v>
      </c>
      <c r="C18" s="146">
        <v>22908000</v>
      </c>
    </row>
    <row r="19" spans="1:5" s="78" customFormat="1" ht="22.5" customHeight="1">
      <c r="A19" s="86" t="s">
        <v>54</v>
      </c>
      <c r="B19" s="87" t="s">
        <v>172</v>
      </c>
      <c r="C19" s="146">
        <v>11730000</v>
      </c>
      <c r="E19" s="114"/>
    </row>
    <row r="20" spans="1:5" ht="20" customHeight="1">
      <c r="A20" s="86" t="s">
        <v>173</v>
      </c>
      <c r="B20" s="87" t="s">
        <v>174</v>
      </c>
      <c r="C20" s="146">
        <f>143400000*60%</f>
        <v>86040000</v>
      </c>
    </row>
    <row r="21" spans="1:5" ht="20" customHeight="1">
      <c r="A21" s="86" t="s">
        <v>175</v>
      </c>
      <c r="B21" s="87" t="s">
        <v>176</v>
      </c>
      <c r="C21" s="147">
        <v>10000000</v>
      </c>
    </row>
    <row r="22" spans="1:5" ht="20" customHeight="1">
      <c r="A22" s="93" t="s">
        <v>177</v>
      </c>
      <c r="B22" s="87" t="s">
        <v>178</v>
      </c>
      <c r="C22" s="146">
        <v>500000</v>
      </c>
    </row>
    <row r="23" spans="1:5" ht="20" customHeight="1">
      <c r="A23" s="93" t="s">
        <v>179</v>
      </c>
      <c r="B23" s="87" t="s">
        <v>180</v>
      </c>
      <c r="C23" s="146">
        <v>12000000</v>
      </c>
    </row>
    <row r="24" spans="1:5" ht="25" customHeight="1">
      <c r="A24" s="93"/>
      <c r="B24" s="94" t="s">
        <v>181</v>
      </c>
      <c r="C24" s="148">
        <f>SUM(C14:C23)</f>
        <v>783508107</v>
      </c>
    </row>
    <row r="25" spans="1:5" ht="25" customHeight="1">
      <c r="A25" s="307" t="s">
        <v>182</v>
      </c>
      <c r="B25" s="307"/>
      <c r="C25" s="144">
        <f>+C24+C12</f>
        <v>1148602867</v>
      </c>
      <c r="D25" s="114"/>
    </row>
    <row r="26" spans="1:5" ht="25" customHeight="1">
      <c r="A26" s="297" t="s">
        <v>62</v>
      </c>
      <c r="B26" s="298"/>
      <c r="C26" s="308"/>
    </row>
    <row r="27" spans="1:5" ht="30" customHeight="1">
      <c r="A27" s="98">
        <v>1</v>
      </c>
      <c r="B27" s="99" t="s">
        <v>63</v>
      </c>
      <c r="C27" s="149" t="s">
        <v>183</v>
      </c>
    </row>
    <row r="28" spans="1:5" ht="20" customHeight="1">
      <c r="A28" s="299" t="s">
        <v>66</v>
      </c>
      <c r="B28" s="300"/>
      <c r="C28" s="309"/>
    </row>
    <row r="29" spans="1:5" ht="20" customHeight="1">
      <c r="A29" s="102"/>
      <c r="B29" s="103" t="s">
        <v>67</v>
      </c>
      <c r="C29" s="150">
        <v>60542415</v>
      </c>
      <c r="E29" s="104"/>
    </row>
    <row r="30" spans="1:5" ht="20" customHeight="1">
      <c r="A30" s="102"/>
      <c r="B30" s="103" t="s">
        <v>68</v>
      </c>
      <c r="C30" s="150">
        <v>1501679</v>
      </c>
    </row>
    <row r="31" spans="1:5" ht="20" customHeight="1">
      <c r="A31" s="102"/>
      <c r="B31" s="105" t="s">
        <v>69</v>
      </c>
      <c r="C31" s="151">
        <f>1000000*3</f>
        <v>3000000</v>
      </c>
    </row>
    <row r="32" spans="1:5" ht="35.15" customHeight="1">
      <c r="A32" s="102"/>
      <c r="B32" s="106" t="s">
        <v>70</v>
      </c>
      <c r="C32" s="147">
        <v>0</v>
      </c>
    </row>
    <row r="33" spans="1:3" ht="20" customHeight="1">
      <c r="A33" s="102"/>
      <c r="B33" s="106" t="s">
        <v>71</v>
      </c>
      <c r="C33" s="150">
        <v>635232</v>
      </c>
    </row>
    <row r="34" spans="1:3" ht="20" customHeight="1">
      <c r="A34" s="102"/>
      <c r="B34" s="106" t="s">
        <v>72</v>
      </c>
      <c r="C34" s="147">
        <v>0</v>
      </c>
    </row>
    <row r="35" spans="1:3" ht="20" customHeight="1">
      <c r="A35" s="102"/>
      <c r="B35" s="106" t="s">
        <v>73</v>
      </c>
      <c r="C35" s="147">
        <v>0</v>
      </c>
    </row>
    <row r="36" spans="1:3" ht="20" customHeight="1">
      <c r="A36" s="102"/>
      <c r="B36" s="106" t="s">
        <v>74</v>
      </c>
      <c r="C36" s="152">
        <v>0</v>
      </c>
    </row>
    <row r="37" spans="1:3" ht="20" customHeight="1">
      <c r="A37" s="102"/>
      <c r="B37" s="106" t="s">
        <v>75</v>
      </c>
      <c r="C37" s="153">
        <f>600000*3</f>
        <v>1800000</v>
      </c>
    </row>
    <row r="38" spans="1:3" ht="25" customHeight="1">
      <c r="A38" s="108"/>
      <c r="B38" s="108" t="s">
        <v>76</v>
      </c>
      <c r="C38" s="148">
        <f>SUM(C29:C37)</f>
        <v>67479326</v>
      </c>
    </row>
    <row r="39" spans="1:3" ht="20" customHeight="1">
      <c r="A39" s="294" t="s">
        <v>77</v>
      </c>
      <c r="B39" s="295"/>
      <c r="C39" s="305"/>
    </row>
    <row r="40" spans="1:3" ht="20" customHeight="1">
      <c r="A40" s="102"/>
      <c r="B40" s="103" t="s">
        <v>78</v>
      </c>
      <c r="C40" s="147">
        <v>100000</v>
      </c>
    </row>
    <row r="41" spans="1:3" ht="20" customHeight="1">
      <c r="A41" s="102"/>
      <c r="B41" s="103" t="s">
        <v>79</v>
      </c>
      <c r="C41" s="147">
        <v>109000</v>
      </c>
    </row>
    <row r="42" spans="1:3" ht="20" customHeight="1">
      <c r="A42" s="102"/>
      <c r="B42" s="103" t="s">
        <v>80</v>
      </c>
      <c r="C42" s="150">
        <v>4800000</v>
      </c>
    </row>
    <row r="43" spans="1:3" ht="20" customHeight="1">
      <c r="A43" s="102"/>
      <c r="B43" s="103" t="s">
        <v>81</v>
      </c>
      <c r="C43" s="147">
        <v>0</v>
      </c>
    </row>
    <row r="44" spans="1:3" ht="25" customHeight="1">
      <c r="A44" s="102"/>
      <c r="B44" s="103" t="s">
        <v>82</v>
      </c>
      <c r="C44" s="147">
        <f>15000*3</f>
        <v>45000</v>
      </c>
    </row>
    <row r="45" spans="1:3" ht="20" customHeight="1">
      <c r="A45" s="102"/>
      <c r="B45" s="103" t="s">
        <v>83</v>
      </c>
      <c r="C45" s="147">
        <f>3000*3</f>
        <v>9000</v>
      </c>
    </row>
    <row r="46" spans="1:3" ht="25" customHeight="1">
      <c r="A46" s="301" t="s">
        <v>84</v>
      </c>
      <c r="B46" s="302"/>
      <c r="C46" s="148">
        <f>SUM(C40:C45)</f>
        <v>5063000</v>
      </c>
    </row>
    <row r="47" spans="1:3" ht="20" customHeight="1">
      <c r="A47" s="294" t="s">
        <v>85</v>
      </c>
      <c r="B47" s="295"/>
      <c r="C47" s="305"/>
    </row>
    <row r="48" spans="1:3" ht="25" customHeight="1">
      <c r="A48" s="102"/>
      <c r="B48" s="103" t="s">
        <v>184</v>
      </c>
      <c r="C48" s="150">
        <f>50000*3</f>
        <v>150000</v>
      </c>
    </row>
    <row r="49" spans="1:4" ht="25" customHeight="1">
      <c r="A49" s="102"/>
      <c r="B49" s="106" t="s">
        <v>185</v>
      </c>
      <c r="C49" s="150">
        <v>1000000</v>
      </c>
    </row>
    <row r="50" spans="1:4" ht="25" customHeight="1">
      <c r="A50" s="102"/>
      <c r="B50" s="106" t="s">
        <v>186</v>
      </c>
      <c r="C50" s="150">
        <v>5000000</v>
      </c>
    </row>
    <row r="51" spans="1:4" ht="30" customHeight="1">
      <c r="A51" s="102"/>
      <c r="B51" s="105" t="s">
        <v>89</v>
      </c>
      <c r="C51" s="150">
        <v>10000</v>
      </c>
    </row>
    <row r="52" spans="1:4" ht="30" customHeight="1">
      <c r="A52" s="111"/>
      <c r="B52" s="106" t="s">
        <v>90</v>
      </c>
      <c r="C52" s="150">
        <v>3104000</v>
      </c>
    </row>
    <row r="53" spans="1:4" ht="30" customHeight="1">
      <c r="A53" s="111"/>
      <c r="B53" s="106" t="s">
        <v>91</v>
      </c>
      <c r="C53" s="150">
        <v>300000</v>
      </c>
    </row>
    <row r="54" spans="1:4" ht="30" customHeight="1">
      <c r="A54" s="111"/>
      <c r="B54" s="106" t="s">
        <v>92</v>
      </c>
      <c r="C54" s="150">
        <v>350000</v>
      </c>
    </row>
    <row r="55" spans="1:4" ht="25" customHeight="1">
      <c r="A55" s="112"/>
      <c r="B55" s="113" t="s">
        <v>93</v>
      </c>
      <c r="C55" s="148">
        <f>SUM(C48:C52)</f>
        <v>9264000</v>
      </c>
    </row>
    <row r="56" spans="1:4" ht="20" customHeight="1">
      <c r="A56" s="294" t="s">
        <v>94</v>
      </c>
      <c r="B56" s="295"/>
      <c r="C56" s="305"/>
      <c r="D56" s="114"/>
    </row>
    <row r="57" spans="1:4" ht="25" customHeight="1">
      <c r="A57" s="115"/>
      <c r="B57" s="116" t="s">
        <v>187</v>
      </c>
      <c r="C57" s="147">
        <v>450000</v>
      </c>
    </row>
    <row r="58" spans="1:4" ht="30" customHeight="1">
      <c r="A58" s="102"/>
      <c r="B58" s="116" t="s">
        <v>96</v>
      </c>
      <c r="C58" s="147">
        <v>450000</v>
      </c>
    </row>
    <row r="59" spans="1:4" ht="30" customHeight="1">
      <c r="A59" s="102"/>
      <c r="B59" s="94" t="s">
        <v>97</v>
      </c>
      <c r="C59" s="148">
        <f>SUM(C57:C58)</f>
        <v>900000</v>
      </c>
    </row>
    <row r="60" spans="1:4" ht="20" customHeight="1">
      <c r="A60" s="294" t="s">
        <v>98</v>
      </c>
      <c r="B60" s="295"/>
      <c r="C60" s="305"/>
    </row>
    <row r="61" spans="1:4" ht="30" customHeight="1">
      <c r="A61" s="102"/>
      <c r="B61" s="106" t="s">
        <v>99</v>
      </c>
      <c r="C61" s="147">
        <v>183800</v>
      </c>
    </row>
    <row r="62" spans="1:4" ht="25" customHeight="1">
      <c r="A62" s="102"/>
      <c r="B62" s="106" t="s">
        <v>188</v>
      </c>
      <c r="C62" s="150">
        <v>400000</v>
      </c>
    </row>
    <row r="63" spans="1:4" ht="25" customHeight="1">
      <c r="A63" s="111"/>
      <c r="B63" s="113" t="s">
        <v>101</v>
      </c>
      <c r="C63" s="148">
        <f>SUM(C61:C62)</f>
        <v>583800</v>
      </c>
    </row>
    <row r="64" spans="1:4" ht="20" customHeight="1">
      <c r="A64" s="294" t="s">
        <v>102</v>
      </c>
      <c r="B64" s="295"/>
      <c r="C64" s="305"/>
    </row>
    <row r="65" spans="1:3" ht="25" customHeight="1">
      <c r="A65" s="115"/>
      <c r="B65" s="106" t="s">
        <v>103</v>
      </c>
      <c r="C65" s="150">
        <v>0</v>
      </c>
    </row>
    <row r="66" spans="1:3" ht="25" customHeight="1">
      <c r="A66" s="115"/>
      <c r="B66" s="106" t="s">
        <v>104</v>
      </c>
      <c r="C66" s="147">
        <v>0</v>
      </c>
    </row>
    <row r="67" spans="1:3" ht="25" customHeight="1">
      <c r="A67" s="115"/>
      <c r="B67" s="106" t="s">
        <v>105</v>
      </c>
      <c r="C67" s="150">
        <v>0</v>
      </c>
    </row>
    <row r="68" spans="1:3" ht="25" customHeight="1">
      <c r="A68" s="115"/>
      <c r="B68" s="106" t="s">
        <v>106</v>
      </c>
      <c r="C68" s="151">
        <v>3500000</v>
      </c>
    </row>
    <row r="69" spans="1:3" ht="25" customHeight="1">
      <c r="A69" s="115"/>
      <c r="B69" s="106" t="s">
        <v>107</v>
      </c>
      <c r="C69" s="150">
        <v>200000</v>
      </c>
    </row>
    <row r="70" spans="1:3" ht="25" customHeight="1">
      <c r="A70" s="115"/>
      <c r="B70" s="113" t="s">
        <v>108</v>
      </c>
      <c r="C70" s="144">
        <f>SUM(C65:C69)</f>
        <v>3700000</v>
      </c>
    </row>
    <row r="71" spans="1:3" ht="20" customHeight="1">
      <c r="A71" s="294" t="s">
        <v>109</v>
      </c>
      <c r="B71" s="295"/>
      <c r="C71" s="305"/>
    </row>
    <row r="72" spans="1:3" ht="20" customHeight="1">
      <c r="A72" s="102"/>
      <c r="B72" s="116" t="s">
        <v>110</v>
      </c>
      <c r="C72" s="151">
        <f>18000000-7200000-5400000-1000000</f>
        <v>4400000</v>
      </c>
    </row>
    <row r="73" spans="1:3" ht="20" customHeight="1">
      <c r="A73" s="102"/>
      <c r="B73" s="116" t="s">
        <v>111</v>
      </c>
      <c r="C73" s="151">
        <v>1770000</v>
      </c>
    </row>
    <row r="74" spans="1:3" ht="20" customHeight="1">
      <c r="A74" s="102"/>
      <c r="B74" s="106" t="s">
        <v>112</v>
      </c>
      <c r="C74" s="147">
        <v>2500000</v>
      </c>
    </row>
    <row r="75" spans="1:3" ht="25" customHeight="1">
      <c r="A75" s="102"/>
      <c r="B75" s="106" t="s">
        <v>113</v>
      </c>
      <c r="C75" s="150">
        <v>4500000</v>
      </c>
    </row>
    <row r="76" spans="1:3" ht="25" customHeight="1">
      <c r="A76" s="102"/>
      <c r="B76" s="118" t="s">
        <v>189</v>
      </c>
      <c r="C76" s="150">
        <v>3210080</v>
      </c>
    </row>
    <row r="77" spans="1:3" ht="25" customHeight="1">
      <c r="A77" s="113"/>
      <c r="B77" s="119" t="s">
        <v>117</v>
      </c>
      <c r="C77" s="148">
        <f>SUM(C72:C76)</f>
        <v>16380080</v>
      </c>
    </row>
    <row r="78" spans="1:3" ht="20" customHeight="1">
      <c r="A78" s="294" t="s">
        <v>118</v>
      </c>
      <c r="B78" s="295"/>
      <c r="C78" s="305"/>
    </row>
    <row r="79" spans="1:3" ht="20.149999999999999" customHeight="1">
      <c r="A79" s="102"/>
      <c r="B79" s="106" t="s">
        <v>119</v>
      </c>
      <c r="C79" s="150">
        <f>+C14</f>
        <v>410634537</v>
      </c>
    </row>
    <row r="80" spans="1:3" ht="20.149999999999999" customHeight="1">
      <c r="A80" s="102"/>
      <c r="B80" s="103" t="s">
        <v>190</v>
      </c>
      <c r="C80" s="150">
        <v>10000</v>
      </c>
    </row>
    <row r="81" spans="1:3" ht="20.149999999999999" customHeight="1">
      <c r="A81" s="102"/>
      <c r="B81" s="120" t="s">
        <v>121</v>
      </c>
      <c r="C81" s="150">
        <v>141176</v>
      </c>
    </row>
    <row r="82" spans="1:3" ht="20.149999999999999" customHeight="1">
      <c r="A82" s="102"/>
      <c r="B82" s="120" t="s">
        <v>122</v>
      </c>
      <c r="C82" s="150">
        <v>705882</v>
      </c>
    </row>
    <row r="83" spans="1:3" ht="20.149999999999999" customHeight="1">
      <c r="A83" s="111"/>
      <c r="B83" s="120" t="s">
        <v>191</v>
      </c>
      <c r="C83" s="154">
        <v>1000000</v>
      </c>
    </row>
    <row r="84" spans="1:3" ht="20.149999999999999" customHeight="1">
      <c r="A84" s="111"/>
      <c r="B84" s="122" t="s">
        <v>123</v>
      </c>
      <c r="C84" s="155">
        <f>SUM(C79:C83)</f>
        <v>412491595</v>
      </c>
    </row>
    <row r="85" spans="1:3" ht="20" customHeight="1">
      <c r="A85" s="294" t="s">
        <v>124</v>
      </c>
      <c r="B85" s="295"/>
      <c r="C85" s="305"/>
    </row>
    <row r="86" spans="1:3" ht="25" customHeight="1">
      <c r="A86" s="124"/>
      <c r="B86" s="116" t="s">
        <v>125</v>
      </c>
      <c r="C86" s="151">
        <v>2000000</v>
      </c>
    </row>
    <row r="87" spans="1:3" ht="30" customHeight="1">
      <c r="A87" s="102"/>
      <c r="B87" s="125" t="s">
        <v>192</v>
      </c>
      <c r="C87" s="151">
        <v>5000000</v>
      </c>
    </row>
    <row r="88" spans="1:3" ht="25" customHeight="1">
      <c r="A88" s="102"/>
      <c r="B88" s="106" t="s">
        <v>127</v>
      </c>
      <c r="C88" s="150">
        <v>0</v>
      </c>
    </row>
    <row r="89" spans="1:3" ht="25" customHeight="1">
      <c r="A89" s="102"/>
      <c r="B89" s="156" t="s">
        <v>193</v>
      </c>
      <c r="C89" s="150">
        <v>3000000</v>
      </c>
    </row>
    <row r="90" spans="1:3" ht="25" customHeight="1">
      <c r="A90" s="102"/>
      <c r="B90" s="113" t="s">
        <v>128</v>
      </c>
      <c r="C90" s="148">
        <f>SUM(C86:C89)</f>
        <v>10000000</v>
      </c>
    </row>
    <row r="91" spans="1:3" ht="20" customHeight="1">
      <c r="A91" s="303" t="s">
        <v>129</v>
      </c>
      <c r="B91" s="304"/>
      <c r="C91" s="304"/>
    </row>
    <row r="92" spans="1:3" ht="25" customHeight="1">
      <c r="A92" s="102"/>
      <c r="B92" s="106" t="s">
        <v>194</v>
      </c>
      <c r="C92" s="150">
        <v>500000</v>
      </c>
    </row>
    <row r="93" spans="1:3" ht="20.149999999999999" customHeight="1">
      <c r="A93" s="102"/>
      <c r="B93" s="106" t="s">
        <v>131</v>
      </c>
      <c r="C93" s="150">
        <v>0</v>
      </c>
    </row>
    <row r="94" spans="1:3" ht="20.149999999999999" customHeight="1">
      <c r="A94" s="111"/>
      <c r="B94" s="127" t="s">
        <v>132</v>
      </c>
      <c r="C94" s="157">
        <f>SUM(C92:C93)</f>
        <v>500000</v>
      </c>
    </row>
    <row r="95" spans="1:3" ht="20" customHeight="1">
      <c r="A95" s="294" t="s">
        <v>133</v>
      </c>
      <c r="B95" s="295"/>
      <c r="C95" s="305"/>
    </row>
    <row r="96" spans="1:3" ht="20.149999999999999" customHeight="1">
      <c r="A96" s="102"/>
      <c r="B96" s="116" t="s">
        <v>134</v>
      </c>
      <c r="C96" s="147">
        <v>0</v>
      </c>
    </row>
    <row r="97" spans="1:5" ht="20.149999999999999" customHeight="1">
      <c r="A97" s="102"/>
      <c r="B97" s="116" t="s">
        <v>135</v>
      </c>
      <c r="C97" s="147">
        <v>4500000</v>
      </c>
    </row>
    <row r="98" spans="1:5" ht="20.149999999999999" customHeight="1">
      <c r="A98" s="102"/>
      <c r="B98" s="116" t="s">
        <v>136</v>
      </c>
      <c r="C98" s="151">
        <v>7000000</v>
      </c>
    </row>
    <row r="99" spans="1:5" ht="35" customHeight="1">
      <c r="A99" s="102"/>
      <c r="B99" s="116" t="s">
        <v>137</v>
      </c>
      <c r="C99" s="158">
        <v>0</v>
      </c>
    </row>
    <row r="100" spans="1:5" ht="35" customHeight="1">
      <c r="A100" s="102"/>
      <c r="B100" s="94" t="s">
        <v>139</v>
      </c>
      <c r="C100" s="148">
        <f>SUM(C96:C99)</f>
        <v>11500000</v>
      </c>
    </row>
    <row r="101" spans="1:5" ht="20" customHeight="1">
      <c r="A101" s="294" t="s">
        <v>140</v>
      </c>
      <c r="B101" s="295"/>
      <c r="C101" s="305"/>
    </row>
    <row r="102" spans="1:5" ht="20.149999999999999" customHeight="1">
      <c r="A102" s="102"/>
      <c r="B102" s="116" t="s">
        <v>195</v>
      </c>
      <c r="C102" s="159">
        <v>170619028</v>
      </c>
      <c r="E102" s="104"/>
    </row>
    <row r="103" spans="1:5" ht="30" customHeight="1">
      <c r="A103" s="102"/>
      <c r="B103" s="106" t="s">
        <v>142</v>
      </c>
      <c r="C103" s="147">
        <v>21599024</v>
      </c>
      <c r="D103" s="114"/>
    </row>
    <row r="104" spans="1:5" ht="30" customHeight="1">
      <c r="A104" s="102"/>
      <c r="B104" s="106" t="s">
        <v>196</v>
      </c>
      <c r="C104" s="147">
        <f>48500*230</f>
        <v>11155000</v>
      </c>
      <c r="D104" s="114"/>
    </row>
    <row r="105" spans="1:5" ht="30" customHeight="1">
      <c r="A105" s="102"/>
      <c r="B105" s="113" t="s">
        <v>143</v>
      </c>
      <c r="C105" s="148">
        <f>SUM(C102:C104)</f>
        <v>203373052</v>
      </c>
    </row>
    <row r="106" spans="1:5" ht="20" customHeight="1">
      <c r="A106" s="294" t="s">
        <v>144</v>
      </c>
      <c r="B106" s="295"/>
      <c r="C106" s="305"/>
    </row>
    <row r="107" spans="1:5" ht="30" customHeight="1">
      <c r="A107" s="102"/>
      <c r="B107" s="116" t="s">
        <v>145</v>
      </c>
      <c r="C107" s="150">
        <v>1200000</v>
      </c>
    </row>
    <row r="108" spans="1:5" ht="30" customHeight="1">
      <c r="A108" s="102"/>
      <c r="B108" s="116" t="s">
        <v>146</v>
      </c>
      <c r="C108" s="151">
        <v>1000000</v>
      </c>
    </row>
    <row r="109" spans="1:5" ht="30" customHeight="1">
      <c r="A109" s="102"/>
      <c r="B109" s="106" t="s">
        <v>147</v>
      </c>
      <c r="C109" s="150">
        <v>1000000</v>
      </c>
    </row>
    <row r="110" spans="1:5" ht="30" customHeight="1">
      <c r="A110" s="102"/>
      <c r="B110" s="116" t="s">
        <v>148</v>
      </c>
      <c r="C110" s="151">
        <v>1000000</v>
      </c>
    </row>
    <row r="111" spans="1:5" ht="30" customHeight="1">
      <c r="A111" s="102"/>
      <c r="B111" s="116" t="s">
        <v>197</v>
      </c>
      <c r="C111" s="151">
        <v>10000000</v>
      </c>
    </row>
    <row r="112" spans="1:5" ht="30" customHeight="1">
      <c r="A112" s="102"/>
      <c r="B112" s="94" t="s">
        <v>149</v>
      </c>
      <c r="C112" s="144">
        <f>SUM(C107:C111)</f>
        <v>14200000</v>
      </c>
    </row>
    <row r="113" spans="1:4" ht="30" customHeight="1">
      <c r="A113" s="310" t="s">
        <v>198</v>
      </c>
      <c r="B113" s="311"/>
      <c r="C113" s="312"/>
    </row>
    <row r="114" spans="1:4" ht="30" customHeight="1">
      <c r="A114" s="111"/>
      <c r="B114" s="94" t="s">
        <v>199</v>
      </c>
      <c r="C114" s="160">
        <f>143400000-12000000</f>
        <v>131400000</v>
      </c>
    </row>
    <row r="115" spans="1:4" ht="20" customHeight="1">
      <c r="A115" s="294" t="s">
        <v>200</v>
      </c>
      <c r="B115" s="295"/>
      <c r="C115" s="305"/>
    </row>
    <row r="116" spans="1:4" ht="25" customHeight="1">
      <c r="A116" s="124"/>
      <c r="B116" s="106" t="s">
        <v>151</v>
      </c>
      <c r="C116" s="147">
        <v>350000</v>
      </c>
    </row>
    <row r="117" spans="1:4" ht="30" customHeight="1">
      <c r="A117" s="102"/>
      <c r="B117" s="106" t="s">
        <v>152</v>
      </c>
      <c r="C117" s="147">
        <v>1000000</v>
      </c>
    </row>
    <row r="118" spans="1:4" ht="25" customHeight="1">
      <c r="A118" s="131"/>
      <c r="B118" s="132" t="s">
        <v>153</v>
      </c>
      <c r="C118" s="144">
        <f>SUM(C116:C117)</f>
        <v>1350000</v>
      </c>
      <c r="D118" s="114"/>
    </row>
    <row r="119" spans="1:4" ht="25" customHeight="1">
      <c r="A119" s="133" t="s">
        <v>154</v>
      </c>
      <c r="B119" s="134"/>
      <c r="C119" s="161">
        <f>+C118+C112+C105+C100+C94+C90+C84+C77+C70+C63+C59+C55+C46+C38+C114</f>
        <v>888184853</v>
      </c>
      <c r="D119" s="114"/>
    </row>
    <row r="120" spans="1:4" ht="25" customHeight="1">
      <c r="A120" s="133" t="s">
        <v>201</v>
      </c>
      <c r="B120" s="134"/>
      <c r="C120" s="161">
        <f>+C25-C119</f>
        <v>260418014</v>
      </c>
    </row>
    <row r="121" spans="1:4" ht="20.149999999999999" customHeight="1">
      <c r="B121" s="138" t="s">
        <v>156</v>
      </c>
    </row>
    <row r="122" spans="1:4" ht="20.149999999999999" customHeight="1">
      <c r="B122" s="79"/>
    </row>
    <row r="123" spans="1:4" ht="20.149999999999999" customHeight="1">
      <c r="B123" s="139" t="s">
        <v>157</v>
      </c>
      <c r="C123" s="139" t="s">
        <v>158</v>
      </c>
      <c r="D123" s="162"/>
    </row>
    <row r="124" spans="1:4" ht="20.149999999999999" customHeight="1">
      <c r="B124" s="139" t="s">
        <v>159</v>
      </c>
      <c r="C124" s="139" t="s">
        <v>160</v>
      </c>
      <c r="D124" s="162"/>
    </row>
    <row r="125" spans="1:4" ht="20.149999999999999" customHeight="1">
      <c r="B125" s="139" t="s">
        <v>161</v>
      </c>
      <c r="C125" s="139" t="s">
        <v>162</v>
      </c>
      <c r="D125" s="162"/>
    </row>
    <row r="126" spans="1:4" ht="20.149999999999999" customHeight="1">
      <c r="B126" s="139"/>
      <c r="C126" s="139"/>
      <c r="D126" s="162"/>
    </row>
    <row r="127" spans="1:4" ht="20.149999999999999" customHeight="1">
      <c r="B127" s="104"/>
      <c r="C127" s="139" t="s">
        <v>163</v>
      </c>
    </row>
    <row r="128" spans="1:4" ht="20.149999999999999" customHeight="1">
      <c r="B128" s="79"/>
      <c r="C128" s="139" t="s">
        <v>164</v>
      </c>
    </row>
    <row r="129" spans="2:3">
      <c r="B129" s="141"/>
      <c r="C129" s="139" t="s">
        <v>165</v>
      </c>
    </row>
  </sheetData>
  <mergeCells count="24">
    <mergeCell ref="A115:C115"/>
    <mergeCell ref="A56:C56"/>
    <mergeCell ref="A60:C60"/>
    <mergeCell ref="A64:C64"/>
    <mergeCell ref="A71:C71"/>
    <mergeCell ref="A78:C78"/>
    <mergeCell ref="A85:C85"/>
    <mergeCell ref="A91:C91"/>
    <mergeCell ref="A95:C95"/>
    <mergeCell ref="A101:C101"/>
    <mergeCell ref="A106:C106"/>
    <mergeCell ref="A113:C113"/>
    <mergeCell ref="A47:C47"/>
    <mergeCell ref="A8:C8"/>
    <mergeCell ref="A9:C9"/>
    <mergeCell ref="A10:C10"/>
    <mergeCell ref="A11:B11"/>
    <mergeCell ref="A12:B12"/>
    <mergeCell ref="A13:C13"/>
    <mergeCell ref="A25:B25"/>
    <mergeCell ref="A26:C26"/>
    <mergeCell ref="A28:C28"/>
    <mergeCell ref="A39:C39"/>
    <mergeCell ref="A46:B46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47"/>
  <sheetViews>
    <sheetView workbookViewId="0">
      <selection activeCell="C16" sqref="C16"/>
    </sheetView>
  </sheetViews>
  <sheetFormatPr defaultColWidth="22.1796875" defaultRowHeight="10.5"/>
  <cols>
    <col min="1" max="1" width="3.54296875" style="163" customWidth="1"/>
    <col min="2" max="2" width="32.7265625" style="164" customWidth="1"/>
    <col min="3" max="3" width="12.6328125" style="165" customWidth="1"/>
    <col min="4" max="4" width="16.453125" style="166" customWidth="1"/>
    <col min="5" max="5" width="14.6328125" style="167" customWidth="1"/>
    <col min="6" max="6" width="19.36328125" style="167" customWidth="1"/>
    <col min="7" max="7" width="17.26953125" style="166" customWidth="1"/>
    <col min="8" max="8" width="16.6328125" style="166" customWidth="1"/>
    <col min="9" max="16384" width="22.1796875" style="163"/>
  </cols>
  <sheetData>
    <row r="1" spans="1:8">
      <c r="A1" s="163" t="s">
        <v>202</v>
      </c>
    </row>
    <row r="6" spans="1:8" ht="11">
      <c r="A6" s="168" t="s">
        <v>35</v>
      </c>
      <c r="B6" s="168"/>
    </row>
    <row r="7" spans="1:8" ht="11">
      <c r="A7" s="168" t="s">
        <v>36</v>
      </c>
      <c r="B7" s="168"/>
    </row>
    <row r="8" spans="1:8" ht="11">
      <c r="A8" s="315" t="s">
        <v>203</v>
      </c>
      <c r="B8" s="315"/>
      <c r="C8" s="315"/>
      <c r="D8" s="315"/>
      <c r="E8" s="315"/>
      <c r="F8" s="315"/>
      <c r="G8" s="315"/>
      <c r="H8" s="315"/>
    </row>
    <row r="9" spans="1:8" ht="11">
      <c r="A9" s="316"/>
      <c r="B9" s="316"/>
      <c r="C9" s="316"/>
    </row>
    <row r="10" spans="1:8" ht="30" customHeight="1">
      <c r="A10" s="317" t="s">
        <v>38</v>
      </c>
      <c r="B10" s="317"/>
      <c r="C10" s="169" t="s">
        <v>204</v>
      </c>
      <c r="D10" s="318" t="s">
        <v>205</v>
      </c>
      <c r="E10" s="319"/>
      <c r="F10" s="170" t="s">
        <v>206</v>
      </c>
      <c r="G10" s="171" t="s">
        <v>207</v>
      </c>
      <c r="H10" s="172" t="s">
        <v>208</v>
      </c>
    </row>
    <row r="11" spans="1:8" ht="25" customHeight="1">
      <c r="A11" s="320" t="s">
        <v>42</v>
      </c>
      <c r="B11" s="320"/>
      <c r="C11" s="173">
        <v>195678686</v>
      </c>
      <c r="D11" s="174" t="s">
        <v>209</v>
      </c>
      <c r="E11" s="175" t="s">
        <v>210</v>
      </c>
      <c r="F11" s="175" t="s">
        <v>211</v>
      </c>
      <c r="G11" s="176" t="s">
        <v>11</v>
      </c>
      <c r="H11" s="177" t="s">
        <v>212</v>
      </c>
    </row>
    <row r="12" spans="1:8" ht="25" customHeight="1">
      <c r="A12" s="313" t="s">
        <v>213</v>
      </c>
      <c r="B12" s="314"/>
      <c r="C12" s="314"/>
      <c r="D12" s="178"/>
      <c r="E12" s="179"/>
      <c r="F12" s="180">
        <f>+C11</f>
        <v>195678686</v>
      </c>
      <c r="G12" s="178"/>
      <c r="H12" s="178"/>
    </row>
    <row r="13" spans="1:8" s="187" customFormat="1" ht="22.5" customHeight="1">
      <c r="A13" s="181" t="s">
        <v>44</v>
      </c>
      <c r="B13" s="182" t="s">
        <v>45</v>
      </c>
      <c r="C13" s="183">
        <f>110000000*12</f>
        <v>1320000000</v>
      </c>
      <c r="D13" s="184">
        <v>743660126</v>
      </c>
      <c r="E13" s="184">
        <f t="shared" ref="E13:E23" si="0">+C13-D13</f>
        <v>576339874</v>
      </c>
      <c r="F13" s="185">
        <f>+D13*2</f>
        <v>1487320252</v>
      </c>
      <c r="G13" s="186">
        <f>+F13*100/C13</f>
        <v>112.67577666666666</v>
      </c>
      <c r="H13" s="185" t="s">
        <v>214</v>
      </c>
    </row>
    <row r="14" spans="1:8" s="187" customFormat="1" ht="22.5" customHeight="1">
      <c r="A14" s="181" t="s">
        <v>46</v>
      </c>
      <c r="B14" s="182" t="s">
        <v>215</v>
      </c>
      <c r="C14" s="183">
        <f>150000000+104698091</f>
        <v>254698091</v>
      </c>
      <c r="D14" s="184">
        <v>75002521</v>
      </c>
      <c r="E14" s="184">
        <f t="shared" si="0"/>
        <v>179695570</v>
      </c>
      <c r="F14" s="184">
        <f>+C14</f>
        <v>254698091</v>
      </c>
      <c r="G14" s="188">
        <f>+F14*100/C14</f>
        <v>100</v>
      </c>
      <c r="H14" s="184" t="s">
        <v>216</v>
      </c>
    </row>
    <row r="15" spans="1:8" s="187" customFormat="1" ht="28.5" customHeight="1">
      <c r="A15" s="181" t="s">
        <v>48</v>
      </c>
      <c r="B15" s="182" t="s">
        <v>49</v>
      </c>
      <c r="C15" s="189">
        <f>+(10678821+10242480)/2*12</f>
        <v>125527806</v>
      </c>
      <c r="D15" s="184">
        <v>68030452</v>
      </c>
      <c r="E15" s="184">
        <f t="shared" si="0"/>
        <v>57497354</v>
      </c>
      <c r="F15" s="185">
        <f>+D15*2</f>
        <v>136060904</v>
      </c>
      <c r="G15" s="186">
        <f t="shared" ref="G15:G24" si="1">+F15*100/C15</f>
        <v>108.39104763768435</v>
      </c>
      <c r="H15" s="185" t="s">
        <v>214</v>
      </c>
    </row>
    <row r="16" spans="1:8" s="187" customFormat="1" ht="22.5" customHeight="1">
      <c r="A16" s="181" t="s">
        <v>50</v>
      </c>
      <c r="B16" s="182" t="s">
        <v>51</v>
      </c>
      <c r="C16" s="183">
        <v>40000000</v>
      </c>
      <c r="D16" s="184">
        <f>17875000+700000</f>
        <v>18575000</v>
      </c>
      <c r="E16" s="184">
        <f>+C16-D16</f>
        <v>21425000</v>
      </c>
      <c r="F16" s="184">
        <f>+C16</f>
        <v>40000000</v>
      </c>
      <c r="G16" s="188">
        <f t="shared" si="1"/>
        <v>100</v>
      </c>
      <c r="H16" s="184" t="s">
        <v>216</v>
      </c>
    </row>
    <row r="17" spans="1:8" s="187" customFormat="1" ht="22.5" customHeight="1">
      <c r="A17" s="181" t="s">
        <v>52</v>
      </c>
      <c r="B17" s="182" t="s">
        <v>217</v>
      </c>
      <c r="C17" s="183">
        <v>27031440</v>
      </c>
      <c r="D17" s="184">
        <v>0</v>
      </c>
      <c r="E17" s="184">
        <f t="shared" si="0"/>
        <v>27031440</v>
      </c>
      <c r="F17" s="185">
        <f>11730000+22908000</f>
        <v>34638000</v>
      </c>
      <c r="G17" s="186">
        <f t="shared" si="1"/>
        <v>128.13967735348172</v>
      </c>
      <c r="H17" s="185" t="s">
        <v>214</v>
      </c>
    </row>
    <row r="18" spans="1:8" ht="20" customHeight="1">
      <c r="A18" s="181" t="s">
        <v>54</v>
      </c>
      <c r="B18" s="182" t="s">
        <v>55</v>
      </c>
      <c r="C18" s="183">
        <v>28680000</v>
      </c>
      <c r="D18" s="184">
        <v>28680000</v>
      </c>
      <c r="E18" s="184">
        <f t="shared" si="0"/>
        <v>0</v>
      </c>
      <c r="F18" s="185">
        <f>+C18+143400000</f>
        <v>172080000</v>
      </c>
      <c r="G18" s="186">
        <f t="shared" si="1"/>
        <v>600</v>
      </c>
      <c r="H18" s="185" t="s">
        <v>214</v>
      </c>
    </row>
    <row r="19" spans="1:8" ht="20" customHeight="1">
      <c r="A19" s="181" t="s">
        <v>173</v>
      </c>
      <c r="B19" s="182" t="s">
        <v>176</v>
      </c>
      <c r="C19" s="189">
        <v>14982257</v>
      </c>
      <c r="D19" s="184">
        <v>6100000</v>
      </c>
      <c r="E19" s="184">
        <f t="shared" si="0"/>
        <v>8882257</v>
      </c>
      <c r="F19" s="184">
        <v>14982257</v>
      </c>
      <c r="G19" s="188">
        <f t="shared" si="1"/>
        <v>100</v>
      </c>
      <c r="H19" s="184" t="s">
        <v>216</v>
      </c>
    </row>
    <row r="20" spans="1:8" ht="20" customHeight="1">
      <c r="A20" s="181" t="s">
        <v>175</v>
      </c>
      <c r="B20" s="182" t="s">
        <v>218</v>
      </c>
      <c r="C20" s="189">
        <v>739041000</v>
      </c>
      <c r="D20" s="184">
        <f>+C20</f>
        <v>739041000</v>
      </c>
      <c r="E20" s="184">
        <f t="shared" si="0"/>
        <v>0</v>
      </c>
      <c r="F20" s="184">
        <f>+C20</f>
        <v>739041000</v>
      </c>
      <c r="G20" s="188">
        <f t="shared" si="1"/>
        <v>100</v>
      </c>
      <c r="H20" s="184" t="s">
        <v>216</v>
      </c>
    </row>
    <row r="21" spans="1:8" ht="20" customHeight="1">
      <c r="A21" s="181" t="s">
        <v>177</v>
      </c>
      <c r="B21" s="190" t="s">
        <v>219</v>
      </c>
      <c r="C21" s="189">
        <v>115269958</v>
      </c>
      <c r="D21" s="184">
        <v>131537042</v>
      </c>
      <c r="E21" s="184">
        <f t="shared" si="0"/>
        <v>-16267084</v>
      </c>
      <c r="F21" s="185">
        <v>146537042</v>
      </c>
      <c r="G21" s="186">
        <f t="shared" si="1"/>
        <v>127.12509359984325</v>
      </c>
      <c r="H21" s="185" t="s">
        <v>214</v>
      </c>
    </row>
    <row r="22" spans="1:8" ht="20" customHeight="1">
      <c r="A22" s="181" t="s">
        <v>179</v>
      </c>
      <c r="B22" s="190" t="s">
        <v>220</v>
      </c>
      <c r="C22" s="189">
        <v>17489361</v>
      </c>
      <c r="D22" s="184">
        <v>12778140</v>
      </c>
      <c r="E22" s="184">
        <f t="shared" si="0"/>
        <v>4711221</v>
      </c>
      <c r="F22" s="184">
        <f>+C22</f>
        <v>17489361</v>
      </c>
      <c r="G22" s="188">
        <f t="shared" si="1"/>
        <v>100</v>
      </c>
      <c r="H22" s="184" t="s">
        <v>216</v>
      </c>
    </row>
    <row r="23" spans="1:8" ht="20" customHeight="1">
      <c r="A23" s="191" t="s">
        <v>56</v>
      </c>
      <c r="B23" s="182" t="s">
        <v>59</v>
      </c>
      <c r="C23" s="183">
        <f>440000+1351572</f>
        <v>1791572</v>
      </c>
      <c r="D23" s="184">
        <v>482423</v>
      </c>
      <c r="E23" s="184">
        <f t="shared" si="0"/>
        <v>1309149</v>
      </c>
      <c r="F23" s="184">
        <f>+C23</f>
        <v>1791572</v>
      </c>
      <c r="G23" s="188">
        <f t="shared" si="1"/>
        <v>100</v>
      </c>
      <c r="H23" s="184" t="s">
        <v>216</v>
      </c>
    </row>
    <row r="24" spans="1:8" ht="25" customHeight="1">
      <c r="A24" s="191"/>
      <c r="B24" s="192" t="s">
        <v>221</v>
      </c>
      <c r="C24" s="193">
        <f>SUM(C13:C23)</f>
        <v>2684511485</v>
      </c>
      <c r="D24" s="194">
        <f>SUM(D13:D23)</f>
        <v>1823886704</v>
      </c>
      <c r="E24" s="195">
        <f>SUM(E13:E23)</f>
        <v>860624781</v>
      </c>
      <c r="F24" s="196">
        <f>SUM(F13:F23)</f>
        <v>3044638479</v>
      </c>
      <c r="G24" s="186">
        <f t="shared" si="1"/>
        <v>113.41499174103924</v>
      </c>
      <c r="H24" s="185" t="s">
        <v>214</v>
      </c>
    </row>
    <row r="25" spans="1:8" ht="25" customHeight="1">
      <c r="A25" s="323" t="s">
        <v>222</v>
      </c>
      <c r="B25" s="323"/>
      <c r="C25" s="197">
        <f>+C24+C11</f>
        <v>2880190171</v>
      </c>
      <c r="D25" s="194">
        <f>+D24</f>
        <v>1823886704</v>
      </c>
      <c r="E25" s="194">
        <f>+E24</f>
        <v>860624781</v>
      </c>
      <c r="F25" s="196">
        <f>+F24+F12</f>
        <v>3240317165</v>
      </c>
      <c r="G25" s="198">
        <f>+F25*100/C25</f>
        <v>112.50358388227414</v>
      </c>
      <c r="H25" s="199" t="s">
        <v>223</v>
      </c>
    </row>
    <row r="26" spans="1:8" ht="25" customHeight="1">
      <c r="A26" s="324" t="s">
        <v>62</v>
      </c>
      <c r="B26" s="325"/>
      <c r="C26" s="325"/>
      <c r="D26" s="178"/>
      <c r="E26" s="179"/>
      <c r="F26" s="179"/>
      <c r="G26" s="200"/>
      <c r="H26" s="178"/>
    </row>
    <row r="27" spans="1:8" ht="30" customHeight="1">
      <c r="A27" s="201">
        <v>1</v>
      </c>
      <c r="B27" s="202" t="s">
        <v>63</v>
      </c>
      <c r="C27" s="203" t="s">
        <v>224</v>
      </c>
      <c r="D27" s="170" t="s">
        <v>225</v>
      </c>
      <c r="E27" s="204" t="s">
        <v>210</v>
      </c>
      <c r="F27" s="204" t="s">
        <v>226</v>
      </c>
      <c r="G27" s="205" t="s">
        <v>11</v>
      </c>
      <c r="H27" s="206" t="s">
        <v>227</v>
      </c>
    </row>
    <row r="28" spans="1:8" ht="20" customHeight="1">
      <c r="A28" s="321" t="s">
        <v>228</v>
      </c>
      <c r="B28" s="322"/>
      <c r="C28" s="322"/>
      <c r="D28" s="207"/>
      <c r="E28" s="208"/>
      <c r="F28" s="208"/>
      <c r="G28" s="209"/>
      <c r="H28" s="207"/>
    </row>
    <row r="29" spans="1:8" ht="20" customHeight="1">
      <c r="A29" s="210"/>
      <c r="B29" s="211" t="s">
        <v>229</v>
      </c>
      <c r="C29" s="212">
        <f>(20433089*12)-C30</f>
        <v>157531332</v>
      </c>
      <c r="D29" s="184">
        <v>78108354</v>
      </c>
      <c r="E29" s="184">
        <f>+C29-D29</f>
        <v>79422978</v>
      </c>
      <c r="F29" s="184">
        <f>+C29</f>
        <v>157531332</v>
      </c>
      <c r="G29" s="188">
        <f>+F29*100/C29</f>
        <v>100</v>
      </c>
      <c r="H29" s="184" t="s">
        <v>216</v>
      </c>
    </row>
    <row r="30" spans="1:8" ht="20" customHeight="1">
      <c r="A30" s="210"/>
      <c r="B30" s="211" t="s">
        <v>230</v>
      </c>
      <c r="C30" s="212">
        <f>7305478*12</f>
        <v>87665736</v>
      </c>
      <c r="D30" s="184">
        <v>43637541</v>
      </c>
      <c r="E30" s="184">
        <f>+C30-D30</f>
        <v>44028195</v>
      </c>
      <c r="F30" s="184">
        <f>+C30</f>
        <v>87665736</v>
      </c>
      <c r="G30" s="188">
        <f t="shared" ref="G30:G93" si="2">+F30*100/C30</f>
        <v>100</v>
      </c>
      <c r="H30" s="184" t="s">
        <v>216</v>
      </c>
    </row>
    <row r="31" spans="1:8" ht="20" customHeight="1">
      <c r="A31" s="210"/>
      <c r="B31" s="211" t="s">
        <v>231</v>
      </c>
      <c r="C31" s="189">
        <v>10060000</v>
      </c>
      <c r="D31" s="184">
        <f>158000+1618818+30000</f>
        <v>1806818</v>
      </c>
      <c r="E31" s="184">
        <f>+C31-D31</f>
        <v>8253182</v>
      </c>
      <c r="F31" s="185">
        <v>5000000</v>
      </c>
      <c r="G31" s="186">
        <f t="shared" si="2"/>
        <v>49.70178926441352</v>
      </c>
      <c r="H31" s="185" t="s">
        <v>232</v>
      </c>
    </row>
    <row r="32" spans="1:8" ht="20" customHeight="1">
      <c r="A32" s="210"/>
      <c r="B32" s="213" t="s">
        <v>233</v>
      </c>
      <c r="C32" s="212">
        <f>1000000*12</f>
        <v>12000000</v>
      </c>
      <c r="D32" s="184">
        <v>6000000</v>
      </c>
      <c r="E32" s="184">
        <f>+C32-D32</f>
        <v>6000000</v>
      </c>
      <c r="F32" s="184">
        <f t="shared" ref="F32:F37" si="3">+C32</f>
        <v>12000000</v>
      </c>
      <c r="G32" s="188">
        <f t="shared" si="2"/>
        <v>100</v>
      </c>
      <c r="H32" s="184" t="s">
        <v>216</v>
      </c>
    </row>
    <row r="33" spans="1:8" ht="20" customHeight="1">
      <c r="A33" s="210"/>
      <c r="B33" s="190" t="s">
        <v>234</v>
      </c>
      <c r="C33" s="212">
        <v>15408949</v>
      </c>
      <c r="D33" s="184">
        <v>0</v>
      </c>
      <c r="E33" s="214">
        <f>+C33-D33</f>
        <v>15408949</v>
      </c>
      <c r="F33" s="214">
        <f t="shared" si="3"/>
        <v>15408949</v>
      </c>
      <c r="G33" s="188">
        <f t="shared" si="2"/>
        <v>100</v>
      </c>
      <c r="H33" s="184" t="s">
        <v>216</v>
      </c>
    </row>
    <row r="34" spans="1:8" ht="35.15" customHeight="1">
      <c r="A34" s="210"/>
      <c r="B34" s="190" t="s">
        <v>235</v>
      </c>
      <c r="C34" s="189">
        <v>2000000</v>
      </c>
      <c r="D34" s="184">
        <v>0</v>
      </c>
      <c r="E34" s="184">
        <f t="shared" ref="E34:E38" si="4">+C34-D34</f>
        <v>2000000</v>
      </c>
      <c r="F34" s="184">
        <f t="shared" si="3"/>
        <v>2000000</v>
      </c>
      <c r="G34" s="188">
        <f t="shared" si="2"/>
        <v>100</v>
      </c>
      <c r="H34" s="184" t="s">
        <v>216</v>
      </c>
    </row>
    <row r="35" spans="1:8" ht="20" customHeight="1">
      <c r="A35" s="210"/>
      <c r="B35" s="190" t="s">
        <v>236</v>
      </c>
      <c r="C35" s="189">
        <v>2540928</v>
      </c>
      <c r="D35" s="184">
        <v>783954</v>
      </c>
      <c r="E35" s="184">
        <f t="shared" si="4"/>
        <v>1756974</v>
      </c>
      <c r="F35" s="184">
        <f t="shared" si="3"/>
        <v>2540928</v>
      </c>
      <c r="G35" s="188">
        <f t="shared" si="2"/>
        <v>100</v>
      </c>
      <c r="H35" s="184" t="s">
        <v>216</v>
      </c>
    </row>
    <row r="36" spans="1:8" ht="20" customHeight="1">
      <c r="A36" s="210"/>
      <c r="B36" s="190" t="s">
        <v>237</v>
      </c>
      <c r="C36" s="189">
        <v>3494470</v>
      </c>
      <c r="D36" s="184">
        <v>0</v>
      </c>
      <c r="E36" s="214">
        <f t="shared" si="4"/>
        <v>3494470</v>
      </c>
      <c r="F36" s="214">
        <f t="shared" si="3"/>
        <v>3494470</v>
      </c>
      <c r="G36" s="188">
        <f t="shared" si="2"/>
        <v>100</v>
      </c>
      <c r="H36" s="184" t="s">
        <v>216</v>
      </c>
    </row>
    <row r="37" spans="1:8" ht="20" customHeight="1">
      <c r="A37" s="210"/>
      <c r="B37" s="190" t="s">
        <v>238</v>
      </c>
      <c r="C37" s="189">
        <v>1538940</v>
      </c>
      <c r="D37" s="184">
        <v>0</v>
      </c>
      <c r="E37" s="214">
        <f t="shared" si="4"/>
        <v>1538940</v>
      </c>
      <c r="F37" s="214">
        <f t="shared" si="3"/>
        <v>1538940</v>
      </c>
      <c r="G37" s="188">
        <f t="shared" si="2"/>
        <v>100</v>
      </c>
      <c r="H37" s="184" t="s">
        <v>216</v>
      </c>
    </row>
    <row r="38" spans="1:8" ht="20" customHeight="1">
      <c r="A38" s="210"/>
      <c r="B38" s="190" t="s">
        <v>239</v>
      </c>
      <c r="C38" s="215">
        <v>18200000</v>
      </c>
      <c r="D38" s="184">
        <v>16800000</v>
      </c>
      <c r="E38" s="184">
        <f t="shared" si="4"/>
        <v>1400000</v>
      </c>
      <c r="F38" s="184">
        <v>18200000</v>
      </c>
      <c r="G38" s="188">
        <f t="shared" si="2"/>
        <v>100</v>
      </c>
      <c r="H38" s="184" t="s">
        <v>216</v>
      </c>
    </row>
    <row r="39" spans="1:8" ht="20" customHeight="1">
      <c r="A39" s="210"/>
      <c r="B39" s="190" t="s">
        <v>240</v>
      </c>
      <c r="C39" s="215">
        <f>590000*12</f>
        <v>7080000</v>
      </c>
      <c r="D39" s="184">
        <v>2970000</v>
      </c>
      <c r="E39" s="184">
        <f>+C39-D39</f>
        <v>4110000</v>
      </c>
      <c r="F39" s="185">
        <v>7170000</v>
      </c>
      <c r="G39" s="186">
        <f t="shared" si="2"/>
        <v>101.27118644067797</v>
      </c>
      <c r="H39" s="185" t="s">
        <v>214</v>
      </c>
    </row>
    <row r="40" spans="1:8" ht="20" customHeight="1">
      <c r="A40" s="210"/>
      <c r="B40" s="182" t="s">
        <v>241</v>
      </c>
      <c r="C40" s="215">
        <v>3253050</v>
      </c>
      <c r="D40" s="184">
        <v>0</v>
      </c>
      <c r="E40" s="184">
        <f>+C40-D40</f>
        <v>3253050</v>
      </c>
      <c r="F40" s="184">
        <f>+C40</f>
        <v>3253050</v>
      </c>
      <c r="G40" s="188">
        <f t="shared" si="2"/>
        <v>100</v>
      </c>
      <c r="H40" s="184" t="s">
        <v>216</v>
      </c>
    </row>
    <row r="41" spans="1:8" ht="25" customHeight="1">
      <c r="A41" s="216"/>
      <c r="B41" s="216" t="s">
        <v>76</v>
      </c>
      <c r="C41" s="193">
        <f>SUM(C29:C40)</f>
        <v>320773405</v>
      </c>
      <c r="D41" s="194">
        <f>SUM(D29:D40)</f>
        <v>150106667</v>
      </c>
      <c r="E41" s="194">
        <f>SUM(E29:E40)</f>
        <v>170666738</v>
      </c>
      <c r="F41" s="196">
        <f>SUM(F29:F40)</f>
        <v>315803405</v>
      </c>
      <c r="G41" s="186">
        <f t="shared" si="2"/>
        <v>98.450619682763289</v>
      </c>
      <c r="H41" s="217" t="s">
        <v>242</v>
      </c>
    </row>
    <row r="42" spans="1:8" ht="20" customHeight="1">
      <c r="A42" s="321" t="s">
        <v>243</v>
      </c>
      <c r="B42" s="322"/>
      <c r="C42" s="322"/>
      <c r="D42" s="207"/>
      <c r="E42" s="208"/>
      <c r="F42" s="208"/>
      <c r="G42" s="218" t="s">
        <v>11</v>
      </c>
      <c r="H42" s="207"/>
    </row>
    <row r="43" spans="1:8" ht="20" customHeight="1">
      <c r="A43" s="210"/>
      <c r="B43" s="211" t="s">
        <v>244</v>
      </c>
      <c r="C43" s="189">
        <f>50000*12</f>
        <v>600000</v>
      </c>
      <c r="D43" s="184">
        <v>103600</v>
      </c>
      <c r="E43" s="184">
        <f t="shared" ref="E43:E48" si="5">+C43-D43</f>
        <v>496400</v>
      </c>
      <c r="F43" s="184">
        <f>+C43</f>
        <v>600000</v>
      </c>
      <c r="G43" s="188">
        <f t="shared" si="2"/>
        <v>100</v>
      </c>
      <c r="H43" s="184" t="s">
        <v>216</v>
      </c>
    </row>
    <row r="44" spans="1:8" ht="20" customHeight="1">
      <c r="A44" s="210"/>
      <c r="B44" s="211" t="s">
        <v>245</v>
      </c>
      <c r="C44" s="189">
        <f>50000*12</f>
        <v>600000</v>
      </c>
      <c r="D44" s="184">
        <v>364000</v>
      </c>
      <c r="E44" s="184">
        <f t="shared" si="5"/>
        <v>236000</v>
      </c>
      <c r="F44" s="184">
        <f>+C44</f>
        <v>600000</v>
      </c>
      <c r="G44" s="188">
        <f t="shared" si="2"/>
        <v>100</v>
      </c>
      <c r="H44" s="184" t="s">
        <v>216</v>
      </c>
    </row>
    <row r="45" spans="1:8" ht="20" customHeight="1">
      <c r="A45" s="210"/>
      <c r="B45" s="211" t="s">
        <v>246</v>
      </c>
      <c r="C45" s="189">
        <f>1600000*12</f>
        <v>19200000</v>
      </c>
      <c r="D45" s="184">
        <v>6510000</v>
      </c>
      <c r="E45" s="184">
        <f t="shared" si="5"/>
        <v>12690000</v>
      </c>
      <c r="F45" s="185">
        <v>14000000</v>
      </c>
      <c r="G45" s="186">
        <f t="shared" si="2"/>
        <v>72.916666666666671</v>
      </c>
      <c r="H45" s="185" t="s">
        <v>232</v>
      </c>
    </row>
    <row r="46" spans="1:8" ht="20" customHeight="1">
      <c r="A46" s="210"/>
      <c r="B46" s="211" t="s">
        <v>247</v>
      </c>
      <c r="C46" s="189">
        <v>5606244</v>
      </c>
      <c r="D46" s="184">
        <v>2587690</v>
      </c>
      <c r="E46" s="184">
        <f t="shared" si="5"/>
        <v>3018554</v>
      </c>
      <c r="F46" s="184">
        <f>+C46</f>
        <v>5606244</v>
      </c>
      <c r="G46" s="188">
        <f t="shared" si="2"/>
        <v>100</v>
      </c>
      <c r="H46" s="184" t="s">
        <v>216</v>
      </c>
    </row>
    <row r="47" spans="1:8" ht="25" customHeight="1">
      <c r="A47" s="210"/>
      <c r="B47" s="211" t="s">
        <v>248</v>
      </c>
      <c r="C47" s="189">
        <f>10000*12</f>
        <v>120000</v>
      </c>
      <c r="D47" s="184">
        <v>75000</v>
      </c>
      <c r="E47" s="184">
        <f t="shared" si="5"/>
        <v>45000</v>
      </c>
      <c r="F47" s="185">
        <v>180000</v>
      </c>
      <c r="G47" s="186">
        <f t="shared" si="2"/>
        <v>150</v>
      </c>
      <c r="H47" s="185" t="s">
        <v>214</v>
      </c>
    </row>
    <row r="48" spans="1:8" ht="20" customHeight="1">
      <c r="A48" s="210"/>
      <c r="B48" s="211" t="s">
        <v>249</v>
      </c>
      <c r="C48" s="189">
        <f>+(3000+5000+5000+10000)*12</f>
        <v>276000</v>
      </c>
      <c r="D48" s="184">
        <v>138000</v>
      </c>
      <c r="E48" s="184">
        <f t="shared" si="5"/>
        <v>138000</v>
      </c>
      <c r="F48" s="184">
        <f>+C48</f>
        <v>276000</v>
      </c>
      <c r="G48" s="188">
        <f t="shared" si="2"/>
        <v>100</v>
      </c>
      <c r="H48" s="184" t="s">
        <v>216</v>
      </c>
    </row>
    <row r="49" spans="1:9" ht="25" customHeight="1">
      <c r="A49" s="326" t="s">
        <v>84</v>
      </c>
      <c r="B49" s="327"/>
      <c r="C49" s="193">
        <f>SUM(C43:C48)</f>
        <v>26402244</v>
      </c>
      <c r="D49" s="194">
        <f>SUM(D43:D48)</f>
        <v>9778290</v>
      </c>
      <c r="E49" s="194">
        <f>SUM(E43:E48)</f>
        <v>16623954</v>
      </c>
      <c r="F49" s="194">
        <f>SUM(F43:F48)</f>
        <v>21262244</v>
      </c>
      <c r="G49" s="186">
        <f t="shared" si="2"/>
        <v>80.531957813888852</v>
      </c>
      <c r="H49" s="217" t="s">
        <v>250</v>
      </c>
    </row>
    <row r="50" spans="1:9" ht="20" customHeight="1">
      <c r="A50" s="321" t="s">
        <v>251</v>
      </c>
      <c r="B50" s="322"/>
      <c r="C50" s="322"/>
      <c r="D50" s="207"/>
      <c r="E50" s="208"/>
      <c r="F50" s="208"/>
      <c r="G50" s="219" t="s">
        <v>11</v>
      </c>
      <c r="H50" s="207"/>
    </row>
    <row r="51" spans="1:9" ht="20" customHeight="1">
      <c r="A51" s="210"/>
      <c r="B51" s="211" t="s">
        <v>252</v>
      </c>
      <c r="C51" s="189">
        <f>50000*12</f>
        <v>600000</v>
      </c>
      <c r="D51" s="184">
        <v>300000</v>
      </c>
      <c r="E51" s="184">
        <f t="shared" ref="E51:E58" si="6">+C51-D51</f>
        <v>300000</v>
      </c>
      <c r="F51" s="184">
        <f>+C51</f>
        <v>600000</v>
      </c>
      <c r="G51" s="188">
        <f t="shared" si="2"/>
        <v>100</v>
      </c>
      <c r="H51" s="184" t="s">
        <v>216</v>
      </c>
    </row>
    <row r="52" spans="1:9" ht="25" customHeight="1">
      <c r="A52" s="210"/>
      <c r="B52" s="190" t="s">
        <v>253</v>
      </c>
      <c r="C52" s="189">
        <f>200000*12</f>
        <v>2400000</v>
      </c>
      <c r="D52" s="184">
        <f>967600+50000+11500-2100</f>
        <v>1027000</v>
      </c>
      <c r="E52" s="184">
        <f t="shared" si="6"/>
        <v>1373000</v>
      </c>
      <c r="F52" s="185">
        <v>2000000</v>
      </c>
      <c r="G52" s="186">
        <f t="shared" si="2"/>
        <v>83.333333333333329</v>
      </c>
      <c r="H52" s="185" t="s">
        <v>232</v>
      </c>
    </row>
    <row r="53" spans="1:9" ht="30" customHeight="1">
      <c r="A53" s="210"/>
      <c r="B53" s="190" t="s">
        <v>254</v>
      </c>
      <c r="C53" s="189">
        <f>1500000*12</f>
        <v>18000000</v>
      </c>
      <c r="D53" s="184">
        <v>6706810</v>
      </c>
      <c r="E53" s="184">
        <f t="shared" si="6"/>
        <v>11293190</v>
      </c>
      <c r="F53" s="185">
        <v>16000000</v>
      </c>
      <c r="G53" s="186">
        <f t="shared" si="2"/>
        <v>88.888888888888886</v>
      </c>
      <c r="H53" s="185" t="s">
        <v>232</v>
      </c>
    </row>
    <row r="54" spans="1:9" ht="20" customHeight="1">
      <c r="A54" s="210"/>
      <c r="B54" s="213" t="s">
        <v>255</v>
      </c>
      <c r="C54" s="189">
        <v>30000</v>
      </c>
      <c r="D54" s="184">
        <v>32000</v>
      </c>
      <c r="E54" s="184">
        <f t="shared" si="6"/>
        <v>-2000</v>
      </c>
      <c r="F54" s="185">
        <v>50000</v>
      </c>
      <c r="G54" s="186">
        <f t="shared" si="2"/>
        <v>166.66666666666666</v>
      </c>
      <c r="H54" s="185" t="s">
        <v>214</v>
      </c>
    </row>
    <row r="55" spans="1:9" ht="20" customHeight="1">
      <c r="A55" s="220"/>
      <c r="B55" s="190" t="s">
        <v>256</v>
      </c>
      <c r="C55" s="189">
        <v>16500000</v>
      </c>
      <c r="D55" s="184">
        <v>2208000</v>
      </c>
      <c r="E55" s="184">
        <f t="shared" si="6"/>
        <v>14292000</v>
      </c>
      <c r="F55" s="184">
        <f>+C55</f>
        <v>16500000</v>
      </c>
      <c r="G55" s="188">
        <f t="shared" si="2"/>
        <v>100</v>
      </c>
      <c r="H55" s="184" t="s">
        <v>216</v>
      </c>
    </row>
    <row r="56" spans="1:9" ht="20" customHeight="1">
      <c r="A56" s="220"/>
      <c r="B56" s="190" t="s">
        <v>257</v>
      </c>
      <c r="C56" s="189">
        <v>1000000</v>
      </c>
      <c r="D56" s="184">
        <f>33000+20000+2100</f>
        <v>55100</v>
      </c>
      <c r="E56" s="184">
        <f t="shared" si="6"/>
        <v>944900</v>
      </c>
      <c r="F56" s="185">
        <v>500000</v>
      </c>
      <c r="G56" s="186">
        <f t="shared" si="2"/>
        <v>50</v>
      </c>
      <c r="H56" s="185" t="s">
        <v>232</v>
      </c>
    </row>
    <row r="57" spans="1:9" ht="20" customHeight="1">
      <c r="A57" s="220"/>
      <c r="B57" s="190" t="s">
        <v>258</v>
      </c>
      <c r="C57" s="189">
        <f>250000*12</f>
        <v>3000000</v>
      </c>
      <c r="D57" s="184">
        <v>678500</v>
      </c>
      <c r="E57" s="214">
        <f t="shared" si="6"/>
        <v>2321500</v>
      </c>
      <c r="F57" s="185">
        <v>1500000</v>
      </c>
      <c r="G57" s="186">
        <f t="shared" si="2"/>
        <v>50</v>
      </c>
      <c r="H57" s="185" t="s">
        <v>232</v>
      </c>
    </row>
    <row r="58" spans="1:9" ht="20" customHeight="1">
      <c r="A58" s="220"/>
      <c r="B58" s="190" t="s">
        <v>259</v>
      </c>
      <c r="C58" s="189">
        <f>100000*12</f>
        <v>1200000</v>
      </c>
      <c r="D58" s="184">
        <v>563155</v>
      </c>
      <c r="E58" s="184">
        <f t="shared" si="6"/>
        <v>636845</v>
      </c>
      <c r="F58" s="184">
        <f>+C58</f>
        <v>1200000</v>
      </c>
      <c r="G58" s="188">
        <f t="shared" si="2"/>
        <v>100</v>
      </c>
      <c r="H58" s="184" t="s">
        <v>216</v>
      </c>
    </row>
    <row r="59" spans="1:9" ht="20" customHeight="1">
      <c r="A59" s="221"/>
      <c r="B59" s="222" t="s">
        <v>93</v>
      </c>
      <c r="C59" s="193">
        <f>SUM(C51:C58)</f>
        <v>42730000</v>
      </c>
      <c r="D59" s="194">
        <f>SUM(D51:D58)</f>
        <v>11570565</v>
      </c>
      <c r="E59" s="194">
        <f>SUM(E51:E58)</f>
        <v>31159435</v>
      </c>
      <c r="F59" s="194">
        <f>SUM(F51:F58)</f>
        <v>38350000</v>
      </c>
      <c r="G59" s="198">
        <f t="shared" si="2"/>
        <v>89.749590451673299</v>
      </c>
      <c r="H59" s="199" t="s">
        <v>260</v>
      </c>
      <c r="I59" s="223"/>
    </row>
    <row r="60" spans="1:9" ht="20" customHeight="1">
      <c r="A60" s="321" t="s">
        <v>261</v>
      </c>
      <c r="B60" s="322"/>
      <c r="C60" s="322"/>
      <c r="D60" s="207"/>
      <c r="E60" s="208"/>
      <c r="F60" s="208"/>
      <c r="G60" s="218" t="s">
        <v>11</v>
      </c>
      <c r="H60" s="207"/>
    </row>
    <row r="61" spans="1:9" ht="20" customHeight="1">
      <c r="A61" s="210"/>
      <c r="B61" s="190" t="s">
        <v>262</v>
      </c>
      <c r="C61" s="189">
        <v>4764000</v>
      </c>
      <c r="D61" s="184">
        <v>978840</v>
      </c>
      <c r="E61" s="184">
        <f>+C61-D61</f>
        <v>3785160</v>
      </c>
      <c r="F61" s="185">
        <v>3000000</v>
      </c>
      <c r="G61" s="186">
        <f t="shared" si="2"/>
        <v>62.97229219143577</v>
      </c>
      <c r="H61" s="185" t="s">
        <v>232</v>
      </c>
    </row>
    <row r="62" spans="1:9" ht="20" customHeight="1">
      <c r="A62" s="210"/>
      <c r="B62" s="190" t="s">
        <v>263</v>
      </c>
      <c r="C62" s="189">
        <v>4900000</v>
      </c>
      <c r="D62" s="184">
        <v>2500000</v>
      </c>
      <c r="E62" s="184">
        <f>+C62-D62</f>
        <v>2400000</v>
      </c>
      <c r="F62" s="184">
        <f>+C62</f>
        <v>4900000</v>
      </c>
      <c r="G62" s="188">
        <f t="shared" si="2"/>
        <v>100</v>
      </c>
      <c r="H62" s="184" t="s">
        <v>216</v>
      </c>
    </row>
    <row r="63" spans="1:9" ht="30" customHeight="1">
      <c r="A63" s="220"/>
      <c r="B63" s="222" t="s">
        <v>101</v>
      </c>
      <c r="C63" s="193">
        <f>SUM(C61:C62)</f>
        <v>9664000</v>
      </c>
      <c r="D63" s="194">
        <f>SUM(D61:D62)</f>
        <v>3478840</v>
      </c>
      <c r="E63" s="194">
        <f>SUM(E61:E62)</f>
        <v>6185160</v>
      </c>
      <c r="F63" s="196">
        <f>SUM(F61:F62)</f>
        <v>7900000</v>
      </c>
      <c r="G63" s="198">
        <f t="shared" si="2"/>
        <v>81.746688741721854</v>
      </c>
      <c r="H63" s="199" t="s">
        <v>264</v>
      </c>
    </row>
    <row r="64" spans="1:9" ht="20" customHeight="1">
      <c r="A64" s="321" t="s">
        <v>265</v>
      </c>
      <c r="B64" s="322"/>
      <c r="C64" s="322"/>
      <c r="D64" s="207"/>
      <c r="E64" s="208"/>
      <c r="F64" s="208"/>
      <c r="G64" s="219" t="s">
        <v>11</v>
      </c>
      <c r="H64" s="207"/>
    </row>
    <row r="65" spans="1:8" ht="20" customHeight="1">
      <c r="A65" s="224"/>
      <c r="B65" s="190" t="s">
        <v>266</v>
      </c>
      <c r="C65" s="189">
        <v>2000000</v>
      </c>
      <c r="D65" s="184">
        <v>0</v>
      </c>
      <c r="E65" s="184">
        <f t="shared" ref="E65:E70" si="7">+C65-D65</f>
        <v>2000000</v>
      </c>
      <c r="F65" s="185">
        <v>0</v>
      </c>
      <c r="G65" s="186">
        <f t="shared" si="2"/>
        <v>0</v>
      </c>
      <c r="H65" s="185" t="s">
        <v>232</v>
      </c>
    </row>
    <row r="66" spans="1:8" ht="20" customHeight="1">
      <c r="A66" s="224"/>
      <c r="B66" s="190" t="s">
        <v>267</v>
      </c>
      <c r="C66" s="189">
        <v>1848278</v>
      </c>
      <c r="D66" s="184">
        <v>1231500</v>
      </c>
      <c r="E66" s="184">
        <f t="shared" si="7"/>
        <v>616778</v>
      </c>
      <c r="F66" s="185">
        <f>+D66</f>
        <v>1231500</v>
      </c>
      <c r="G66" s="186">
        <f t="shared" si="2"/>
        <v>66.629587107567147</v>
      </c>
      <c r="H66" s="185" t="s">
        <v>232</v>
      </c>
    </row>
    <row r="67" spans="1:8" ht="25" customHeight="1">
      <c r="A67" s="224"/>
      <c r="B67" s="190" t="s">
        <v>268</v>
      </c>
      <c r="C67" s="189">
        <v>1500000</v>
      </c>
      <c r="D67" s="184">
        <v>0</v>
      </c>
      <c r="E67" s="184">
        <f t="shared" si="7"/>
        <v>1500000</v>
      </c>
      <c r="F67" s="225">
        <f>+C67</f>
        <v>1500000</v>
      </c>
      <c r="G67" s="188">
        <f t="shared" si="2"/>
        <v>100</v>
      </c>
      <c r="H67" s="184" t="s">
        <v>216</v>
      </c>
    </row>
    <row r="68" spans="1:8" ht="25" customHeight="1">
      <c r="A68" s="224"/>
      <c r="B68" s="190" t="s">
        <v>269</v>
      </c>
      <c r="C68" s="212">
        <v>4500000</v>
      </c>
      <c r="D68" s="184">
        <v>940000</v>
      </c>
      <c r="E68" s="184">
        <f t="shared" si="7"/>
        <v>3560000</v>
      </c>
      <c r="F68" s="185">
        <v>940000</v>
      </c>
      <c r="G68" s="186">
        <f t="shared" si="2"/>
        <v>20.888888888888889</v>
      </c>
      <c r="H68" s="185" t="s">
        <v>232</v>
      </c>
    </row>
    <row r="69" spans="1:8" ht="20" customHeight="1">
      <c r="A69" s="224"/>
      <c r="B69" s="190" t="s">
        <v>270</v>
      </c>
      <c r="C69" s="189">
        <f>60000*8</f>
        <v>480000</v>
      </c>
      <c r="D69" s="184">
        <v>0</v>
      </c>
      <c r="E69" s="184">
        <f t="shared" si="7"/>
        <v>480000</v>
      </c>
      <c r="F69" s="185">
        <v>400000</v>
      </c>
      <c r="G69" s="186">
        <f t="shared" si="2"/>
        <v>83.333333333333329</v>
      </c>
      <c r="H69" s="185" t="s">
        <v>214</v>
      </c>
    </row>
    <row r="70" spans="1:8" ht="20" customHeight="1">
      <c r="A70" s="224"/>
      <c r="B70" s="190" t="s">
        <v>271</v>
      </c>
      <c r="C70" s="189">
        <v>3500000</v>
      </c>
      <c r="D70" s="184">
        <v>0</v>
      </c>
      <c r="E70" s="184">
        <f t="shared" si="7"/>
        <v>3500000</v>
      </c>
      <c r="F70" s="184">
        <f>+C70</f>
        <v>3500000</v>
      </c>
      <c r="G70" s="188">
        <f t="shared" si="2"/>
        <v>100</v>
      </c>
      <c r="H70" s="184" t="s">
        <v>216</v>
      </c>
    </row>
    <row r="71" spans="1:8" ht="25" customHeight="1">
      <c r="A71" s="224"/>
      <c r="B71" s="222" t="s">
        <v>108</v>
      </c>
      <c r="C71" s="197">
        <f>SUM(C65:C70)</f>
        <v>13828278</v>
      </c>
      <c r="D71" s="194">
        <f>SUM(D65:D70)</f>
        <v>2171500</v>
      </c>
      <c r="E71" s="194">
        <f>SUM(E65:E70)</f>
        <v>11656778</v>
      </c>
      <c r="F71" s="196">
        <f>SUM(F65:F70)</f>
        <v>7571500</v>
      </c>
      <c r="G71" s="198">
        <f t="shared" si="2"/>
        <v>54.753744464784411</v>
      </c>
      <c r="H71" s="199" t="s">
        <v>272</v>
      </c>
    </row>
    <row r="72" spans="1:8" ht="25" customHeight="1">
      <c r="A72" s="226"/>
      <c r="B72" s="227" t="s">
        <v>273</v>
      </c>
      <c r="C72" s="228">
        <f>+C71+C63+C59+C49+C41</f>
        <v>413397927</v>
      </c>
      <c r="D72" s="229">
        <f>+D71+D63+D59+D49+D41+0</f>
        <v>177105862</v>
      </c>
      <c r="E72" s="229">
        <f>+E71+E63+E59+E49+E41+0</f>
        <v>236292065</v>
      </c>
      <c r="F72" s="229">
        <f>+F71+F63+F59+F49+F41</f>
        <v>390887149</v>
      </c>
      <c r="G72" s="230">
        <f>+F72*100/C72</f>
        <v>94.554694997297361</v>
      </c>
      <c r="H72" s="229" t="s">
        <v>274</v>
      </c>
    </row>
    <row r="73" spans="1:8" ht="25" customHeight="1">
      <c r="A73" s="231">
        <v>2</v>
      </c>
      <c r="B73" s="202" t="s">
        <v>275</v>
      </c>
      <c r="C73" s="203" t="s">
        <v>183</v>
      </c>
      <c r="D73" s="232" t="s">
        <v>225</v>
      </c>
      <c r="E73" s="232" t="s">
        <v>210</v>
      </c>
      <c r="F73" s="233" t="s">
        <v>226</v>
      </c>
      <c r="G73" s="234" t="s">
        <v>11</v>
      </c>
      <c r="H73" s="232"/>
    </row>
    <row r="74" spans="1:8" ht="20" customHeight="1">
      <c r="A74" s="321" t="s">
        <v>276</v>
      </c>
      <c r="B74" s="322"/>
      <c r="C74" s="322"/>
      <c r="D74" s="235"/>
      <c r="E74" s="236"/>
      <c r="F74" s="236"/>
      <c r="G74" s="237"/>
      <c r="H74" s="235"/>
    </row>
    <row r="75" spans="1:8" ht="20" customHeight="1">
      <c r="A75" s="210"/>
      <c r="B75" s="238" t="s">
        <v>277</v>
      </c>
      <c r="C75" s="212">
        <v>18000000</v>
      </c>
      <c r="D75" s="184">
        <f>7200000+6400000</f>
        <v>13600000</v>
      </c>
      <c r="E75" s="184">
        <f t="shared" ref="E75:E83" si="8">+C75-D75</f>
        <v>4400000</v>
      </c>
      <c r="F75" s="184">
        <f>+C75</f>
        <v>18000000</v>
      </c>
      <c r="G75" s="188">
        <f t="shared" si="2"/>
        <v>100</v>
      </c>
      <c r="H75" s="184" t="s">
        <v>216</v>
      </c>
    </row>
    <row r="76" spans="1:8" ht="20" customHeight="1">
      <c r="A76" s="210"/>
      <c r="B76" s="238" t="s">
        <v>278</v>
      </c>
      <c r="C76" s="212">
        <f>+(590000*12)+500000</f>
        <v>7580000</v>
      </c>
      <c r="D76" s="184">
        <v>4855000</v>
      </c>
      <c r="E76" s="184">
        <f t="shared" si="8"/>
        <v>2725000</v>
      </c>
      <c r="F76" s="185">
        <v>9485000</v>
      </c>
      <c r="G76" s="186">
        <f t="shared" si="2"/>
        <v>125.13192612137203</v>
      </c>
      <c r="H76" s="185" t="s">
        <v>214</v>
      </c>
    </row>
    <row r="77" spans="1:8" ht="20" customHeight="1">
      <c r="A77" s="210"/>
      <c r="B77" s="190" t="s">
        <v>279</v>
      </c>
      <c r="C77" s="189">
        <v>2500000</v>
      </c>
      <c r="D77" s="184">
        <v>0</v>
      </c>
      <c r="E77" s="184">
        <f t="shared" si="8"/>
        <v>2500000</v>
      </c>
      <c r="F77" s="185">
        <v>6000000</v>
      </c>
      <c r="G77" s="186">
        <f t="shared" si="2"/>
        <v>240</v>
      </c>
      <c r="H77" s="185" t="s">
        <v>216</v>
      </c>
    </row>
    <row r="78" spans="1:8" ht="30" customHeight="1">
      <c r="A78" s="210"/>
      <c r="B78" s="238" t="s">
        <v>280</v>
      </c>
      <c r="C78" s="189">
        <v>15000000</v>
      </c>
      <c r="D78" s="184">
        <v>14695000</v>
      </c>
      <c r="E78" s="184">
        <f t="shared" si="8"/>
        <v>305000</v>
      </c>
      <c r="F78" s="185">
        <f>+D78</f>
        <v>14695000</v>
      </c>
      <c r="G78" s="186">
        <f t="shared" si="2"/>
        <v>97.966666666666669</v>
      </c>
      <c r="H78" s="185" t="s">
        <v>232</v>
      </c>
    </row>
    <row r="79" spans="1:8" ht="25" customHeight="1">
      <c r="A79" s="210"/>
      <c r="B79" s="190" t="s">
        <v>281</v>
      </c>
      <c r="C79" s="189">
        <f>1500000*12</f>
        <v>18000000</v>
      </c>
      <c r="D79" s="184">
        <v>9000000</v>
      </c>
      <c r="E79" s="184">
        <f t="shared" si="8"/>
        <v>9000000</v>
      </c>
      <c r="F79" s="184">
        <f>+C79</f>
        <v>18000000</v>
      </c>
      <c r="G79" s="188">
        <f t="shared" si="2"/>
        <v>100</v>
      </c>
      <c r="H79" s="184" t="s">
        <v>216</v>
      </c>
    </row>
    <row r="80" spans="1:8" ht="25" customHeight="1">
      <c r="A80" s="210"/>
      <c r="B80" s="190" t="s">
        <v>282</v>
      </c>
      <c r="C80" s="189">
        <v>1000000</v>
      </c>
      <c r="D80" s="184">
        <v>0</v>
      </c>
      <c r="E80" s="184">
        <f t="shared" si="8"/>
        <v>1000000</v>
      </c>
      <c r="F80" s="184">
        <f>+C80</f>
        <v>1000000</v>
      </c>
      <c r="G80" s="188">
        <f t="shared" si="2"/>
        <v>100</v>
      </c>
      <c r="H80" s="184" t="s">
        <v>216</v>
      </c>
    </row>
    <row r="81" spans="1:9" ht="20" customHeight="1">
      <c r="A81" s="210"/>
      <c r="B81" s="239" t="s">
        <v>283</v>
      </c>
      <c r="C81" s="189">
        <v>6000000</v>
      </c>
      <c r="D81" s="184">
        <v>6000000</v>
      </c>
      <c r="E81" s="184">
        <f t="shared" si="8"/>
        <v>0</v>
      </c>
      <c r="F81" s="184">
        <f>+C81</f>
        <v>6000000</v>
      </c>
      <c r="G81" s="188">
        <f t="shared" si="2"/>
        <v>100</v>
      </c>
      <c r="H81" s="184" t="s">
        <v>216</v>
      </c>
    </row>
    <row r="82" spans="1:9" ht="34" customHeight="1">
      <c r="A82" s="210"/>
      <c r="B82" s="239" t="s">
        <v>284</v>
      </c>
      <c r="C82" s="189">
        <v>2500000</v>
      </c>
      <c r="D82" s="184">
        <v>9138800</v>
      </c>
      <c r="E82" s="185">
        <v>13344880</v>
      </c>
      <c r="F82" s="184">
        <v>12348880</v>
      </c>
      <c r="G82" s="186">
        <f t="shared" si="2"/>
        <v>493.95519999999999</v>
      </c>
      <c r="H82" s="185" t="s">
        <v>214</v>
      </c>
    </row>
    <row r="83" spans="1:9" ht="20" customHeight="1">
      <c r="A83" s="210"/>
      <c r="B83" s="239" t="s">
        <v>285</v>
      </c>
      <c r="C83" s="189">
        <v>0</v>
      </c>
      <c r="D83" s="184">
        <v>22034520</v>
      </c>
      <c r="E83" s="184">
        <f t="shared" si="8"/>
        <v>-22034520</v>
      </c>
      <c r="F83" s="185">
        <f>+D83</f>
        <v>22034520</v>
      </c>
      <c r="G83" s="240">
        <v>100</v>
      </c>
      <c r="H83" s="196" t="s">
        <v>214</v>
      </c>
    </row>
    <row r="84" spans="1:9" ht="20" customHeight="1">
      <c r="A84" s="210"/>
      <c r="B84" s="241" t="s">
        <v>117</v>
      </c>
      <c r="C84" s="193">
        <f>SUM(C75:C83)</f>
        <v>70580000</v>
      </c>
      <c r="D84" s="194">
        <f>SUM(D75:D83)</f>
        <v>79323320</v>
      </c>
      <c r="E84" s="194">
        <f>SUM(E75:E83)</f>
        <v>11240360</v>
      </c>
      <c r="F84" s="194">
        <f>SUM(F75:F83)</f>
        <v>107563400</v>
      </c>
      <c r="G84" s="198">
        <f t="shared" si="2"/>
        <v>152.39926324737885</v>
      </c>
      <c r="H84" s="199" t="s">
        <v>286</v>
      </c>
      <c r="I84" s="223"/>
    </row>
    <row r="85" spans="1:9" ht="20" customHeight="1">
      <c r="A85" s="321" t="s">
        <v>287</v>
      </c>
      <c r="B85" s="322"/>
      <c r="C85" s="322"/>
      <c r="D85" s="235"/>
      <c r="E85" s="236"/>
      <c r="F85" s="236"/>
      <c r="G85" s="242" t="s">
        <v>11</v>
      </c>
      <c r="H85" s="235"/>
    </row>
    <row r="86" spans="1:9" ht="25" customHeight="1">
      <c r="A86" s="224"/>
      <c r="B86" s="238" t="s">
        <v>288</v>
      </c>
      <c r="C86" s="189">
        <v>3000000</v>
      </c>
      <c r="D86" s="184">
        <v>0</v>
      </c>
      <c r="E86" s="184">
        <f>+C86-D86</f>
        <v>3000000</v>
      </c>
      <c r="F86" s="184">
        <v>3000000</v>
      </c>
      <c r="G86" s="188">
        <f t="shared" si="2"/>
        <v>100</v>
      </c>
      <c r="H86" s="184" t="s">
        <v>216</v>
      </c>
    </row>
    <row r="87" spans="1:9" ht="20" customHeight="1">
      <c r="A87" s="210"/>
      <c r="B87" s="238" t="s">
        <v>289</v>
      </c>
      <c r="C87" s="189">
        <v>7000000</v>
      </c>
      <c r="D87" s="184">
        <v>1775942</v>
      </c>
      <c r="E87" s="184">
        <f>+C87-D87</f>
        <v>5224058</v>
      </c>
      <c r="F87" s="185">
        <v>5000000</v>
      </c>
      <c r="G87" s="186">
        <f t="shared" si="2"/>
        <v>71.428571428571431</v>
      </c>
      <c r="H87" s="185" t="s">
        <v>232</v>
      </c>
    </row>
    <row r="88" spans="1:9" ht="20" customHeight="1">
      <c r="A88" s="210"/>
      <c r="B88" s="192" t="s">
        <v>97</v>
      </c>
      <c r="C88" s="193">
        <f>SUM(C86:C87)</f>
        <v>10000000</v>
      </c>
      <c r="D88" s="194">
        <f>SUM(D86:D87)</f>
        <v>1775942</v>
      </c>
      <c r="E88" s="194">
        <f>SUM(E86:E87)</f>
        <v>8224058</v>
      </c>
      <c r="F88" s="194">
        <f>SUM(F86:F87)</f>
        <v>8000000</v>
      </c>
      <c r="G88" s="198">
        <f t="shared" si="2"/>
        <v>80</v>
      </c>
      <c r="H88" s="199" t="s">
        <v>290</v>
      </c>
    </row>
    <row r="89" spans="1:9" ht="20" customHeight="1">
      <c r="A89" s="321" t="s">
        <v>291</v>
      </c>
      <c r="B89" s="322"/>
      <c r="C89" s="322"/>
      <c r="D89" s="235"/>
      <c r="E89" s="236"/>
      <c r="F89" s="236"/>
      <c r="G89" s="243" t="s">
        <v>11</v>
      </c>
      <c r="H89" s="235"/>
    </row>
    <row r="90" spans="1:9" ht="20" customHeight="1">
      <c r="A90" s="210"/>
      <c r="B90" s="190" t="s">
        <v>292</v>
      </c>
      <c r="C90" s="189">
        <v>1320000000</v>
      </c>
      <c r="D90" s="184">
        <v>684012358</v>
      </c>
      <c r="E90" s="184">
        <f t="shared" ref="E90:E97" si="9">+C90-D90</f>
        <v>635987642</v>
      </c>
      <c r="F90" s="185">
        <f>+F13</f>
        <v>1487320252</v>
      </c>
      <c r="G90" s="186">
        <f t="shared" si="2"/>
        <v>112.67577666666666</v>
      </c>
      <c r="H90" s="185" t="s">
        <v>214</v>
      </c>
    </row>
    <row r="91" spans="1:9" ht="20" customHeight="1">
      <c r="A91" s="210"/>
      <c r="B91" s="211" t="s">
        <v>293</v>
      </c>
      <c r="C91" s="189">
        <v>50000</v>
      </c>
      <c r="D91" s="184">
        <v>15000</v>
      </c>
      <c r="E91" s="184">
        <f t="shared" si="9"/>
        <v>35000</v>
      </c>
      <c r="F91" s="184">
        <f>+C91</f>
        <v>50000</v>
      </c>
      <c r="G91" s="188">
        <f t="shared" si="2"/>
        <v>100</v>
      </c>
      <c r="H91" s="184" t="s">
        <v>216</v>
      </c>
    </row>
    <row r="92" spans="1:9" ht="20" customHeight="1">
      <c r="A92" s="210"/>
      <c r="B92" s="244" t="s">
        <v>294</v>
      </c>
      <c r="C92" s="189">
        <v>864706</v>
      </c>
      <c r="D92" s="184">
        <v>1414285</v>
      </c>
      <c r="E92" s="184">
        <f t="shared" si="9"/>
        <v>-549579</v>
      </c>
      <c r="F92" s="185">
        <v>1764705</v>
      </c>
      <c r="G92" s="186">
        <f t="shared" si="2"/>
        <v>204.08150284605404</v>
      </c>
      <c r="H92" s="185" t="s">
        <v>214</v>
      </c>
    </row>
    <row r="93" spans="1:9" ht="20" customHeight="1">
      <c r="A93" s="210"/>
      <c r="B93" s="244" t="s">
        <v>295</v>
      </c>
      <c r="C93" s="189">
        <v>74264706</v>
      </c>
      <c r="D93" s="184">
        <v>114498138</v>
      </c>
      <c r="E93" s="184">
        <f t="shared" si="9"/>
        <v>-40233432</v>
      </c>
      <c r="F93" s="184">
        <f>+C93</f>
        <v>74264706</v>
      </c>
      <c r="G93" s="188">
        <f t="shared" si="2"/>
        <v>100</v>
      </c>
      <c r="H93" s="184" t="s">
        <v>216</v>
      </c>
    </row>
    <row r="94" spans="1:9" ht="20" customHeight="1">
      <c r="A94" s="220"/>
      <c r="B94" s="244" t="s">
        <v>296</v>
      </c>
      <c r="C94" s="245">
        <v>1000000</v>
      </c>
      <c r="D94" s="184">
        <v>1000000</v>
      </c>
      <c r="E94" s="184">
        <f t="shared" si="9"/>
        <v>0</v>
      </c>
      <c r="F94" s="184">
        <f>+C94</f>
        <v>1000000</v>
      </c>
      <c r="G94" s="188">
        <f t="shared" ref="G94:G138" si="10">+F94*100/C94</f>
        <v>100</v>
      </c>
      <c r="H94" s="184" t="s">
        <v>216</v>
      </c>
    </row>
    <row r="95" spans="1:9" ht="20" customHeight="1">
      <c r="A95" s="220"/>
      <c r="B95" s="244" t="s">
        <v>297</v>
      </c>
      <c r="C95" s="245">
        <v>83000</v>
      </c>
      <c r="D95" s="184">
        <v>0</v>
      </c>
      <c r="E95" s="214">
        <f t="shared" si="9"/>
        <v>83000</v>
      </c>
      <c r="F95" s="214">
        <f>+C95</f>
        <v>83000</v>
      </c>
      <c r="G95" s="188">
        <f t="shared" si="10"/>
        <v>100</v>
      </c>
      <c r="H95" s="184" t="s">
        <v>216</v>
      </c>
    </row>
    <row r="96" spans="1:9" ht="20" customHeight="1">
      <c r="A96" s="220"/>
      <c r="B96" s="244" t="s">
        <v>298</v>
      </c>
      <c r="C96" s="245">
        <v>18219651</v>
      </c>
      <c r="D96" s="184">
        <v>18893032</v>
      </c>
      <c r="E96" s="184">
        <f t="shared" si="9"/>
        <v>-673381</v>
      </c>
      <c r="F96" s="185">
        <f>+D96</f>
        <v>18893032</v>
      </c>
      <c r="G96" s="186">
        <f t="shared" si="10"/>
        <v>103.69590504230844</v>
      </c>
      <c r="H96" s="185" t="s">
        <v>214</v>
      </c>
    </row>
    <row r="97" spans="1:8" ht="20" customHeight="1">
      <c r="A97" s="220"/>
      <c r="B97" s="244" t="s">
        <v>299</v>
      </c>
      <c r="C97" s="245">
        <v>5000000</v>
      </c>
      <c r="D97" s="184">
        <v>0</v>
      </c>
      <c r="E97" s="184">
        <f t="shared" si="9"/>
        <v>5000000</v>
      </c>
      <c r="F97" s="184">
        <f>+C97</f>
        <v>5000000</v>
      </c>
      <c r="G97" s="188">
        <f t="shared" si="10"/>
        <v>100</v>
      </c>
      <c r="H97" s="184" t="s">
        <v>216</v>
      </c>
    </row>
    <row r="98" spans="1:8" ht="20" customHeight="1">
      <c r="A98" s="220"/>
      <c r="B98" s="246" t="s">
        <v>123</v>
      </c>
      <c r="C98" s="247">
        <f>SUM(C90:C97)</f>
        <v>1419482063</v>
      </c>
      <c r="D98" s="194">
        <f>SUM(D90:D97)</f>
        <v>819832813</v>
      </c>
      <c r="E98" s="194">
        <f>SUM(E90:E97)</f>
        <v>599649250</v>
      </c>
      <c r="F98" s="196">
        <f>SUM(F90:F97)</f>
        <v>1588375695</v>
      </c>
      <c r="G98" s="186">
        <f t="shared" si="10"/>
        <v>111.89825756889469</v>
      </c>
      <c r="H98" s="217" t="s">
        <v>300</v>
      </c>
    </row>
    <row r="99" spans="1:8" ht="20" customHeight="1">
      <c r="A99" s="321" t="s">
        <v>301</v>
      </c>
      <c r="B99" s="322"/>
      <c r="C99" s="322"/>
      <c r="D99" s="235"/>
      <c r="E99" s="236"/>
      <c r="F99" s="236"/>
      <c r="G99" s="248" t="s">
        <v>11</v>
      </c>
      <c r="H99" s="235"/>
    </row>
    <row r="100" spans="1:8" ht="20" customHeight="1">
      <c r="A100" s="249"/>
      <c r="B100" s="238" t="s">
        <v>302</v>
      </c>
      <c r="C100" s="212">
        <v>2000000</v>
      </c>
      <c r="D100" s="184">
        <v>0</v>
      </c>
      <c r="E100" s="184">
        <f>+C100-D100</f>
        <v>2000000</v>
      </c>
      <c r="F100" s="184">
        <f>+C100</f>
        <v>2000000</v>
      </c>
      <c r="G100" s="188">
        <f t="shared" si="10"/>
        <v>100</v>
      </c>
      <c r="H100" s="184" t="s">
        <v>216</v>
      </c>
    </row>
    <row r="101" spans="1:8" ht="30" customHeight="1">
      <c r="A101" s="210"/>
      <c r="B101" s="250" t="s">
        <v>303</v>
      </c>
      <c r="C101" s="212">
        <v>15450000</v>
      </c>
      <c r="D101" s="184">
        <v>789000</v>
      </c>
      <c r="E101" s="184">
        <f>+C101-D101</f>
        <v>14661000</v>
      </c>
      <c r="F101" s="184">
        <f>+C101</f>
        <v>15450000</v>
      </c>
      <c r="G101" s="188">
        <f t="shared" si="10"/>
        <v>100</v>
      </c>
      <c r="H101" s="184" t="s">
        <v>216</v>
      </c>
    </row>
    <row r="102" spans="1:8" ht="20" customHeight="1">
      <c r="A102" s="210"/>
      <c r="B102" s="190" t="s">
        <v>304</v>
      </c>
      <c r="C102" s="189">
        <v>3000000</v>
      </c>
      <c r="D102" s="184">
        <v>0</v>
      </c>
      <c r="E102" s="184">
        <f>+C102-D102</f>
        <v>3000000</v>
      </c>
      <c r="F102" s="184">
        <f>+C102</f>
        <v>3000000</v>
      </c>
      <c r="G102" s="188">
        <f t="shared" si="10"/>
        <v>100</v>
      </c>
      <c r="H102" s="184" t="s">
        <v>216</v>
      </c>
    </row>
    <row r="103" spans="1:8" ht="25" customHeight="1">
      <c r="A103" s="210"/>
      <c r="B103" s="190" t="s">
        <v>305</v>
      </c>
      <c r="C103" s="189">
        <v>3000000</v>
      </c>
      <c r="D103" s="184">
        <f>800000+708000</f>
        <v>1508000</v>
      </c>
      <c r="E103" s="184">
        <f>+C103-D103</f>
        <v>1492000</v>
      </c>
      <c r="F103" s="184">
        <f>+C103</f>
        <v>3000000</v>
      </c>
      <c r="G103" s="188">
        <f t="shared" si="10"/>
        <v>100</v>
      </c>
      <c r="H103" s="184" t="s">
        <v>216</v>
      </c>
    </row>
    <row r="104" spans="1:8" ht="25" customHeight="1">
      <c r="A104" s="210"/>
      <c r="B104" s="222" t="s">
        <v>128</v>
      </c>
      <c r="C104" s="193">
        <f>SUM(C100:C103)</f>
        <v>23450000</v>
      </c>
      <c r="D104" s="194">
        <f>SUM(D100:D103)</f>
        <v>2297000</v>
      </c>
      <c r="E104" s="194">
        <f>SUM(E100:E103)</f>
        <v>21153000</v>
      </c>
      <c r="F104" s="194">
        <f>SUM(F100:F103)</f>
        <v>23450000</v>
      </c>
      <c r="G104" s="188">
        <f t="shared" si="10"/>
        <v>100</v>
      </c>
      <c r="H104" s="184" t="s">
        <v>216</v>
      </c>
    </row>
    <row r="105" spans="1:8" ht="20" customHeight="1">
      <c r="A105" s="332" t="s">
        <v>306</v>
      </c>
      <c r="B105" s="333"/>
      <c r="C105" s="333"/>
      <c r="D105" s="235"/>
      <c r="E105" s="236"/>
      <c r="F105" s="236"/>
      <c r="G105" s="248" t="s">
        <v>11</v>
      </c>
      <c r="H105" s="235"/>
    </row>
    <row r="106" spans="1:8" ht="35" customHeight="1">
      <c r="A106" s="210"/>
      <c r="B106" s="190" t="s">
        <v>307</v>
      </c>
      <c r="C106" s="189">
        <v>5500000</v>
      </c>
      <c r="D106" s="184">
        <v>300000</v>
      </c>
      <c r="E106" s="184">
        <f>+C106-D106</f>
        <v>5200000</v>
      </c>
      <c r="F106" s="185">
        <v>1500000</v>
      </c>
      <c r="G106" s="186">
        <f t="shared" si="10"/>
        <v>27.272727272727273</v>
      </c>
      <c r="H106" s="185" t="s">
        <v>232</v>
      </c>
    </row>
    <row r="107" spans="1:8" ht="20" customHeight="1">
      <c r="A107" s="210"/>
      <c r="B107" s="190" t="s">
        <v>308</v>
      </c>
      <c r="C107" s="189">
        <v>2000000</v>
      </c>
      <c r="D107" s="184">
        <v>968000</v>
      </c>
      <c r="E107" s="184">
        <f>+C107-D107</f>
        <v>1032000</v>
      </c>
      <c r="F107" s="185">
        <v>968000</v>
      </c>
      <c r="G107" s="186">
        <f t="shared" si="10"/>
        <v>48.4</v>
      </c>
      <c r="H107" s="185" t="s">
        <v>232</v>
      </c>
    </row>
    <row r="108" spans="1:8" ht="20" customHeight="1">
      <c r="A108" s="220"/>
      <c r="B108" s="251" t="s">
        <v>132</v>
      </c>
      <c r="C108" s="247">
        <f>SUM(C106:C107)</f>
        <v>7500000</v>
      </c>
      <c r="D108" s="194">
        <f>SUM(D106:D107)</f>
        <v>1268000</v>
      </c>
      <c r="E108" s="194">
        <f>SUM(E106:E107)</f>
        <v>6232000</v>
      </c>
      <c r="F108" s="194">
        <f>SUM(F106:F107)</f>
        <v>2468000</v>
      </c>
      <c r="G108" s="198">
        <f t="shared" si="10"/>
        <v>32.906666666666666</v>
      </c>
      <c r="H108" s="199" t="s">
        <v>309</v>
      </c>
    </row>
    <row r="109" spans="1:8" ht="20" customHeight="1">
      <c r="A109" s="321" t="s">
        <v>310</v>
      </c>
      <c r="B109" s="322"/>
      <c r="C109" s="322"/>
      <c r="D109" s="235"/>
      <c r="E109" s="236"/>
      <c r="F109" s="236"/>
      <c r="G109" s="248" t="s">
        <v>11</v>
      </c>
      <c r="H109" s="235"/>
    </row>
    <row r="110" spans="1:8" ht="30" customHeight="1">
      <c r="A110" s="224"/>
      <c r="B110" s="211" t="s">
        <v>311</v>
      </c>
      <c r="C110" s="252">
        <v>4810000</v>
      </c>
      <c r="D110" s="184">
        <v>4810000</v>
      </c>
      <c r="E110" s="184">
        <f t="shared" ref="E110:E115" si="11">+C110-D110</f>
        <v>0</v>
      </c>
      <c r="F110" s="184">
        <f>+C110</f>
        <v>4810000</v>
      </c>
      <c r="G110" s="188">
        <f t="shared" si="10"/>
        <v>100</v>
      </c>
      <c r="H110" s="184" t="s">
        <v>216</v>
      </c>
    </row>
    <row r="111" spans="1:8" ht="20" customHeight="1">
      <c r="A111" s="210"/>
      <c r="B111" s="238" t="s">
        <v>312</v>
      </c>
      <c r="C111" s="189">
        <v>1800000</v>
      </c>
      <c r="D111" s="184">
        <v>0</v>
      </c>
      <c r="E111" s="253">
        <f t="shared" si="11"/>
        <v>1800000</v>
      </c>
      <c r="F111" s="253">
        <f>+C111</f>
        <v>1800000</v>
      </c>
      <c r="G111" s="188">
        <f t="shared" si="10"/>
        <v>100</v>
      </c>
      <c r="H111" s="184" t="s">
        <v>216</v>
      </c>
    </row>
    <row r="112" spans="1:8" ht="20" customHeight="1">
      <c r="A112" s="210"/>
      <c r="B112" s="238" t="s">
        <v>313</v>
      </c>
      <c r="C112" s="254">
        <v>4500000</v>
      </c>
      <c r="D112" s="184">
        <v>0</v>
      </c>
      <c r="E112" s="184">
        <f t="shared" si="11"/>
        <v>4500000</v>
      </c>
      <c r="F112" s="184">
        <f>+C112</f>
        <v>4500000</v>
      </c>
      <c r="G112" s="188">
        <f t="shared" si="10"/>
        <v>100</v>
      </c>
      <c r="H112" s="184" t="s">
        <v>216</v>
      </c>
    </row>
    <row r="113" spans="1:9" ht="20" customHeight="1">
      <c r="A113" s="210"/>
      <c r="B113" s="238" t="s">
        <v>314</v>
      </c>
      <c r="C113" s="255">
        <v>5000000</v>
      </c>
      <c r="D113" s="184">
        <v>0</v>
      </c>
      <c r="E113" s="184">
        <f t="shared" si="11"/>
        <v>5000000</v>
      </c>
      <c r="F113" s="185">
        <v>7000000</v>
      </c>
      <c r="G113" s="186">
        <f t="shared" si="10"/>
        <v>140</v>
      </c>
      <c r="H113" s="185" t="s">
        <v>214</v>
      </c>
    </row>
    <row r="114" spans="1:9" ht="20" customHeight="1">
      <c r="A114" s="210"/>
      <c r="B114" s="213" t="s">
        <v>315</v>
      </c>
      <c r="C114" s="256">
        <v>20000000</v>
      </c>
      <c r="D114" s="184">
        <v>0</v>
      </c>
      <c r="E114" s="184">
        <f t="shared" si="11"/>
        <v>20000000</v>
      </c>
      <c r="F114" s="184">
        <f>+C114</f>
        <v>20000000</v>
      </c>
      <c r="G114" s="188">
        <f t="shared" si="10"/>
        <v>100</v>
      </c>
      <c r="H114" s="184" t="s">
        <v>216</v>
      </c>
    </row>
    <row r="115" spans="1:9" ht="20" customHeight="1">
      <c r="A115" s="210"/>
      <c r="B115" s="238" t="s">
        <v>316</v>
      </c>
      <c r="C115" s="255">
        <v>2300000</v>
      </c>
      <c r="D115" s="184">
        <v>800000</v>
      </c>
      <c r="E115" s="184">
        <f t="shared" si="11"/>
        <v>1500000</v>
      </c>
      <c r="F115" s="185">
        <f>+D115</f>
        <v>800000</v>
      </c>
      <c r="G115" s="186">
        <f t="shared" si="10"/>
        <v>34.782608695652172</v>
      </c>
      <c r="H115" s="185" t="s">
        <v>232</v>
      </c>
    </row>
    <row r="116" spans="1:9" ht="35" customHeight="1">
      <c r="A116" s="210"/>
      <c r="B116" s="192" t="s">
        <v>139</v>
      </c>
      <c r="C116" s="257">
        <f>SUM(C110:C115)</f>
        <v>38410000</v>
      </c>
      <c r="D116" s="194">
        <f>SUM(D110:D115)</f>
        <v>5610000</v>
      </c>
      <c r="E116" s="194">
        <f>SUM(E110:E115)</f>
        <v>32800000</v>
      </c>
      <c r="F116" s="194">
        <f>SUM(F110:F115)</f>
        <v>38910000</v>
      </c>
      <c r="G116" s="198">
        <f t="shared" si="10"/>
        <v>101.30174433741213</v>
      </c>
      <c r="H116" s="199" t="s">
        <v>317</v>
      </c>
    </row>
    <row r="117" spans="1:9" ht="20" customHeight="1">
      <c r="A117" s="321" t="s">
        <v>318</v>
      </c>
      <c r="B117" s="322"/>
      <c r="C117" s="334"/>
      <c r="D117" s="235"/>
      <c r="E117" s="236"/>
      <c r="F117" s="236"/>
      <c r="G117" s="248" t="s">
        <v>11</v>
      </c>
      <c r="H117" s="235"/>
    </row>
    <row r="118" spans="1:9" ht="30" customHeight="1">
      <c r="A118" s="210"/>
      <c r="B118" s="238" t="s">
        <v>319</v>
      </c>
      <c r="C118" s="258">
        <v>388846962</v>
      </c>
      <c r="D118" s="184">
        <f>195548980+15372021</f>
        <v>210921001</v>
      </c>
      <c r="E118" s="184">
        <f>+C118-D118</f>
        <v>177925961</v>
      </c>
      <c r="F118" s="185">
        <v>381540029</v>
      </c>
      <c r="G118" s="186">
        <f t="shared" si="10"/>
        <v>98.120871778856795</v>
      </c>
      <c r="H118" s="185" t="s">
        <v>232</v>
      </c>
      <c r="I118" s="223"/>
    </row>
    <row r="119" spans="1:9" ht="30" customHeight="1">
      <c r="A119" s="210"/>
      <c r="B119" s="190" t="s">
        <v>320</v>
      </c>
      <c r="C119" s="254">
        <v>26341440</v>
      </c>
      <c r="D119" s="184">
        <v>0</v>
      </c>
      <c r="E119" s="184">
        <f>+C119-D119</f>
        <v>26341440</v>
      </c>
      <c r="F119" s="185">
        <v>32754024</v>
      </c>
      <c r="G119" s="186">
        <f t="shared" si="10"/>
        <v>124.34409052808047</v>
      </c>
      <c r="H119" s="185" t="s">
        <v>214</v>
      </c>
      <c r="I119" s="223"/>
    </row>
    <row r="120" spans="1:9" ht="20" customHeight="1">
      <c r="A120" s="210"/>
      <c r="B120" s="222" t="s">
        <v>143</v>
      </c>
      <c r="C120" s="257">
        <f>SUM(C118:C119)</f>
        <v>415188402</v>
      </c>
      <c r="D120" s="194">
        <f>SUM(D118:D119)</f>
        <v>210921001</v>
      </c>
      <c r="E120" s="194">
        <f>SUM(E118:E119)</f>
        <v>204267401</v>
      </c>
      <c r="F120" s="196">
        <f>SUM(F118:F119)</f>
        <v>414294053</v>
      </c>
      <c r="G120" s="198">
        <f t="shared" si="10"/>
        <v>99.784592007943417</v>
      </c>
      <c r="H120" s="199" t="s">
        <v>321</v>
      </c>
      <c r="I120" s="223"/>
    </row>
    <row r="121" spans="1:9" ht="20" customHeight="1">
      <c r="A121" s="321" t="s">
        <v>322</v>
      </c>
      <c r="B121" s="322"/>
      <c r="C121" s="334"/>
      <c r="D121" s="235"/>
      <c r="E121" s="236"/>
      <c r="F121" s="236"/>
      <c r="G121" s="248" t="s">
        <v>11</v>
      </c>
      <c r="H121" s="235"/>
    </row>
    <row r="122" spans="1:9" ht="20" customHeight="1">
      <c r="A122" s="210"/>
      <c r="B122" s="238" t="s">
        <v>323</v>
      </c>
      <c r="C122" s="254">
        <v>2200000</v>
      </c>
      <c r="D122" s="184">
        <v>0</v>
      </c>
      <c r="E122" s="184">
        <f t="shared" ref="E122:E128" si="12">+C122-D122</f>
        <v>2200000</v>
      </c>
      <c r="F122" s="184">
        <f>+C122</f>
        <v>2200000</v>
      </c>
      <c r="G122" s="188">
        <f t="shared" si="10"/>
        <v>100</v>
      </c>
      <c r="H122" s="184" t="s">
        <v>216</v>
      </c>
    </row>
    <row r="123" spans="1:9" ht="20" customHeight="1">
      <c r="A123" s="210"/>
      <c r="B123" s="238" t="s">
        <v>324</v>
      </c>
      <c r="C123" s="255">
        <v>307500000</v>
      </c>
      <c r="D123" s="184">
        <v>10790000</v>
      </c>
      <c r="E123" s="184">
        <f t="shared" si="12"/>
        <v>296710000</v>
      </c>
      <c r="F123" s="225">
        <f>+C123</f>
        <v>307500000</v>
      </c>
      <c r="G123" s="188">
        <f t="shared" si="10"/>
        <v>100</v>
      </c>
      <c r="H123" s="184" t="s">
        <v>216</v>
      </c>
    </row>
    <row r="124" spans="1:9" ht="20" customHeight="1">
      <c r="A124" s="210"/>
      <c r="B124" s="238" t="s">
        <v>325</v>
      </c>
      <c r="C124" s="255">
        <v>4000000</v>
      </c>
      <c r="D124" s="184">
        <v>56000</v>
      </c>
      <c r="E124" s="184">
        <f t="shared" si="12"/>
        <v>3944000</v>
      </c>
      <c r="F124" s="185">
        <v>2000000</v>
      </c>
      <c r="G124" s="186">
        <f t="shared" si="10"/>
        <v>50</v>
      </c>
      <c r="H124" s="185" t="s">
        <v>232</v>
      </c>
    </row>
    <row r="125" spans="1:9" ht="20" customHeight="1">
      <c r="A125" s="210"/>
      <c r="B125" s="190" t="s">
        <v>326</v>
      </c>
      <c r="C125" s="254">
        <v>5000000</v>
      </c>
      <c r="D125" s="184">
        <v>167100</v>
      </c>
      <c r="E125" s="184">
        <f t="shared" si="12"/>
        <v>4832900</v>
      </c>
      <c r="F125" s="185">
        <v>3000000</v>
      </c>
      <c r="G125" s="186">
        <f t="shared" si="10"/>
        <v>60</v>
      </c>
      <c r="H125" s="185" t="s">
        <v>232</v>
      </c>
    </row>
    <row r="126" spans="1:9" ht="25" customHeight="1">
      <c r="A126" s="249"/>
      <c r="B126" s="238" t="s">
        <v>327</v>
      </c>
      <c r="C126" s="255">
        <v>1000000</v>
      </c>
      <c r="D126" s="184">
        <v>0</v>
      </c>
      <c r="E126" s="184">
        <f t="shared" si="12"/>
        <v>1000000</v>
      </c>
      <c r="F126" s="184">
        <f>+C126</f>
        <v>1000000</v>
      </c>
      <c r="G126" s="188">
        <f t="shared" si="10"/>
        <v>100</v>
      </c>
      <c r="H126" s="184" t="s">
        <v>216</v>
      </c>
    </row>
    <row r="127" spans="1:9" ht="20" customHeight="1">
      <c r="A127" s="210"/>
      <c r="B127" s="238" t="s">
        <v>328</v>
      </c>
      <c r="C127" s="255">
        <v>15000000</v>
      </c>
      <c r="D127" s="184">
        <f>9891750-800000</f>
        <v>9091750</v>
      </c>
      <c r="E127" s="184">
        <f t="shared" si="12"/>
        <v>5908250</v>
      </c>
      <c r="F127" s="185">
        <f>+D127</f>
        <v>9091750</v>
      </c>
      <c r="G127" s="186">
        <f t="shared" si="10"/>
        <v>60.611666666666665</v>
      </c>
      <c r="H127" s="185" t="s">
        <v>232</v>
      </c>
    </row>
    <row r="128" spans="1:9" ht="20" customHeight="1">
      <c r="A128" s="249"/>
      <c r="B128" s="259" t="s">
        <v>329</v>
      </c>
      <c r="C128" s="255">
        <v>1000000</v>
      </c>
      <c r="D128" s="184">
        <v>0</v>
      </c>
      <c r="E128" s="184">
        <f t="shared" si="12"/>
        <v>1000000</v>
      </c>
      <c r="F128" s="184">
        <f>+C128</f>
        <v>1000000</v>
      </c>
      <c r="G128" s="188">
        <f t="shared" si="10"/>
        <v>100</v>
      </c>
      <c r="H128" s="184" t="s">
        <v>216</v>
      </c>
    </row>
    <row r="129" spans="1:9" ht="20" customHeight="1">
      <c r="A129" s="210"/>
      <c r="B129" s="182" t="s">
        <v>330</v>
      </c>
      <c r="C129" s="254">
        <v>1000000</v>
      </c>
      <c r="D129" s="184">
        <v>1000000</v>
      </c>
      <c r="E129" s="184">
        <f>+C129-F129</f>
        <v>0</v>
      </c>
      <c r="F129" s="184">
        <f>+C129</f>
        <v>1000000</v>
      </c>
      <c r="G129" s="188">
        <f t="shared" si="10"/>
        <v>100</v>
      </c>
      <c r="H129" s="184" t="s">
        <v>216</v>
      </c>
    </row>
    <row r="130" spans="1:9" ht="20" customHeight="1">
      <c r="A130" s="210"/>
      <c r="B130" s="192" t="s">
        <v>149</v>
      </c>
      <c r="C130" s="173">
        <f>SUM(C122:C129)</f>
        <v>336700000</v>
      </c>
      <c r="D130" s="194">
        <f>SUM(D122:D129)</f>
        <v>21104850</v>
      </c>
      <c r="E130" s="194">
        <f>SUM(E122:E129)</f>
        <v>315595150</v>
      </c>
      <c r="F130" s="196">
        <f>SUM(F122:F129)</f>
        <v>326791750</v>
      </c>
      <c r="G130" s="198">
        <f t="shared" si="10"/>
        <v>97.057246807246813</v>
      </c>
      <c r="H130" s="199" t="s">
        <v>331</v>
      </c>
    </row>
    <row r="131" spans="1:9" ht="20" customHeight="1">
      <c r="A131" s="335" t="s">
        <v>332</v>
      </c>
      <c r="B131" s="336"/>
      <c r="C131" s="173">
        <v>0</v>
      </c>
      <c r="D131" s="260">
        <v>40000</v>
      </c>
      <c r="E131" s="260">
        <f>+C131-D131</f>
        <v>-40000</v>
      </c>
      <c r="F131" s="261">
        <f>143400000+40000</f>
        <v>143440000</v>
      </c>
      <c r="G131" s="198">
        <v>100</v>
      </c>
      <c r="H131" s="261" t="s">
        <v>214</v>
      </c>
    </row>
    <row r="132" spans="1:9" ht="20" customHeight="1">
      <c r="A132" s="321" t="s">
        <v>333</v>
      </c>
      <c r="B132" s="322"/>
      <c r="C132" s="334"/>
      <c r="D132" s="235"/>
      <c r="E132" s="236"/>
      <c r="F132" s="236"/>
      <c r="G132" s="248" t="s">
        <v>11</v>
      </c>
      <c r="H132" s="235"/>
    </row>
    <row r="133" spans="1:9" ht="20" customHeight="1">
      <c r="A133" s="249"/>
      <c r="B133" s="190" t="s">
        <v>334</v>
      </c>
      <c r="C133" s="254">
        <v>1500000</v>
      </c>
      <c r="D133" s="184">
        <v>578356</v>
      </c>
      <c r="E133" s="184">
        <f>+C133-D133</f>
        <v>921644</v>
      </c>
      <c r="F133" s="185">
        <v>1300000</v>
      </c>
      <c r="G133" s="186">
        <f t="shared" si="10"/>
        <v>86.666666666666671</v>
      </c>
      <c r="H133" s="185" t="s">
        <v>216</v>
      </c>
    </row>
    <row r="134" spans="1:9" ht="30" customHeight="1">
      <c r="A134" s="210"/>
      <c r="B134" s="190" t="s">
        <v>335</v>
      </c>
      <c r="C134" s="254">
        <v>20000000</v>
      </c>
      <c r="D134" s="184">
        <f>1691981+40000</f>
        <v>1731981</v>
      </c>
      <c r="E134" s="184">
        <f>+C134-D134</f>
        <v>18268019</v>
      </c>
      <c r="F134" s="185">
        <v>10000000</v>
      </c>
      <c r="G134" s="186">
        <f t="shared" si="10"/>
        <v>50</v>
      </c>
      <c r="H134" s="185" t="s">
        <v>232</v>
      </c>
    </row>
    <row r="135" spans="1:9" ht="20" customHeight="1">
      <c r="A135" s="262"/>
      <c r="B135" s="263" t="s">
        <v>153</v>
      </c>
      <c r="C135" s="173">
        <f>+C133+C134</f>
        <v>21500000</v>
      </c>
      <c r="D135" s="194">
        <f>SUM(D133:D134)</f>
        <v>2310337</v>
      </c>
      <c r="E135" s="194">
        <f>SUM(E133:E134)</f>
        <v>19189663</v>
      </c>
      <c r="F135" s="194">
        <f>SUM(F133:F134)</f>
        <v>11300000</v>
      </c>
      <c r="G135" s="198">
        <f t="shared" si="10"/>
        <v>52.558139534883722</v>
      </c>
      <c r="H135" s="199" t="s">
        <v>336</v>
      </c>
    </row>
    <row r="136" spans="1:9" ht="20" customHeight="1">
      <c r="A136" s="264"/>
      <c r="B136" s="227" t="s">
        <v>337</v>
      </c>
      <c r="C136" s="265">
        <f>+C135+C130+C120+C116+C108+C104+C98+C88+C84+0</f>
        <v>2342810465</v>
      </c>
      <c r="D136" s="229">
        <f>+D135+D131+D130+D120+D116+D108+D104+D98+D88+D84+0</f>
        <v>1144483263</v>
      </c>
      <c r="E136" s="229">
        <f>+E135+E131+E130+E120+E116+E108+E104+E98+E88+E84+0</f>
        <v>1218310882</v>
      </c>
      <c r="F136" s="229">
        <f>+F135+F131+F130+F120+F116+F108+F104+F98+F88+F84+0</f>
        <v>2664592898</v>
      </c>
      <c r="G136" s="230">
        <f t="shared" si="10"/>
        <v>113.73488968942266</v>
      </c>
      <c r="H136" s="266" t="s">
        <v>300</v>
      </c>
    </row>
    <row r="137" spans="1:9" ht="25" customHeight="1">
      <c r="A137" s="328" t="s">
        <v>338</v>
      </c>
      <c r="B137" s="329"/>
      <c r="C137" s="267">
        <f>+C136+C72</f>
        <v>2756208392</v>
      </c>
      <c r="D137" s="268">
        <f>+D136+D132+D131+D121+D117+D109+D105+D99+D89+D85+D72+D64+D60+D50+D42</f>
        <v>1321629125</v>
      </c>
      <c r="E137" s="268">
        <f>+C137-D137</f>
        <v>1434579267</v>
      </c>
      <c r="F137" s="268">
        <f>+F136+F72</f>
        <v>3055480047</v>
      </c>
      <c r="G137" s="269">
        <f t="shared" si="10"/>
        <v>110.85809243846174</v>
      </c>
      <c r="H137" s="270" t="s">
        <v>223</v>
      </c>
      <c r="I137" s="223"/>
    </row>
    <row r="138" spans="1:9" ht="30" customHeight="1">
      <c r="A138" s="330" t="s">
        <v>339</v>
      </c>
      <c r="B138" s="331"/>
      <c r="C138" s="271">
        <f>+C25-C137</f>
        <v>123981779</v>
      </c>
      <c r="D138" s="272">
        <f>+D25-D137</f>
        <v>502257579</v>
      </c>
      <c r="E138" s="272"/>
      <c r="F138" s="272">
        <f>+F25-F137</f>
        <v>184837118</v>
      </c>
      <c r="G138" s="273">
        <f t="shared" si="10"/>
        <v>149.08409888198167</v>
      </c>
      <c r="H138" s="274" t="s">
        <v>342</v>
      </c>
    </row>
    <row r="139" spans="1:9" ht="20.149999999999999" customHeight="1">
      <c r="B139" s="275" t="s">
        <v>156</v>
      </c>
      <c r="G139" s="276"/>
    </row>
    <row r="140" spans="1:9" ht="20.149999999999999" customHeight="1">
      <c r="B140" s="163"/>
    </row>
    <row r="141" spans="1:9" ht="20.149999999999999" customHeight="1">
      <c r="B141" s="277" t="s">
        <v>157</v>
      </c>
      <c r="F141" s="277" t="s">
        <v>158</v>
      </c>
      <c r="G141" s="278"/>
    </row>
    <row r="142" spans="1:9" ht="20.149999999999999" customHeight="1">
      <c r="B142" s="277" t="s">
        <v>159</v>
      </c>
      <c r="F142" s="277" t="s">
        <v>160</v>
      </c>
      <c r="G142" s="278"/>
    </row>
    <row r="143" spans="1:9" ht="20.149999999999999" customHeight="1">
      <c r="B143" s="277" t="s">
        <v>161</v>
      </c>
      <c r="F143" s="277" t="s">
        <v>162</v>
      </c>
      <c r="G143" s="278"/>
    </row>
    <row r="144" spans="1:9" ht="20.149999999999999" customHeight="1">
      <c r="B144" s="277"/>
      <c r="F144" s="277"/>
      <c r="G144" s="278"/>
    </row>
    <row r="145" spans="2:6" ht="20.149999999999999" customHeight="1">
      <c r="B145" s="279"/>
      <c r="F145" s="277" t="s">
        <v>163</v>
      </c>
    </row>
    <row r="146" spans="2:6" ht="20.149999999999999" customHeight="1">
      <c r="B146" s="163"/>
      <c r="F146" s="277" t="s">
        <v>164</v>
      </c>
    </row>
    <row r="147" spans="2:6">
      <c r="B147" s="280"/>
      <c r="F147" s="277" t="s">
        <v>165</v>
      </c>
    </row>
  </sheetData>
  <mergeCells count="26">
    <mergeCell ref="A137:B137"/>
    <mergeCell ref="A138:B138"/>
    <mergeCell ref="A105:C105"/>
    <mergeCell ref="A109:C109"/>
    <mergeCell ref="A117:C117"/>
    <mergeCell ref="A121:C121"/>
    <mergeCell ref="A131:B131"/>
    <mergeCell ref="A132:C132"/>
    <mergeCell ref="A99:C99"/>
    <mergeCell ref="A25:B25"/>
    <mergeCell ref="A26:C26"/>
    <mergeCell ref="A28:C28"/>
    <mergeCell ref="A42:C42"/>
    <mergeCell ref="A49:B49"/>
    <mergeCell ref="A50:C50"/>
    <mergeCell ref="A60:C60"/>
    <mergeCell ref="A64:C64"/>
    <mergeCell ref="A74:C74"/>
    <mergeCell ref="A85:C85"/>
    <mergeCell ref="A89:C89"/>
    <mergeCell ref="A12:C12"/>
    <mergeCell ref="A8:H8"/>
    <mergeCell ref="A9:C9"/>
    <mergeCell ref="A10:B10"/>
    <mergeCell ref="D10:E10"/>
    <mergeCell ref="A11:B1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Financial summary report Q2</vt:lpstr>
      <vt:lpstr>Projection budget summary Q3</vt:lpstr>
      <vt:lpstr>Financial report details Q2</vt:lpstr>
      <vt:lpstr>Projection budget details Q3</vt:lpstr>
      <vt:lpstr>Budget year 2026 revised detail</vt:lpstr>
      <vt:lpstr>'Financial summary report Q2'!Print_Area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STRATON NYIRINDEKWE</dc:creator>
  <cp:lastModifiedBy>HP</cp:lastModifiedBy>
  <cp:lastPrinted>2026-02-26T11:21:01Z</cp:lastPrinted>
  <dcterms:created xsi:type="dcterms:W3CDTF">2024-02-05T16:47:00Z</dcterms:created>
  <dcterms:modified xsi:type="dcterms:W3CDTF">2026-06-25T06:06:44Z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900CF60A0C874D48AA562DA37C714387_13</vt:lpwstr>
  </property>
  <property fmtid="{D5CDD505-2E9C-101B-9397-08002B2CF9AE}" pid="3" name="KSOProductBuildVer">
    <vt:lpwstr>2057-12.2.0.13489</vt:lpwstr>
  </property>
</Properties>
</file>