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640" tabRatio="965" firstSheet="2" activeTab="13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E37" i="25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8" i="8" l="1"/>
  <c r="H21" i="8"/>
  <c r="H17" i="8"/>
  <c r="H11" i="8"/>
  <c r="H17" i="25"/>
  <c r="E62" i="25"/>
  <c r="G37" i="25"/>
  <c r="D5" i="21"/>
  <c r="F6" i="28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<sst xmlns="http://schemas.openxmlformats.org/spreadsheetml/2006/main" count="2010" uniqueCount="91">
  <si>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</si>
  <si>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</si>
  <si>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</si>
  <si>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</si>
  <si>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</si>
  <si>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</si>
  <si>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</si>
  <si>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</si>
  <si>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</si>
  <si>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</si>
  <si>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</si>
  <si>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</si>
  <si>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</si>
  <si>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</si>
  <si>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</si>
  <si>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</si>
  <si>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</si>
  <si>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</si>
  <si>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</si>
  <si>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</si>
  <si>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</si>
  <si>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</si>
  <si>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</si>
  <si>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</si>
  <si>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</si>
  <si>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</si>
  <si>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</si>
  <si>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</si>
  <si>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</si>
  <si>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</si>
  <si>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</si>
  <si>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</si>
  <si>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</si>
  <si>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</si>
  <si>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</si>
  <si>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</si>
  <si>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</si>
  <si>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</si>
  <si>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</si>
  <si>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</si>
  <si>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</si>
  <si>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</si>
  <si>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</si>
  <si>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</si>
  <si>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</si>
  <si>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</si>
  <si>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</si>
  <si>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</si>
  <si>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</si>
  <si>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</si>
  <si>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</si>
  <si>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</si>
  <si>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</si>
  <si>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</si>
  <si>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</si>
  <si>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</si>
  <si>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</si>
  <si>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</si>
  <si>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</si>
  <si>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</si>
  <si>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</si>
  <si>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</si>
  <si>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</si>
  <si>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</si>
  <si>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</si>
  <si>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</si>
  <si>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</si>
  <si>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</si>
  <si>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</si>
  <si>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</si>
  <si>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</si>
  <si>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</si>
  <si>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</si>
  <si>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</si>
  <si>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</si>
  <si>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</si>
  <si>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</si>
  <si>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</si>
  <si>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</si>
  <si>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</si>
  <si>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</si>
  <si>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</si>
  <si>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</si>
  <si>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</si>
  <si>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</si>
  <si>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</si>
  <si>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</si>
  <si>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MONTHS REPORT MARCH 2026</t>
  </si>
  <si>
    <t>IBIPANDE BYA PINUS</t>
  </si>
  <si>
    <t>MADRIEN NINI</t>
  </si>
  <si>
    <t>MUHANGA MONTHS REPORT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</si>
</sst>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A26" sqref="A26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4724841.3559322031</v>
      </c>
      <c r="C11" s="48">
        <f>MUHANGA!G37</f>
        <v>403250</v>
      </c>
      <c r="D11" s="48">
        <f>MUHANGA!C43</f>
        <v>0</v>
      </c>
      <c r="E11" s="48">
        <f>MUHANGA!C44</f>
        <v>0</v>
      </c>
      <c r="F11" s="50">
        <f t="shared" si="0"/>
        <v>5128091.3559322031</v>
      </c>
      <c r="G11" s="47">
        <f>MUHANGA!C41</f>
        <v>0</v>
      </c>
      <c r="H11" s="48">
        <f>MUHANGA!C39</f>
        <v>5128091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17085072.355932202</v>
      </c>
      <c r="C29" s="70">
        <f t="shared" si="1"/>
        <v>1766260</v>
      </c>
      <c r="D29" s="71">
        <f t="shared" si="1"/>
        <v>50000</v>
      </c>
      <c r="E29" s="70">
        <f t="shared" si="1"/>
        <v>100000</v>
      </c>
      <c r="F29" s="70">
        <f>SUM(F5:F28)</f>
        <v>18851332.355932202</v>
      </c>
      <c r="G29" s="71">
        <f>SUM(G5:G28)</f>
        <v>0</v>
      </c>
      <c r="H29" s="71">
        <f>SUM(H5:H28)</f>
        <v>18851332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18851332.355932202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18851332.355932202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18851332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150000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19001332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19001332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G28" sqref="F28:G30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87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>
        <v>655</v>
      </c>
      <c r="C7" s="169">
        <v>7670</v>
      </c>
      <c r="D7" s="170"/>
      <c r="E7" s="10">
        <f t="shared" si="0"/>
        <v>5023850</v>
      </c>
      <c r="F7" s="10">
        <f t="shared" si="1"/>
        <v>766350</v>
      </c>
      <c r="G7" s="10">
        <f>PRODUCT(B7*50)</f>
        <v>32750</v>
      </c>
      <c r="H7" s="99">
        <f t="shared" si="2"/>
        <v>799100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>
        <v>40</v>
      </c>
      <c r="C10" s="171">
        <v>1806</v>
      </c>
      <c r="D10" s="172"/>
      <c r="E10" s="12">
        <f t="shared" si="0"/>
        <v>72240</v>
      </c>
      <c r="F10" s="12">
        <f t="shared" si="1"/>
        <v>11019.661016949152</v>
      </c>
      <c r="G10" s="12">
        <f>PRODUCT(B10*30)</f>
        <v>1200</v>
      </c>
      <c r="H10" s="100">
        <f t="shared" si="2"/>
        <v>12219.661016949152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5096090</v>
      </c>
      <c r="F37" s="24">
        <f>SUM(F5:F36)</f>
        <v>777369.6610169491</v>
      </c>
      <c r="G37" s="24">
        <f t="shared" ref="G37:H37" si="10">SUM(G5:G36)</f>
        <v>33950</v>
      </c>
      <c r="H37" s="24">
        <f t="shared" si="10"/>
        <v>811319.6610169491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>
        <v>839726</v>
      </c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839726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40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655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695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6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8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s="89" customFormat="1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9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20.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3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22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22.5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24.65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22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22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22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22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3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>
        <v>2124</v>
      </c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85</v>
      </c>
      <c r="B3" s="165"/>
      <c r="C3" s="165"/>
      <c r="D3" s="165"/>
      <c r="E3" s="165"/>
      <c r="F3" s="165"/>
      <c r="G3" s="165"/>
      <c r="H3" s="166"/>
      <c r="I3" s="226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171">
        <v>5900</v>
      </c>
      <c r="D8" s="172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171">
        <v>2124</v>
      </c>
      <c r="D10" s="172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171">
        <v>1357</v>
      </c>
      <c r="D13" s="172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>
        <v>13723241</v>
      </c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>
        <v>50000</v>
      </c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>
        <v>100000</v>
      </c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13873241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34693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620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1837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1952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130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39232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1" workbookViewId="0">
      <selection activeCell="C41" sqref="C41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90</v>
      </c>
      <c r="B3" s="165"/>
      <c r="C3" s="165"/>
      <c r="D3" s="165"/>
      <c r="E3" s="165"/>
      <c r="F3" s="165"/>
      <c r="G3" s="165"/>
      <c r="H3" s="166"/>
      <c r="I3" s="226"/>
    </row>
    <row r="4" spans="1:9" ht="26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88</v>
      </c>
      <c r="B8" s="11">
        <v>235</v>
      </c>
      <c r="C8" s="171">
        <v>2360</v>
      </c>
      <c r="D8" s="172"/>
      <c r="E8" s="12">
        <f t="shared" si="0"/>
        <v>554600</v>
      </c>
      <c r="F8" s="12">
        <f t="shared" si="1"/>
        <v>84600</v>
      </c>
      <c r="G8" s="12">
        <f>PRODUCT(B8*50)</f>
        <v>11750</v>
      </c>
      <c r="H8" s="100">
        <f t="shared" si="2"/>
        <v>96350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2220</v>
      </c>
      <c r="C10" s="171">
        <v>2200</v>
      </c>
      <c r="D10" s="172"/>
      <c r="E10" s="12">
        <f t="shared" si="0"/>
        <v>4884000</v>
      </c>
      <c r="F10" s="12">
        <f t="shared" si="1"/>
        <v>745016.94915254239</v>
      </c>
      <c r="G10" s="12">
        <f>PRODUCT(B10*30)</f>
        <v>66600</v>
      </c>
      <c r="H10" s="100">
        <f t="shared" si="2"/>
        <v>811616.94915254239</v>
      </c>
      <c r="I10" s="226"/>
    </row>
    <row r="11" spans="1:9">
      <c r="A11" s="40" t="s">
        <v>66</v>
      </c>
      <c r="B11" s="11">
        <v>6260</v>
      </c>
      <c r="C11" s="171">
        <v>2596</v>
      </c>
      <c r="D11" s="172"/>
      <c r="E11" s="12">
        <f t="shared" si="0"/>
        <v>16250960</v>
      </c>
      <c r="F11" s="12">
        <f t="shared" si="1"/>
        <v>2478960</v>
      </c>
      <c r="G11" s="12">
        <f>PRODUCT(B11*30)</f>
        <v>187800</v>
      </c>
      <c r="H11" s="100">
        <f t="shared" si="2"/>
        <v>2666760</v>
      </c>
      <c r="I11" s="226"/>
    </row>
    <row r="12" spans="1:9">
      <c r="A12" s="40" t="s">
        <v>66</v>
      </c>
      <c r="B12" s="11">
        <v>1350</v>
      </c>
      <c r="C12" s="171">
        <v>2500</v>
      </c>
      <c r="D12" s="172"/>
      <c r="E12" s="12">
        <f t="shared" si="0"/>
        <v>3375000</v>
      </c>
      <c r="F12" s="12">
        <f>PRODUCT(E12*18)/118</f>
        <v>514830.50847457629</v>
      </c>
      <c r="G12" s="12">
        <f>PRODUCT(B12*30)</f>
        <v>40500</v>
      </c>
      <c r="H12" s="100">
        <f t="shared" si="2"/>
        <v>555330.50847457629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>
        <v>4330</v>
      </c>
      <c r="C17" s="26">
        <v>1180</v>
      </c>
      <c r="D17" s="26">
        <v>20</v>
      </c>
      <c r="E17" s="19">
        <f>PRODUCT(B17*C17)</f>
        <v>5109400</v>
      </c>
      <c r="F17" s="16">
        <f t="shared" ref="F17:F36" si="3">PRODUCT(E17*18)/118</f>
        <v>779400</v>
      </c>
      <c r="G17" s="94">
        <f>PRODUCT(B17*D17)</f>
        <v>86600</v>
      </c>
      <c r="H17" s="102">
        <f>SUM(F17:G17)</f>
        <v>866000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89</v>
      </c>
      <c r="B21" s="13">
        <v>200</v>
      </c>
      <c r="C21" s="13">
        <v>4000</v>
      </c>
      <c r="D21" s="13">
        <v>50</v>
      </c>
      <c r="E21" s="20">
        <f t="shared" si="4"/>
        <v>800000</v>
      </c>
      <c r="F21" s="17">
        <f t="shared" si="3"/>
        <v>122033.89830508475</v>
      </c>
      <c r="G21" s="15">
        <f t="shared" si="5"/>
        <v>10000</v>
      </c>
      <c r="H21" s="103">
        <f t="shared" si="6"/>
        <v>132033.89830508473</v>
      </c>
      <c r="I21" s="226"/>
    </row>
    <row r="22" spans="1:9" ht="15" thickBot="1">
      <c r="A22" s="36" t="s">
        <v>56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30973960</v>
      </c>
      <c r="F37" s="24">
        <f>SUM(F5:F36)</f>
        <v>4724841.3559322031</v>
      </c>
      <c r="G37" s="24">
        <f t="shared" ref="G37:H37" si="10">SUM(G5:G36)</f>
        <v>403250</v>
      </c>
      <c r="H37" s="24">
        <f t="shared" si="10"/>
        <v>5128091.3559322031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>
        <v>5128091</v>
      </c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5128091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9830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235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4330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14395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1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5.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9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2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34.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7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9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5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customHeight="1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customHeight="1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customHeight="1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customHeight="1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customHeight="1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customHeight="1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customHeight="1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1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4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7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97" t="s">
        <v>57</v>
      </c>
      <c r="B1" s="198"/>
      <c r="C1" s="198"/>
      <c r="D1" s="198"/>
      <c r="E1" s="198"/>
      <c r="F1" s="198"/>
      <c r="G1" s="244"/>
    </row>
    <row r="2" spans="1:7" ht="15" thickBot="1">
      <c r="A2" s="199"/>
      <c r="B2" s="200"/>
      <c r="C2" s="200"/>
      <c r="D2" s="200"/>
      <c r="E2" s="200"/>
      <c r="F2" s="200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44523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855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6282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5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5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53627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2026-04-30T18:31:11Z</dcterms:modified>
</cp:coreProperties>
</file>