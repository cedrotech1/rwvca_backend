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3" i="23" l="1"/>
  <c r="H10" i="23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<sst xmlns="http://schemas.openxmlformats.org/spreadsheetml/2006/main" count="1779" uniqueCount="86">
  <si>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</si>
  <si>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</si>
  <si>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</si>
  <si>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</si>
  <si>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</si>
  <si>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</si>
  <si>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</si>
  <si>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</si>
  <si>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</si>
  <si>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</si>
  <si>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</si>
  <si>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</si>
  <si>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</si>
  <si>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</si>
  <si>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</si>
  <si>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</si>
  <si>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</si>
  <si>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</si>
  <si>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</si>
  <si>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</si>
  <si>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</si>
  <si>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</si>
  <si>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</si>
  <si>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</si>
  <si>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</si>
  <si>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</si>
  <si>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</si>
  <si>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</si>
  <si>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</si>
  <si>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</si>
  <si>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</si>
  <si>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</si>
  <si>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</si>
  <si>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</si>
  <si>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</si>
  <si>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</si>
  <si>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</si>
  <si>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</si>
  <si>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</si>
  <si>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</si>
  <si>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</si>
  <si>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</si>
  <si>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</si>
  <si>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</si>
  <si>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</si>
  <si>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</si>
  <si>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</si>
  <si>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</si>
  <si>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</si>
  <si>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</si>
  <si>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</si>
  <si>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</si>
  <si>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</si>
  <si>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</si>
  <si>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</si>
  <si>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</si>
  <si>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</si>
  <si>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</si>
  <si>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</si>
  <si>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</si>
  <si>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</si>
  <si>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</si>
  <si>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</si>
  <si>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</si>
  <si>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</si>
  <si>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</si>
  <si>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</si>
  <si>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</si>
  <si>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</si>
  <si>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</si>
  <si>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</si>
  <si>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</si>
  <si>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</si>
  <si>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</si>
  <si>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</si>
  <si>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</si>
  <si>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</si>
  <si>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</si>
  <si>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</si>
  <si>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</si>
  <si>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</si>
  <si>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</si>
  <si>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</si>
  <si>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</si>
  <si>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</si>
  <si>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WEEKLY  REPORT  FROM 27 TO 30/04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</si>
</sst>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1"/>
      <c r="M1" s="1"/>
      <c r="N1" s="1"/>
      <c r="O1" s="1"/>
    </row>
    <row r="2" spans="1:15" ht="30.75" customHeight="1">
      <c r="A2" s="111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3"/>
      <c r="L2" s="1"/>
      <c r="M2" s="1"/>
      <c r="N2" s="1"/>
      <c r="O2" s="1"/>
    </row>
    <row r="3" spans="1:15" ht="15" customHeigh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217548.15254237287</v>
      </c>
      <c r="C21" s="18">
        <f>KIREHE!G29</f>
        <v>67652</v>
      </c>
      <c r="D21" s="20"/>
      <c r="E21" s="21"/>
      <c r="F21" s="14">
        <f t="shared" si="0"/>
        <v>285200.15254237287</v>
      </c>
      <c r="G21" s="17">
        <f>KIREHE!C33</f>
        <v>0</v>
      </c>
      <c r="H21" s="18">
        <f>KIREHE!C31</f>
        <v>285200.15254237287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217548.15254237287</v>
      </c>
      <c r="C29" s="33">
        <f t="shared" si="1"/>
        <v>67652</v>
      </c>
      <c r="D29" s="34">
        <f t="shared" si="1"/>
        <v>0</v>
      </c>
      <c r="E29" s="33">
        <f t="shared" si="1"/>
        <v>0</v>
      </c>
      <c r="F29" s="33">
        <f t="shared" si="1"/>
        <v>285200.15254237287</v>
      </c>
      <c r="G29" s="34">
        <f t="shared" si="1"/>
        <v>0</v>
      </c>
      <c r="H29" s="34">
        <f t="shared" si="1"/>
        <v>8648522.1525423732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6"/>
      <c r="C30" s="126"/>
      <c r="D30" s="104"/>
      <c r="E30" s="127" t="s">
        <v>32</v>
      </c>
      <c r="F30" s="123"/>
      <c r="G30" s="123"/>
      <c r="H30" s="123"/>
      <c r="I30" s="118"/>
      <c r="J30" s="117"/>
      <c r="K30" s="118"/>
      <c r="L30" s="1"/>
      <c r="M30" s="1"/>
      <c r="N30" s="1"/>
      <c r="O30" s="1"/>
    </row>
    <row r="31" spans="1:15" ht="18" customHeight="1">
      <c r="A31" s="130" t="s">
        <v>33</v>
      </c>
      <c r="B31" s="126"/>
      <c r="C31" s="126"/>
      <c r="D31" s="131"/>
      <c r="E31" s="119"/>
      <c r="F31" s="128"/>
      <c r="G31" s="128"/>
      <c r="H31" s="128"/>
      <c r="I31" s="120"/>
      <c r="J31" s="119"/>
      <c r="K31" s="120"/>
      <c r="L31" s="1"/>
      <c r="M31" s="1"/>
      <c r="N31" s="1"/>
      <c r="O31" s="1"/>
    </row>
    <row r="32" spans="1:15" ht="18" customHeight="1">
      <c r="A32" s="103" t="s">
        <v>34</v>
      </c>
      <c r="B32" s="104"/>
      <c r="C32" s="129">
        <f>SUM(B29:C29)</f>
        <v>285200.15254237287</v>
      </c>
      <c r="D32" s="123"/>
      <c r="E32" s="119"/>
      <c r="F32" s="128"/>
      <c r="G32" s="128"/>
      <c r="H32" s="128"/>
      <c r="I32" s="120"/>
      <c r="J32" s="119"/>
      <c r="K32" s="120"/>
      <c r="L32" s="1"/>
      <c r="M32" s="1"/>
      <c r="N32" s="1"/>
      <c r="O32" s="1"/>
    </row>
    <row r="33" spans="1:15" ht="18" customHeight="1">
      <c r="A33" s="103" t="s">
        <v>35</v>
      </c>
      <c r="B33" s="104"/>
      <c r="C33" s="107">
        <f>SUM(F29,G29)</f>
        <v>285200.15254237287</v>
      </c>
      <c r="D33" s="126"/>
      <c r="E33" s="119"/>
      <c r="F33" s="128"/>
      <c r="G33" s="128"/>
      <c r="H33" s="128"/>
      <c r="I33" s="120"/>
      <c r="J33" s="119"/>
      <c r="K33" s="120"/>
      <c r="L33" s="1"/>
      <c r="M33" s="1"/>
      <c r="N33" s="1"/>
      <c r="O33" s="1"/>
    </row>
    <row r="34" spans="1:15" ht="18" customHeight="1">
      <c r="A34" s="103" t="s">
        <v>36</v>
      </c>
      <c r="B34" s="104"/>
      <c r="C34" s="107">
        <f>SUM(H29,J29,I29)</f>
        <v>8648522.1525423732</v>
      </c>
      <c r="D34" s="104"/>
      <c r="E34" s="119"/>
      <c r="F34" s="128"/>
      <c r="G34" s="128"/>
      <c r="H34" s="128"/>
      <c r="I34" s="120"/>
      <c r="J34" s="119"/>
      <c r="K34" s="120"/>
      <c r="L34" s="1"/>
      <c r="M34" s="1"/>
      <c r="N34" s="1"/>
      <c r="O34" s="1"/>
    </row>
    <row r="35" spans="1:15" ht="18" customHeight="1">
      <c r="A35" s="103" t="s">
        <v>37</v>
      </c>
      <c r="B35" s="104"/>
      <c r="C35" s="107">
        <f>SUM(D29:E29)</f>
        <v>0</v>
      </c>
      <c r="D35" s="104"/>
      <c r="E35" s="121"/>
      <c r="F35" s="124"/>
      <c r="G35" s="124"/>
      <c r="H35" s="124"/>
      <c r="I35" s="106"/>
      <c r="J35" s="119"/>
      <c r="K35" s="120"/>
      <c r="L35" s="1"/>
      <c r="M35" s="1"/>
      <c r="N35" s="1"/>
      <c r="O35" s="1"/>
    </row>
    <row r="36" spans="1:15" ht="18" customHeight="1">
      <c r="A36" s="103" t="s">
        <v>38</v>
      </c>
      <c r="B36" s="104"/>
      <c r="C36" s="107">
        <f>SUM(C33,C35)</f>
        <v>285200.15254237287</v>
      </c>
      <c r="D36" s="104"/>
      <c r="E36" s="122" t="s">
        <v>39</v>
      </c>
      <c r="F36" s="123"/>
      <c r="G36" s="123"/>
      <c r="H36" s="123"/>
      <c r="I36" s="118"/>
      <c r="J36" s="119"/>
      <c r="K36" s="120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7">
        <f>SUM(C34:C35)</f>
        <v>8648522.1525423732</v>
      </c>
      <c r="D37" s="104"/>
      <c r="E37" s="121"/>
      <c r="F37" s="124"/>
      <c r="G37" s="124"/>
      <c r="H37" s="124"/>
      <c r="I37" s="106"/>
      <c r="J37" s="119"/>
      <c r="K37" s="120"/>
      <c r="L37" s="1"/>
      <c r="M37" s="1"/>
      <c r="N37" s="1"/>
      <c r="O37" s="1"/>
    </row>
    <row r="38" spans="1:15" ht="18" customHeight="1">
      <c r="A38" s="125" t="s">
        <v>41</v>
      </c>
      <c r="B38" s="126"/>
      <c r="C38" s="126"/>
      <c r="D38" s="126"/>
      <c r="E38" s="126"/>
      <c r="F38" s="126"/>
      <c r="G38" s="126"/>
      <c r="H38" s="126"/>
      <c r="I38" s="104"/>
      <c r="J38" s="121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4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65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f>SUM(C39:C44)</f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22.5" customHeight="1">
      <c r="A48" s="98"/>
      <c r="B48" s="161" t="s">
        <v>77</v>
      </c>
      <c r="C48" s="162"/>
      <c r="D48" s="163"/>
      <c r="E48" s="161" t="s">
        <v>78</v>
      </c>
      <c r="F48" s="162"/>
      <c r="G48" s="162"/>
      <c r="H48" s="163"/>
      <c r="I48" s="37"/>
      <c r="J48" s="37"/>
      <c r="K48" s="37"/>
    </row>
    <row r="49" spans="1:11" ht="21.7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22.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24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21.7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21.7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21.7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21.7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21.7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21.7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24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24.7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66" t="s">
        <v>82</v>
      </c>
      <c r="C62" s="126"/>
      <c r="D62" s="104"/>
      <c r="E62" s="16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>
        <v>7670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f>SUM(C31:C36)</f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9" t="s">
        <v>83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>
        <v>15000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>
        <v>9000</v>
      </c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>
        <v>7670</v>
      </c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>
        <v>4130</v>
      </c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>
        <v>3540</v>
      </c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>
        <v>2006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6"/>
      <c r="C39" s="81">
        <v>8363322</v>
      </c>
      <c r="D39" s="82"/>
      <c r="E39" s="140"/>
      <c r="F39" s="141"/>
      <c r="G39" s="83"/>
      <c r="H39" s="84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f>SUM(C39:C44)</f>
        <v>8363322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B62" s="156" t="s">
        <v>82</v>
      </c>
      <c r="C62" s="126"/>
      <c r="D62" s="104"/>
      <c r="E62" s="168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>
        <v>2124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>
        <v>1357</v>
      </c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69" t="s">
        <v>69</v>
      </c>
      <c r="B39" s="170"/>
      <c r="C39" s="81"/>
      <c r="D39" s="82"/>
      <c r="E39" s="174"/>
      <c r="F39" s="175"/>
      <c r="G39" s="83"/>
      <c r="H39" s="84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36" t="s">
        <v>72</v>
      </c>
      <c r="B42" s="104"/>
      <c r="C42" s="90"/>
      <c r="D42" s="74"/>
      <c r="E42" s="172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71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71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73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35">
        <f>SUM(B13:B14)</f>
        <v>0</v>
      </c>
      <c r="F51" s="126"/>
      <c r="G51" s="126"/>
      <c r="H51" s="104"/>
    </row>
    <row r="52" spans="1:8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8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</row>
    <row r="40" spans="1:8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8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8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8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8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8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8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8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8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SUM(B11:B14)</f>
        <v>0</v>
      </c>
      <c r="F49" s="126"/>
      <c r="G49" s="126"/>
      <c r="H49" s="104"/>
    </row>
    <row r="50" spans="1:8" ht="14.25" customHeight="1">
      <c r="A50" s="37"/>
      <c r="B50" s="134" t="s">
        <v>52</v>
      </c>
      <c r="C50" s="126"/>
      <c r="D50" s="104"/>
      <c r="E50" s="135">
        <f>SUM(B8:B10)</f>
        <v>0</v>
      </c>
      <c r="F50" s="126"/>
      <c r="G50" s="126"/>
      <c r="H50" s="104"/>
    </row>
    <row r="51" spans="1:8" ht="14.25" customHeight="1">
      <c r="A51" s="37"/>
      <c r="B51" s="134" t="s">
        <v>80</v>
      </c>
      <c r="C51" s="126"/>
      <c r="D51" s="104"/>
      <c r="E51" s="135">
        <f>SUM(B15:B16)</f>
        <v>0</v>
      </c>
      <c r="F51" s="126"/>
      <c r="G51" s="126"/>
      <c r="H51" s="104"/>
    </row>
    <row r="52" spans="1:8" ht="14.25" customHeight="1">
      <c r="A52" s="37"/>
      <c r="B52" s="156" t="s">
        <v>61</v>
      </c>
      <c r="C52" s="126"/>
      <c r="D52" s="104"/>
      <c r="E52" s="107">
        <f>SUM(B19:B20)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SUM(B29:B30)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0" si="7">B31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7">
        <f>B45</f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8.7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8.7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20" workbookViewId="0">
      <selection activeCell="C27" sqref="C27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85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3">
        <v>2360</v>
      </c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227</v>
      </c>
      <c r="C10" s="143">
        <v>2124</v>
      </c>
      <c r="D10" s="138"/>
      <c r="E10" s="48">
        <f t="shared" si="0"/>
        <v>482148</v>
      </c>
      <c r="F10" s="48">
        <f t="shared" si="1"/>
        <v>73548</v>
      </c>
      <c r="G10" s="48">
        <f t="shared" si="4"/>
        <v>6810</v>
      </c>
      <c r="H10" s="49">
        <f t="shared" si="3"/>
        <v>80358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>
        <v>800</v>
      </c>
      <c r="C18" s="60">
        <v>1180</v>
      </c>
      <c r="D18" s="60">
        <v>30</v>
      </c>
      <c r="E18" s="61">
        <f t="shared" si="6"/>
        <v>944000</v>
      </c>
      <c r="F18" s="62">
        <f t="shared" si="7"/>
        <v>144000</v>
      </c>
      <c r="G18" s="62">
        <f t="shared" si="8"/>
        <v>24000</v>
      </c>
      <c r="H18" s="62">
        <f t="shared" si="9"/>
        <v>168000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36842</v>
      </c>
      <c r="E22" s="61">
        <f t="shared" si="6"/>
        <v>1</v>
      </c>
      <c r="F22" s="62">
        <f t="shared" si="7"/>
        <v>0.15254237288135594</v>
      </c>
      <c r="G22" s="62">
        <f t="shared" si="8"/>
        <v>36842</v>
      </c>
      <c r="H22" s="62">
        <f t="shared" si="9"/>
        <v>36842.152542372882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1426149</v>
      </c>
      <c r="F29" s="74">
        <f t="shared" si="10"/>
        <v>217548.15254237287</v>
      </c>
      <c r="G29" s="75">
        <f t="shared" si="10"/>
        <v>67652</v>
      </c>
      <c r="H29" s="76">
        <f t="shared" si="9"/>
        <v>285200.15254237287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>
        <f>H29</f>
        <v>285200.15254237287</v>
      </c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102">
        <f>C34+C31+C35</f>
        <v>285200.15254237287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227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800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1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1028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3" t="s">
        <v>76</v>
      </c>
      <c r="B1" s="123"/>
      <c r="C1" s="123"/>
      <c r="D1" s="123"/>
      <c r="E1" s="123"/>
      <c r="F1" s="123"/>
      <c r="G1" s="118"/>
    </row>
    <row r="2" spans="1:7" ht="14.25" customHeight="1">
      <c r="A2" s="121"/>
      <c r="B2" s="124"/>
      <c r="C2" s="124"/>
      <c r="D2" s="124"/>
      <c r="E2" s="124"/>
      <c r="F2" s="124"/>
      <c r="G2" s="106"/>
    </row>
    <row r="3" spans="1:7" ht="14.25" customHeight="1">
      <c r="A3" s="178" t="s">
        <v>77</v>
      </c>
      <c r="B3" s="126"/>
      <c r="C3" s="104"/>
      <c r="D3" s="178" t="s">
        <v>78</v>
      </c>
      <c r="E3" s="126"/>
      <c r="F3" s="126"/>
      <c r="G3" s="104"/>
    </row>
    <row r="4" spans="1:7" ht="41.25" customHeight="1">
      <c r="A4" s="176" t="s">
        <v>79</v>
      </c>
      <c r="B4" s="126"/>
      <c r="C4" s="104"/>
      <c r="D4" s="177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227</v>
      </c>
      <c r="E4" s="126"/>
      <c r="F4" s="126"/>
      <c r="G4" s="104"/>
    </row>
    <row r="5" spans="1:7" ht="36.75" customHeight="1">
      <c r="A5" s="176" t="s">
        <v>52</v>
      </c>
      <c r="B5" s="126"/>
      <c r="C5" s="104"/>
      <c r="D5" s="177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6"/>
      <c r="F5" s="126"/>
      <c r="G5" s="104"/>
    </row>
    <row r="6" spans="1:7" ht="39.75" customHeight="1">
      <c r="A6" s="176" t="s">
        <v>56</v>
      </c>
      <c r="B6" s="126"/>
      <c r="C6" s="104"/>
      <c r="D6" s="177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6"/>
      <c r="F6" s="126"/>
      <c r="G6" s="104"/>
    </row>
    <row r="7" spans="1:7" ht="38.25" customHeight="1">
      <c r="A7" s="179" t="s">
        <v>61</v>
      </c>
      <c r="B7" s="126"/>
      <c r="C7" s="104"/>
      <c r="D7" s="177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800</v>
      </c>
      <c r="E7" s="126"/>
      <c r="F7" s="126"/>
      <c r="G7" s="104"/>
    </row>
    <row r="8" spans="1:7" ht="39.75" customHeight="1">
      <c r="A8" s="179" t="s">
        <v>62</v>
      </c>
      <c r="B8" s="126"/>
      <c r="C8" s="104"/>
      <c r="D8" s="177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6"/>
      <c r="F8" s="126"/>
      <c r="G8" s="104"/>
    </row>
    <row r="9" spans="1:7" ht="38.25" customHeight="1">
      <c r="A9" s="179" t="s">
        <v>81</v>
      </c>
      <c r="B9" s="126"/>
      <c r="C9" s="104"/>
      <c r="D9" s="177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6"/>
      <c r="F9" s="126"/>
      <c r="G9" s="104"/>
    </row>
    <row r="10" spans="1:7" ht="37.5" customHeight="1">
      <c r="A10" s="179" t="s">
        <v>81</v>
      </c>
      <c r="B10" s="126"/>
      <c r="C10" s="104"/>
      <c r="D10" s="177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6"/>
      <c r="F10" s="126"/>
      <c r="G10" s="104"/>
    </row>
    <row r="11" spans="1:7" ht="38.25" customHeight="1">
      <c r="A11" s="179" t="s">
        <v>81</v>
      </c>
      <c r="B11" s="126"/>
      <c r="C11" s="104"/>
      <c r="D11" s="177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6"/>
      <c r="F11" s="126"/>
      <c r="G11" s="104"/>
    </row>
    <row r="12" spans="1:7" ht="36" customHeight="1">
      <c r="A12" s="179" t="s">
        <v>81</v>
      </c>
      <c r="B12" s="126"/>
      <c r="C12" s="104"/>
      <c r="D12" s="177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6"/>
      <c r="F12" s="126"/>
      <c r="G12" s="104"/>
    </row>
    <row r="13" spans="1:7" ht="37.5" customHeight="1">
      <c r="A13" s="179" t="s">
        <v>81</v>
      </c>
      <c r="B13" s="126"/>
      <c r="C13" s="104"/>
      <c r="D13" s="177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6"/>
      <c r="F13" s="126"/>
      <c r="G13" s="104"/>
    </row>
    <row r="14" spans="1:7" ht="14.25" customHeight="1">
      <c r="A14" s="179" t="s">
        <v>81</v>
      </c>
      <c r="B14" s="126"/>
      <c r="C14" s="104"/>
      <c r="D14" s="177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6"/>
      <c r="F14" s="126"/>
      <c r="G14" s="104"/>
    </row>
    <row r="15" spans="1:7" ht="14.25" customHeight="1">
      <c r="A15" s="179" t="s">
        <v>81</v>
      </c>
      <c r="B15" s="126"/>
      <c r="C15" s="104"/>
      <c r="D15" s="177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6"/>
      <c r="F15" s="126"/>
      <c r="G15" s="104"/>
    </row>
    <row r="16" spans="1:7" ht="14.25" customHeight="1">
      <c r="A16" s="179" t="s">
        <v>81</v>
      </c>
      <c r="B16" s="126"/>
      <c r="C16" s="104"/>
      <c r="D16" s="177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6"/>
      <c r="F16" s="126"/>
      <c r="G16" s="104"/>
    </row>
    <row r="17" spans="1:7" ht="14.25" customHeight="1">
      <c r="A17" s="179" t="s">
        <v>82</v>
      </c>
      <c r="B17" s="126"/>
      <c r="C17" s="104"/>
      <c r="D17" s="180">
        <f>SUM(D4:D16)</f>
        <v>1028</v>
      </c>
      <c r="E17" s="126"/>
      <c r="F17" s="126"/>
      <c r="G17" s="104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2026-05-01T06:56:40Z</dcterms:modified>
</cp:coreProperties>
</file>