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<sst xmlns="http://schemas.openxmlformats.org/spreadsheetml/2006/main" count="1698" uniqueCount="87">
  <si>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</si>
  <si>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</si>
  <si>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</si>
  <si>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</si>
  <si>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</si>
  <si>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</si>
  <si>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</si>
  <si>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</si>
  <si>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</si>
  <si>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</si>
  <si>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</si>
  <si>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</si>
  <si>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</si>
  <si>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</si>
  <si>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</si>
  <si>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</si>
  <si>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</si>
  <si>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</si>
  <si>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</si>
  <si>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</si>
  <si>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</si>
  <si>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</si>
  <si>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</si>
  <si>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</si>
  <si>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</si>
  <si>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</si>
  <si>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</si>
  <si>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</si>
  <si>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</si>
  <si>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</si>
  <si>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</si>
  <si>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</si>
  <si>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</si>
  <si>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</si>
  <si>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</si>
  <si>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</si>
  <si>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</si>
  <si>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</si>
  <si>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</si>
  <si>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</si>
  <si>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</si>
  <si>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</si>
  <si>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</si>
  <si>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</si>
  <si>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</si>
  <si>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</si>
  <si>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</si>
  <si>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</si>
  <si>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</si>
  <si>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</si>
  <si>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</si>
  <si>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</si>
  <si>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</si>
  <si>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</si>
  <si>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</si>
  <si>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</si>
  <si>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</si>
  <si>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</si>
  <si>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</si>
  <si>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</si>
  <si>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</si>
  <si>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</si>
  <si>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</si>
  <si>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</si>
  <si>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</si>
  <si>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</si>
  <si>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</si>
  <si>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</si>
  <si>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</si>
  <si>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</si>
  <si>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</si>
  <si>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</si>
  <si>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</si>
  <si>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</si>
  <si>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</si>
  <si>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</si>
  <si>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</si>
  <si>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</si>
  <si>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</si>
  <si>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</si>
  <si>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</si>
  <si>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</si>
  <si>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</si>
  <si>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</si>
  <si>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</si>
  <si>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</si>
  <si>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23 TO 28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</si>
</sst>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82"/>
      <c r="M1" s="82"/>
      <c r="N1" s="82"/>
    </row>
    <row r="2" spans="1:15" ht="31" customHeight="1">
      <c r="A2" s="122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2"/>
      <c r="M2" s="82"/>
      <c r="N2" s="82"/>
    </row>
    <row r="3" spans="1:15" ht="15" customHeight="1" thickBo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3689100</v>
      </c>
      <c r="C7" s="48">
        <f>KIMIRONKO!G37</f>
        <v>328100</v>
      </c>
      <c r="D7" s="48">
        <f>KIMIRONKO!C43</f>
        <v>0</v>
      </c>
      <c r="E7" s="48">
        <f>KIMIRONKO!C44</f>
        <v>0</v>
      </c>
      <c r="F7" s="50">
        <f t="shared" si="0"/>
        <v>4017200</v>
      </c>
      <c r="G7" s="48">
        <f>KIMIRONKO!C41</f>
        <v>0</v>
      </c>
      <c r="H7" s="48">
        <f>KIMIRONKO!C39</f>
        <v>4017200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3689100</v>
      </c>
      <c r="C29" s="70">
        <f t="shared" si="1"/>
        <v>328100</v>
      </c>
      <c r="D29" s="71">
        <f t="shared" si="1"/>
        <v>0</v>
      </c>
      <c r="E29" s="70">
        <f t="shared" si="1"/>
        <v>0</v>
      </c>
      <c r="F29" s="70">
        <f>SUM(F5:F28)</f>
        <v>4017200</v>
      </c>
      <c r="G29" s="71">
        <f>SUM(G5:G28)</f>
        <v>0</v>
      </c>
      <c r="H29" s="71">
        <f>SUM(H5:H28)</f>
        <v>4017200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4"/>
      <c r="B30" s="114"/>
      <c r="C30" s="114"/>
      <c r="D30" s="115"/>
      <c r="E30" s="148" t="s">
        <v>11</v>
      </c>
      <c r="F30" s="149"/>
      <c r="G30" s="149"/>
      <c r="H30" s="149"/>
      <c r="I30" s="150"/>
      <c r="J30" s="124"/>
      <c r="K30" s="125"/>
      <c r="L30" s="82"/>
    </row>
    <row r="31" spans="1:15" ht="19" thickBot="1">
      <c r="A31" s="145" t="s">
        <v>9</v>
      </c>
      <c r="B31" s="146"/>
      <c r="C31" s="146"/>
      <c r="D31" s="146"/>
      <c r="E31" s="151"/>
      <c r="F31" s="152"/>
      <c r="G31" s="152"/>
      <c r="H31" s="152"/>
      <c r="I31" s="153"/>
      <c r="J31" s="126"/>
      <c r="K31" s="127"/>
      <c r="L31" s="82"/>
    </row>
    <row r="32" spans="1:15" ht="15" thickBot="1">
      <c r="A32" s="116" t="s">
        <v>12</v>
      </c>
      <c r="B32" s="117"/>
      <c r="C32" s="118">
        <f>SUM(B29+C29)</f>
        <v>4017200</v>
      </c>
      <c r="D32" s="119"/>
      <c r="E32" s="151"/>
      <c r="F32" s="152"/>
      <c r="G32" s="152"/>
      <c r="H32" s="152"/>
      <c r="I32" s="153"/>
      <c r="J32" s="126"/>
      <c r="K32" s="127"/>
      <c r="L32" s="82"/>
    </row>
    <row r="33" spans="1:12" ht="15" thickBot="1">
      <c r="A33" s="116" t="s">
        <v>13</v>
      </c>
      <c r="B33" s="117"/>
      <c r="C33" s="139">
        <f>SUM(F29,G29)</f>
        <v>4017200</v>
      </c>
      <c r="D33" s="147"/>
      <c r="E33" s="151"/>
      <c r="F33" s="152"/>
      <c r="G33" s="152"/>
      <c r="H33" s="152"/>
      <c r="I33" s="153"/>
      <c r="J33" s="126"/>
      <c r="K33" s="127"/>
      <c r="L33" s="82"/>
    </row>
    <row r="34" spans="1:12" ht="15" thickBot="1">
      <c r="A34" s="141" t="s">
        <v>81</v>
      </c>
      <c r="B34" s="142"/>
      <c r="C34" s="139">
        <f>SUM(H29,J29,I29+G29)</f>
        <v>4017200</v>
      </c>
      <c r="D34" s="140"/>
      <c r="E34" s="151"/>
      <c r="F34" s="152"/>
      <c r="G34" s="152"/>
      <c r="H34" s="152"/>
      <c r="I34" s="153"/>
      <c r="J34" s="126"/>
      <c r="K34" s="127"/>
      <c r="L34" s="82"/>
    </row>
    <row r="35" spans="1:12" ht="15" thickBot="1">
      <c r="A35" s="116" t="s">
        <v>10</v>
      </c>
      <c r="B35" s="117"/>
      <c r="C35" s="139">
        <f>SUM(D29:E29)</f>
        <v>0</v>
      </c>
      <c r="D35" s="140"/>
      <c r="E35" s="154"/>
      <c r="F35" s="155"/>
      <c r="G35" s="155"/>
      <c r="H35" s="155"/>
      <c r="I35" s="156"/>
      <c r="J35" s="126"/>
      <c r="K35" s="127"/>
      <c r="L35" s="82"/>
    </row>
    <row r="36" spans="1:12" ht="15" thickBot="1">
      <c r="A36" s="116" t="s">
        <v>83</v>
      </c>
      <c r="B36" s="117"/>
      <c r="C36" s="139">
        <f>SUM(H29+I29+J29+C35)</f>
        <v>4017200</v>
      </c>
      <c r="D36" s="140"/>
      <c r="E36" s="130" t="s">
        <v>35</v>
      </c>
      <c r="F36" s="131"/>
      <c r="G36" s="131"/>
      <c r="H36" s="131"/>
      <c r="I36" s="132"/>
      <c r="J36" s="126"/>
      <c r="K36" s="127"/>
      <c r="L36" s="82"/>
    </row>
    <row r="37" spans="1:12" ht="15" thickBot="1">
      <c r="A37" s="143" t="s">
        <v>14</v>
      </c>
      <c r="B37" s="144"/>
      <c r="C37" s="139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4017200</v>
      </c>
      <c r="D37" s="140"/>
      <c r="E37" s="133"/>
      <c r="F37" s="134"/>
      <c r="G37" s="134"/>
      <c r="H37" s="134"/>
      <c r="I37" s="135"/>
      <c r="J37" s="126"/>
      <c r="K37" s="127"/>
      <c r="L37" s="82"/>
    </row>
    <row r="38" spans="1:12" ht="26.5" thickBot="1">
      <c r="A38" s="136" t="s">
        <v>15</v>
      </c>
      <c r="B38" s="137"/>
      <c r="C38" s="137"/>
      <c r="D38" s="137"/>
      <c r="E38" s="137"/>
      <c r="F38" s="137"/>
      <c r="G38" s="137"/>
      <c r="H38" s="137"/>
      <c r="I38" s="138"/>
      <c r="J38" s="128"/>
      <c r="K38" s="129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3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24.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22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3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C40" sqref="C40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0" t="s">
        <v>85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226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250</v>
      </c>
      <c r="C8" s="196">
        <v>7670</v>
      </c>
      <c r="D8" s="197"/>
      <c r="E8" s="12">
        <f t="shared" si="0"/>
        <v>1917500</v>
      </c>
      <c r="F8" s="12">
        <f t="shared" si="1"/>
        <v>292500</v>
      </c>
      <c r="G8" s="12">
        <f>PRODUCT(B8*50)</f>
        <v>12500</v>
      </c>
      <c r="H8" s="100">
        <f t="shared" si="2"/>
        <v>305000</v>
      </c>
      <c r="I8" s="226"/>
    </row>
    <row r="9" spans="1:9">
      <c r="A9" s="39" t="s">
        <v>47</v>
      </c>
      <c r="B9" s="11"/>
      <c r="C9" s="196">
        <v>3700</v>
      </c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2714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9640</v>
      </c>
      <c r="C12" s="196">
        <v>2124</v>
      </c>
      <c r="D12" s="197"/>
      <c r="E12" s="12">
        <f t="shared" si="0"/>
        <v>20475360</v>
      </c>
      <c r="F12" s="12">
        <f>PRODUCT(E12*18)/118</f>
        <v>3123360</v>
      </c>
      <c r="G12" s="12">
        <f>PRODUCT(B12*30)</f>
        <v>289200</v>
      </c>
      <c r="H12" s="100">
        <f t="shared" si="2"/>
        <v>3412560</v>
      </c>
      <c r="I12" s="226"/>
    </row>
    <row r="13" spans="1:9">
      <c r="A13" s="40" t="s">
        <v>60</v>
      </c>
      <c r="B13" s="11">
        <v>1320</v>
      </c>
      <c r="C13" s="196">
        <v>1357</v>
      </c>
      <c r="D13" s="197"/>
      <c r="E13" s="12">
        <f t="shared" si="0"/>
        <v>1791240</v>
      </c>
      <c r="F13" s="12">
        <f t="shared" si="1"/>
        <v>273240</v>
      </c>
      <c r="G13" s="12">
        <f>PRODUCT(B13*20)</f>
        <v>26400</v>
      </c>
      <c r="H13" s="100">
        <f t="shared" si="2"/>
        <v>299640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24184100</v>
      </c>
      <c r="F37" s="24">
        <f>SUM(F5:F36)</f>
        <v>3689100</v>
      </c>
      <c r="G37" s="24">
        <f t="shared" ref="G37:H37" si="10">SUM(G5:G36)</f>
        <v>328100</v>
      </c>
      <c r="H37" s="24">
        <f t="shared" si="10"/>
        <v>4017200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>
        <v>4017200</v>
      </c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4017200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9640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250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1320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11210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6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2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9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7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56:H56"/>
    <mergeCell ref="E53:H53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9640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250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1320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11210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2026-03-02T07:10:52Z</dcterms:modified>
</cp:coreProperties>
</file>