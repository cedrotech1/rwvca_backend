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<sst xmlns="http://schemas.openxmlformats.org/spreadsheetml/2006/main" count="1779" uniqueCount="85">
  <si>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</si>
  <si>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</si>
  <si>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</si>
  <si>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</si>
  <si>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</si>
  <si>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</si>
  <si>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</si>
  <si>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</si>
  <si>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</si>
  <si>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</si>
  <si>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</si>
  <si>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</si>
  <si>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</si>
  <si>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</si>
  <si>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</si>
  <si>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</si>
  <si>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</si>
  <si>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</si>
  <si>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</si>
  <si>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</si>
  <si>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</si>
  <si>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</si>
  <si>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</si>
  <si>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</si>
  <si>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</si>
  <si>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</si>
  <si>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</si>
  <si>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</si>
  <si>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</si>
  <si>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</si>
  <si>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</si>
  <si>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</si>
  <si>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</si>
  <si>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</si>
  <si>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</si>
  <si>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</si>
  <si>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</si>
  <si>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</si>
  <si>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</si>
  <si>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</si>
  <si>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</si>
  <si>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</si>
  <si>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</si>
  <si>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</si>
  <si>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</si>
  <si>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</si>
  <si>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</si>
  <si>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</si>
  <si>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</si>
  <si>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</si>
  <si>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</si>
  <si>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</si>
  <si>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</si>
  <si>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</si>
  <si>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</si>
  <si>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</si>
  <si>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</si>
  <si>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</si>
  <si>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</si>
  <si>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</si>
  <si>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</si>
  <si>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</si>
  <si>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</si>
  <si>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</si>
  <si>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</si>
  <si>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</si>
  <si>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</si>
  <si>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</si>
  <si>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</si>
  <si>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</si>
  <si>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</si>
  <si>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</si>
  <si>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</si>
  <si>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</si>
  <si>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</si>
  <si>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</si>
  <si>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</si>
  <si>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</si>
  <si>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</si>
  <si>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</si>
  <si>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</si>
  <si>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</si>
  <si>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</si>
  <si>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</si>
  <si>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12\ 06\2026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</si>
</sst>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456408</v>
      </c>
      <c r="C16" s="68">
        <f>KARONGI!G37</f>
        <v>105650</v>
      </c>
      <c r="D16" s="4"/>
      <c r="E16" s="3"/>
      <c r="F16" s="70">
        <f t="shared" si="0"/>
        <v>562058</v>
      </c>
      <c r="G16" s="67">
        <f>KARONGI!C41</f>
        <v>0</v>
      </c>
      <c r="H16" s="68">
        <f>KARONGI!C39</f>
        <v>562058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8124030</v>
      </c>
      <c r="C29" s="102">
        <f t="shared" si="1"/>
        <v>801350</v>
      </c>
      <c r="D29" s="103">
        <f t="shared" si="1"/>
        <v>0</v>
      </c>
      <c r="E29" s="102">
        <f t="shared" si="1"/>
        <v>0</v>
      </c>
      <c r="F29" s="102">
        <f>SUM(F5:F28)</f>
        <v>8925380</v>
      </c>
      <c r="G29" s="103">
        <f>SUM(G5:G28)</f>
        <v>0</v>
      </c>
      <c r="H29" s="103">
        <f>SUM(H5:H28)</f>
        <v>8925380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8925380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8925380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8925380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8925380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8925380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34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2113</v>
      </c>
      <c r="C7" s="238">
        <v>1416</v>
      </c>
      <c r="D7" s="239"/>
      <c r="E7" s="13">
        <f t="shared" si="0"/>
        <v>2992008</v>
      </c>
      <c r="F7" s="13">
        <f t="shared" si="1"/>
        <v>456408</v>
      </c>
      <c r="G7" s="13">
        <f>PRODUCT(B7*50)</f>
        <v>105650</v>
      </c>
      <c r="H7" s="14">
        <f t="shared" si="2"/>
        <v>562058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2992008</v>
      </c>
      <c r="F37" s="32">
        <f>SUM(F5:F36)</f>
        <v>456408</v>
      </c>
      <c r="G37" s="32">
        <f t="shared" ref="G37:H37" si="3">SUM(G5:G36)</f>
        <v>105650</v>
      </c>
      <c r="H37" s="32">
        <f t="shared" si="3"/>
        <v>562058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562058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2113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2113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2363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26397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2026-06-16T21:10:48Z</dcterms:modified>
</cp:coreProperties>
</file>