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/>
  </bookViews>
  <sheets>
    <sheet name="Sheet1" sheetId="1" r:id="rId1"/>
    <sheet name="Sheet2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 l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G30" i="1"/>
  <c r="E30" i="1"/>
  <c r="F30" i="1" s="1"/>
  <c r="H30" i="1" s="1"/>
  <c r="G29" i="1"/>
  <c r="E29" i="1"/>
  <c r="F29" i="1" s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F22" i="1"/>
  <c r="G21" i="1"/>
  <c r="E21" i="1"/>
  <c r="F21" i="1" s="1"/>
  <c r="H21" i="1" s="1"/>
  <c r="G20" i="1"/>
  <c r="E20" i="1"/>
  <c r="F20" i="1" s="1"/>
  <c r="H20" i="1" s="1"/>
  <c r="G19" i="1"/>
  <c r="E19" i="1"/>
  <c r="F19" i="1" s="1"/>
  <c r="H18" i="1"/>
  <c r="G18" i="1"/>
  <c r="F18" i="1"/>
  <c r="E18" i="1"/>
  <c r="G17" i="1"/>
  <c r="E17" i="1"/>
  <c r="F17" i="1" s="1"/>
  <c r="H14" i="1"/>
  <c r="G14" i="1"/>
  <c r="F14" i="1"/>
  <c r="E14" i="1"/>
  <c r="H13" i="1"/>
  <c r="G13" i="1"/>
  <c r="F13" i="1"/>
  <c r="E13" i="1"/>
  <c r="G12" i="1"/>
  <c r="E12" i="1"/>
  <c r="F12" i="1" s="1"/>
  <c r="H12" i="1" s="1"/>
  <c r="G11" i="1"/>
  <c r="E11" i="1"/>
  <c r="F11" i="1" s="1"/>
  <c r="G10" i="1"/>
  <c r="E10" i="1"/>
  <c r="F10" i="1" s="1"/>
  <c r="G9" i="1"/>
  <c r="E9" i="1"/>
  <c r="F9" i="1" s="1"/>
  <c r="H9" i="1" s="1"/>
  <c r="G8" i="1"/>
  <c r="E8" i="1"/>
  <c r="F8" i="1" s="1"/>
  <c r="H7" i="1"/>
  <c r="G7" i="1"/>
  <c r="F7" i="1"/>
  <c r="E7" i="1"/>
  <c r="G6" i="1"/>
  <c r="E6" i="1"/>
  <c r="F6" i="1" s="1"/>
  <c r="H19" i="1" l="1"/>
  <c r="H17" i="1"/>
  <c r="H29" i="1"/>
  <c r="H8" i="1"/>
  <c r="H11" i="1"/>
  <c r="H6" i="1"/>
  <c r="G41" i="1"/>
  <c r="E41" i="1"/>
  <c r="F41" i="1"/>
  <c r="H10" i="1"/>
  <c r="H41" i="1" l="1"/>
</calcChain>
</file>

<file path=xl/sharedStrings.xml><?xml version="1.0" encoding="utf-8"?>
<sst xmlns="http://schemas.openxmlformats.org/spreadsheetml/2006/main" count="65" uniqueCount="47">
  <si>
    <t xml:space="preserve">ICPCs.... RUBAVU 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</si>
  <si>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</si>
  <si>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</si>
  <si>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</si>
  <si>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</si>
  <si>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</si>
  <si>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</si>
  <si>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</si>
  <si>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</si>
  <si>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</si>
  <si>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</si>
  <si>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</si>
  <si>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</si>
  <si>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PINUS PLANCHE</t>
  </si>
  <si>
    <t>MADIRIYE</t>
  </si>
  <si>
    <t>NAME OF TIMBER</t>
  </si>
  <si>
    <t>P/U</t>
  </si>
  <si>
    <t>VAT</t>
  </si>
  <si>
    <t>VTA+MST</t>
  </si>
  <si>
    <t>RIBUYU</t>
  </si>
  <si>
    <t>MADRIEN</t>
  </si>
  <si>
    <t>IBIPANDE PLANCHE</t>
  </si>
  <si>
    <t>IMBABARI</t>
  </si>
  <si>
    <t>PAR  HABAMENSHI</t>
  </si>
  <si>
    <t>IBIPANDE ARINUS</t>
  </si>
  <si>
    <t>ARINUS MADRIEN</t>
  </si>
  <si>
    <t xml:space="preserve">IBIPANDE CYPRESS </t>
  </si>
  <si>
    <t>PLANCHE</t>
  </si>
  <si>
    <t>IBIP.PINUS</t>
  </si>
  <si>
    <t xml:space="preserve">ARINUS MADRIEN </t>
  </si>
  <si>
    <t>IBIPANDE by planche</t>
  </si>
  <si>
    <t>IBIPANDE BYA PINUS</t>
  </si>
  <si>
    <t>TOTALY</t>
  </si>
  <si>
    <t xml:space="preserve"> 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</si>
  <si>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</si>
  <si>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</si>
  <si>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</si>
  <si>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</si>
  <si>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</si>
  <si>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</si>
  <si>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</si>
  <si>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</si>
  <si>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</si>
  <si>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TOTAL INCOME </t>
  </si>
  <si>
    <t>Membership Relations Offcer: Uwizakiza Balaka</t>
  </si>
  <si>
    <t>Zone: Rubavu</t>
  </si>
  <si>
    <t>DAILY REPORT ON 27/07/2026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</si>
</sst>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6">
    <font>
      <sz val="11"/>
      <color rgb="FF000000"/>
      <name val="Calibri"/>
      <charset val="134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11"/>
      <color rgb="FF000000"/>
      <name val="Calibri"/>
      <family val="2"/>
    </font>
    <font>
      <b/>
      <sz val="20"/>
      <color rgb="FF000000"/>
      <name val="Calibri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 applyFont="1">
      <alignment vertical="center"/>
    </xf>
    <xf numFmtId="0" fontId="0" fillId="0" borderId="0" xfId="0" applyFont="1" applyAlignment="1" applyProtection="1">
      <protection locked="0"/>
    </xf>
    <xf numFmtId="164" fontId="3" fillId="0" borderId="9" xfId="0" applyNumberFormat="1" applyFont="1" applyBorder="1" applyAlignment="1"/>
    <xf numFmtId="164" fontId="3" fillId="0" borderId="12" xfId="0" applyNumberFormat="1" applyFont="1" applyBorder="1" applyAlignment="1"/>
    <xf numFmtId="164" fontId="3" fillId="0" borderId="11" xfId="0" applyNumberFormat="1" applyFont="1" applyBorder="1" applyAlignment="1"/>
    <xf numFmtId="164" fontId="3" fillId="0" borderId="13" xfId="0" applyNumberFormat="1" applyFont="1" applyBorder="1" applyAlignment="1"/>
    <xf numFmtId="164" fontId="0" fillId="0" borderId="14" xfId="0" applyNumberFormat="1" applyFont="1" applyBorder="1" applyAlignment="1"/>
    <xf numFmtId="164" fontId="0" fillId="0" borderId="14" xfId="0" applyNumberFormat="1" applyFont="1" applyBorder="1" applyAlignment="1">
      <alignment horizontal="center"/>
    </xf>
    <xf numFmtId="164" fontId="3" fillId="0" borderId="16" xfId="0" applyNumberFormat="1" applyFont="1" applyBorder="1" applyAlignment="1" applyProtection="1">
      <alignment horizontal="right"/>
    </xf>
    <xf numFmtId="164" fontId="3" fillId="0" borderId="17" xfId="0" applyNumberFormat="1" applyFont="1" applyBorder="1" applyAlignment="1" applyProtection="1">
      <alignment horizontal="right"/>
    </xf>
    <xf numFmtId="164" fontId="3" fillId="0" borderId="18" xfId="0" applyNumberFormat="1" applyFont="1" applyBorder="1" applyAlignment="1"/>
    <xf numFmtId="164" fontId="0" fillId="0" borderId="19" xfId="0" applyNumberFormat="1" applyFont="1" applyBorder="1" applyAlignment="1"/>
    <xf numFmtId="164" fontId="0" fillId="0" borderId="19" xfId="0" applyNumberFormat="1" applyFont="1" applyBorder="1" applyAlignment="1">
      <alignment horizontal="center"/>
    </xf>
    <xf numFmtId="164" fontId="3" fillId="0" borderId="21" xfId="0" applyNumberFormat="1" applyFont="1" applyBorder="1" applyAlignment="1" applyProtection="1">
      <alignment horizontal="right"/>
    </xf>
    <xf numFmtId="164" fontId="3" fillId="0" borderId="22" xfId="0" applyNumberFormat="1" applyFont="1" applyBorder="1" applyAlignment="1" applyProtection="1">
      <alignment horizontal="right"/>
    </xf>
    <xf numFmtId="164" fontId="3" fillId="0" borderId="21" xfId="0" applyNumberFormat="1" applyFont="1" applyBorder="1" applyAlignment="1" applyProtection="1"/>
    <xf numFmtId="164" fontId="3" fillId="0" borderId="22" xfId="0" applyNumberFormat="1" applyFont="1" applyBorder="1" applyAlignment="1" applyProtection="1"/>
    <xf numFmtId="164" fontId="0" fillId="0" borderId="18" xfId="0" applyNumberFormat="1" applyFont="1" applyBorder="1" applyAlignment="1"/>
    <xf numFmtId="164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 applyProtection="1"/>
    <xf numFmtId="164" fontId="3" fillId="0" borderId="11" xfId="0" applyNumberFormat="1" applyFont="1" applyBorder="1" applyAlignment="1" applyProtection="1"/>
    <xf numFmtId="164" fontId="3" fillId="0" borderId="13" xfId="0" applyNumberFormat="1" applyFont="1" applyBorder="1" applyAlignment="1">
      <alignment horizontal="left"/>
    </xf>
    <xf numFmtId="164" fontId="0" fillId="0" borderId="16" xfId="0" applyNumberFormat="1" applyFont="1" applyBorder="1" applyAlignment="1">
      <alignment horizontal="center"/>
    </xf>
    <xf numFmtId="164" fontId="3" fillId="0" borderId="18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center"/>
    </xf>
    <xf numFmtId="164" fontId="0" fillId="0" borderId="21" xfId="0" applyNumberFormat="1" applyFont="1" applyBorder="1" applyAlignment="1"/>
    <xf numFmtId="164" fontId="3" fillId="0" borderId="23" xfId="0" applyNumberFormat="1" applyFont="1" applyBorder="1" applyAlignment="1"/>
    <xf numFmtId="164" fontId="0" fillId="0" borderId="24" xfId="0" applyNumberFormat="1" applyFont="1" applyBorder="1" applyAlignment="1"/>
    <xf numFmtId="164" fontId="0" fillId="0" borderId="25" xfId="0" applyNumberFormat="1" applyFont="1" applyBorder="1" applyAlignment="1"/>
    <xf numFmtId="164" fontId="3" fillId="0" borderId="25" xfId="0" applyNumberFormat="1" applyFont="1" applyBorder="1" applyAlignment="1" applyProtection="1"/>
    <xf numFmtId="164" fontId="3" fillId="0" borderId="25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>
      <alignment horizontal="right"/>
    </xf>
    <xf numFmtId="164" fontId="3" fillId="0" borderId="26" xfId="0" applyNumberFormat="1" applyFont="1" applyBorder="1" applyAlignment="1" applyProtection="1"/>
    <xf numFmtId="164" fontId="3" fillId="2" borderId="27" xfId="0" applyNumberFormat="1" applyFont="1" applyFill="1" applyBorder="1">
      <alignment vertical="center"/>
    </xf>
    <xf numFmtId="164" fontId="0" fillId="2" borderId="28" xfId="0" applyNumberFormat="1" applyFont="1" applyFill="1" applyBorder="1" applyAlignment="1"/>
    <xf numFmtId="164" fontId="0" fillId="2" borderId="29" xfId="0" applyNumberFormat="1" applyFont="1" applyFill="1" applyBorder="1" applyAlignment="1"/>
    <xf numFmtId="164" fontId="3" fillId="2" borderId="29" xfId="0" applyNumberFormat="1" applyFont="1" applyFill="1" applyBorder="1" applyAlignment="1" applyProtection="1">
      <alignment horizontal="right"/>
    </xf>
    <xf numFmtId="164" fontId="3" fillId="2" borderId="30" xfId="0" applyNumberFormat="1" applyFont="1" applyFill="1" applyBorder="1" applyAlignment="1" applyProtection="1">
      <alignment horizontal="right"/>
    </xf>
    <xf numFmtId="164" fontId="0" fillId="0" borderId="9" xfId="0" applyNumberFormat="1" applyFont="1" applyBorder="1" applyAlignment="1"/>
    <xf numFmtId="164" fontId="0" fillId="0" borderId="2" xfId="0" applyNumberFormat="1" applyFont="1" applyBorder="1" applyAlignment="1"/>
    <xf numFmtId="164" fontId="0" fillId="0" borderId="7" xfId="0" applyNumberFormat="1" applyFont="1" applyBorder="1" applyAlignment="1"/>
    <xf numFmtId="164" fontId="0" fillId="0" borderId="11" xfId="0" applyNumberFormat="1" applyFont="1" applyBorder="1" applyAlignment="1"/>
    <xf numFmtId="164" fontId="0" fillId="0" borderId="10" xfId="0" applyNumberFormat="1" applyFont="1" applyBorder="1" applyAlignment="1"/>
    <xf numFmtId="164" fontId="0" fillId="0" borderId="34" xfId="0" applyNumberFormat="1" applyFont="1" applyBorder="1" applyAlignment="1"/>
    <xf numFmtId="164" fontId="0" fillId="0" borderId="35" xfId="0" applyNumberFormat="1" applyFont="1" applyBorder="1" applyAlignment="1"/>
    <xf numFmtId="164" fontId="0" fillId="0" borderId="37" xfId="0" applyNumberFormat="1" applyFont="1" applyBorder="1" applyAlignment="1"/>
    <xf numFmtId="164" fontId="0" fillId="0" borderId="1" xfId="0" applyNumberFormat="1" applyFont="1" applyBorder="1" applyAlignment="1"/>
    <xf numFmtId="164" fontId="0" fillId="0" borderId="22" xfId="0" applyNumberFormat="1" applyFont="1" applyBorder="1" applyAlignment="1"/>
    <xf numFmtId="3" fontId="0" fillId="0" borderId="11" xfId="0" applyNumberFormat="1" applyFont="1" applyBorder="1" applyAlignment="1" applyProtection="1">
      <protection locked="0"/>
    </xf>
    <xf numFmtId="164" fontId="0" fillId="0" borderId="39" xfId="0" applyNumberFormat="1" applyFont="1" applyBorder="1" applyAlignment="1"/>
    <xf numFmtId="164" fontId="0" fillId="0" borderId="6" xfId="0" applyNumberFormat="1" applyFont="1" applyBorder="1" applyAlignment="1" applyProtection="1">
      <alignment horizontal="justify"/>
      <protection locked="0"/>
    </xf>
    <xf numFmtId="0" fontId="0" fillId="0" borderId="40" xfId="0" applyFont="1" applyBorder="1" applyAlignment="1" applyProtection="1">
      <protection locked="0"/>
    </xf>
    <xf numFmtId="0" fontId="0" fillId="0" borderId="24" xfId="0" applyFont="1" applyBorder="1" applyAlignment="1" applyProtection="1">
      <protection locked="0"/>
    </xf>
    <xf numFmtId="0" fontId="0" fillId="0" borderId="26" xfId="0" applyFont="1" applyBorder="1" applyAlignment="1" applyProtection="1">
      <protection locked="0"/>
    </xf>
    <xf numFmtId="0" fontId="5" fillId="0" borderId="0" xfId="0" applyFont="1" applyAlignment="1" applyProtection="1">
      <protection locked="0"/>
    </xf>
    <xf numFmtId="164" fontId="0" fillId="0" borderId="0" xfId="0" applyNumberFormat="1" applyFont="1" applyAlignment="1"/>
    <xf numFmtId="0" fontId="0" fillId="0" borderId="41" xfId="0" applyFont="1" applyBorder="1" applyAlignment="1" applyProtection="1">
      <protection locked="0"/>
    </xf>
    <xf numFmtId="164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164" fontId="0" fillId="0" borderId="15" xfId="0" applyNumberFormat="1" applyFont="1" applyBorder="1" applyAlignment="1">
      <alignment horizontal="center"/>
    </xf>
    <xf numFmtId="164" fontId="0" fillId="0" borderId="14" xfId="0" applyNumberFormat="1" applyFont="1" applyBorder="1" applyAlignment="1">
      <alignment horizontal="center"/>
    </xf>
    <xf numFmtId="164" fontId="0" fillId="0" borderId="20" xfId="0" applyNumberFormat="1" applyFont="1" applyBorder="1" applyAlignment="1">
      <alignment horizontal="center"/>
    </xf>
    <xf numFmtId="164" fontId="0" fillId="0" borderId="19" xfId="0" applyNumberFormat="1" applyFont="1" applyBorder="1" applyAlignment="1">
      <alignment horizontal="center"/>
    </xf>
    <xf numFmtId="164" fontId="0" fillId="0" borderId="32" xfId="0" applyNumberFormat="1" applyFont="1" applyBorder="1" applyAlignment="1">
      <alignment horizontal="center"/>
    </xf>
    <xf numFmtId="164" fontId="0" fillId="0" borderId="33" xfId="0" applyNumberFormat="1" applyFont="1" applyBorder="1" applyAlignment="1">
      <alignment horizontal="center"/>
    </xf>
    <xf numFmtId="0" fontId="3" fillId="0" borderId="38" xfId="0" applyFont="1" applyBorder="1" applyAlignment="1" applyProtection="1">
      <alignment horizontal="left"/>
      <protection locked="0"/>
    </xf>
    <xf numFmtId="0" fontId="3" fillId="0" borderId="33" xfId="0" applyFont="1" applyBorder="1" applyAlignment="1" applyProtection="1">
      <alignment horizontal="left"/>
      <protection locked="0"/>
    </xf>
    <xf numFmtId="0" fontId="0" fillId="0" borderId="19" xfId="0" applyFont="1" applyBorder="1" applyAlignment="1" applyProtection="1">
      <alignment horizontal="left"/>
      <protection locked="0"/>
    </xf>
    <xf numFmtId="0" fontId="0" fillId="0" borderId="21" xfId="0" applyFont="1" applyBorder="1" applyAlignment="1" applyProtection="1">
      <alignment horizontal="left"/>
      <protection locked="0"/>
    </xf>
    <xf numFmtId="0" fontId="0" fillId="0" borderId="24" xfId="0" applyFont="1" applyBorder="1" applyAlignment="1" applyProtection="1">
      <alignment horizontal="left"/>
      <protection locked="0"/>
    </xf>
    <xf numFmtId="0" fontId="0" fillId="0" borderId="25" xfId="0" applyFont="1" applyBorder="1" applyAlignment="1" applyProtection="1">
      <alignment horizontal="left"/>
      <protection locked="0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3" fillId="0" borderId="10" xfId="0" applyFont="1" applyBorder="1" applyAlignment="1" applyProtection="1">
      <alignment horizontal="left"/>
      <protection locked="0"/>
    </xf>
    <xf numFmtId="0" fontId="3" fillId="0" borderId="11" xfId="0" applyFont="1" applyBorder="1" applyAlignment="1" applyProtection="1">
      <alignment horizontal="left"/>
      <protection locked="0"/>
    </xf>
    <xf numFmtId="164" fontId="0" fillId="0" borderId="35" xfId="0" applyNumberFormat="1" applyFont="1" applyBorder="1" applyAlignment="1">
      <alignment horizontal="left"/>
    </xf>
    <xf numFmtId="164" fontId="0" fillId="0" borderId="36" xfId="0" applyNumberFormat="1" applyFont="1" applyBorder="1" applyAlignment="1">
      <alignment horizontal="left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64" fontId="0" fillId="0" borderId="19" xfId="0" applyNumberFormat="1" applyFont="1" applyBorder="1" applyAlignment="1">
      <alignment horizontal="left"/>
    </xf>
    <xf numFmtId="164" fontId="0" fillId="0" borderId="21" xfId="0" applyNumberFormat="1" applyFont="1" applyBorder="1" applyAlignment="1">
      <alignment horizontal="left"/>
    </xf>
    <xf numFmtId="164" fontId="4" fillId="0" borderId="10" xfId="0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tabSelected="1" zoomScale="110" zoomScaleNormal="110" workbookViewId="0">
      <selection activeCell="K7" sqref="K7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9" width="8.81640625" style="1" customWidth="1"/>
    <col min="10" max="16384" width="8.81640625" style="1"/>
  </cols>
  <sheetData>
    <row r="1" spans="1:8" ht="10.15" customHeight="1">
      <c r="A1" s="71" t="s">
        <v>0</v>
      </c>
      <c r="B1" s="72"/>
      <c r="C1" s="72"/>
      <c r="D1" s="72"/>
      <c r="E1" s="72"/>
      <c r="F1" s="72"/>
      <c r="G1" s="72"/>
      <c r="H1" s="73"/>
    </row>
    <row r="2" spans="1:8" ht="12.65" customHeight="1">
      <c r="A2" s="74"/>
      <c r="B2" s="75"/>
      <c r="C2" s="75"/>
      <c r="D2" s="75"/>
      <c r="E2" s="75"/>
      <c r="F2" s="75"/>
      <c r="G2" s="75"/>
      <c r="H2" s="76"/>
    </row>
    <row r="3" spans="1:8" ht="13.15" customHeight="1">
      <c r="A3" s="77" t="s">
        <v>46</v>
      </c>
      <c r="B3" s="78"/>
      <c r="C3" s="78"/>
      <c r="D3" s="78"/>
      <c r="E3" s="78"/>
      <c r="F3" s="78"/>
      <c r="G3" s="78"/>
      <c r="H3" s="79"/>
    </row>
    <row r="4" spans="1:8">
      <c r="A4" s="80"/>
      <c r="B4" s="81"/>
      <c r="C4" s="81"/>
      <c r="D4" s="81"/>
      <c r="E4" s="81"/>
      <c r="F4" s="81"/>
      <c r="G4" s="81"/>
      <c r="H4" s="82"/>
    </row>
    <row r="5" spans="1:8">
      <c r="A5" s="2"/>
      <c r="B5" s="2" t="s">
        <v>1</v>
      </c>
      <c r="C5" s="57" t="s">
        <v>2</v>
      </c>
      <c r="D5" s="58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9">
        <v>8850</v>
      </c>
      <c r="D6" s="60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9">
        <v>7670</v>
      </c>
      <c r="D7" s="60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61">
        <v>2360</v>
      </c>
      <c r="D8" s="62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61">
        <v>4130</v>
      </c>
      <c r="D9" s="62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505</v>
      </c>
      <c r="C10" s="61">
        <v>2360</v>
      </c>
      <c r="D10" s="62"/>
      <c r="E10" s="13">
        <f t="shared" si="3"/>
        <v>1191800</v>
      </c>
      <c r="F10" s="13">
        <f t="shared" si="4"/>
        <v>181800</v>
      </c>
      <c r="G10" s="13">
        <f>PRODUCT(B10*30)</f>
        <v>15150</v>
      </c>
      <c r="H10" s="14">
        <f t="shared" si="5"/>
        <v>196950</v>
      </c>
    </row>
    <row r="11" spans="1:8">
      <c r="A11" s="10" t="s">
        <v>12</v>
      </c>
      <c r="B11" s="11"/>
      <c r="C11" s="61">
        <v>1534</v>
      </c>
      <c r="D11" s="62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13</v>
      </c>
      <c r="B12" s="11"/>
      <c r="C12" s="61">
        <v>1770</v>
      </c>
      <c r="D12" s="62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14</v>
      </c>
      <c r="B13" s="11"/>
      <c r="C13" s="61">
        <v>2124</v>
      </c>
      <c r="D13" s="62"/>
      <c r="E13" s="15">
        <f t="shared" si="3"/>
        <v>0</v>
      </c>
      <c r="F13" s="15">
        <f t="shared" si="4"/>
        <v>0</v>
      </c>
      <c r="G13" s="15">
        <f>PRODUCT(B13*30)</f>
        <v>0</v>
      </c>
      <c r="H13" s="16">
        <f t="shared" si="5"/>
        <v>0</v>
      </c>
    </row>
    <row r="14" spans="1:8">
      <c r="A14" s="17" t="s">
        <v>14</v>
      </c>
      <c r="B14" s="11"/>
      <c r="C14" s="61">
        <v>2124</v>
      </c>
      <c r="D14" s="62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91"/>
      <c r="B15" s="92"/>
      <c r="C15" s="92"/>
      <c r="D15" s="92"/>
      <c r="E15" s="92"/>
      <c r="F15" s="92"/>
      <c r="G15" s="92"/>
      <c r="H15" s="93"/>
    </row>
    <row r="16" spans="1:8">
      <c r="A16" s="18" t="s">
        <v>15</v>
      </c>
      <c r="B16" s="18" t="s">
        <v>1</v>
      </c>
      <c r="C16" s="18" t="s">
        <v>16</v>
      </c>
      <c r="D16" s="18" t="s">
        <v>5</v>
      </c>
      <c r="E16" s="19" t="s">
        <v>3</v>
      </c>
      <c r="F16" s="19" t="s">
        <v>17</v>
      </c>
      <c r="G16" s="19" t="s">
        <v>5</v>
      </c>
      <c r="H16" s="20" t="s">
        <v>18</v>
      </c>
    </row>
    <row r="17" spans="1:9">
      <c r="A17" s="21" t="s">
        <v>9</v>
      </c>
      <c r="B17" s="7"/>
      <c r="C17" s="22">
        <v>1770</v>
      </c>
      <c r="D17" s="22">
        <v>50</v>
      </c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3" t="s">
        <v>19</v>
      </c>
      <c r="B18" s="12"/>
      <c r="C18" s="24">
        <v>200000</v>
      </c>
      <c r="D18" s="24">
        <v>150</v>
      </c>
      <c r="E18" s="13">
        <f t="shared" ref="E18:E21" si="7">PRODUCT(B18*C18)</f>
        <v>0</v>
      </c>
      <c r="F18" s="13">
        <f t="shared" si="6"/>
        <v>0</v>
      </c>
      <c r="G18" s="13">
        <f t="shared" ref="G18:G21" si="8">PRODUCT(B18*D18)</f>
        <v>0</v>
      </c>
      <c r="H18" s="14">
        <f t="shared" ref="H18:H23" si="9">SUM(F18:G18)</f>
        <v>0</v>
      </c>
    </row>
    <row r="19" spans="1:9">
      <c r="A19" s="10" t="s">
        <v>20</v>
      </c>
      <c r="B19" s="11"/>
      <c r="C19" s="25"/>
      <c r="D19" s="25">
        <v>390</v>
      </c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21</v>
      </c>
      <c r="B20" s="11"/>
      <c r="C20" s="25">
        <v>1180</v>
      </c>
      <c r="D20" s="25">
        <v>20</v>
      </c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22</v>
      </c>
      <c r="B21" s="11"/>
      <c r="C21" s="25">
        <v>11800</v>
      </c>
      <c r="D21" s="25">
        <v>1000</v>
      </c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6" t="s">
        <v>23</v>
      </c>
      <c r="B22" s="27"/>
      <c r="C22" s="28"/>
      <c r="D22" s="28">
        <v>1</v>
      </c>
      <c r="E22" s="29"/>
      <c r="F22" s="30">
        <f t="shared" si="6"/>
        <v>0</v>
      </c>
      <c r="G22" s="29"/>
      <c r="H22" s="31">
        <f t="shared" si="9"/>
        <v>0</v>
      </c>
    </row>
    <row r="23" spans="1:9">
      <c r="A23" s="21" t="s">
        <v>24</v>
      </c>
      <c r="B23" s="7"/>
      <c r="C23" s="22">
        <v>472</v>
      </c>
      <c r="D23" s="22">
        <v>30</v>
      </c>
      <c r="E23" s="8">
        <f>PRODUCT(B23*C23)</f>
        <v>0</v>
      </c>
      <c r="F23" s="8">
        <f t="shared" ref="F23:F34" si="10">PRODUCT(E23*18)/118</f>
        <v>0</v>
      </c>
      <c r="G23" s="8">
        <f>PRODUCT(B23*D23)</f>
        <v>0</v>
      </c>
      <c r="H23" s="9">
        <f t="shared" si="9"/>
        <v>0</v>
      </c>
    </row>
    <row r="24" spans="1:9">
      <c r="A24" s="23" t="s">
        <v>25</v>
      </c>
      <c r="B24" s="12"/>
      <c r="C24" s="24">
        <v>1543.44</v>
      </c>
      <c r="D24" s="24">
        <v>20</v>
      </c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5"/>
    </row>
    <row r="25" spans="1:9">
      <c r="A25" s="10" t="s">
        <v>25</v>
      </c>
      <c r="B25" s="11"/>
      <c r="C25" s="25">
        <v>1477.36</v>
      </c>
      <c r="D25" s="25">
        <v>20</v>
      </c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5"/>
    </row>
    <row r="26" spans="1:9">
      <c r="A26" s="10" t="s">
        <v>26</v>
      </c>
      <c r="B26" s="11"/>
      <c r="C26" s="25">
        <v>1779.44</v>
      </c>
      <c r="D26" s="25">
        <v>20</v>
      </c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5"/>
    </row>
    <row r="27" spans="1:9">
      <c r="A27" s="10" t="s">
        <v>24</v>
      </c>
      <c r="B27" s="11"/>
      <c r="C27" s="25">
        <v>1643.74</v>
      </c>
      <c r="D27" s="25">
        <v>20</v>
      </c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5"/>
    </row>
    <row r="28" spans="1:9">
      <c r="A28" s="26" t="s">
        <v>24</v>
      </c>
      <c r="B28" s="27"/>
      <c r="C28" s="28"/>
      <c r="D28" s="28">
        <v>200</v>
      </c>
      <c r="E28" s="30">
        <f t="shared" si="11"/>
        <v>0</v>
      </c>
      <c r="F28" s="30">
        <f t="shared" si="10"/>
        <v>0</v>
      </c>
      <c r="G28" s="30">
        <f t="shared" si="12"/>
        <v>0</v>
      </c>
      <c r="H28" s="31">
        <f t="shared" si="13"/>
        <v>0</v>
      </c>
      <c r="I28" s="55"/>
    </row>
    <row r="29" spans="1:9">
      <c r="A29" s="21" t="s">
        <v>27</v>
      </c>
      <c r="B29" s="7"/>
      <c r="C29" s="22"/>
      <c r="D29" s="22">
        <v>254</v>
      </c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5"/>
    </row>
    <row r="30" spans="1:9">
      <c r="A30" s="23" t="s">
        <v>28</v>
      </c>
      <c r="B30" s="12"/>
      <c r="C30" s="24"/>
      <c r="D30" s="24">
        <v>320</v>
      </c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29</v>
      </c>
      <c r="B31" s="11"/>
      <c r="C31" s="25">
        <v>1452.58</v>
      </c>
      <c r="D31" s="25">
        <v>20</v>
      </c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25</v>
      </c>
      <c r="B32" s="11"/>
      <c r="C32" s="25">
        <v>1833.72</v>
      </c>
      <c r="D32" s="25">
        <v>20</v>
      </c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25</v>
      </c>
      <c r="B33" s="11"/>
      <c r="C33" s="25">
        <v>1677.96</v>
      </c>
      <c r="D33" s="25">
        <v>20</v>
      </c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6" t="s">
        <v>19</v>
      </c>
      <c r="B34" s="27"/>
      <c r="C34" s="28">
        <v>150000</v>
      </c>
      <c r="D34" s="28">
        <v>150</v>
      </c>
      <c r="E34" s="30">
        <f t="shared" si="14"/>
        <v>0</v>
      </c>
      <c r="F34" s="30">
        <f t="shared" si="10"/>
        <v>0</v>
      </c>
      <c r="G34" s="30">
        <f t="shared" si="15"/>
        <v>0</v>
      </c>
      <c r="H34" s="31">
        <f t="shared" si="16"/>
        <v>0</v>
      </c>
    </row>
    <row r="35" spans="1:8">
      <c r="A35" s="21" t="s">
        <v>30</v>
      </c>
      <c r="B35" s="7"/>
      <c r="C35" s="22">
        <v>1180</v>
      </c>
      <c r="D35" s="22">
        <v>20</v>
      </c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3" t="s">
        <v>25</v>
      </c>
      <c r="B36" s="12"/>
      <c r="C36" s="24">
        <v>1622.5</v>
      </c>
      <c r="D36" s="24">
        <v>20</v>
      </c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31</v>
      </c>
      <c r="B37" s="11"/>
      <c r="C37" s="25"/>
      <c r="D37" s="25">
        <v>50</v>
      </c>
      <c r="E37" s="15">
        <f t="shared" si="17"/>
        <v>0</v>
      </c>
      <c r="F37" s="15">
        <f t="shared" si="4"/>
        <v>0</v>
      </c>
      <c r="G37" s="15">
        <f t="shared" si="18"/>
        <v>0</v>
      </c>
      <c r="H37" s="16">
        <f t="shared" si="19"/>
        <v>0</v>
      </c>
    </row>
    <row r="38" spans="1:8">
      <c r="A38" s="10" t="s">
        <v>19</v>
      </c>
      <c r="B38" s="11"/>
      <c r="C38" s="25">
        <v>200000</v>
      </c>
      <c r="D38" s="25">
        <v>150</v>
      </c>
      <c r="E38" s="15">
        <f t="shared" si="17"/>
        <v>0</v>
      </c>
      <c r="F38" s="15">
        <f t="shared" si="4"/>
        <v>0</v>
      </c>
      <c r="G38" s="15">
        <f t="shared" si="18"/>
        <v>0</v>
      </c>
      <c r="H38" s="16">
        <f t="shared" si="19"/>
        <v>0</v>
      </c>
    </row>
    <row r="39" spans="1:8">
      <c r="A39" s="10" t="s">
        <v>25</v>
      </c>
      <c r="B39" s="11"/>
      <c r="C39" s="25">
        <v>1676.78</v>
      </c>
      <c r="D39" s="25">
        <v>20</v>
      </c>
      <c r="E39" s="15">
        <f t="shared" si="17"/>
        <v>0</v>
      </c>
      <c r="F39" s="15">
        <f t="shared" si="4"/>
        <v>0</v>
      </c>
      <c r="G39" s="15">
        <f t="shared" si="18"/>
        <v>0</v>
      </c>
      <c r="H39" s="16">
        <f t="shared" si="19"/>
        <v>0</v>
      </c>
    </row>
    <row r="40" spans="1:8">
      <c r="A40" s="26" t="s">
        <v>9</v>
      </c>
      <c r="B40" s="27"/>
      <c r="C40" s="28"/>
      <c r="D40" s="28">
        <v>50</v>
      </c>
      <c r="E40" s="29">
        <f t="shared" si="17"/>
        <v>0</v>
      </c>
      <c r="F40" s="29">
        <f t="shared" si="4"/>
        <v>0</v>
      </c>
      <c r="G40" s="29">
        <f t="shared" si="18"/>
        <v>0</v>
      </c>
      <c r="H40" s="32">
        <f t="shared" si="19"/>
        <v>0</v>
      </c>
    </row>
    <row r="41" spans="1:8">
      <c r="A41" s="33" t="s">
        <v>32</v>
      </c>
      <c r="B41" s="34"/>
      <c r="C41" s="35" t="s">
        <v>33</v>
      </c>
      <c r="D41" s="35"/>
      <c r="E41" s="36">
        <f>SUM(E6:E40)</f>
        <v>1191800</v>
      </c>
      <c r="F41" s="36">
        <f>SUM(F6:F40)</f>
        <v>181800</v>
      </c>
      <c r="G41" s="36">
        <f>SUM(G6:G40)</f>
        <v>15150</v>
      </c>
      <c r="H41" s="37">
        <f t="shared" si="19"/>
        <v>196950</v>
      </c>
    </row>
    <row r="42" spans="1:8">
      <c r="A42" s="83" t="s">
        <v>34</v>
      </c>
      <c r="B42" s="84"/>
      <c r="C42" s="38">
        <v>196950</v>
      </c>
      <c r="D42" s="39"/>
      <c r="E42" s="94" t="s">
        <v>35</v>
      </c>
      <c r="F42" s="94"/>
      <c r="G42" s="94"/>
      <c r="H42" s="94"/>
    </row>
    <row r="43" spans="1:8">
      <c r="A43" s="83" t="s">
        <v>36</v>
      </c>
      <c r="B43" s="84"/>
      <c r="C43" s="40"/>
      <c r="D43" s="38" t="s">
        <v>37</v>
      </c>
      <c r="E43" s="63" t="s">
        <v>38</v>
      </c>
      <c r="F43" s="64"/>
      <c r="G43" s="38" t="s">
        <v>39</v>
      </c>
      <c r="H43" s="41" t="s">
        <v>40</v>
      </c>
    </row>
    <row r="44" spans="1:8">
      <c r="A44" s="83" t="s">
        <v>41</v>
      </c>
      <c r="B44" s="84"/>
      <c r="C44" s="42"/>
      <c r="D44" s="43"/>
      <c r="E44" s="85"/>
      <c r="F44" s="86"/>
      <c r="G44" s="44"/>
      <c r="H44" s="45"/>
    </row>
    <row r="45" spans="1:8">
      <c r="A45" s="87" t="s">
        <v>42</v>
      </c>
      <c r="B45" s="88"/>
      <c r="C45" s="46"/>
      <c r="D45" s="38"/>
      <c r="E45" s="89"/>
      <c r="F45" s="90"/>
      <c r="G45" s="11"/>
      <c r="H45" s="47"/>
    </row>
    <row r="46" spans="1:8">
      <c r="A46" s="65" t="s">
        <v>42</v>
      </c>
      <c r="B46" s="66"/>
      <c r="C46" s="48"/>
      <c r="D46" s="41"/>
      <c r="E46" s="67"/>
      <c r="F46" s="68"/>
      <c r="G46" s="11"/>
      <c r="H46" s="47"/>
    </row>
    <row r="47" spans="1:8">
      <c r="A47" s="65"/>
      <c r="B47" s="66"/>
      <c r="C47" s="48"/>
      <c r="D47" s="49"/>
      <c r="E47" s="67"/>
      <c r="F47" s="68"/>
      <c r="G47" s="11"/>
      <c r="H47" s="47"/>
    </row>
    <row r="48" spans="1:8">
      <c r="A48" s="65" t="s">
        <v>43</v>
      </c>
      <c r="B48" s="66"/>
      <c r="C48" s="50">
        <f>C42+C43+C44+C45+C46</f>
        <v>196950</v>
      </c>
      <c r="D48" s="51"/>
      <c r="E48" s="69"/>
      <c r="F48" s="70"/>
      <c r="G48" s="52"/>
      <c r="H48" s="53"/>
    </row>
    <row r="50" spans="1:10">
      <c r="B50" s="54" t="s">
        <v>44</v>
      </c>
      <c r="C50" s="54"/>
      <c r="D50" s="54"/>
      <c r="E50" s="54"/>
    </row>
    <row r="51" spans="1:10">
      <c r="B51" s="54" t="s">
        <v>45</v>
      </c>
      <c r="C51" s="54"/>
      <c r="D51" s="54"/>
      <c r="E51" s="54"/>
    </row>
    <row r="52" spans="1:10">
      <c r="B52" s="54"/>
      <c r="C52" s="54"/>
      <c r="D52" s="54"/>
      <c r="E52" s="54"/>
      <c r="J52" s="56"/>
    </row>
    <row r="54" spans="1:10">
      <c r="A54" s="1" t="s">
        <v>33</v>
      </c>
    </row>
  </sheetData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ColWidth="9.81640625" defaultRowHeight="14.5"/>
  <sheetData>
    <row r="1" ht="15" customHeight="1"/>
    <row r="2" ht="15" customHeight="1"/>
    <row r="3" ht="15" customHeight="1"/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rwvca</cp:lastModifiedBy>
  <cp:lastPrinted>2026-05-05T16:17:18Z</cp:lastPrinted>
  <dcterms:created xsi:type="dcterms:W3CDTF">2025-11-14T11:31:00Z</dcterms:created>
  <dcterms:modified xsi:type="dcterms:W3CDTF">2026-07-27T19:59:09Z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357C706C318D41579F00C8A14A2F16D1_13</vt:lpwstr>
  </property>
  <property fmtid="{D5CDD505-2E9C-101B-9397-08002B2CF9AE}" pid="3" name="KSOProductBuildVer">
    <vt:lpwstr>2057-12.2.0.23202</vt:lpwstr>
  </property>
</Properties>
</file>