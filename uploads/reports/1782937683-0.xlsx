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minimized="1"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<sst xmlns="http://schemas.openxmlformats.org/spreadsheetml/2006/main" count="1779" uniqueCount="85">
  <si>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</si>
  <si>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</si>
  <si>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</si>
  <si>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</si>
  <si>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</si>
  <si>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</si>
  <si>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</si>
  <si>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</si>
  <si>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</si>
  <si>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</si>
  <si>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</si>
  <si>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</si>
  <si>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</si>
  <si>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</si>
  <si>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</si>
  <si>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</si>
  <si>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</si>
  <si>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</si>
  <si>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</si>
  <si>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</si>
  <si>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</si>
  <si>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</si>
  <si>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</si>
  <si>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</si>
  <si>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</si>
  <si>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</si>
  <si>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</si>
  <si>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</si>
  <si>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</si>
  <si>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</si>
  <si>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</si>
  <si>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</si>
  <si>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</si>
  <si>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</si>
  <si>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</si>
  <si>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</si>
  <si>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</si>
  <si>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</si>
  <si>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</si>
  <si>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</si>
  <si>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</si>
  <si>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</si>
  <si>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</si>
  <si>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</si>
  <si>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</si>
  <si>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</si>
  <si>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</si>
  <si>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</si>
  <si>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</si>
  <si>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</si>
  <si>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</si>
  <si>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</si>
  <si>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</si>
  <si>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</si>
  <si>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</si>
  <si>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</si>
  <si>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</si>
  <si>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</si>
  <si>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</si>
  <si>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</si>
  <si>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</si>
  <si>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</si>
  <si>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</si>
  <si>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</si>
  <si>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</si>
  <si>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</si>
  <si>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</si>
  <si>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</si>
  <si>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</si>
  <si>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</si>
  <si>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</si>
  <si>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</si>
  <si>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</si>
  <si>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</si>
  <si>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</si>
  <si>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</si>
  <si>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</si>
  <si>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</si>
  <si>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</si>
  <si>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</si>
  <si>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</si>
  <si>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</si>
  <si>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</si>
  <si>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</si>
  <si>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22  JUNE 2026  TO  30  JUNE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</si>
</sst>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1168357.4237288137</v>
      </c>
      <c r="C16" s="68">
        <f>KARONGI!G37</f>
        <v>154600</v>
      </c>
      <c r="D16" s="4"/>
      <c r="E16" s="3"/>
      <c r="F16" s="70">
        <f t="shared" si="0"/>
        <v>1322957.4237288137</v>
      </c>
      <c r="G16" s="67">
        <f>KARONGI!C41</f>
        <v>0</v>
      </c>
      <c r="H16" s="68">
        <f>KARONGI!C39</f>
        <v>2035062.84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8835979.4237288143</v>
      </c>
      <c r="C29" s="102">
        <f t="shared" si="1"/>
        <v>850300</v>
      </c>
      <c r="D29" s="103">
        <f t="shared" si="1"/>
        <v>0</v>
      </c>
      <c r="E29" s="102">
        <f t="shared" si="1"/>
        <v>0</v>
      </c>
      <c r="F29" s="102">
        <f>SUM(F5:F28)</f>
        <v>9686279.4237288143</v>
      </c>
      <c r="G29" s="103">
        <f>SUM(G5:G28)</f>
        <v>0</v>
      </c>
      <c r="H29" s="103">
        <f>SUM(H5:H28)</f>
        <v>10398384.84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9686279.4237288143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9686279.4237288143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10398384.84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9686279.4237288143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10398384.84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3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>
        <v>250</v>
      </c>
      <c r="C6" s="238">
        <v>7000</v>
      </c>
      <c r="D6" s="239"/>
      <c r="E6" s="13">
        <f t="shared" ref="E6:E14" si="0">PRODUCT(B6*C6)</f>
        <v>1750000</v>
      </c>
      <c r="F6" s="13">
        <f t="shared" ref="F6:F14" si="1">PRODUCT(E6*18)/118</f>
        <v>266949.15254237287</v>
      </c>
      <c r="G6" s="13">
        <f>PRODUCT(B6*50)</f>
        <v>12500</v>
      </c>
      <c r="H6" s="14">
        <f t="shared" ref="H6:H14" si="2">SUM(F6:G6)</f>
        <v>279449.15254237287</v>
      </c>
    </row>
    <row r="7" spans="1:8">
      <c r="A7" s="42" t="s">
        <v>47</v>
      </c>
      <c r="B7" s="12">
        <v>2302</v>
      </c>
      <c r="C7" s="238">
        <v>1416</v>
      </c>
      <c r="D7" s="239"/>
      <c r="E7" s="13">
        <f t="shared" si="0"/>
        <v>3259632</v>
      </c>
      <c r="F7" s="13">
        <f t="shared" si="1"/>
        <v>497232</v>
      </c>
      <c r="G7" s="13">
        <f>PRODUCT(B7*50)</f>
        <v>115100</v>
      </c>
      <c r="H7" s="14">
        <f t="shared" si="2"/>
        <v>612332</v>
      </c>
    </row>
    <row r="8" spans="1:8">
      <c r="A8" s="43" t="s">
        <v>48</v>
      </c>
      <c r="B8" s="15">
        <v>300</v>
      </c>
      <c r="C8" s="211">
        <v>6000</v>
      </c>
      <c r="D8" s="212"/>
      <c r="E8" s="16">
        <f t="shared" si="0"/>
        <v>1800000</v>
      </c>
      <c r="F8" s="16">
        <f t="shared" si="1"/>
        <v>274576.27118644066</v>
      </c>
      <c r="G8" s="16">
        <f>PRODUCT(B8*50)</f>
        <v>15000</v>
      </c>
      <c r="H8" s="17">
        <f t="shared" si="2"/>
        <v>289576.27118644066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400</v>
      </c>
      <c r="C10" s="211">
        <v>2124</v>
      </c>
      <c r="D10" s="212"/>
      <c r="E10" s="16">
        <f t="shared" si="0"/>
        <v>849600</v>
      </c>
      <c r="F10" s="16">
        <f t="shared" si="1"/>
        <v>129600</v>
      </c>
      <c r="G10" s="16">
        <f>PRODUCT(B10*30)</f>
        <v>12000</v>
      </c>
      <c r="H10" s="17">
        <f t="shared" si="2"/>
        <v>141600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900</v>
      </c>
      <c r="C21" s="18">
        <v>2124</v>
      </c>
      <c r="D21" s="18">
        <v>40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>
        <v>1150</v>
      </c>
      <c r="C22" s="18">
        <v>1357</v>
      </c>
      <c r="D22" s="18">
        <v>30</v>
      </c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>
        <v>90</v>
      </c>
      <c r="C23" s="18">
        <v>2300</v>
      </c>
      <c r="D23" s="18">
        <v>50</v>
      </c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>
        <v>80</v>
      </c>
      <c r="C24" s="18">
        <v>1700</v>
      </c>
      <c r="D24" s="18">
        <v>30</v>
      </c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>
        <v>150</v>
      </c>
      <c r="C25" s="18">
        <v>2500</v>
      </c>
      <c r="D25" s="18">
        <v>50</v>
      </c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7659232</v>
      </c>
      <c r="F37" s="32">
        <f>SUM(F5:F36)</f>
        <v>1168357.4237288137</v>
      </c>
      <c r="G37" s="32">
        <f t="shared" ref="G37:H37" si="3">SUM(G5:G36)</f>
        <v>154600</v>
      </c>
      <c r="H37" s="32">
        <f t="shared" si="3"/>
        <v>1322957.4237288137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2035062.84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400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2852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3252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20652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3102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27536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2026-07-01T19:22:36Z</dcterms:modified>
</cp:coreProperties>
</file>