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D:\code notes\TRADING\"/>
    </mc:Choice>
  </mc:AlternateContent>
  <xr:revisionPtr revIDLastSave="0" documentId="8_{387EBEDE-7232-4D41-A07B-D673D5F5CAF6}" xr6:coauthVersionLast="47" xr6:coauthVersionMax="47" xr10:uidLastSave="{00000000-0000-0000-0000-000000000000}"/>
  <bookViews>
    <workbookView xWindow="-110" yWindow="-110" windowWidth="19420" windowHeight="10300" tabRatio="965" firstSheet="7" activeTab="19" xr2:uid="{00000000-000D-0000-FFFF-FFFF00000000}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8" i="18" l="1"/>
  <c r="E58" i="17"/>
  <c r="E58" i="16"/>
  <c r="E58" i="15"/>
  <c r="E58" i="14"/>
  <c r="E58" i="13"/>
  <c r="E58" i="12"/>
  <c r="E58" i="11"/>
  <c r="E58" i="10"/>
  <c r="E58" i="9"/>
  <c r="E58" i="22"/>
  <c r="E58" i="8"/>
  <c r="E58" i="7"/>
  <c r="E58" i="6"/>
  <c r="E58" i="19"/>
  <c r="E58" i="5"/>
  <c r="E58" i="4"/>
  <c r="E58" i="3"/>
  <c r="E58" i="2"/>
  <c r="E58" i="23"/>
  <c r="E58" i="24"/>
  <c r="D13" i="21"/>
  <c r="E59" i="18"/>
  <c r="E59" i="17"/>
  <c r="E59" i="16"/>
  <c r="E59" i="15"/>
  <c r="E59" i="14"/>
  <c r="E59" i="13"/>
  <c r="E59" i="12"/>
  <c r="E59" i="11"/>
  <c r="E59" i="10"/>
  <c r="E59" i="9"/>
  <c r="E59" i="22"/>
  <c r="E59" i="8"/>
  <c r="E59" i="7"/>
  <c r="E59" i="6"/>
  <c r="E59" i="19"/>
  <c r="E59" i="5"/>
  <c r="E59" i="4"/>
  <c r="E59" i="3"/>
  <c r="E59" i="2"/>
  <c r="E59" i="23"/>
  <c r="E59" i="24"/>
  <c r="D14" i="21"/>
  <c r="E60" i="18"/>
  <c r="E60" i="17"/>
  <c r="E60" i="16"/>
  <c r="E60" i="15"/>
  <c r="E60" i="14"/>
  <c r="E60" i="13"/>
  <c r="E60" i="12"/>
  <c r="E60" i="11"/>
  <c r="E60" i="10"/>
  <c r="E60" i="9"/>
  <c r="E60" i="22"/>
  <c r="E60" i="8"/>
  <c r="E60" i="7"/>
  <c r="E60" i="6"/>
  <c r="E60" i="19"/>
  <c r="E60" i="5"/>
  <c r="E60" i="4"/>
  <c r="E60" i="3"/>
  <c r="E60" i="2"/>
  <c r="E60" i="23"/>
  <c r="E60" i="24"/>
  <c r="D15" i="21"/>
  <c r="E61" i="18"/>
  <c r="E61" i="17"/>
  <c r="E61" i="16"/>
  <c r="E61" i="15"/>
  <c r="E61" i="14"/>
  <c r="E61" i="13"/>
  <c r="E61" i="12"/>
  <c r="E61" i="11"/>
  <c r="E61" i="10"/>
  <c r="E61" i="9"/>
  <c r="E61" i="22"/>
  <c r="E61" i="8"/>
  <c r="E61" i="7"/>
  <c r="E61" i="6"/>
  <c r="E61" i="19"/>
  <c r="E61" i="5"/>
  <c r="E61" i="4"/>
  <c r="E61" i="3"/>
  <c r="E61" i="2"/>
  <c r="E61" i="23"/>
  <c r="E61" i="24"/>
  <c r="D16" i="21"/>
  <c r="E50" i="18"/>
  <c r="D5" i="21" s="1"/>
  <c r="E50" i="17"/>
  <c r="E50" i="16"/>
  <c r="E50" i="15"/>
  <c r="E50" i="14"/>
  <c r="E50" i="13"/>
  <c r="E50" i="12"/>
  <c r="E50" i="11"/>
  <c r="E50" i="10"/>
  <c r="E50" i="9"/>
  <c r="E50" i="22"/>
  <c r="E50" i="8"/>
  <c r="E50" i="7"/>
  <c r="E50" i="6"/>
  <c r="E50" i="19"/>
  <c r="E50" i="5"/>
  <c r="E50" i="4"/>
  <c r="E50" i="3"/>
  <c r="E50" i="2"/>
  <c r="E50" i="23"/>
  <c r="E50" i="24"/>
  <c r="E51" i="18"/>
  <c r="D6" i="21" s="1"/>
  <c r="E51" i="17"/>
  <c r="E51" i="16"/>
  <c r="E51" i="15"/>
  <c r="E51" i="14"/>
  <c r="E51" i="13"/>
  <c r="E51" i="12"/>
  <c r="E51" i="11"/>
  <c r="E51" i="10"/>
  <c r="E51" i="9"/>
  <c r="E51" i="22"/>
  <c r="E51" i="8"/>
  <c r="E51" i="7"/>
  <c r="E51" i="6"/>
  <c r="E51" i="19"/>
  <c r="E51" i="5"/>
  <c r="E51" i="4"/>
  <c r="E51" i="3"/>
  <c r="E51" i="2"/>
  <c r="E51" i="23"/>
  <c r="E51" i="24"/>
  <c r="E52" i="18"/>
  <c r="E52" i="17"/>
  <c r="E52" i="16"/>
  <c r="E52" i="15"/>
  <c r="E52" i="14"/>
  <c r="E52" i="13"/>
  <c r="E52" i="12"/>
  <c r="E52" i="11"/>
  <c r="E52" i="10"/>
  <c r="E52" i="9"/>
  <c r="E52" i="22"/>
  <c r="E52" i="8"/>
  <c r="E52" i="7"/>
  <c r="E52" i="6"/>
  <c r="E52" i="19"/>
  <c r="E52" i="5"/>
  <c r="E52" i="4"/>
  <c r="E52" i="3"/>
  <c r="E52" i="2"/>
  <c r="E52" i="23"/>
  <c r="E52" i="24"/>
  <c r="D7" i="21"/>
  <c r="E53" i="18"/>
  <c r="E53" i="17"/>
  <c r="E53" i="16"/>
  <c r="E53" i="15"/>
  <c r="E53" i="14"/>
  <c r="E53" i="13"/>
  <c r="E53" i="12"/>
  <c r="E53" i="11"/>
  <c r="E53" i="10"/>
  <c r="E53" i="9"/>
  <c r="E53" i="22"/>
  <c r="E53" i="8"/>
  <c r="E53" i="7"/>
  <c r="E53" i="6"/>
  <c r="E53" i="19"/>
  <c r="E53" i="5"/>
  <c r="E53" i="4"/>
  <c r="E53" i="3"/>
  <c r="E53" i="2"/>
  <c r="E53" i="23"/>
  <c r="E53" i="24"/>
  <c r="D8" i="21"/>
  <c r="E54" i="18"/>
  <c r="E54" i="17"/>
  <c r="E54" i="16"/>
  <c r="E54" i="15"/>
  <c r="E54" i="14"/>
  <c r="E54" i="13"/>
  <c r="E54" i="12"/>
  <c r="E54" i="11"/>
  <c r="E54" i="10"/>
  <c r="E54" i="9"/>
  <c r="E54" i="22"/>
  <c r="E54" i="8"/>
  <c r="E54" i="7"/>
  <c r="E54" i="6"/>
  <c r="E54" i="19"/>
  <c r="E54" i="5"/>
  <c r="E54" i="4"/>
  <c r="E54" i="3"/>
  <c r="E54" i="2"/>
  <c r="E54" i="23"/>
  <c r="E54" i="24"/>
  <c r="D9" i="21"/>
  <c r="E55" i="18"/>
  <c r="E55" i="17"/>
  <c r="E55" i="16"/>
  <c r="E55" i="15"/>
  <c r="E55" i="14"/>
  <c r="E55" i="13"/>
  <c r="E55" i="12"/>
  <c r="E55" i="11"/>
  <c r="E55" i="10"/>
  <c r="E55" i="9"/>
  <c r="E55" i="22"/>
  <c r="E55" i="8"/>
  <c r="E55" i="7"/>
  <c r="E55" i="6"/>
  <c r="E55" i="19"/>
  <c r="E55" i="5"/>
  <c r="E55" i="4"/>
  <c r="E55" i="3"/>
  <c r="E55" i="2"/>
  <c r="E55" i="23"/>
  <c r="E55" i="24"/>
  <c r="D10" i="21"/>
  <c r="E56" i="18"/>
  <c r="E56" i="17"/>
  <c r="E56" i="16"/>
  <c r="E56" i="15"/>
  <c r="E56" i="14"/>
  <c r="E56" i="13"/>
  <c r="E56" i="12"/>
  <c r="E56" i="11"/>
  <c r="E56" i="10"/>
  <c r="E56" i="9"/>
  <c r="E56" i="22"/>
  <c r="E56" i="8"/>
  <c r="E56" i="7"/>
  <c r="E56" i="6"/>
  <c r="E56" i="19"/>
  <c r="E56" i="5"/>
  <c r="E56" i="4"/>
  <c r="E56" i="3"/>
  <c r="E56" i="2"/>
  <c r="E56" i="23"/>
  <c r="E56" i="24"/>
  <c r="D11" i="21"/>
  <c r="E57" i="18"/>
  <c r="E57" i="17"/>
  <c r="E57" i="16"/>
  <c r="E57" i="15"/>
  <c r="E57" i="14"/>
  <c r="E57" i="13"/>
  <c r="E57" i="12"/>
  <c r="E57" i="11"/>
  <c r="E57" i="10"/>
  <c r="E57" i="9"/>
  <c r="E57" i="22"/>
  <c r="E57" i="8"/>
  <c r="E57" i="7"/>
  <c r="E57" i="6"/>
  <c r="E57" i="19"/>
  <c r="E57" i="5"/>
  <c r="E57" i="4"/>
  <c r="E57" i="3"/>
  <c r="E57" i="2"/>
  <c r="E57" i="23"/>
  <c r="E57" i="24"/>
  <c r="D12" i="2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49" i="24"/>
  <c r="E62" i="24"/>
  <c r="C45" i="24"/>
  <c r="G36" i="24"/>
  <c r="E36" i="24"/>
  <c r="F36" i="24"/>
  <c r="H36" i="24"/>
  <c r="G35" i="24"/>
  <c r="E35" i="24"/>
  <c r="F35" i="24"/>
  <c r="H35" i="24"/>
  <c r="G34" i="24"/>
  <c r="E34" i="24"/>
  <c r="F34" i="24"/>
  <c r="H34" i="24"/>
  <c r="G33" i="24"/>
  <c r="E33" i="24"/>
  <c r="F33" i="24"/>
  <c r="H33" i="24"/>
  <c r="G32" i="24"/>
  <c r="E32" i="24"/>
  <c r="F32" i="24"/>
  <c r="H32" i="24"/>
  <c r="G31" i="24"/>
  <c r="E31" i="24"/>
  <c r="F31" i="24"/>
  <c r="H31" i="24"/>
  <c r="G30" i="24"/>
  <c r="E30" i="24"/>
  <c r="F30" i="24"/>
  <c r="H30" i="24"/>
  <c r="G29" i="24"/>
  <c r="E29" i="24"/>
  <c r="F29" i="24"/>
  <c r="H29" i="24"/>
  <c r="G28" i="24"/>
  <c r="E28" i="24"/>
  <c r="F28" i="24"/>
  <c r="H28" i="24"/>
  <c r="G27" i="24"/>
  <c r="E27" i="24"/>
  <c r="F27" i="24"/>
  <c r="H27" i="24"/>
  <c r="G26" i="24"/>
  <c r="E26" i="24"/>
  <c r="F26" i="24"/>
  <c r="H26" i="24"/>
  <c r="G25" i="24"/>
  <c r="E25" i="24"/>
  <c r="F25" i="24"/>
  <c r="H25" i="24"/>
  <c r="G24" i="24"/>
  <c r="E24" i="24"/>
  <c r="F24" i="24"/>
  <c r="H24" i="24"/>
  <c r="G23" i="24"/>
  <c r="E23" i="24"/>
  <c r="F23" i="24"/>
  <c r="H23" i="24"/>
  <c r="G22" i="24"/>
  <c r="E22" i="24"/>
  <c r="F22" i="24"/>
  <c r="H22" i="24"/>
  <c r="G21" i="24"/>
  <c r="E21" i="24"/>
  <c r="F21" i="24"/>
  <c r="H21" i="24"/>
  <c r="G20" i="24"/>
  <c r="E20" i="24"/>
  <c r="F20" i="24"/>
  <c r="H20" i="24"/>
  <c r="G19" i="24"/>
  <c r="E19" i="24"/>
  <c r="F19" i="24"/>
  <c r="H19" i="24"/>
  <c r="G18" i="24"/>
  <c r="E18" i="24"/>
  <c r="F18" i="24"/>
  <c r="H18" i="24"/>
  <c r="G17" i="24"/>
  <c r="E17" i="24"/>
  <c r="F17" i="24"/>
  <c r="H17" i="24"/>
  <c r="G14" i="24"/>
  <c r="E14" i="24"/>
  <c r="F14" i="24"/>
  <c r="H14" i="24"/>
  <c r="G13" i="24"/>
  <c r="E13" i="24"/>
  <c r="F13" i="24"/>
  <c r="H13" i="24"/>
  <c r="G12" i="24"/>
  <c r="E12" i="24"/>
  <c r="F12" i="24"/>
  <c r="H12" i="24"/>
  <c r="G11" i="24"/>
  <c r="E11" i="24"/>
  <c r="F11" i="24"/>
  <c r="H11" i="24"/>
  <c r="G10" i="24"/>
  <c r="E10" i="24"/>
  <c r="F10" i="24"/>
  <c r="H10" i="24"/>
  <c r="G9" i="24"/>
  <c r="E9" i="24"/>
  <c r="F9" i="24"/>
  <c r="H9" i="24"/>
  <c r="G8" i="24"/>
  <c r="E8" i="24"/>
  <c r="F8" i="24"/>
  <c r="H8" i="24"/>
  <c r="G7" i="24"/>
  <c r="E7" i="24"/>
  <c r="F7" i="24"/>
  <c r="H7" i="24"/>
  <c r="G6" i="24"/>
  <c r="G37" i="24"/>
  <c r="C25" i="1"/>
  <c r="E6" i="24"/>
  <c r="F6" i="24"/>
  <c r="E49" i="23"/>
  <c r="C45" i="23"/>
  <c r="G36" i="23"/>
  <c r="E36" i="23"/>
  <c r="F36" i="23"/>
  <c r="H36" i="23"/>
  <c r="G35" i="23"/>
  <c r="E35" i="23"/>
  <c r="F35" i="23"/>
  <c r="H35" i="23"/>
  <c r="G34" i="23"/>
  <c r="E34" i="23"/>
  <c r="F34" i="23"/>
  <c r="H34" i="23"/>
  <c r="G33" i="23"/>
  <c r="E33" i="23"/>
  <c r="F33" i="23"/>
  <c r="H33" i="23"/>
  <c r="G32" i="23"/>
  <c r="E32" i="23"/>
  <c r="F32" i="23"/>
  <c r="H32" i="23"/>
  <c r="G31" i="23"/>
  <c r="E31" i="23"/>
  <c r="F31" i="23"/>
  <c r="H31" i="23"/>
  <c r="G30" i="23"/>
  <c r="E30" i="23"/>
  <c r="F30" i="23"/>
  <c r="H30" i="23"/>
  <c r="G29" i="23"/>
  <c r="E29" i="23"/>
  <c r="F29" i="23"/>
  <c r="H29" i="23"/>
  <c r="G28" i="23"/>
  <c r="E28" i="23"/>
  <c r="F28" i="23"/>
  <c r="H28" i="23"/>
  <c r="G27" i="23"/>
  <c r="E27" i="23"/>
  <c r="F27" i="23"/>
  <c r="H27" i="23"/>
  <c r="G26" i="23"/>
  <c r="E26" i="23"/>
  <c r="F26" i="23"/>
  <c r="H26" i="23"/>
  <c r="G25" i="23"/>
  <c r="E25" i="23"/>
  <c r="F25" i="23"/>
  <c r="H25" i="23"/>
  <c r="G24" i="23"/>
  <c r="E24" i="23"/>
  <c r="F24" i="23"/>
  <c r="H24" i="23"/>
  <c r="G23" i="23"/>
  <c r="E23" i="23"/>
  <c r="F23" i="23"/>
  <c r="H23" i="23"/>
  <c r="G22" i="23"/>
  <c r="E22" i="23"/>
  <c r="F22" i="23"/>
  <c r="H22" i="23"/>
  <c r="G21" i="23"/>
  <c r="E21" i="23"/>
  <c r="F21" i="23"/>
  <c r="H21" i="23"/>
  <c r="G20" i="23"/>
  <c r="E20" i="23"/>
  <c r="F20" i="23"/>
  <c r="H20" i="23"/>
  <c r="G19" i="23"/>
  <c r="E19" i="23"/>
  <c r="F19" i="23"/>
  <c r="H19" i="23"/>
  <c r="G18" i="23"/>
  <c r="E18" i="23"/>
  <c r="F18" i="23"/>
  <c r="H18" i="23"/>
  <c r="G17" i="23"/>
  <c r="E17" i="23"/>
  <c r="F17" i="23"/>
  <c r="H17" i="23"/>
  <c r="G14" i="23"/>
  <c r="E14" i="23"/>
  <c r="F14" i="23"/>
  <c r="H14" i="23"/>
  <c r="G13" i="23"/>
  <c r="E13" i="23"/>
  <c r="F13" i="23"/>
  <c r="H13" i="23"/>
  <c r="G12" i="23"/>
  <c r="E12" i="23"/>
  <c r="F12" i="23"/>
  <c r="H12" i="23"/>
  <c r="G11" i="23"/>
  <c r="E11" i="23"/>
  <c r="F11" i="23"/>
  <c r="H11" i="23"/>
  <c r="G10" i="23"/>
  <c r="E10" i="23"/>
  <c r="F10" i="23"/>
  <c r="H10" i="23"/>
  <c r="G9" i="23"/>
  <c r="E9" i="23"/>
  <c r="F9" i="23"/>
  <c r="H9" i="23"/>
  <c r="G8" i="23"/>
  <c r="E8" i="23"/>
  <c r="F8" i="23"/>
  <c r="H8" i="23"/>
  <c r="G7" i="23"/>
  <c r="E7" i="23"/>
  <c r="F7" i="23"/>
  <c r="H7" i="23"/>
  <c r="G6" i="23"/>
  <c r="G37" i="23"/>
  <c r="C24" i="1"/>
  <c r="E6" i="23"/>
  <c r="F6" i="23"/>
  <c r="E49" i="18"/>
  <c r="C45" i="18"/>
  <c r="G36" i="18"/>
  <c r="E36" i="18"/>
  <c r="F36" i="18"/>
  <c r="H36" i="18"/>
  <c r="G35" i="18"/>
  <c r="E35" i="18"/>
  <c r="F35" i="18"/>
  <c r="H35" i="18"/>
  <c r="G34" i="18"/>
  <c r="E34" i="18"/>
  <c r="F34" i="18"/>
  <c r="H34" i="18"/>
  <c r="G33" i="18"/>
  <c r="E33" i="18"/>
  <c r="F33" i="18"/>
  <c r="H33" i="18"/>
  <c r="G32" i="18"/>
  <c r="E32" i="18"/>
  <c r="F32" i="18"/>
  <c r="H32" i="18"/>
  <c r="G31" i="18"/>
  <c r="E31" i="18"/>
  <c r="F31" i="18"/>
  <c r="H31" i="18"/>
  <c r="G30" i="18"/>
  <c r="E30" i="18"/>
  <c r="F30" i="18"/>
  <c r="H30" i="18"/>
  <c r="G29" i="18"/>
  <c r="E29" i="18"/>
  <c r="F29" i="18"/>
  <c r="H29" i="18"/>
  <c r="G28" i="18"/>
  <c r="E28" i="18"/>
  <c r="F28" i="18"/>
  <c r="H28" i="18"/>
  <c r="G27" i="18"/>
  <c r="E27" i="18"/>
  <c r="F27" i="18"/>
  <c r="H27" i="18"/>
  <c r="G26" i="18"/>
  <c r="E26" i="18"/>
  <c r="F26" i="18"/>
  <c r="H26" i="18"/>
  <c r="G25" i="18"/>
  <c r="E25" i="18"/>
  <c r="F25" i="18"/>
  <c r="H25" i="18"/>
  <c r="G24" i="18"/>
  <c r="E24" i="18"/>
  <c r="F24" i="18"/>
  <c r="H24" i="18"/>
  <c r="G23" i="18"/>
  <c r="E23" i="18"/>
  <c r="F23" i="18"/>
  <c r="H23" i="18"/>
  <c r="G22" i="18"/>
  <c r="E22" i="18"/>
  <c r="F22" i="18"/>
  <c r="H22" i="18"/>
  <c r="G21" i="18"/>
  <c r="E21" i="18"/>
  <c r="F21" i="18" s="1"/>
  <c r="H21" i="18" s="1"/>
  <c r="G20" i="18"/>
  <c r="E20" i="18"/>
  <c r="F20" i="18"/>
  <c r="H20" i="18"/>
  <c r="G19" i="18"/>
  <c r="E19" i="18"/>
  <c r="F19" i="18"/>
  <c r="H19" i="18"/>
  <c r="G18" i="18"/>
  <c r="E18" i="18"/>
  <c r="F18" i="18"/>
  <c r="H18" i="18"/>
  <c r="G17" i="18"/>
  <c r="E17" i="18"/>
  <c r="F17" i="18"/>
  <c r="H17" i="18" s="1"/>
  <c r="G14" i="18"/>
  <c r="E14" i="18"/>
  <c r="F14" i="18"/>
  <c r="H14" i="18"/>
  <c r="G13" i="18"/>
  <c r="E13" i="18"/>
  <c r="G12" i="18"/>
  <c r="E12" i="18"/>
  <c r="F12" i="18"/>
  <c r="H12" i="18"/>
  <c r="G11" i="18"/>
  <c r="E11" i="18"/>
  <c r="F11" i="18" s="1"/>
  <c r="G10" i="18"/>
  <c r="E10" i="18"/>
  <c r="F10" i="18" s="1"/>
  <c r="H10" i="18" s="1"/>
  <c r="G9" i="18"/>
  <c r="E9" i="18"/>
  <c r="F9" i="18"/>
  <c r="H9" i="18"/>
  <c r="G8" i="18"/>
  <c r="E8" i="18"/>
  <c r="F8" i="18"/>
  <c r="G7" i="18"/>
  <c r="E7" i="18"/>
  <c r="F7" i="18"/>
  <c r="H7" i="18"/>
  <c r="G6" i="18"/>
  <c r="E6" i="18"/>
  <c r="F6" i="18"/>
  <c r="E49" i="17"/>
  <c r="C45" i="17"/>
  <c r="G36" i="17"/>
  <c r="E36" i="17"/>
  <c r="F36" i="17"/>
  <c r="H36" i="17"/>
  <c r="G35" i="17"/>
  <c r="E35" i="17"/>
  <c r="F35" i="17"/>
  <c r="H35" i="17"/>
  <c r="G34" i="17"/>
  <c r="E34" i="17"/>
  <c r="F34" i="17"/>
  <c r="H34" i="17"/>
  <c r="G33" i="17"/>
  <c r="E33" i="17"/>
  <c r="F33" i="17"/>
  <c r="H33" i="17"/>
  <c r="G32" i="17"/>
  <c r="E32" i="17"/>
  <c r="F32" i="17"/>
  <c r="H32" i="17"/>
  <c r="G31" i="17"/>
  <c r="E31" i="17"/>
  <c r="F31" i="17"/>
  <c r="H31" i="17"/>
  <c r="G30" i="17"/>
  <c r="E30" i="17"/>
  <c r="F30" i="17"/>
  <c r="H30" i="17"/>
  <c r="G29" i="17"/>
  <c r="E29" i="17"/>
  <c r="F29" i="17"/>
  <c r="H29" i="17"/>
  <c r="G28" i="17"/>
  <c r="E28" i="17"/>
  <c r="F28" i="17"/>
  <c r="H28" i="17"/>
  <c r="G27" i="17"/>
  <c r="E27" i="17"/>
  <c r="F27" i="17"/>
  <c r="H27" i="17"/>
  <c r="G26" i="17"/>
  <c r="E26" i="17"/>
  <c r="F26" i="17"/>
  <c r="H26" i="17"/>
  <c r="G25" i="17"/>
  <c r="E25" i="17"/>
  <c r="F25" i="17"/>
  <c r="H25" i="17"/>
  <c r="G24" i="17"/>
  <c r="E24" i="17"/>
  <c r="F24" i="17"/>
  <c r="H24" i="17"/>
  <c r="G23" i="17"/>
  <c r="E23" i="17"/>
  <c r="F23" i="17"/>
  <c r="H23" i="17"/>
  <c r="G22" i="17"/>
  <c r="E22" i="17"/>
  <c r="F22" i="17"/>
  <c r="H22" i="17"/>
  <c r="G21" i="17"/>
  <c r="E21" i="17"/>
  <c r="F21" i="17"/>
  <c r="H21" i="17"/>
  <c r="G20" i="17"/>
  <c r="E20" i="17"/>
  <c r="F20" i="17"/>
  <c r="H20" i="17"/>
  <c r="G19" i="17"/>
  <c r="E19" i="17"/>
  <c r="F19" i="17"/>
  <c r="H19" i="17"/>
  <c r="G18" i="17"/>
  <c r="E18" i="17"/>
  <c r="F18" i="17"/>
  <c r="H18" i="17"/>
  <c r="G17" i="17"/>
  <c r="E17" i="17"/>
  <c r="F17" i="17"/>
  <c r="H17" i="17"/>
  <c r="G14" i="17"/>
  <c r="E14" i="17"/>
  <c r="F14" i="17"/>
  <c r="H14" i="17"/>
  <c r="G13" i="17"/>
  <c r="E13" i="17"/>
  <c r="F13" i="17"/>
  <c r="H13" i="17"/>
  <c r="G12" i="17"/>
  <c r="E12" i="17"/>
  <c r="F12" i="17"/>
  <c r="H12" i="17"/>
  <c r="G11" i="17"/>
  <c r="E11" i="17"/>
  <c r="F11" i="17"/>
  <c r="H11" i="17"/>
  <c r="G10" i="17"/>
  <c r="E10" i="17"/>
  <c r="F10" i="17"/>
  <c r="G9" i="17"/>
  <c r="E9" i="17"/>
  <c r="F9" i="17"/>
  <c r="H9" i="17"/>
  <c r="G8" i="17"/>
  <c r="E8" i="17"/>
  <c r="F8" i="17"/>
  <c r="H8" i="17"/>
  <c r="G7" i="17"/>
  <c r="E7" i="17"/>
  <c r="F7" i="17"/>
  <c r="H7" i="17"/>
  <c r="G6" i="17"/>
  <c r="G37" i="17"/>
  <c r="C21" i="1"/>
  <c r="E6" i="17"/>
  <c r="F6" i="17"/>
  <c r="E49" i="16"/>
  <c r="E62" i="16"/>
  <c r="C45" i="16"/>
  <c r="G36" i="16"/>
  <c r="E36" i="16"/>
  <c r="F36" i="16"/>
  <c r="H36" i="16"/>
  <c r="G35" i="16"/>
  <c r="E35" i="16"/>
  <c r="F35" i="16"/>
  <c r="H35" i="16"/>
  <c r="G34" i="16"/>
  <c r="E34" i="16"/>
  <c r="F34" i="16"/>
  <c r="H34" i="16"/>
  <c r="G33" i="16"/>
  <c r="E33" i="16"/>
  <c r="F33" i="16"/>
  <c r="H33" i="16"/>
  <c r="G32" i="16"/>
  <c r="E32" i="16"/>
  <c r="F32" i="16"/>
  <c r="H32" i="16"/>
  <c r="G31" i="16"/>
  <c r="E31" i="16"/>
  <c r="F31" i="16"/>
  <c r="H31" i="16"/>
  <c r="G30" i="16"/>
  <c r="E30" i="16"/>
  <c r="F30" i="16"/>
  <c r="H30" i="16"/>
  <c r="G29" i="16"/>
  <c r="E29" i="16"/>
  <c r="F29" i="16"/>
  <c r="H29" i="16"/>
  <c r="G28" i="16"/>
  <c r="E28" i="16"/>
  <c r="F28" i="16"/>
  <c r="H28" i="16"/>
  <c r="G27" i="16"/>
  <c r="E27" i="16"/>
  <c r="F27" i="16"/>
  <c r="H27" i="16"/>
  <c r="G26" i="16"/>
  <c r="E26" i="16"/>
  <c r="F26" i="16"/>
  <c r="H26" i="16"/>
  <c r="G25" i="16"/>
  <c r="E25" i="16"/>
  <c r="F25" i="16"/>
  <c r="H25" i="16"/>
  <c r="G24" i="16"/>
  <c r="E24" i="16"/>
  <c r="F24" i="16"/>
  <c r="H24" i="16"/>
  <c r="G23" i="16"/>
  <c r="E23" i="16"/>
  <c r="F23" i="16"/>
  <c r="H23" i="16"/>
  <c r="G22" i="16"/>
  <c r="E22" i="16"/>
  <c r="F22" i="16"/>
  <c r="H22" i="16"/>
  <c r="G21" i="16"/>
  <c r="E21" i="16"/>
  <c r="F21" i="16"/>
  <c r="H21" i="16"/>
  <c r="G20" i="16"/>
  <c r="E20" i="16"/>
  <c r="F20" i="16"/>
  <c r="H20" i="16"/>
  <c r="G19" i="16"/>
  <c r="E19" i="16"/>
  <c r="F19" i="16"/>
  <c r="H19" i="16"/>
  <c r="G18" i="16"/>
  <c r="E18" i="16"/>
  <c r="F18" i="16"/>
  <c r="H18" i="16"/>
  <c r="G17" i="16"/>
  <c r="E17" i="16"/>
  <c r="F17" i="16"/>
  <c r="H17" i="16"/>
  <c r="G14" i="16"/>
  <c r="E14" i="16"/>
  <c r="F14" i="16"/>
  <c r="H14" i="16"/>
  <c r="G13" i="16"/>
  <c r="E13" i="16"/>
  <c r="F13" i="16"/>
  <c r="H13" i="16"/>
  <c r="G12" i="16"/>
  <c r="E12" i="16"/>
  <c r="F12" i="16"/>
  <c r="H12" i="16"/>
  <c r="G11" i="16"/>
  <c r="E11" i="16"/>
  <c r="F11" i="16"/>
  <c r="H11" i="16"/>
  <c r="G10" i="16"/>
  <c r="E10" i="16"/>
  <c r="F10" i="16"/>
  <c r="G9" i="16"/>
  <c r="E9" i="16"/>
  <c r="F9" i="16"/>
  <c r="H9" i="16"/>
  <c r="G8" i="16"/>
  <c r="E8" i="16"/>
  <c r="F8" i="16"/>
  <c r="H8" i="16"/>
  <c r="G7" i="16"/>
  <c r="E7" i="16"/>
  <c r="F7" i="16"/>
  <c r="H7" i="16"/>
  <c r="G6" i="16"/>
  <c r="G37" i="16"/>
  <c r="C20" i="1"/>
  <c r="E6" i="16"/>
  <c r="F6" i="16"/>
  <c r="E49" i="14"/>
  <c r="E62" i="14"/>
  <c r="C45" i="14"/>
  <c r="G36" i="14"/>
  <c r="E36" i="14"/>
  <c r="F36" i="14"/>
  <c r="H36" i="14"/>
  <c r="G35" i="14"/>
  <c r="E35" i="14"/>
  <c r="F35" i="14"/>
  <c r="H35" i="14"/>
  <c r="G34" i="14"/>
  <c r="E34" i="14"/>
  <c r="F34" i="14"/>
  <c r="H34" i="14"/>
  <c r="G33" i="14"/>
  <c r="E33" i="14"/>
  <c r="F33" i="14"/>
  <c r="H33" i="14"/>
  <c r="G32" i="14"/>
  <c r="E32" i="14"/>
  <c r="F32" i="14"/>
  <c r="H32" i="14"/>
  <c r="G31" i="14"/>
  <c r="E31" i="14"/>
  <c r="F31" i="14"/>
  <c r="H31" i="14"/>
  <c r="G30" i="14"/>
  <c r="E30" i="14"/>
  <c r="F30" i="14"/>
  <c r="H30" i="14"/>
  <c r="G29" i="14"/>
  <c r="E29" i="14"/>
  <c r="F29" i="14"/>
  <c r="H29" i="14"/>
  <c r="G28" i="14"/>
  <c r="E28" i="14"/>
  <c r="F28" i="14"/>
  <c r="H28" i="14"/>
  <c r="G27" i="14"/>
  <c r="E27" i="14"/>
  <c r="F27" i="14"/>
  <c r="H27" i="14"/>
  <c r="G26" i="14"/>
  <c r="E26" i="14"/>
  <c r="F26" i="14"/>
  <c r="H26" i="14"/>
  <c r="G25" i="14"/>
  <c r="E25" i="14"/>
  <c r="F25" i="14"/>
  <c r="H25" i="14"/>
  <c r="G24" i="14"/>
  <c r="E24" i="14"/>
  <c r="F24" i="14"/>
  <c r="H24" i="14"/>
  <c r="G23" i="14"/>
  <c r="E23" i="14"/>
  <c r="F23" i="14"/>
  <c r="H23" i="14"/>
  <c r="G22" i="14"/>
  <c r="E22" i="14"/>
  <c r="F22" i="14"/>
  <c r="H22" i="14"/>
  <c r="G21" i="14"/>
  <c r="E21" i="14"/>
  <c r="F21" i="14"/>
  <c r="H21" i="14"/>
  <c r="G20" i="14"/>
  <c r="E20" i="14"/>
  <c r="F20" i="14"/>
  <c r="H20" i="14"/>
  <c r="G19" i="14"/>
  <c r="E19" i="14"/>
  <c r="F19" i="14"/>
  <c r="H19" i="14"/>
  <c r="G18" i="14"/>
  <c r="E18" i="14"/>
  <c r="F18" i="14"/>
  <c r="H18" i="14"/>
  <c r="G17" i="14"/>
  <c r="E17" i="14"/>
  <c r="F17" i="14"/>
  <c r="H17" i="14"/>
  <c r="G14" i="14"/>
  <c r="E14" i="14"/>
  <c r="F14" i="14"/>
  <c r="H14" i="14"/>
  <c r="G13" i="14"/>
  <c r="E13" i="14"/>
  <c r="F13" i="14"/>
  <c r="H13" i="14"/>
  <c r="G12" i="14"/>
  <c r="E12" i="14"/>
  <c r="F12" i="14"/>
  <c r="H12" i="14"/>
  <c r="G11" i="14"/>
  <c r="E11" i="14"/>
  <c r="F11" i="14"/>
  <c r="H11" i="14"/>
  <c r="G10" i="14"/>
  <c r="E10" i="14"/>
  <c r="F10" i="14"/>
  <c r="H10" i="14"/>
  <c r="G9" i="14"/>
  <c r="E9" i="14"/>
  <c r="F9" i="14"/>
  <c r="H9" i="14"/>
  <c r="G8" i="14"/>
  <c r="E8" i="14"/>
  <c r="F8" i="14"/>
  <c r="H8" i="14"/>
  <c r="G7" i="14"/>
  <c r="E7" i="14"/>
  <c r="F7" i="14"/>
  <c r="H7" i="14"/>
  <c r="G6" i="14"/>
  <c r="G37" i="14"/>
  <c r="C18" i="1"/>
  <c r="E6" i="14"/>
  <c r="F6" i="14"/>
  <c r="E49" i="13"/>
  <c r="C45" i="13"/>
  <c r="G36" i="13"/>
  <c r="E36" i="13"/>
  <c r="F36" i="13"/>
  <c r="H36" i="13"/>
  <c r="G35" i="13"/>
  <c r="E35" i="13"/>
  <c r="F35" i="13"/>
  <c r="H35" i="13"/>
  <c r="G34" i="13"/>
  <c r="E34" i="13"/>
  <c r="F34" i="13"/>
  <c r="H34" i="13"/>
  <c r="G33" i="13"/>
  <c r="E33" i="13"/>
  <c r="F33" i="13"/>
  <c r="H33" i="13"/>
  <c r="G32" i="13"/>
  <c r="E32" i="13"/>
  <c r="F32" i="13"/>
  <c r="H32" i="13"/>
  <c r="G31" i="13"/>
  <c r="E31" i="13"/>
  <c r="F31" i="13"/>
  <c r="H31" i="13"/>
  <c r="G30" i="13"/>
  <c r="E30" i="13"/>
  <c r="F30" i="13"/>
  <c r="H30" i="13"/>
  <c r="G29" i="13"/>
  <c r="E29" i="13"/>
  <c r="F29" i="13"/>
  <c r="H29" i="13"/>
  <c r="G28" i="13"/>
  <c r="E28" i="13"/>
  <c r="F28" i="13"/>
  <c r="H28" i="13"/>
  <c r="G27" i="13"/>
  <c r="E27" i="13"/>
  <c r="F27" i="13"/>
  <c r="H27" i="13"/>
  <c r="G26" i="13"/>
  <c r="E26" i="13"/>
  <c r="F26" i="13"/>
  <c r="H26" i="13"/>
  <c r="G25" i="13"/>
  <c r="E25" i="13"/>
  <c r="F25" i="13"/>
  <c r="H25" i="13"/>
  <c r="G24" i="13"/>
  <c r="E24" i="13"/>
  <c r="F24" i="13"/>
  <c r="H24" i="13"/>
  <c r="G23" i="13"/>
  <c r="E23" i="13"/>
  <c r="F23" i="13"/>
  <c r="H23" i="13"/>
  <c r="G22" i="13"/>
  <c r="E22" i="13"/>
  <c r="F22" i="13"/>
  <c r="H22" i="13"/>
  <c r="G21" i="13"/>
  <c r="E21" i="13"/>
  <c r="F21" i="13"/>
  <c r="H21" i="13"/>
  <c r="G20" i="13"/>
  <c r="E20" i="13"/>
  <c r="F20" i="13"/>
  <c r="H20" i="13"/>
  <c r="G19" i="13"/>
  <c r="E19" i="13"/>
  <c r="F19" i="13"/>
  <c r="H19" i="13"/>
  <c r="G18" i="13"/>
  <c r="E18" i="13"/>
  <c r="F18" i="13"/>
  <c r="H18" i="13"/>
  <c r="G17" i="13"/>
  <c r="E17" i="13"/>
  <c r="F17" i="13"/>
  <c r="H17" i="13"/>
  <c r="G14" i="13"/>
  <c r="E14" i="13"/>
  <c r="F14" i="13"/>
  <c r="H14" i="13"/>
  <c r="G13" i="13"/>
  <c r="E13" i="13"/>
  <c r="F13" i="13"/>
  <c r="H13" i="13"/>
  <c r="G12" i="13"/>
  <c r="E12" i="13"/>
  <c r="F12" i="13"/>
  <c r="H12" i="13"/>
  <c r="G11" i="13"/>
  <c r="E11" i="13"/>
  <c r="F11" i="13"/>
  <c r="H11" i="13"/>
  <c r="G10" i="13"/>
  <c r="E10" i="13"/>
  <c r="F10" i="13"/>
  <c r="H10" i="13"/>
  <c r="G9" i="13"/>
  <c r="E9" i="13"/>
  <c r="F9" i="13"/>
  <c r="H9" i="13"/>
  <c r="G8" i="13"/>
  <c r="E8" i="13"/>
  <c r="F8" i="13"/>
  <c r="H8" i="13"/>
  <c r="G7" i="13"/>
  <c r="E7" i="13"/>
  <c r="F7" i="13"/>
  <c r="H7" i="13"/>
  <c r="G6" i="13"/>
  <c r="E6" i="13"/>
  <c r="F6" i="13"/>
  <c r="E49" i="12"/>
  <c r="E62" i="12"/>
  <c r="C45" i="12"/>
  <c r="G36" i="12"/>
  <c r="E36" i="12"/>
  <c r="F36" i="12"/>
  <c r="H36" i="12"/>
  <c r="G35" i="12"/>
  <c r="E35" i="12"/>
  <c r="F35" i="12"/>
  <c r="H35" i="12"/>
  <c r="G34" i="12"/>
  <c r="E34" i="12"/>
  <c r="F34" i="12"/>
  <c r="H34" i="12"/>
  <c r="G33" i="12"/>
  <c r="E33" i="12"/>
  <c r="F33" i="12"/>
  <c r="H33" i="12"/>
  <c r="G32" i="12"/>
  <c r="E32" i="12"/>
  <c r="F32" i="12"/>
  <c r="H32" i="12"/>
  <c r="G31" i="12"/>
  <c r="E31" i="12"/>
  <c r="F31" i="12"/>
  <c r="H31" i="12"/>
  <c r="G30" i="12"/>
  <c r="E30" i="12"/>
  <c r="F30" i="12"/>
  <c r="H30" i="12"/>
  <c r="G29" i="12"/>
  <c r="E29" i="12"/>
  <c r="F29" i="12"/>
  <c r="H29" i="12"/>
  <c r="G28" i="12"/>
  <c r="E28" i="12"/>
  <c r="F28" i="12"/>
  <c r="H28" i="12"/>
  <c r="G27" i="12"/>
  <c r="E27" i="12"/>
  <c r="F27" i="12"/>
  <c r="H27" i="12"/>
  <c r="G26" i="12"/>
  <c r="E26" i="12"/>
  <c r="F26" i="12"/>
  <c r="H26" i="12"/>
  <c r="G25" i="12"/>
  <c r="E25" i="12"/>
  <c r="F25" i="12"/>
  <c r="H25" i="12"/>
  <c r="G24" i="12"/>
  <c r="E24" i="12"/>
  <c r="F24" i="12"/>
  <c r="H24" i="12"/>
  <c r="G23" i="12"/>
  <c r="E23" i="12"/>
  <c r="F23" i="12"/>
  <c r="H23" i="12"/>
  <c r="G22" i="12"/>
  <c r="E22" i="12"/>
  <c r="F22" i="12"/>
  <c r="H22" i="12"/>
  <c r="G21" i="12"/>
  <c r="E21" i="12"/>
  <c r="F21" i="12"/>
  <c r="H21" i="12"/>
  <c r="G20" i="12"/>
  <c r="E20" i="12"/>
  <c r="F20" i="12"/>
  <c r="H20" i="12"/>
  <c r="G19" i="12"/>
  <c r="E19" i="12"/>
  <c r="F19" i="12"/>
  <c r="H19" i="12"/>
  <c r="G18" i="12"/>
  <c r="E18" i="12"/>
  <c r="F18" i="12"/>
  <c r="H18" i="12"/>
  <c r="G17" i="12"/>
  <c r="E17" i="12"/>
  <c r="F17" i="12"/>
  <c r="H17" i="12"/>
  <c r="G14" i="12"/>
  <c r="E14" i="12"/>
  <c r="F14" i="12"/>
  <c r="H14" i="12"/>
  <c r="G13" i="12"/>
  <c r="E13" i="12"/>
  <c r="F13" i="12"/>
  <c r="H13" i="12"/>
  <c r="G12" i="12"/>
  <c r="E12" i="12"/>
  <c r="F12" i="12"/>
  <c r="H12" i="12"/>
  <c r="G11" i="12"/>
  <c r="E11" i="12"/>
  <c r="F11" i="12"/>
  <c r="H11" i="12"/>
  <c r="G10" i="12"/>
  <c r="E10" i="12"/>
  <c r="F10" i="12"/>
  <c r="H10" i="12"/>
  <c r="G9" i="12"/>
  <c r="E9" i="12"/>
  <c r="F9" i="12"/>
  <c r="H9" i="12"/>
  <c r="G8" i="12"/>
  <c r="E8" i="12"/>
  <c r="F8" i="12"/>
  <c r="H8" i="12"/>
  <c r="G7" i="12"/>
  <c r="E7" i="12"/>
  <c r="F7" i="12"/>
  <c r="H7" i="12"/>
  <c r="G6" i="12"/>
  <c r="E6" i="12"/>
  <c r="F6" i="12"/>
  <c r="E49" i="15"/>
  <c r="C45" i="15"/>
  <c r="G36" i="15"/>
  <c r="E36" i="15"/>
  <c r="F36" i="15"/>
  <c r="H36" i="15"/>
  <c r="G35" i="15"/>
  <c r="E35" i="15"/>
  <c r="F35" i="15"/>
  <c r="H35" i="15"/>
  <c r="G34" i="15"/>
  <c r="E34" i="15"/>
  <c r="F34" i="15"/>
  <c r="H34" i="15"/>
  <c r="G33" i="15"/>
  <c r="E33" i="15"/>
  <c r="F33" i="15"/>
  <c r="H33" i="15"/>
  <c r="G32" i="15"/>
  <c r="E32" i="15"/>
  <c r="F32" i="15"/>
  <c r="H32" i="15"/>
  <c r="G31" i="15"/>
  <c r="E31" i="15"/>
  <c r="F31" i="15"/>
  <c r="H31" i="15"/>
  <c r="G30" i="15"/>
  <c r="E30" i="15"/>
  <c r="F30" i="15"/>
  <c r="H30" i="15"/>
  <c r="G29" i="15"/>
  <c r="E29" i="15"/>
  <c r="F29" i="15"/>
  <c r="H29" i="15"/>
  <c r="G28" i="15"/>
  <c r="E28" i="15"/>
  <c r="F28" i="15"/>
  <c r="H28" i="15"/>
  <c r="G27" i="15"/>
  <c r="E27" i="15"/>
  <c r="F27" i="15"/>
  <c r="H27" i="15"/>
  <c r="G26" i="15"/>
  <c r="E26" i="15"/>
  <c r="F26" i="15"/>
  <c r="H26" i="15"/>
  <c r="G25" i="15"/>
  <c r="E25" i="15"/>
  <c r="F25" i="15"/>
  <c r="H25" i="15"/>
  <c r="G24" i="15"/>
  <c r="E24" i="15"/>
  <c r="F24" i="15"/>
  <c r="H24" i="15"/>
  <c r="G23" i="15"/>
  <c r="E23" i="15"/>
  <c r="F23" i="15"/>
  <c r="H23" i="15"/>
  <c r="G22" i="15"/>
  <c r="E22" i="15"/>
  <c r="F22" i="15"/>
  <c r="H22" i="15"/>
  <c r="G21" i="15"/>
  <c r="E21" i="15"/>
  <c r="F21" i="15"/>
  <c r="H21" i="15"/>
  <c r="G20" i="15"/>
  <c r="E20" i="15"/>
  <c r="F20" i="15"/>
  <c r="H20" i="15"/>
  <c r="G19" i="15"/>
  <c r="E19" i="15"/>
  <c r="F19" i="15"/>
  <c r="H19" i="15"/>
  <c r="G18" i="15"/>
  <c r="E18" i="15"/>
  <c r="F18" i="15"/>
  <c r="H18" i="15"/>
  <c r="G17" i="15"/>
  <c r="E17" i="15"/>
  <c r="F17" i="15"/>
  <c r="H17" i="15"/>
  <c r="G14" i="15"/>
  <c r="E14" i="15"/>
  <c r="F14" i="15"/>
  <c r="H14" i="15"/>
  <c r="G13" i="15"/>
  <c r="E13" i="15"/>
  <c r="F13" i="15"/>
  <c r="H13" i="15"/>
  <c r="G12" i="15"/>
  <c r="E12" i="15"/>
  <c r="F12" i="15"/>
  <c r="H12" i="15"/>
  <c r="G11" i="15"/>
  <c r="E11" i="15"/>
  <c r="F11" i="15"/>
  <c r="H11" i="15"/>
  <c r="G10" i="15"/>
  <c r="E10" i="15"/>
  <c r="F10" i="15"/>
  <c r="H10" i="15"/>
  <c r="G9" i="15"/>
  <c r="E9" i="15"/>
  <c r="F9" i="15"/>
  <c r="H9" i="15"/>
  <c r="G8" i="15"/>
  <c r="E8" i="15"/>
  <c r="F8" i="15"/>
  <c r="H8" i="15"/>
  <c r="G7" i="15"/>
  <c r="E7" i="15"/>
  <c r="F7" i="15"/>
  <c r="H7" i="15"/>
  <c r="G6" i="15"/>
  <c r="E6" i="15"/>
  <c r="F6" i="15"/>
  <c r="E49" i="11"/>
  <c r="C45" i="11"/>
  <c r="G36" i="11"/>
  <c r="E36" i="11"/>
  <c r="F36" i="11"/>
  <c r="H36" i="11"/>
  <c r="G35" i="11"/>
  <c r="E35" i="11"/>
  <c r="F35" i="11"/>
  <c r="G34" i="11"/>
  <c r="E34" i="11"/>
  <c r="F34" i="11"/>
  <c r="H34" i="11"/>
  <c r="G33" i="11"/>
  <c r="E33" i="11"/>
  <c r="F33" i="11"/>
  <c r="G32" i="11"/>
  <c r="E32" i="11"/>
  <c r="F32" i="11"/>
  <c r="H32" i="11"/>
  <c r="G31" i="11"/>
  <c r="E31" i="11"/>
  <c r="F31" i="11"/>
  <c r="G30" i="11"/>
  <c r="E30" i="11"/>
  <c r="F30" i="11"/>
  <c r="H30" i="11"/>
  <c r="G29" i="11"/>
  <c r="E29" i="11"/>
  <c r="F29" i="11"/>
  <c r="G28" i="11"/>
  <c r="E28" i="11"/>
  <c r="F28" i="11"/>
  <c r="H28" i="11"/>
  <c r="G27" i="11"/>
  <c r="E27" i="11"/>
  <c r="F27" i="11"/>
  <c r="G26" i="11"/>
  <c r="E26" i="11"/>
  <c r="F26" i="11"/>
  <c r="H26" i="11"/>
  <c r="G25" i="11"/>
  <c r="E25" i="11"/>
  <c r="F25" i="11"/>
  <c r="G24" i="11"/>
  <c r="E24" i="11"/>
  <c r="F24" i="11"/>
  <c r="H24" i="11"/>
  <c r="G23" i="11"/>
  <c r="E23" i="11"/>
  <c r="F23" i="11"/>
  <c r="G22" i="11"/>
  <c r="E22" i="11"/>
  <c r="F22" i="11"/>
  <c r="H22" i="11"/>
  <c r="G21" i="11"/>
  <c r="E21" i="11"/>
  <c r="F21" i="11"/>
  <c r="G20" i="11"/>
  <c r="E20" i="11"/>
  <c r="F20" i="11"/>
  <c r="H20" i="11"/>
  <c r="G19" i="11"/>
  <c r="E19" i="11"/>
  <c r="F19" i="11"/>
  <c r="G18" i="11"/>
  <c r="E18" i="11"/>
  <c r="F18" i="11"/>
  <c r="H18" i="11"/>
  <c r="G17" i="11"/>
  <c r="E17" i="11"/>
  <c r="F17" i="11"/>
  <c r="G14" i="11"/>
  <c r="E14" i="11"/>
  <c r="F14" i="11"/>
  <c r="H14" i="11"/>
  <c r="G13" i="11"/>
  <c r="E13" i="11"/>
  <c r="F13" i="11"/>
  <c r="H13" i="11"/>
  <c r="G12" i="11"/>
  <c r="E12" i="11"/>
  <c r="F12" i="11"/>
  <c r="H12" i="11"/>
  <c r="G11" i="11"/>
  <c r="E11" i="11"/>
  <c r="F11" i="11"/>
  <c r="H11" i="11"/>
  <c r="G10" i="11"/>
  <c r="E10" i="11"/>
  <c r="F10" i="11"/>
  <c r="H10" i="11"/>
  <c r="G9" i="11"/>
  <c r="E9" i="11"/>
  <c r="F9" i="11"/>
  <c r="H9" i="11"/>
  <c r="G8" i="11"/>
  <c r="E8" i="11"/>
  <c r="F8" i="11"/>
  <c r="H8" i="11"/>
  <c r="G7" i="11"/>
  <c r="E7" i="11"/>
  <c r="F7" i="11"/>
  <c r="H7" i="11"/>
  <c r="G6" i="11"/>
  <c r="E6" i="11"/>
  <c r="F6" i="11"/>
  <c r="E49" i="10"/>
  <c r="C45" i="10"/>
  <c r="G36" i="10"/>
  <c r="E36" i="10"/>
  <c r="F36" i="10"/>
  <c r="H36" i="10"/>
  <c r="G35" i="10"/>
  <c r="E35" i="10"/>
  <c r="F35" i="10"/>
  <c r="H35" i="10"/>
  <c r="G34" i="10"/>
  <c r="E34" i="10"/>
  <c r="F34" i="10"/>
  <c r="H34" i="10"/>
  <c r="G33" i="10"/>
  <c r="E33" i="10"/>
  <c r="F33" i="10"/>
  <c r="H33" i="10"/>
  <c r="G32" i="10"/>
  <c r="E32" i="10"/>
  <c r="F32" i="10"/>
  <c r="H32" i="10"/>
  <c r="G31" i="10"/>
  <c r="E31" i="10"/>
  <c r="F31" i="10"/>
  <c r="H31" i="10"/>
  <c r="G30" i="10"/>
  <c r="E30" i="10"/>
  <c r="F30" i="10"/>
  <c r="H30" i="10"/>
  <c r="G29" i="10"/>
  <c r="E29" i="10"/>
  <c r="F29" i="10"/>
  <c r="H29" i="10"/>
  <c r="G28" i="10"/>
  <c r="E28" i="10"/>
  <c r="F28" i="10"/>
  <c r="H28" i="10"/>
  <c r="G27" i="10"/>
  <c r="E27" i="10"/>
  <c r="F27" i="10"/>
  <c r="H27" i="10"/>
  <c r="G26" i="10"/>
  <c r="E26" i="10"/>
  <c r="F26" i="10"/>
  <c r="H26" i="10"/>
  <c r="G25" i="10"/>
  <c r="E25" i="10"/>
  <c r="F25" i="10"/>
  <c r="H25" i="10"/>
  <c r="G24" i="10"/>
  <c r="E24" i="10"/>
  <c r="F24" i="10"/>
  <c r="H24" i="10"/>
  <c r="G23" i="10"/>
  <c r="E23" i="10"/>
  <c r="F23" i="10"/>
  <c r="H23" i="10"/>
  <c r="G22" i="10"/>
  <c r="E22" i="10"/>
  <c r="F22" i="10"/>
  <c r="H22" i="10"/>
  <c r="G21" i="10"/>
  <c r="E21" i="10"/>
  <c r="F21" i="10"/>
  <c r="H21" i="10"/>
  <c r="G20" i="10"/>
  <c r="E20" i="10"/>
  <c r="F20" i="10"/>
  <c r="H20" i="10"/>
  <c r="G19" i="10"/>
  <c r="E19" i="10"/>
  <c r="F19" i="10"/>
  <c r="H19" i="10"/>
  <c r="G18" i="10"/>
  <c r="E18" i="10"/>
  <c r="F18" i="10"/>
  <c r="H18" i="10"/>
  <c r="G17" i="10"/>
  <c r="E17" i="10"/>
  <c r="F17" i="10"/>
  <c r="H17" i="10"/>
  <c r="G14" i="10"/>
  <c r="E14" i="10"/>
  <c r="F14" i="10"/>
  <c r="H14" i="10"/>
  <c r="G13" i="10"/>
  <c r="E13" i="10"/>
  <c r="F13" i="10"/>
  <c r="H13" i="10"/>
  <c r="G12" i="10"/>
  <c r="E12" i="10"/>
  <c r="F12" i="10"/>
  <c r="H12" i="10"/>
  <c r="G11" i="10"/>
  <c r="E11" i="10"/>
  <c r="F11" i="10"/>
  <c r="H11" i="10"/>
  <c r="G10" i="10"/>
  <c r="E10" i="10"/>
  <c r="F10" i="10"/>
  <c r="H10" i="10"/>
  <c r="G9" i="10"/>
  <c r="E9" i="10"/>
  <c r="F9" i="10"/>
  <c r="H9" i="10"/>
  <c r="G8" i="10"/>
  <c r="E8" i="10"/>
  <c r="F8" i="10"/>
  <c r="H8" i="10"/>
  <c r="G7" i="10"/>
  <c r="E7" i="10"/>
  <c r="F7" i="10"/>
  <c r="H7" i="10"/>
  <c r="G6" i="10"/>
  <c r="G37" i="10"/>
  <c r="E6" i="10"/>
  <c r="F6" i="10"/>
  <c r="E49" i="9"/>
  <c r="E62" i="9"/>
  <c r="C45" i="9"/>
  <c r="G36" i="9"/>
  <c r="E36" i="9"/>
  <c r="F36" i="9"/>
  <c r="H36" i="9"/>
  <c r="G35" i="9"/>
  <c r="E35" i="9"/>
  <c r="F35" i="9"/>
  <c r="H35" i="9"/>
  <c r="G34" i="9"/>
  <c r="E34" i="9"/>
  <c r="F34" i="9"/>
  <c r="H34" i="9"/>
  <c r="G33" i="9"/>
  <c r="E33" i="9"/>
  <c r="F33" i="9"/>
  <c r="H33" i="9"/>
  <c r="G32" i="9"/>
  <c r="E32" i="9"/>
  <c r="F32" i="9"/>
  <c r="H32" i="9"/>
  <c r="G31" i="9"/>
  <c r="E31" i="9"/>
  <c r="F31" i="9"/>
  <c r="H31" i="9"/>
  <c r="G30" i="9"/>
  <c r="E30" i="9"/>
  <c r="F30" i="9"/>
  <c r="H30" i="9"/>
  <c r="G29" i="9"/>
  <c r="E29" i="9"/>
  <c r="F29" i="9"/>
  <c r="H29" i="9"/>
  <c r="G28" i="9"/>
  <c r="E28" i="9"/>
  <c r="F28" i="9"/>
  <c r="H28" i="9"/>
  <c r="G27" i="9"/>
  <c r="E27" i="9"/>
  <c r="F27" i="9"/>
  <c r="H27" i="9"/>
  <c r="G26" i="9"/>
  <c r="E26" i="9"/>
  <c r="F26" i="9"/>
  <c r="H26" i="9"/>
  <c r="G25" i="9"/>
  <c r="E25" i="9"/>
  <c r="F25" i="9"/>
  <c r="H25" i="9"/>
  <c r="G24" i="9"/>
  <c r="E24" i="9"/>
  <c r="F24" i="9"/>
  <c r="H24" i="9"/>
  <c r="G23" i="9"/>
  <c r="E23" i="9"/>
  <c r="F23" i="9"/>
  <c r="H23" i="9"/>
  <c r="G22" i="9"/>
  <c r="E22" i="9"/>
  <c r="F22" i="9"/>
  <c r="H22" i="9"/>
  <c r="G21" i="9"/>
  <c r="E21" i="9"/>
  <c r="F21" i="9"/>
  <c r="H21" i="9"/>
  <c r="G20" i="9"/>
  <c r="E20" i="9"/>
  <c r="F20" i="9"/>
  <c r="H20" i="9"/>
  <c r="G19" i="9"/>
  <c r="E19" i="9"/>
  <c r="F19" i="9"/>
  <c r="H19" i="9"/>
  <c r="G18" i="9"/>
  <c r="E18" i="9"/>
  <c r="F18" i="9"/>
  <c r="H18" i="9"/>
  <c r="G17" i="9"/>
  <c r="E17" i="9"/>
  <c r="F17" i="9"/>
  <c r="H17" i="9"/>
  <c r="G14" i="9"/>
  <c r="E14" i="9"/>
  <c r="F14" i="9"/>
  <c r="H14" i="9"/>
  <c r="G13" i="9"/>
  <c r="E13" i="9"/>
  <c r="F13" i="9"/>
  <c r="H13" i="9"/>
  <c r="G12" i="9"/>
  <c r="E12" i="9"/>
  <c r="F12" i="9"/>
  <c r="H12" i="9"/>
  <c r="G11" i="9"/>
  <c r="E11" i="9"/>
  <c r="F11" i="9"/>
  <c r="H11" i="9"/>
  <c r="G10" i="9"/>
  <c r="E10" i="9"/>
  <c r="F10" i="9"/>
  <c r="H10" i="9"/>
  <c r="G9" i="9"/>
  <c r="E9" i="9"/>
  <c r="F9" i="9"/>
  <c r="H9" i="9"/>
  <c r="G8" i="9"/>
  <c r="E8" i="9"/>
  <c r="F8" i="9"/>
  <c r="H8" i="9"/>
  <c r="G7" i="9"/>
  <c r="E7" i="9"/>
  <c r="F7" i="9"/>
  <c r="H7" i="9"/>
  <c r="G6" i="9"/>
  <c r="E6" i="9"/>
  <c r="F6" i="9"/>
  <c r="E49" i="22"/>
  <c r="C45" i="22"/>
  <c r="C37" i="1" s="1"/>
  <c r="G36" i="22"/>
  <c r="E36" i="22"/>
  <c r="F36" i="22"/>
  <c r="H36" i="22"/>
  <c r="G35" i="22"/>
  <c r="E35" i="22"/>
  <c r="F35" i="22"/>
  <c r="G34" i="22"/>
  <c r="E34" i="22"/>
  <c r="F34" i="22"/>
  <c r="H34" i="22"/>
  <c r="G33" i="22"/>
  <c r="E33" i="22"/>
  <c r="F33" i="22"/>
  <c r="G32" i="22"/>
  <c r="E32" i="22"/>
  <c r="F32" i="22"/>
  <c r="H32" i="22"/>
  <c r="G31" i="22"/>
  <c r="E31" i="22"/>
  <c r="F31" i="22"/>
  <c r="G30" i="22"/>
  <c r="E30" i="22"/>
  <c r="F30" i="22"/>
  <c r="H30" i="22"/>
  <c r="G29" i="22"/>
  <c r="E29" i="22"/>
  <c r="F29" i="22"/>
  <c r="G28" i="22"/>
  <c r="E28" i="22"/>
  <c r="F28" i="22"/>
  <c r="H28" i="22"/>
  <c r="G27" i="22"/>
  <c r="E27" i="22"/>
  <c r="F27" i="22"/>
  <c r="G26" i="22"/>
  <c r="E26" i="22"/>
  <c r="F26" i="22"/>
  <c r="H26" i="22"/>
  <c r="G25" i="22"/>
  <c r="E25" i="22"/>
  <c r="F25" i="22"/>
  <c r="G24" i="22"/>
  <c r="E24" i="22"/>
  <c r="F24" i="22"/>
  <c r="H24" i="22"/>
  <c r="G23" i="22"/>
  <c r="E23" i="22"/>
  <c r="F23" i="22"/>
  <c r="G22" i="22"/>
  <c r="E22" i="22"/>
  <c r="F22" i="22"/>
  <c r="H22" i="22"/>
  <c r="G21" i="22"/>
  <c r="E21" i="22"/>
  <c r="F21" i="22"/>
  <c r="G20" i="22"/>
  <c r="E20" i="22"/>
  <c r="F20" i="22"/>
  <c r="H20" i="22"/>
  <c r="G19" i="22"/>
  <c r="E19" i="22"/>
  <c r="F19" i="22"/>
  <c r="H19" i="22"/>
  <c r="G18" i="22"/>
  <c r="E18" i="22"/>
  <c r="F18" i="22"/>
  <c r="H18" i="22"/>
  <c r="G17" i="22"/>
  <c r="E17" i="22"/>
  <c r="F17" i="22"/>
  <c r="H17" i="22"/>
  <c r="G14" i="22"/>
  <c r="E14" i="22"/>
  <c r="F14" i="22"/>
  <c r="H14" i="22"/>
  <c r="G13" i="22"/>
  <c r="E13" i="22"/>
  <c r="F13" i="22"/>
  <c r="H13" i="22"/>
  <c r="G12" i="22"/>
  <c r="G37" i="22" s="1"/>
  <c r="C12" i="1" s="1"/>
  <c r="E12" i="22"/>
  <c r="F12" i="22"/>
  <c r="G11" i="22"/>
  <c r="E11" i="22"/>
  <c r="F11" i="22"/>
  <c r="H11" i="22"/>
  <c r="G10" i="22"/>
  <c r="E10" i="22"/>
  <c r="F10" i="22" s="1"/>
  <c r="G9" i="22"/>
  <c r="E9" i="22"/>
  <c r="F9" i="22"/>
  <c r="H9" i="22"/>
  <c r="G8" i="22"/>
  <c r="E8" i="22"/>
  <c r="F8" i="22"/>
  <c r="H8" i="22"/>
  <c r="G7" i="22"/>
  <c r="E7" i="22"/>
  <c r="E37" i="22" s="1"/>
  <c r="G6" i="22"/>
  <c r="E6" i="22"/>
  <c r="F6" i="22"/>
  <c r="E49" i="8"/>
  <c r="E62" i="8"/>
  <c r="C45" i="8"/>
  <c r="G36" i="8"/>
  <c r="E36" i="8"/>
  <c r="F36" i="8"/>
  <c r="H36" i="8"/>
  <c r="G35" i="8"/>
  <c r="E35" i="8"/>
  <c r="F35" i="8"/>
  <c r="H35" i="8"/>
  <c r="G34" i="8"/>
  <c r="E34" i="8"/>
  <c r="F34" i="8"/>
  <c r="H34" i="8"/>
  <c r="G33" i="8"/>
  <c r="E33" i="8"/>
  <c r="F33" i="8"/>
  <c r="H33" i="8"/>
  <c r="G32" i="8"/>
  <c r="E32" i="8"/>
  <c r="F32" i="8"/>
  <c r="H32" i="8"/>
  <c r="G31" i="8"/>
  <c r="E31" i="8"/>
  <c r="F31" i="8"/>
  <c r="H31" i="8"/>
  <c r="G30" i="8"/>
  <c r="E30" i="8"/>
  <c r="F30" i="8"/>
  <c r="H30" i="8"/>
  <c r="G29" i="8"/>
  <c r="E29" i="8"/>
  <c r="F29" i="8"/>
  <c r="H29" i="8"/>
  <c r="G28" i="8"/>
  <c r="E28" i="8"/>
  <c r="F28" i="8"/>
  <c r="H28" i="8"/>
  <c r="G27" i="8"/>
  <c r="E27" i="8"/>
  <c r="F27" i="8"/>
  <c r="H27" i="8"/>
  <c r="G26" i="8"/>
  <c r="E26" i="8"/>
  <c r="F26" i="8"/>
  <c r="H26" i="8"/>
  <c r="G25" i="8"/>
  <c r="E25" i="8"/>
  <c r="F25" i="8"/>
  <c r="H25" i="8"/>
  <c r="G24" i="8"/>
  <c r="E24" i="8"/>
  <c r="F24" i="8"/>
  <c r="H24" i="8"/>
  <c r="G23" i="8"/>
  <c r="E23" i="8"/>
  <c r="F23" i="8"/>
  <c r="H23" i="8"/>
  <c r="G22" i="8"/>
  <c r="E22" i="8"/>
  <c r="F22" i="8"/>
  <c r="H22" i="8"/>
  <c r="G21" i="8"/>
  <c r="E21" i="8"/>
  <c r="F21" i="8"/>
  <c r="H21" i="8"/>
  <c r="G20" i="8"/>
  <c r="E20" i="8"/>
  <c r="F20" i="8"/>
  <c r="H20" i="8"/>
  <c r="G19" i="8"/>
  <c r="E19" i="8"/>
  <c r="F19" i="8"/>
  <c r="H19" i="8"/>
  <c r="G18" i="8"/>
  <c r="E18" i="8"/>
  <c r="F18" i="8"/>
  <c r="H18" i="8"/>
  <c r="G17" i="8"/>
  <c r="E17" i="8"/>
  <c r="F17" i="8"/>
  <c r="H17" i="8"/>
  <c r="G14" i="8"/>
  <c r="E14" i="8"/>
  <c r="F14" i="8"/>
  <c r="H14" i="8"/>
  <c r="G13" i="8"/>
  <c r="E13" i="8"/>
  <c r="F13" i="8"/>
  <c r="H13" i="8"/>
  <c r="G12" i="8"/>
  <c r="E12" i="8"/>
  <c r="F12" i="8"/>
  <c r="H12" i="8"/>
  <c r="G11" i="8"/>
  <c r="E11" i="8"/>
  <c r="F11" i="8"/>
  <c r="H11" i="8"/>
  <c r="G10" i="8"/>
  <c r="E10" i="8"/>
  <c r="F10" i="8"/>
  <c r="G9" i="8"/>
  <c r="E9" i="8"/>
  <c r="F9" i="8"/>
  <c r="H9" i="8"/>
  <c r="G8" i="8"/>
  <c r="E8" i="8"/>
  <c r="F8" i="8"/>
  <c r="H8" i="8"/>
  <c r="G7" i="8"/>
  <c r="E7" i="8"/>
  <c r="F7" i="8"/>
  <c r="H7" i="8"/>
  <c r="G6" i="8"/>
  <c r="E6" i="8"/>
  <c r="F6" i="8"/>
  <c r="E49" i="6"/>
  <c r="E62" i="6"/>
  <c r="C45" i="6"/>
  <c r="G36" i="6"/>
  <c r="E36" i="6"/>
  <c r="F36" i="6"/>
  <c r="H36" i="6"/>
  <c r="G35" i="6"/>
  <c r="E35" i="6"/>
  <c r="F35" i="6"/>
  <c r="H35" i="6"/>
  <c r="G34" i="6"/>
  <c r="E34" i="6"/>
  <c r="F34" i="6"/>
  <c r="H34" i="6"/>
  <c r="G33" i="6"/>
  <c r="E33" i="6"/>
  <c r="F33" i="6"/>
  <c r="H33" i="6"/>
  <c r="G32" i="6"/>
  <c r="E32" i="6"/>
  <c r="F32" i="6"/>
  <c r="H32" i="6"/>
  <c r="G31" i="6"/>
  <c r="E31" i="6"/>
  <c r="F31" i="6"/>
  <c r="H31" i="6"/>
  <c r="G30" i="6"/>
  <c r="E30" i="6"/>
  <c r="F30" i="6"/>
  <c r="H30" i="6"/>
  <c r="G29" i="6"/>
  <c r="E29" i="6"/>
  <c r="F29" i="6"/>
  <c r="H29" i="6"/>
  <c r="G28" i="6"/>
  <c r="E28" i="6"/>
  <c r="F28" i="6"/>
  <c r="H28" i="6"/>
  <c r="G27" i="6"/>
  <c r="E27" i="6"/>
  <c r="F27" i="6"/>
  <c r="H27" i="6"/>
  <c r="G26" i="6"/>
  <c r="E26" i="6"/>
  <c r="F26" i="6"/>
  <c r="H26" i="6"/>
  <c r="G25" i="6"/>
  <c r="E25" i="6"/>
  <c r="F25" i="6"/>
  <c r="H25" i="6"/>
  <c r="G24" i="6"/>
  <c r="E24" i="6"/>
  <c r="F24" i="6"/>
  <c r="H24" i="6"/>
  <c r="G23" i="6"/>
  <c r="E23" i="6"/>
  <c r="F23" i="6"/>
  <c r="H23" i="6"/>
  <c r="G22" i="6"/>
  <c r="E22" i="6"/>
  <c r="F22" i="6"/>
  <c r="H22" i="6"/>
  <c r="G21" i="6"/>
  <c r="E21" i="6"/>
  <c r="F21" i="6"/>
  <c r="H21" i="6"/>
  <c r="G20" i="6"/>
  <c r="E20" i="6"/>
  <c r="F20" i="6"/>
  <c r="H20" i="6"/>
  <c r="G19" i="6"/>
  <c r="E19" i="6"/>
  <c r="F19" i="6"/>
  <c r="H19" i="6"/>
  <c r="G18" i="6"/>
  <c r="E18" i="6"/>
  <c r="F18" i="6"/>
  <c r="H18" i="6"/>
  <c r="G17" i="6"/>
  <c r="E17" i="6"/>
  <c r="F17" i="6"/>
  <c r="H17" i="6"/>
  <c r="G14" i="6"/>
  <c r="E14" i="6"/>
  <c r="F14" i="6"/>
  <c r="H14" i="6"/>
  <c r="G13" i="6"/>
  <c r="E13" i="6"/>
  <c r="F13" i="6"/>
  <c r="H13" i="6"/>
  <c r="G12" i="6"/>
  <c r="E12" i="6"/>
  <c r="F12" i="6"/>
  <c r="H12" i="6"/>
  <c r="G11" i="6"/>
  <c r="E11" i="6"/>
  <c r="F11" i="6"/>
  <c r="H11" i="6"/>
  <c r="G10" i="6"/>
  <c r="E10" i="6"/>
  <c r="F10" i="6"/>
  <c r="G9" i="6"/>
  <c r="E9" i="6"/>
  <c r="F9" i="6"/>
  <c r="H9" i="6"/>
  <c r="G8" i="6"/>
  <c r="E8" i="6"/>
  <c r="F8" i="6"/>
  <c r="H8" i="6"/>
  <c r="G7" i="6"/>
  <c r="E7" i="6"/>
  <c r="F7" i="6"/>
  <c r="H7" i="6"/>
  <c r="G6" i="6"/>
  <c r="G37" i="6"/>
  <c r="C9" i="1"/>
  <c r="E6" i="6"/>
  <c r="F6" i="6"/>
  <c r="E49" i="19"/>
  <c r="C45" i="19"/>
  <c r="G36" i="19"/>
  <c r="E36" i="19"/>
  <c r="F36" i="19"/>
  <c r="H36" i="19"/>
  <c r="G35" i="19"/>
  <c r="E35" i="19"/>
  <c r="F35" i="19"/>
  <c r="H35" i="19"/>
  <c r="G34" i="19"/>
  <c r="E34" i="19"/>
  <c r="F34" i="19"/>
  <c r="H34" i="19"/>
  <c r="G33" i="19"/>
  <c r="E33" i="19"/>
  <c r="F33" i="19"/>
  <c r="H33" i="19"/>
  <c r="G32" i="19"/>
  <c r="E32" i="19"/>
  <c r="F32" i="19"/>
  <c r="H32" i="19"/>
  <c r="G31" i="19"/>
  <c r="E31" i="19"/>
  <c r="F31" i="19"/>
  <c r="H31" i="19"/>
  <c r="G30" i="19"/>
  <c r="E30" i="19"/>
  <c r="F30" i="19"/>
  <c r="H30" i="19"/>
  <c r="G29" i="19"/>
  <c r="E29" i="19"/>
  <c r="F29" i="19"/>
  <c r="H29" i="19"/>
  <c r="G28" i="19"/>
  <c r="E28" i="19"/>
  <c r="F28" i="19"/>
  <c r="H28" i="19"/>
  <c r="G27" i="19"/>
  <c r="E27" i="19"/>
  <c r="F27" i="19"/>
  <c r="H27" i="19"/>
  <c r="G26" i="19"/>
  <c r="E26" i="19"/>
  <c r="F26" i="19"/>
  <c r="H26" i="19"/>
  <c r="G25" i="19"/>
  <c r="E25" i="19"/>
  <c r="F25" i="19"/>
  <c r="H25" i="19"/>
  <c r="G24" i="19"/>
  <c r="E24" i="19"/>
  <c r="F24" i="19"/>
  <c r="H24" i="19"/>
  <c r="G23" i="19"/>
  <c r="E23" i="19"/>
  <c r="F23" i="19"/>
  <c r="H23" i="19"/>
  <c r="G22" i="19"/>
  <c r="E22" i="19"/>
  <c r="F22" i="19"/>
  <c r="H22" i="19"/>
  <c r="G21" i="19"/>
  <c r="E21" i="19"/>
  <c r="F21" i="19"/>
  <c r="H21" i="19"/>
  <c r="G20" i="19"/>
  <c r="E20" i="19"/>
  <c r="F20" i="19"/>
  <c r="H20" i="19"/>
  <c r="G19" i="19"/>
  <c r="E19" i="19"/>
  <c r="F19" i="19"/>
  <c r="H19" i="19"/>
  <c r="G18" i="19"/>
  <c r="E18" i="19"/>
  <c r="F18" i="19"/>
  <c r="H18" i="19"/>
  <c r="G17" i="19"/>
  <c r="E17" i="19"/>
  <c r="F17" i="19"/>
  <c r="H17" i="19"/>
  <c r="G14" i="19"/>
  <c r="E14" i="19"/>
  <c r="F14" i="19"/>
  <c r="H14" i="19"/>
  <c r="G13" i="19"/>
  <c r="E13" i="19"/>
  <c r="F13" i="19"/>
  <c r="H13" i="19"/>
  <c r="G12" i="19"/>
  <c r="E12" i="19"/>
  <c r="F12" i="19"/>
  <c r="H12" i="19"/>
  <c r="G11" i="19"/>
  <c r="E11" i="19"/>
  <c r="F11" i="19"/>
  <c r="H11" i="19"/>
  <c r="G10" i="19"/>
  <c r="E10" i="19"/>
  <c r="F10" i="19"/>
  <c r="H10" i="19"/>
  <c r="G9" i="19"/>
  <c r="E9" i="19"/>
  <c r="F9" i="19"/>
  <c r="H9" i="19"/>
  <c r="G8" i="19"/>
  <c r="E8" i="19"/>
  <c r="F8" i="19"/>
  <c r="H8" i="19"/>
  <c r="G7" i="19"/>
  <c r="E7" i="19"/>
  <c r="F7" i="19"/>
  <c r="H7" i="19"/>
  <c r="G6" i="19"/>
  <c r="G37" i="19"/>
  <c r="C23" i="1"/>
  <c r="E6" i="19"/>
  <c r="F6" i="19"/>
  <c r="E49" i="7"/>
  <c r="E62" i="7"/>
  <c r="C45" i="7"/>
  <c r="G36" i="7"/>
  <c r="E36" i="7"/>
  <c r="F36" i="7"/>
  <c r="H36" i="7"/>
  <c r="G35" i="7"/>
  <c r="E35" i="7"/>
  <c r="F35" i="7"/>
  <c r="G34" i="7"/>
  <c r="E34" i="7"/>
  <c r="F34" i="7"/>
  <c r="H34" i="7"/>
  <c r="G33" i="7"/>
  <c r="E33" i="7"/>
  <c r="F33" i="7"/>
  <c r="G32" i="7"/>
  <c r="E32" i="7"/>
  <c r="F32" i="7"/>
  <c r="H32" i="7"/>
  <c r="G31" i="7"/>
  <c r="E31" i="7"/>
  <c r="F31" i="7"/>
  <c r="G30" i="7"/>
  <c r="E30" i="7"/>
  <c r="F30" i="7"/>
  <c r="H30" i="7"/>
  <c r="G29" i="7"/>
  <c r="E29" i="7"/>
  <c r="F29" i="7"/>
  <c r="G28" i="7"/>
  <c r="E28" i="7"/>
  <c r="F28" i="7"/>
  <c r="H28" i="7"/>
  <c r="G27" i="7"/>
  <c r="E27" i="7"/>
  <c r="F27" i="7"/>
  <c r="G26" i="7"/>
  <c r="E26" i="7"/>
  <c r="F26" i="7"/>
  <c r="H26" i="7"/>
  <c r="G25" i="7"/>
  <c r="E25" i="7"/>
  <c r="F25" i="7"/>
  <c r="G24" i="7"/>
  <c r="E24" i="7"/>
  <c r="F24" i="7"/>
  <c r="H24" i="7"/>
  <c r="G23" i="7"/>
  <c r="E23" i="7"/>
  <c r="F23" i="7"/>
  <c r="H23" i="7"/>
  <c r="G22" i="7"/>
  <c r="E22" i="7"/>
  <c r="F22" i="7"/>
  <c r="H22" i="7"/>
  <c r="G21" i="7"/>
  <c r="E21" i="7"/>
  <c r="F21" i="7"/>
  <c r="H21" i="7"/>
  <c r="G20" i="7"/>
  <c r="E20" i="7"/>
  <c r="F20" i="7"/>
  <c r="H20" i="7"/>
  <c r="G19" i="7"/>
  <c r="E19" i="7"/>
  <c r="F19" i="7"/>
  <c r="H19" i="7"/>
  <c r="G18" i="7"/>
  <c r="E18" i="7"/>
  <c r="F18" i="7"/>
  <c r="H18" i="7"/>
  <c r="G17" i="7"/>
  <c r="E17" i="7"/>
  <c r="F17" i="7"/>
  <c r="H17" i="7"/>
  <c r="G14" i="7"/>
  <c r="E14" i="7"/>
  <c r="F14" i="7"/>
  <c r="H14" i="7"/>
  <c r="G13" i="7"/>
  <c r="E13" i="7"/>
  <c r="F13" i="7"/>
  <c r="H13" i="7"/>
  <c r="G12" i="7"/>
  <c r="E12" i="7"/>
  <c r="F12" i="7"/>
  <c r="H12" i="7"/>
  <c r="G11" i="7"/>
  <c r="E11" i="7"/>
  <c r="F11" i="7"/>
  <c r="H11" i="7"/>
  <c r="G10" i="7"/>
  <c r="E10" i="7"/>
  <c r="F10" i="7"/>
  <c r="G9" i="7"/>
  <c r="E9" i="7"/>
  <c r="F9" i="7"/>
  <c r="H9" i="7"/>
  <c r="G8" i="7"/>
  <c r="E8" i="7"/>
  <c r="F8" i="7"/>
  <c r="H8" i="7"/>
  <c r="G7" i="7"/>
  <c r="E7" i="7"/>
  <c r="F7" i="7"/>
  <c r="H7" i="7"/>
  <c r="G6" i="7"/>
  <c r="E6" i="7"/>
  <c r="F6" i="7"/>
  <c r="E49" i="4"/>
  <c r="C45" i="4"/>
  <c r="G36" i="4"/>
  <c r="E36" i="4"/>
  <c r="F36" i="4"/>
  <c r="H36" i="4"/>
  <c r="G35" i="4"/>
  <c r="E35" i="4"/>
  <c r="F35" i="4"/>
  <c r="G34" i="4"/>
  <c r="E34" i="4"/>
  <c r="F34" i="4"/>
  <c r="H34" i="4"/>
  <c r="G33" i="4"/>
  <c r="E33" i="4"/>
  <c r="F33" i="4"/>
  <c r="H33" i="4"/>
  <c r="G32" i="4"/>
  <c r="E32" i="4"/>
  <c r="F32" i="4"/>
  <c r="H32" i="4"/>
  <c r="G31" i="4"/>
  <c r="E31" i="4"/>
  <c r="F31" i="4"/>
  <c r="H31" i="4"/>
  <c r="G30" i="4"/>
  <c r="E30" i="4"/>
  <c r="F30" i="4"/>
  <c r="H30" i="4"/>
  <c r="G29" i="4"/>
  <c r="E29" i="4"/>
  <c r="F29" i="4"/>
  <c r="H29" i="4"/>
  <c r="G28" i="4"/>
  <c r="E28" i="4"/>
  <c r="F28" i="4"/>
  <c r="H28" i="4"/>
  <c r="G27" i="4"/>
  <c r="E27" i="4"/>
  <c r="F27" i="4"/>
  <c r="H27" i="4"/>
  <c r="G26" i="4"/>
  <c r="E26" i="4"/>
  <c r="F26" i="4"/>
  <c r="H26" i="4"/>
  <c r="G25" i="4"/>
  <c r="E25" i="4"/>
  <c r="F25" i="4"/>
  <c r="H25" i="4"/>
  <c r="G24" i="4"/>
  <c r="E24" i="4"/>
  <c r="F24" i="4"/>
  <c r="H24" i="4"/>
  <c r="G23" i="4"/>
  <c r="E23" i="4"/>
  <c r="F23" i="4"/>
  <c r="H23" i="4"/>
  <c r="G22" i="4"/>
  <c r="E22" i="4"/>
  <c r="F22" i="4"/>
  <c r="H22" i="4"/>
  <c r="G21" i="4"/>
  <c r="E21" i="4"/>
  <c r="F21" i="4"/>
  <c r="H21" i="4"/>
  <c r="G20" i="4"/>
  <c r="E20" i="4"/>
  <c r="F20" i="4"/>
  <c r="H20" i="4"/>
  <c r="G19" i="4"/>
  <c r="E19" i="4"/>
  <c r="F19" i="4"/>
  <c r="H19" i="4"/>
  <c r="G18" i="4"/>
  <c r="E18" i="4"/>
  <c r="F18" i="4"/>
  <c r="H18" i="4"/>
  <c r="G17" i="4"/>
  <c r="E17" i="4"/>
  <c r="F17" i="4"/>
  <c r="G14" i="4"/>
  <c r="E14" i="4"/>
  <c r="F14" i="4"/>
  <c r="H14" i="4"/>
  <c r="G13" i="4"/>
  <c r="E13" i="4"/>
  <c r="F13" i="4"/>
  <c r="H13" i="4"/>
  <c r="G12" i="4"/>
  <c r="E12" i="4"/>
  <c r="F12" i="4"/>
  <c r="H12" i="4"/>
  <c r="G11" i="4"/>
  <c r="E11" i="4"/>
  <c r="F11" i="4"/>
  <c r="H11" i="4"/>
  <c r="G10" i="4"/>
  <c r="E10" i="4"/>
  <c r="F10" i="4"/>
  <c r="G9" i="4"/>
  <c r="E9" i="4"/>
  <c r="F9" i="4"/>
  <c r="H9" i="4"/>
  <c r="G8" i="4"/>
  <c r="E8" i="4"/>
  <c r="F8" i="4"/>
  <c r="H8" i="4"/>
  <c r="G7" i="4"/>
  <c r="E7" i="4"/>
  <c r="F7" i="4"/>
  <c r="H7" i="4"/>
  <c r="G6" i="4"/>
  <c r="E6" i="4"/>
  <c r="F6" i="4"/>
  <c r="E49" i="3"/>
  <c r="E62" i="3"/>
  <c r="C45" i="3"/>
  <c r="G36" i="3"/>
  <c r="E36" i="3"/>
  <c r="F36" i="3"/>
  <c r="H36" i="3"/>
  <c r="G35" i="3"/>
  <c r="E35" i="3"/>
  <c r="F35" i="3"/>
  <c r="G34" i="3"/>
  <c r="E34" i="3"/>
  <c r="F34" i="3"/>
  <c r="H34" i="3"/>
  <c r="G33" i="3"/>
  <c r="E33" i="3"/>
  <c r="F33" i="3"/>
  <c r="H33" i="3"/>
  <c r="G32" i="3"/>
  <c r="E32" i="3"/>
  <c r="F32" i="3"/>
  <c r="H32" i="3"/>
  <c r="G31" i="3"/>
  <c r="E31" i="3"/>
  <c r="F31" i="3"/>
  <c r="H31" i="3"/>
  <c r="G30" i="3"/>
  <c r="E30" i="3"/>
  <c r="F30" i="3"/>
  <c r="H30" i="3"/>
  <c r="G29" i="3"/>
  <c r="E29" i="3"/>
  <c r="F29" i="3"/>
  <c r="H29" i="3"/>
  <c r="G28" i="3"/>
  <c r="E28" i="3"/>
  <c r="F28" i="3"/>
  <c r="H28" i="3"/>
  <c r="G27" i="3"/>
  <c r="E27" i="3"/>
  <c r="F27" i="3"/>
  <c r="H27" i="3"/>
  <c r="G26" i="3"/>
  <c r="E26" i="3"/>
  <c r="F26" i="3"/>
  <c r="H26" i="3"/>
  <c r="G25" i="3"/>
  <c r="E25" i="3"/>
  <c r="F25" i="3"/>
  <c r="H25" i="3"/>
  <c r="G24" i="3"/>
  <c r="E24" i="3"/>
  <c r="F24" i="3"/>
  <c r="H24" i="3"/>
  <c r="G23" i="3"/>
  <c r="E23" i="3"/>
  <c r="F23" i="3"/>
  <c r="H23" i="3"/>
  <c r="G22" i="3"/>
  <c r="E22" i="3"/>
  <c r="F22" i="3"/>
  <c r="H22" i="3"/>
  <c r="G21" i="3"/>
  <c r="E21" i="3"/>
  <c r="F21" i="3"/>
  <c r="H21" i="3"/>
  <c r="G20" i="3"/>
  <c r="E20" i="3"/>
  <c r="F20" i="3"/>
  <c r="H20" i="3"/>
  <c r="G19" i="3"/>
  <c r="E19" i="3"/>
  <c r="F19" i="3"/>
  <c r="H19" i="3"/>
  <c r="G18" i="3"/>
  <c r="E18" i="3"/>
  <c r="F18" i="3"/>
  <c r="H18" i="3"/>
  <c r="G17" i="3"/>
  <c r="E17" i="3"/>
  <c r="F17" i="3"/>
  <c r="H17" i="3"/>
  <c r="G14" i="3"/>
  <c r="E14" i="3"/>
  <c r="F14" i="3"/>
  <c r="H14" i="3"/>
  <c r="G13" i="3"/>
  <c r="E13" i="3"/>
  <c r="F13" i="3"/>
  <c r="H13" i="3"/>
  <c r="G12" i="3"/>
  <c r="E12" i="3"/>
  <c r="F12" i="3"/>
  <c r="H12" i="3"/>
  <c r="G11" i="3"/>
  <c r="E11" i="3"/>
  <c r="F11" i="3"/>
  <c r="H11" i="3"/>
  <c r="G10" i="3"/>
  <c r="E10" i="3"/>
  <c r="F10" i="3"/>
  <c r="H10" i="3"/>
  <c r="G9" i="3"/>
  <c r="E9" i="3"/>
  <c r="F9" i="3"/>
  <c r="H9" i="3"/>
  <c r="G8" i="3"/>
  <c r="E8" i="3"/>
  <c r="F8" i="3"/>
  <c r="H8" i="3"/>
  <c r="G7" i="3"/>
  <c r="E7" i="3"/>
  <c r="F7" i="3"/>
  <c r="H7" i="3"/>
  <c r="G6" i="3"/>
  <c r="E6" i="3"/>
  <c r="F6" i="3"/>
  <c r="E49" i="5"/>
  <c r="C45" i="5"/>
  <c r="G36" i="5"/>
  <c r="E36" i="5"/>
  <c r="F36" i="5"/>
  <c r="H36" i="5"/>
  <c r="G35" i="5"/>
  <c r="E35" i="5"/>
  <c r="F35" i="5"/>
  <c r="H35" i="5"/>
  <c r="G34" i="5"/>
  <c r="E34" i="5"/>
  <c r="F34" i="5"/>
  <c r="H34" i="5"/>
  <c r="G33" i="5"/>
  <c r="E33" i="5"/>
  <c r="F33" i="5"/>
  <c r="H33" i="5"/>
  <c r="G32" i="5"/>
  <c r="E32" i="5"/>
  <c r="F32" i="5"/>
  <c r="H32" i="5"/>
  <c r="G31" i="5"/>
  <c r="E31" i="5"/>
  <c r="F31" i="5"/>
  <c r="H31" i="5"/>
  <c r="G30" i="5"/>
  <c r="E30" i="5"/>
  <c r="F30" i="5"/>
  <c r="H30" i="5"/>
  <c r="G29" i="5"/>
  <c r="E29" i="5"/>
  <c r="F29" i="5"/>
  <c r="H29" i="5"/>
  <c r="G28" i="5"/>
  <c r="E28" i="5"/>
  <c r="F28" i="5"/>
  <c r="H28" i="5"/>
  <c r="G27" i="5"/>
  <c r="E27" i="5"/>
  <c r="F27" i="5"/>
  <c r="H27" i="5"/>
  <c r="G26" i="5"/>
  <c r="E26" i="5"/>
  <c r="F26" i="5"/>
  <c r="H26" i="5"/>
  <c r="G25" i="5"/>
  <c r="E25" i="5"/>
  <c r="F25" i="5"/>
  <c r="H25" i="5"/>
  <c r="G24" i="5"/>
  <c r="E24" i="5"/>
  <c r="F24" i="5"/>
  <c r="H24" i="5"/>
  <c r="G23" i="5"/>
  <c r="E23" i="5"/>
  <c r="F23" i="5"/>
  <c r="H23" i="5"/>
  <c r="G22" i="5"/>
  <c r="E22" i="5"/>
  <c r="F22" i="5"/>
  <c r="H22" i="5"/>
  <c r="G21" i="5"/>
  <c r="E21" i="5"/>
  <c r="F21" i="5"/>
  <c r="H21" i="5"/>
  <c r="G20" i="5"/>
  <c r="E20" i="5"/>
  <c r="F20" i="5"/>
  <c r="H20" i="5"/>
  <c r="G19" i="5"/>
  <c r="E19" i="5"/>
  <c r="F19" i="5"/>
  <c r="H19" i="5"/>
  <c r="G18" i="5"/>
  <c r="E18" i="5"/>
  <c r="F18" i="5"/>
  <c r="H18" i="5"/>
  <c r="G17" i="5"/>
  <c r="E17" i="5"/>
  <c r="F17" i="5"/>
  <c r="H17" i="5"/>
  <c r="G14" i="5"/>
  <c r="E14" i="5"/>
  <c r="F14" i="5"/>
  <c r="H14" i="5"/>
  <c r="G13" i="5"/>
  <c r="E13" i="5"/>
  <c r="F13" i="5"/>
  <c r="H13" i="5"/>
  <c r="G12" i="5"/>
  <c r="E12" i="5"/>
  <c r="F12" i="5"/>
  <c r="H12" i="5"/>
  <c r="G11" i="5"/>
  <c r="E11" i="5"/>
  <c r="F11" i="5"/>
  <c r="H11" i="5"/>
  <c r="G10" i="5"/>
  <c r="E10" i="5"/>
  <c r="F10" i="5"/>
  <c r="G9" i="5"/>
  <c r="E9" i="5"/>
  <c r="F9" i="5"/>
  <c r="H9" i="5"/>
  <c r="G8" i="5"/>
  <c r="E8" i="5"/>
  <c r="F8" i="5"/>
  <c r="H8" i="5"/>
  <c r="G7" i="5"/>
  <c r="E7" i="5"/>
  <c r="F7" i="5"/>
  <c r="H7" i="5"/>
  <c r="G6" i="5"/>
  <c r="E6" i="5"/>
  <c r="F6" i="5"/>
  <c r="E49" i="2"/>
  <c r="D4" i="21"/>
  <c r="C45" i="2"/>
  <c r="G36" i="2"/>
  <c r="E36" i="2"/>
  <c r="F36" i="2"/>
  <c r="H36" i="2"/>
  <c r="G35" i="2"/>
  <c r="E35" i="2"/>
  <c r="F35" i="2"/>
  <c r="H35" i="2"/>
  <c r="G34" i="2"/>
  <c r="E34" i="2"/>
  <c r="F34" i="2"/>
  <c r="H34" i="2"/>
  <c r="G33" i="2"/>
  <c r="E33" i="2"/>
  <c r="F33" i="2"/>
  <c r="H33" i="2"/>
  <c r="G32" i="2"/>
  <c r="E32" i="2"/>
  <c r="F32" i="2"/>
  <c r="H32" i="2"/>
  <c r="G31" i="2"/>
  <c r="E31" i="2"/>
  <c r="F31" i="2"/>
  <c r="H31" i="2"/>
  <c r="G30" i="2"/>
  <c r="E30" i="2"/>
  <c r="F30" i="2"/>
  <c r="H30" i="2"/>
  <c r="G29" i="2"/>
  <c r="E29" i="2"/>
  <c r="F29" i="2"/>
  <c r="H29" i="2"/>
  <c r="G28" i="2"/>
  <c r="E28" i="2"/>
  <c r="F28" i="2"/>
  <c r="H28" i="2"/>
  <c r="G27" i="2"/>
  <c r="E27" i="2"/>
  <c r="F27" i="2"/>
  <c r="H27" i="2"/>
  <c r="G26" i="2"/>
  <c r="E26" i="2"/>
  <c r="F26" i="2"/>
  <c r="H26" i="2"/>
  <c r="G25" i="2"/>
  <c r="E25" i="2"/>
  <c r="F25" i="2"/>
  <c r="H25" i="2"/>
  <c r="G24" i="2"/>
  <c r="E24" i="2"/>
  <c r="F24" i="2"/>
  <c r="H24" i="2"/>
  <c r="G23" i="2"/>
  <c r="E23" i="2"/>
  <c r="F23" i="2"/>
  <c r="H23" i="2"/>
  <c r="G22" i="2"/>
  <c r="E22" i="2"/>
  <c r="F22" i="2"/>
  <c r="H22" i="2"/>
  <c r="G21" i="2"/>
  <c r="E21" i="2"/>
  <c r="F21" i="2"/>
  <c r="H21" i="2"/>
  <c r="G20" i="2"/>
  <c r="E20" i="2"/>
  <c r="F20" i="2"/>
  <c r="H20" i="2"/>
  <c r="G19" i="2"/>
  <c r="E19" i="2"/>
  <c r="F19" i="2"/>
  <c r="H19" i="2"/>
  <c r="G18" i="2"/>
  <c r="E18" i="2"/>
  <c r="F18" i="2"/>
  <c r="H18" i="2"/>
  <c r="G17" i="2"/>
  <c r="E17" i="2"/>
  <c r="F17" i="2"/>
  <c r="H17" i="2"/>
  <c r="G14" i="2"/>
  <c r="E14" i="2"/>
  <c r="F14" i="2"/>
  <c r="H14" i="2"/>
  <c r="G13" i="2"/>
  <c r="E13" i="2"/>
  <c r="F13" i="2"/>
  <c r="H13" i="2"/>
  <c r="G12" i="2"/>
  <c r="E12" i="2"/>
  <c r="F12" i="2"/>
  <c r="H12" i="2"/>
  <c r="G11" i="2"/>
  <c r="E11" i="2"/>
  <c r="F11" i="2"/>
  <c r="H11" i="2"/>
  <c r="G10" i="2"/>
  <c r="E10" i="2"/>
  <c r="F10" i="2"/>
  <c r="G9" i="2"/>
  <c r="E9" i="2"/>
  <c r="F9" i="2"/>
  <c r="H9" i="2"/>
  <c r="G8" i="2"/>
  <c r="E8" i="2"/>
  <c r="F8" i="2"/>
  <c r="H8" i="2"/>
  <c r="G7" i="2"/>
  <c r="E7" i="2"/>
  <c r="F7" i="2"/>
  <c r="H7" i="2"/>
  <c r="G6" i="2"/>
  <c r="E6" i="2"/>
  <c r="F6" i="2"/>
  <c r="H10" i="2"/>
  <c r="G37" i="3"/>
  <c r="G37" i="2"/>
  <c r="E62" i="2"/>
  <c r="E37" i="24"/>
  <c r="F37" i="24"/>
  <c r="B25" i="1"/>
  <c r="E62" i="23"/>
  <c r="E62" i="18"/>
  <c r="H10" i="17"/>
  <c r="E62" i="17"/>
  <c r="H10" i="16"/>
  <c r="E62" i="13"/>
  <c r="G37" i="13"/>
  <c r="C17" i="1"/>
  <c r="G37" i="12"/>
  <c r="G37" i="15"/>
  <c r="C19" i="1"/>
  <c r="F37" i="15"/>
  <c r="B19" i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/>
  <c r="H25" i="7"/>
  <c r="H27" i="7"/>
  <c r="H29" i="7"/>
  <c r="H31" i="7"/>
  <c r="H33" i="7"/>
  <c r="H35" i="7"/>
  <c r="H10" i="7"/>
  <c r="H35" i="4"/>
  <c r="H17" i="4"/>
  <c r="G37" i="4"/>
  <c r="C6" i="1"/>
  <c r="H10" i="4"/>
  <c r="E62" i="4"/>
  <c r="H35" i="3"/>
  <c r="H10" i="5"/>
  <c r="E62" i="5"/>
  <c r="G37" i="5"/>
  <c r="C8" i="1"/>
  <c r="H6" i="24"/>
  <c r="H37" i="24"/>
  <c r="F37" i="23"/>
  <c r="B24" i="1"/>
  <c r="H6" i="23"/>
  <c r="H37" i="23"/>
  <c r="E37" i="23"/>
  <c r="H6" i="18"/>
  <c r="F37" i="17"/>
  <c r="B21" i="1"/>
  <c r="H6" i="17"/>
  <c r="E37" i="17"/>
  <c r="F37" i="16"/>
  <c r="B20" i="1"/>
  <c r="H6" i="16"/>
  <c r="H37" i="16"/>
  <c r="E37" i="16"/>
  <c r="F37" i="14"/>
  <c r="B18" i="1"/>
  <c r="H6" i="14"/>
  <c r="H37" i="14"/>
  <c r="E37" i="14"/>
  <c r="F37" i="13"/>
  <c r="B17" i="1"/>
  <c r="H6" i="13"/>
  <c r="H37" i="13"/>
  <c r="E37" i="13"/>
  <c r="F37" i="12"/>
  <c r="H6" i="12"/>
  <c r="H37" i="12"/>
  <c r="E37" i="12"/>
  <c r="H6" i="15"/>
  <c r="H37" i="15"/>
  <c r="F37" i="11"/>
  <c r="H6" i="11"/>
  <c r="H37" i="11"/>
  <c r="E37" i="11"/>
  <c r="F37" i="10"/>
  <c r="H6" i="10"/>
  <c r="H37" i="10"/>
  <c r="E37" i="10"/>
  <c r="F37" i="9"/>
  <c r="H6" i="9"/>
  <c r="H37" i="9"/>
  <c r="E37" i="9"/>
  <c r="H6" i="22"/>
  <c r="F37" i="8"/>
  <c r="H6" i="8"/>
  <c r="H37" i="8"/>
  <c r="E37" i="8"/>
  <c r="F37" i="6"/>
  <c r="B9" i="1"/>
  <c r="H6" i="6"/>
  <c r="H37" i="6"/>
  <c r="E37" i="6"/>
  <c r="F37" i="19"/>
  <c r="B23" i="1"/>
  <c r="H6" i="19"/>
  <c r="H37" i="19"/>
  <c r="E37" i="19"/>
  <c r="F37" i="7"/>
  <c r="B10" i="1"/>
  <c r="H6" i="7"/>
  <c r="H37" i="7"/>
  <c r="E37" i="7"/>
  <c r="F37" i="4"/>
  <c r="B6" i="1"/>
  <c r="H6" i="4"/>
  <c r="H37" i="4"/>
  <c r="E37" i="4"/>
  <c r="F37" i="3"/>
  <c r="H6" i="3"/>
  <c r="E37" i="3"/>
  <c r="F37" i="5"/>
  <c r="B8" i="1"/>
  <c r="H6" i="5"/>
  <c r="H37" i="5"/>
  <c r="E37" i="5"/>
  <c r="F37" i="2"/>
  <c r="H6" i="2"/>
  <c r="H37" i="2"/>
  <c r="E37" i="2"/>
  <c r="H37" i="17"/>
  <c r="H37" i="3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/>
  <c r="I29" i="1"/>
  <c r="F24" i="1"/>
  <c r="C14" i="1"/>
  <c r="C11" i="1"/>
  <c r="C16" i="1"/>
  <c r="C15" i="1"/>
  <c r="C13" i="1"/>
  <c r="C7" i="1"/>
  <c r="F23" i="1"/>
  <c r="F9" i="1"/>
  <c r="F10" i="1"/>
  <c r="B11" i="1"/>
  <c r="F11" i="1"/>
  <c r="B13" i="1"/>
  <c r="F13" i="1"/>
  <c r="B14" i="1"/>
  <c r="F14" i="1"/>
  <c r="F17" i="1"/>
  <c r="F19" i="1"/>
  <c r="F20" i="1"/>
  <c r="B16" i="1"/>
  <c r="F16" i="1"/>
  <c r="F18" i="1"/>
  <c r="B15" i="1"/>
  <c r="F15" i="1"/>
  <c r="F8" i="1"/>
  <c r="F6" i="1"/>
  <c r="B7" i="1"/>
  <c r="F7" i="1"/>
  <c r="F21" i="1"/>
  <c r="C5" i="1"/>
  <c r="B5" i="1"/>
  <c r="F5" i="1"/>
  <c r="D29" i="1"/>
  <c r="J29" i="1"/>
  <c r="H29" i="1"/>
  <c r="C36" i="1" s="1"/>
  <c r="E29" i="1"/>
  <c r="C35" i="1"/>
  <c r="E37" i="18" l="1"/>
  <c r="F13" i="18"/>
  <c r="H13" i="18" s="1"/>
  <c r="H8" i="18"/>
  <c r="D17" i="21"/>
  <c r="G37" i="18"/>
  <c r="C22" i="1" s="1"/>
  <c r="C29" i="1" s="1"/>
  <c r="H11" i="18"/>
  <c r="C34" i="1"/>
  <c r="F7" i="22"/>
  <c r="H7" i="22" s="1"/>
  <c r="H12" i="22"/>
  <c r="H10" i="22"/>
  <c r="H37" i="22" s="1"/>
  <c r="F37" i="22"/>
  <c r="B12" i="1" s="1"/>
  <c r="F37" i="18" l="1"/>
  <c r="B22" i="1" s="1"/>
  <c r="F22" i="1" s="1"/>
  <c r="H37" i="18"/>
  <c r="F12" i="1"/>
  <c r="F29" i="1" l="1"/>
  <c r="C33" i="1" s="1"/>
  <c r="B29" i="1"/>
  <c r="C32" i="1" s="1"/>
</calcChain>
</file>

<file path=xl/sharedStrings.xml><?xml version="1.0" encoding="utf-8"?>
<sst xmlns="http://schemas.openxmlformats.org/spreadsheetml/2006/main" count="1698" uniqueCount="91">
  <si>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</si>
  <si>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</si>
  <si>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</si>
  <si>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</si>
  <si>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</si>
  <si>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</si>
  <si>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</si>
  <si>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</si>
  <si>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</si>
  <si>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</si>
  <si>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</si>
  <si>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</si>
  <si>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</si>
  <si>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</si>
  <si>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</si>
  <si>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</si>
  <si>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</si>
  <si>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</si>
  <si>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</si>
  <si>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</si>
  <si>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</si>
  <si>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</si>
  <si>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</si>
  <si>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</si>
  <si>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</si>
  <si>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</si>
  <si>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</si>
  <si>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</si>
  <si>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</si>
  <si>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</si>
  <si>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</si>
  <si>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</si>
  <si>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</si>
  <si>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</si>
  <si>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</si>
  <si>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</si>
  <si>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</si>
  <si>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</si>
  <si>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</si>
  <si>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</si>
  <si>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</si>
  <si>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</si>
  <si>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</si>
  <si>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</si>
  <si>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</si>
  <si>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</si>
  <si>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</si>
  <si>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</si>
  <si>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</si>
  <si>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</si>
  <si>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</si>
  <si>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</si>
  <si>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</si>
  <si>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</si>
  <si>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</si>
  <si>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</si>
  <si>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</si>
  <si>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</si>
  <si>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</si>
  <si>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</si>
  <si>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</si>
  <si>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</si>
  <si>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</si>
  <si>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</si>
  <si>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</si>
  <si>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</si>
  <si>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</si>
  <si>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</si>
  <si>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</si>
  <si>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</si>
  <si>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</si>
  <si>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</si>
  <si>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</si>
  <si>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</si>
  <si>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</si>
  <si>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</si>
  <si>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</si>
  <si>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</si>
  <si>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</si>
  <si>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</si>
  <si>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</si>
  <si>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</si>
  <si>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</si>
  <si>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</si>
  <si>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</si>
  <si>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M.S.F SERVICE</t>
  </si>
  <si>
    <t>MONTHS REPORT OF NOVEMBER 2026</t>
  </si>
  <si>
    <t>PINUS0Ibipande</t>
  </si>
  <si>
    <t>QUANTITY REPORT RUHANGO</t>
  </si>
  <si>
    <t>QUANTITY REPORT NYANZA</t>
  </si>
  <si>
    <t>MONTHS REPORT OF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</si>
</sst>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9">
    <xf numFmtId="0" fontId="0" fillId="0" borderId="0" xfId="0"/>
    <xf numFmtId="164" fontId="3" fillId="0" borderId="7" xfId="1" applyNumberFormat="1" applyFont="1" applyBorder="1" applyProtection="1">
      <protection locked="0"/>
    </xf>
    <xf numFmtId="164" fontId="0" fillId="0" borderId="7" xfId="1" applyNumberFormat="1" applyFont="1" applyBorder="1" applyProtection="1">
      <protection locked="0"/>
    </xf>
    <xf numFmtId="164" fontId="0" fillId="0" borderId="8" xfId="1" applyNumberFormat="1" applyFont="1" applyBorder="1" applyProtection="1">
      <protection locked="0"/>
    </xf>
    <xf numFmtId="164" fontId="0" fillId="0" borderId="10" xfId="1" applyNumberFormat="1" applyFont="1" applyBorder="1" applyProtection="1">
      <protection locked="0"/>
    </xf>
    <xf numFmtId="164" fontId="0" fillId="0" borderId="21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3" fillId="0" borderId="8" xfId="1" applyNumberFormat="1" applyFont="1" applyBorder="1" applyProtection="1">
      <protection locked="0"/>
    </xf>
    <xf numFmtId="164" fontId="8" fillId="0" borderId="28" xfId="1" applyNumberFormat="1" applyFont="1" applyBorder="1" applyProtection="1">
      <protection locked="0"/>
    </xf>
    <xf numFmtId="164" fontId="9" fillId="0" borderId="30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locked="0"/>
    </xf>
    <xf numFmtId="164" fontId="9" fillId="0" borderId="33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locked="0"/>
    </xf>
    <xf numFmtId="164" fontId="9" fillId="0" borderId="1" xfId="1" applyNumberFormat="1" applyFont="1" applyBorder="1" applyAlignment="1" applyProtection="1">
      <alignment horizontal="center"/>
      <protection locked="0"/>
    </xf>
    <xf numFmtId="164" fontId="9" fillId="0" borderId="1" xfId="1" applyNumberFormat="1" applyFont="1" applyBorder="1" applyProtection="1">
      <protection hidden="1"/>
    </xf>
    <xf numFmtId="164" fontId="9" fillId="0" borderId="6" xfId="1" applyNumberFormat="1" applyFont="1" applyBorder="1" applyProtection="1">
      <protection hidden="1"/>
    </xf>
    <xf numFmtId="164" fontId="9" fillId="0" borderId="7" xfId="1" applyNumberFormat="1" applyFont="1" applyBorder="1" applyProtection="1">
      <protection hidden="1"/>
    </xf>
    <xf numFmtId="164" fontId="9" fillId="0" borderId="8" xfId="1" applyNumberFormat="1" applyFont="1" applyBorder="1" applyProtection="1">
      <protection hidden="1"/>
    </xf>
    <xf numFmtId="164" fontId="9" fillId="0" borderId="9" xfId="1" applyNumberFormat="1" applyFont="1" applyBorder="1" applyProtection="1">
      <protection hidden="1"/>
    </xf>
    <xf numFmtId="164" fontId="9" fillId="0" borderId="10" xfId="1" applyNumberFormat="1" applyFont="1" applyBorder="1" applyProtection="1">
      <protection hidden="1"/>
    </xf>
    <xf numFmtId="164" fontId="9" fillId="0" borderId="34" xfId="1" applyNumberFormat="1" applyFont="1" applyBorder="1" applyProtection="1">
      <protection hidden="1"/>
    </xf>
    <xf numFmtId="164" fontId="9" fillId="4" borderId="2" xfId="1" applyNumberFormat="1" applyFont="1" applyFill="1" applyBorder="1" applyAlignment="1" applyProtection="1">
      <alignment vertical="center"/>
      <protection locked="0"/>
    </xf>
    <xf numFmtId="164" fontId="8" fillId="4" borderId="35" xfId="1" applyNumberFormat="1" applyFont="1" applyFill="1" applyBorder="1" applyProtection="1">
      <protection locked="0"/>
    </xf>
    <xf numFmtId="164" fontId="9" fillId="4" borderId="36" xfId="1" applyNumberFormat="1" applyFont="1" applyFill="1" applyBorder="1" applyProtection="1">
      <protection hidden="1"/>
    </xf>
    <xf numFmtId="164" fontId="9" fillId="0" borderId="37" xfId="1" applyNumberFormat="1" applyFont="1" applyBorder="1" applyProtection="1">
      <protection hidden="1"/>
    </xf>
    <xf numFmtId="164" fontId="8" fillId="0" borderId="6" xfId="1" applyNumberFormat="1" applyFont="1" applyBorder="1" applyAlignment="1" applyProtection="1">
      <alignment horizontal="center"/>
      <protection locked="0"/>
    </xf>
    <xf numFmtId="164" fontId="8" fillId="0" borderId="7" xfId="1" applyNumberFormat="1" applyFont="1" applyBorder="1" applyAlignment="1" applyProtection="1">
      <alignment horizontal="center"/>
      <protection locked="0"/>
    </xf>
    <xf numFmtId="164" fontId="8" fillId="0" borderId="27" xfId="1" applyNumberFormat="1" applyFont="1" applyBorder="1" applyAlignment="1" applyProtection="1">
      <alignment horizontal="center"/>
      <protection locked="0"/>
    </xf>
    <xf numFmtId="164" fontId="8" fillId="0" borderId="8" xfId="1" applyNumberFormat="1" applyFont="1" applyBorder="1" applyProtection="1">
      <protection locked="0"/>
    </xf>
    <xf numFmtId="164" fontId="9" fillId="3" borderId="1" xfId="1" applyNumberFormat="1" applyFont="1" applyFill="1" applyBorder="1" applyProtection="1">
      <protection locked="0"/>
    </xf>
    <xf numFmtId="164" fontId="9" fillId="3" borderId="4" xfId="1" applyNumberFormat="1" applyFont="1" applyFill="1" applyBorder="1" applyProtection="1">
      <protection locked="0"/>
    </xf>
    <xf numFmtId="164" fontId="9" fillId="4" borderId="1" xfId="1" applyNumberFormat="1" applyFont="1" applyFill="1" applyBorder="1" applyAlignment="1" applyProtection="1">
      <alignment horizontal="center"/>
      <protection locked="0"/>
    </xf>
    <xf numFmtId="164" fontId="11" fillId="4" borderId="38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Alignment="1" applyProtection="1">
      <alignment horizontal="left"/>
      <protection locked="0"/>
    </xf>
    <xf numFmtId="164" fontId="11" fillId="4" borderId="39" xfId="1" applyNumberFormat="1" applyFont="1" applyFill="1" applyBorder="1" applyProtection="1">
      <protection locked="0"/>
    </xf>
    <xf numFmtId="164" fontId="9" fillId="4" borderId="39" xfId="1" applyNumberFormat="1" applyFont="1" applyFill="1" applyBorder="1" applyProtection="1">
      <protection locked="0"/>
    </xf>
    <xf numFmtId="164" fontId="9" fillId="4" borderId="40" xfId="1" applyNumberFormat="1" applyFont="1" applyFill="1" applyBorder="1" applyProtection="1">
      <protection locked="0"/>
    </xf>
    <xf numFmtId="164" fontId="9" fillId="4" borderId="27" xfId="1" applyNumberFormat="1" applyFont="1" applyFill="1" applyBorder="1" applyProtection="1">
      <protection locked="0"/>
    </xf>
    <xf numFmtId="164" fontId="9" fillId="4" borderId="7" xfId="1" applyNumberFormat="1" applyFont="1" applyFill="1" applyBorder="1" applyProtection="1">
      <protection locked="0"/>
    </xf>
    <xf numFmtId="164" fontId="11" fillId="4" borderId="7" xfId="1" applyNumberFormat="1" applyFont="1" applyFill="1" applyBorder="1" applyProtection="1">
      <protection locked="0"/>
    </xf>
    <xf numFmtId="164" fontId="15" fillId="4" borderId="7" xfId="1" applyNumberFormat="1" applyFont="1" applyFill="1" applyBorder="1" applyProtection="1">
      <protection locked="0"/>
    </xf>
    <xf numFmtId="164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4" fontId="9" fillId="0" borderId="1" xfId="1" applyNumberFormat="1" applyFont="1" applyBorder="1" applyProtection="1">
      <protection locked="0"/>
    </xf>
    <xf numFmtId="164" fontId="3" fillId="0" borderId="38" xfId="1" applyNumberFormat="1" applyFont="1" applyBorder="1" applyProtection="1">
      <protection hidden="1"/>
    </xf>
    <xf numFmtId="164" fontId="3" fillId="0" borderId="6" xfId="1" applyNumberFormat="1" applyFont="1" applyBorder="1" applyProtection="1">
      <protection hidden="1"/>
    </xf>
    <xf numFmtId="164" fontId="3" fillId="0" borderId="39" xfId="1" applyNumberFormat="1" applyFont="1" applyBorder="1" applyProtection="1">
      <protection hidden="1"/>
    </xf>
    <xf numFmtId="164" fontId="3" fillId="0" borderId="7" xfId="1" applyNumberFormat="1" applyFont="1" applyBorder="1" applyProtection="1">
      <protection hidden="1"/>
    </xf>
    <xf numFmtId="164" fontId="3" fillId="0" borderId="8" xfId="1" applyNumberFormat="1" applyFont="1" applyBorder="1" applyProtection="1">
      <protection hidden="1"/>
    </xf>
    <xf numFmtId="164" fontId="3" fillId="0" borderId="1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locked="0"/>
    </xf>
    <xf numFmtId="164" fontId="8" fillId="0" borderId="20" xfId="1" applyNumberFormat="1" applyFont="1" applyBorder="1" applyProtection="1">
      <protection locked="0"/>
    </xf>
    <xf numFmtId="164" fontId="8" fillId="0" borderId="11" xfId="1" applyNumberFormat="1" applyFont="1" applyBorder="1" applyProtection="1">
      <protection locked="0"/>
    </xf>
    <xf numFmtId="164" fontId="8" fillId="4" borderId="12" xfId="1" applyNumberFormat="1" applyFont="1" applyFill="1" applyBorder="1" applyProtection="1">
      <protection locked="0"/>
    </xf>
    <xf numFmtId="164" fontId="8" fillId="0" borderId="24" xfId="1" applyNumberFormat="1" applyFont="1" applyBorder="1" applyProtection="1">
      <protection locked="0"/>
    </xf>
    <xf numFmtId="164" fontId="11" fillId="4" borderId="1" xfId="1" applyNumberFormat="1" applyFont="1" applyFill="1" applyBorder="1" applyProtection="1">
      <protection locked="0"/>
    </xf>
    <xf numFmtId="164" fontId="11" fillId="4" borderId="27" xfId="1" applyNumberFormat="1" applyFont="1" applyFill="1" applyBorder="1" applyProtection="1">
      <protection locked="0"/>
    </xf>
    <xf numFmtId="164" fontId="11" fillId="4" borderId="11" xfId="1" applyNumberFormat="1" applyFont="1" applyFill="1" applyBorder="1" applyProtection="1">
      <protection locked="0"/>
    </xf>
    <xf numFmtId="164" fontId="11" fillId="4" borderId="20" xfId="1" applyNumberFormat="1" applyFont="1" applyFill="1" applyBorder="1" applyProtection="1">
      <protection locked="0"/>
    </xf>
    <xf numFmtId="164" fontId="8" fillId="0" borderId="33" xfId="1" applyNumberFormat="1" applyFont="1" applyBorder="1" applyProtection="1">
      <protection locked="0"/>
    </xf>
    <xf numFmtId="164" fontId="8" fillId="0" borderId="30" xfId="1" applyNumberFormat="1" applyFont="1" applyBorder="1" applyProtection="1">
      <protection locked="0"/>
    </xf>
    <xf numFmtId="164" fontId="8" fillId="3" borderId="1" xfId="1" applyNumberFormat="1" applyFont="1" applyFill="1" applyBorder="1" applyProtection="1">
      <protection locked="0"/>
    </xf>
    <xf numFmtId="164" fontId="15" fillId="3" borderId="47" xfId="1" applyNumberFormat="1" applyFont="1" applyFill="1" applyBorder="1" applyProtection="1">
      <protection locked="0"/>
    </xf>
    <xf numFmtId="164" fontId="3" fillId="2" borderId="11" xfId="1" applyNumberFormat="1" applyFont="1" applyFill="1" applyBorder="1" applyProtection="1">
      <protection locked="0"/>
    </xf>
    <xf numFmtId="164" fontId="3" fillId="2" borderId="19" xfId="1" applyNumberFormat="1" applyFont="1" applyFill="1" applyBorder="1" applyProtection="1">
      <protection locked="0"/>
    </xf>
    <xf numFmtId="164" fontId="3" fillId="2" borderId="13" xfId="1" applyNumberFormat="1" applyFont="1" applyFill="1" applyBorder="1" applyProtection="1">
      <protection locked="0"/>
    </xf>
    <xf numFmtId="164" fontId="3" fillId="0" borderId="42" xfId="1" applyNumberFormat="1" applyFont="1" applyBorder="1" applyProtection="1">
      <protection locked="0"/>
    </xf>
    <xf numFmtId="164" fontId="7" fillId="4" borderId="16" xfId="1" applyNumberFormat="1" applyFont="1" applyFill="1" applyBorder="1" applyProtection="1">
      <protection locked="0"/>
    </xf>
    <xf numFmtId="164" fontId="7" fillId="4" borderId="16" xfId="1" applyNumberFormat="1" applyFont="1" applyFill="1" applyBorder="1" applyProtection="1">
      <protection hidden="1"/>
    </xf>
    <xf numFmtId="164" fontId="7" fillId="4" borderId="24" xfId="1" applyNumberFormat="1" applyFont="1" applyFill="1" applyBorder="1" applyProtection="1">
      <protection hidden="1"/>
    </xf>
    <xf numFmtId="164" fontId="7" fillId="4" borderId="17" xfId="1" applyNumberFormat="1" applyFont="1" applyFill="1" applyBorder="1" applyProtection="1">
      <protection hidden="1"/>
    </xf>
    <xf numFmtId="164" fontId="3" fillId="4" borderId="11" xfId="1" applyNumberFormat="1" applyFont="1" applyFill="1" applyBorder="1" applyProtection="1">
      <protection locked="0"/>
    </xf>
    <xf numFmtId="164" fontId="3" fillId="4" borderId="38" xfId="1" applyNumberFormat="1" applyFont="1" applyFill="1" applyBorder="1" applyProtection="1">
      <protection locked="0"/>
    </xf>
    <xf numFmtId="164" fontId="3" fillId="4" borderId="39" xfId="1" applyNumberFormat="1" applyFont="1" applyFill="1" applyBorder="1" applyProtection="1">
      <protection locked="0"/>
    </xf>
    <xf numFmtId="164" fontId="0" fillId="4" borderId="39" xfId="1" applyNumberFormat="1" applyFont="1" applyFill="1" applyBorder="1" applyProtection="1">
      <protection locked="0"/>
    </xf>
    <xf numFmtId="164" fontId="0" fillId="4" borderId="42" xfId="1" applyNumberFormat="1" applyFont="1" applyFill="1" applyBorder="1" applyProtection="1">
      <protection locked="0"/>
    </xf>
    <xf numFmtId="164" fontId="3" fillId="2" borderId="0" xfId="1" applyNumberFormat="1" applyFont="1" applyFill="1" applyBorder="1" applyProtection="1">
      <protection locked="0"/>
    </xf>
    <xf numFmtId="164" fontId="3" fillId="2" borderId="1" xfId="1" applyNumberFormat="1" applyFont="1" applyFill="1" applyBorder="1" applyProtection="1">
      <protection locked="0"/>
    </xf>
    <xf numFmtId="164" fontId="3" fillId="4" borderId="41" xfId="1" applyNumberFormat="1" applyFont="1" applyFill="1" applyBorder="1" applyProtection="1">
      <protection hidden="1"/>
    </xf>
    <xf numFmtId="164" fontId="23" fillId="2" borderId="12" xfId="1" applyNumberFormat="1" applyFont="1" applyFill="1" applyBorder="1" applyProtection="1">
      <protection locked="0"/>
    </xf>
    <xf numFmtId="164" fontId="0" fillId="4" borderId="41" xfId="1" applyNumberFormat="1" applyFont="1" applyFill="1" applyBorder="1" applyAlignment="1" applyProtection="1">
      <alignment horizontal="center"/>
      <protection locked="0"/>
    </xf>
    <xf numFmtId="164" fontId="0" fillId="0" borderId="0" xfId="1" applyNumberFormat="1" applyFont="1" applyBorder="1" applyProtection="1">
      <protection locked="0"/>
    </xf>
    <xf numFmtId="164" fontId="0" fillId="0" borderId="0" xfId="1" applyNumberFormat="1" applyFont="1" applyProtection="1">
      <protection locked="0"/>
    </xf>
    <xf numFmtId="164" fontId="3" fillId="0" borderId="0" xfId="1" applyNumberFormat="1" applyFont="1" applyBorder="1" applyProtection="1">
      <protection locked="0"/>
    </xf>
    <xf numFmtId="164" fontId="3" fillId="0" borderId="0" xfId="1" applyNumberFormat="1" applyFont="1" applyProtection="1">
      <protection locked="0"/>
    </xf>
    <xf numFmtId="164" fontId="7" fillId="4" borderId="0" xfId="1" applyNumberFormat="1" applyFont="1" applyFill="1" applyBorder="1" applyProtection="1">
      <protection locked="0"/>
    </xf>
    <xf numFmtId="164" fontId="3" fillId="0" borderId="14" xfId="1" applyNumberFormat="1" applyFont="1" applyBorder="1" applyProtection="1">
      <protection locked="0"/>
    </xf>
    <xf numFmtId="164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4" fontId="8" fillId="0" borderId="5" xfId="1" applyNumberFormat="1" applyFont="1" applyBorder="1" applyAlignment="1" applyProtection="1">
      <protection locked="0"/>
    </xf>
    <xf numFmtId="164" fontId="8" fillId="0" borderId="18" xfId="1" applyNumberFormat="1" applyFont="1" applyBorder="1" applyAlignment="1" applyProtection="1">
      <protection hidden="1"/>
    </xf>
    <xf numFmtId="164" fontId="11" fillId="4" borderId="8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protection locked="0"/>
    </xf>
    <xf numFmtId="164" fontId="9" fillId="0" borderId="19" xfId="1" applyNumberFormat="1" applyFont="1" applyBorder="1" applyProtection="1">
      <protection hidden="1"/>
    </xf>
    <xf numFmtId="164" fontId="9" fillId="0" borderId="41" xfId="1" applyNumberFormat="1" applyFont="1" applyBorder="1" applyProtection="1">
      <protection hidden="1"/>
    </xf>
    <xf numFmtId="164" fontId="9" fillId="0" borderId="24" xfId="1" applyNumberFormat="1" applyFont="1" applyBorder="1" applyProtection="1">
      <protection hidden="1"/>
    </xf>
    <xf numFmtId="164" fontId="8" fillId="0" borderId="34" xfId="1" applyNumberFormat="1" applyFont="1" applyBorder="1" applyProtection="1">
      <protection locked="0"/>
    </xf>
    <xf numFmtId="164" fontId="9" fillId="4" borderId="1" xfId="1" applyNumberFormat="1" applyFont="1" applyFill="1" applyBorder="1" applyProtection="1">
      <protection locked="0"/>
    </xf>
    <xf numFmtId="164" fontId="9" fillId="0" borderId="29" xfId="1" applyNumberFormat="1" applyFont="1" applyBorder="1" applyProtection="1">
      <protection hidden="1"/>
    </xf>
    <xf numFmtId="164" fontId="9" fillId="0" borderId="32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hidden="1"/>
    </xf>
    <xf numFmtId="164" fontId="9" fillId="0" borderId="11" xfId="1" applyNumberFormat="1" applyFont="1" applyBorder="1" applyProtection="1">
      <protection hidden="1"/>
    </xf>
    <xf numFmtId="164" fontId="9" fillId="0" borderId="20" xfId="1" applyNumberFormat="1" applyFont="1" applyBorder="1" applyProtection="1">
      <protection hidden="1"/>
    </xf>
    <xf numFmtId="164" fontId="9" fillId="0" borderId="14" xfId="1" applyNumberFormat="1" applyFont="1" applyBorder="1" applyProtection="1">
      <protection hidden="1"/>
    </xf>
    <xf numFmtId="164" fontId="9" fillId="0" borderId="16" xfId="1" applyNumberFormat="1" applyFont="1" applyBorder="1" applyProtection="1">
      <protection hidden="1"/>
    </xf>
    <xf numFmtId="164" fontId="9" fillId="0" borderId="42" xfId="1" applyNumberFormat="1" applyFont="1" applyBorder="1" applyProtection="1">
      <protection hidden="1"/>
    </xf>
    <xf numFmtId="164" fontId="15" fillId="3" borderId="4" xfId="1" applyNumberFormat="1" applyFont="1" applyFill="1" applyBorder="1" applyProtection="1">
      <protection locked="0"/>
    </xf>
    <xf numFmtId="164" fontId="8" fillId="0" borderId="29" xfId="1" applyNumberFormat="1" applyFont="1" applyBorder="1" applyProtection="1">
      <protection locked="0"/>
    </xf>
    <xf numFmtId="164" fontId="8" fillId="0" borderId="32" xfId="1" applyNumberFormat="1" applyFont="1" applyBorder="1" applyProtection="1">
      <protection locked="0"/>
    </xf>
    <xf numFmtId="164" fontId="8" fillId="0" borderId="49" xfId="1" applyNumberFormat="1" applyFont="1" applyBorder="1" applyAlignment="1" applyProtection="1">
      <protection locked="0"/>
    </xf>
    <xf numFmtId="164" fontId="3" fillId="0" borderId="48" xfId="1" applyNumberFormat="1" applyFont="1" applyBorder="1" applyProtection="1">
      <protection hidden="1"/>
    </xf>
    <xf numFmtId="164" fontId="3" fillId="0" borderId="21" xfId="1" applyNumberFormat="1" applyFont="1" applyBorder="1" applyProtection="1">
      <protection hidden="1"/>
    </xf>
    <xf numFmtId="164" fontId="9" fillId="0" borderId="4" xfId="1" applyNumberFormat="1" applyFont="1" applyBorder="1" applyProtection="1">
      <protection locked="0"/>
    </xf>
    <xf numFmtId="164" fontId="21" fillId="4" borderId="14" xfId="1" applyNumberFormat="1" applyFont="1" applyFill="1" applyBorder="1" applyAlignment="1" applyProtection="1">
      <alignment horizontal="center"/>
      <protection locked="0"/>
    </xf>
    <xf numFmtId="164" fontId="21" fillId="4" borderId="0" xfId="1" applyNumberFormat="1" applyFont="1" applyFill="1" applyBorder="1" applyAlignment="1" applyProtection="1">
      <alignment horizontal="center"/>
      <protection locked="0"/>
    </xf>
    <xf numFmtId="164" fontId="22" fillId="4" borderId="14" xfId="1" applyNumberFormat="1" applyFont="1" applyFill="1" applyBorder="1" applyAlignment="1" applyProtection="1">
      <alignment horizontal="center" vertical="center"/>
      <protection locked="0"/>
    </xf>
    <xf numFmtId="164" fontId="22" fillId="4" borderId="0" xfId="1" applyNumberFormat="1" applyFont="1" applyFill="1" applyBorder="1" applyAlignment="1" applyProtection="1">
      <alignment horizontal="center" vertical="center"/>
      <protection locked="0"/>
    </xf>
    <xf numFmtId="164" fontId="0" fillId="4" borderId="11" xfId="1" applyNumberFormat="1" applyFont="1" applyFill="1" applyBorder="1" applyAlignment="1" applyProtection="1">
      <alignment horizontal="center"/>
      <protection locked="0"/>
    </xf>
    <xf numFmtId="164" fontId="0" fillId="4" borderId="13" xfId="1" applyNumberFormat="1" applyFont="1" applyFill="1" applyBorder="1" applyAlignment="1" applyProtection="1">
      <alignment horizontal="center"/>
      <protection locked="0"/>
    </xf>
    <xf numFmtId="164" fontId="0" fillId="4" borderId="14" xfId="1" applyNumberFormat="1" applyFont="1" applyFill="1" applyBorder="1" applyAlignment="1" applyProtection="1">
      <alignment horizontal="center"/>
      <protection locked="0"/>
    </xf>
    <xf numFmtId="164" fontId="0" fillId="4" borderId="15" xfId="1" applyNumberFormat="1" applyFont="1" applyFill="1" applyBorder="1" applyAlignment="1" applyProtection="1">
      <alignment horizontal="center"/>
      <protection locked="0"/>
    </xf>
    <xf numFmtId="164" fontId="0" fillId="4" borderId="16" xfId="1" applyNumberFormat="1" applyFont="1" applyFill="1" applyBorder="1" applyAlignment="1" applyProtection="1">
      <alignment horizontal="center"/>
      <protection locked="0"/>
    </xf>
    <xf numFmtId="164" fontId="0" fillId="4" borderId="18" xfId="1" applyNumberFormat="1" applyFont="1" applyFill="1" applyBorder="1" applyAlignment="1" applyProtection="1">
      <alignment horizontal="center"/>
      <protection locked="0"/>
    </xf>
    <xf numFmtId="164" fontId="4" fillId="0" borderId="11" xfId="1" applyNumberFormat="1" applyFont="1" applyBorder="1" applyAlignment="1" applyProtection="1">
      <alignment horizontal="left"/>
      <protection locked="0"/>
    </xf>
    <xf numFmtId="164" fontId="4" fillId="0" borderId="12" xfId="1" applyNumberFormat="1" applyFont="1" applyBorder="1" applyAlignment="1" applyProtection="1">
      <alignment horizontal="left"/>
      <protection locked="0"/>
    </xf>
    <xf numFmtId="164" fontId="4" fillId="0" borderId="13" xfId="1" applyNumberFormat="1" applyFont="1" applyBorder="1" applyAlignment="1" applyProtection="1">
      <alignment horizontal="left"/>
      <protection locked="0"/>
    </xf>
    <xf numFmtId="164" fontId="4" fillId="0" borderId="16" xfId="1" applyNumberFormat="1" applyFont="1" applyBorder="1" applyAlignment="1" applyProtection="1">
      <alignment horizontal="left"/>
      <protection locked="0"/>
    </xf>
    <xf numFmtId="164" fontId="4" fillId="0" borderId="17" xfId="1" applyNumberFormat="1" applyFont="1" applyBorder="1" applyAlignment="1" applyProtection="1">
      <alignment horizontal="left"/>
      <protection locked="0"/>
    </xf>
    <xf numFmtId="164" fontId="4" fillId="0" borderId="18" xfId="1" applyNumberFormat="1" applyFont="1" applyBorder="1" applyAlignment="1" applyProtection="1">
      <alignment horizontal="left"/>
      <protection locked="0"/>
    </xf>
    <xf numFmtId="164" fontId="6" fillId="4" borderId="20" xfId="1" applyNumberFormat="1" applyFont="1" applyFill="1" applyBorder="1" applyAlignment="1" applyProtection="1">
      <alignment horizontal="center"/>
      <protection locked="0"/>
    </xf>
    <xf numFmtId="164" fontId="6" fillId="4" borderId="4" xfId="1" applyNumberFormat="1" applyFont="1" applyFill="1" applyBorder="1" applyAlignment="1" applyProtection="1">
      <alignment horizontal="center"/>
      <protection locked="0"/>
    </xf>
    <xf numFmtId="164" fontId="6" fillId="4" borderId="5" xfId="1" applyNumberFormat="1" applyFont="1" applyFill="1" applyBorder="1" applyAlignment="1" applyProtection="1">
      <alignment horizontal="center"/>
      <protection locked="0"/>
    </xf>
    <xf numFmtId="164" fontId="0" fillId="0" borderId="20" xfId="1" applyNumberFormat="1" applyFont="1" applyBorder="1" applyAlignment="1" applyProtection="1">
      <alignment horizontal="center"/>
      <protection hidden="1"/>
    </xf>
    <xf numFmtId="164" fontId="0" fillId="0" borderId="5" xfId="1" applyNumberFormat="1" applyFont="1" applyBorder="1" applyAlignment="1" applyProtection="1">
      <alignment horizontal="center"/>
      <protection hidden="1"/>
    </xf>
    <xf numFmtId="164" fontId="2" fillId="0" borderId="20" xfId="1" applyNumberFormat="1" applyFont="1" applyBorder="1" applyAlignment="1" applyProtection="1">
      <alignment horizontal="left"/>
      <protection locked="0"/>
    </xf>
    <xf numFmtId="164" fontId="2" fillId="0" borderId="5" xfId="1" applyNumberFormat="1" applyFont="1" applyBorder="1" applyAlignment="1" applyProtection="1">
      <alignment horizontal="left"/>
      <protection locked="0"/>
    </xf>
    <xf numFmtId="164" fontId="2" fillId="0" borderId="2" xfId="1" applyNumberFormat="1" applyFont="1" applyBorder="1" applyAlignment="1" applyProtection="1">
      <alignment horizontal="left"/>
      <protection locked="0"/>
    </xf>
    <xf numFmtId="164" fontId="2" fillId="0" borderId="3" xfId="1" applyNumberFormat="1" applyFont="1" applyBorder="1" applyAlignment="1" applyProtection="1">
      <alignment horizontal="left"/>
      <protection locked="0"/>
    </xf>
    <xf numFmtId="164" fontId="2" fillId="0" borderId="22" xfId="1" applyNumberFormat="1" applyFont="1" applyBorder="1" applyAlignment="1" applyProtection="1">
      <alignment horizontal="center"/>
      <protection locked="0"/>
    </xf>
    <xf numFmtId="164" fontId="2" fillId="0" borderId="23" xfId="1" applyNumberFormat="1" applyFont="1" applyBorder="1" applyAlignment="1" applyProtection="1">
      <alignment horizontal="center"/>
      <protection locked="0"/>
    </xf>
    <xf numFmtId="164" fontId="5" fillId="3" borderId="20" xfId="1" applyNumberFormat="1" applyFont="1" applyFill="1" applyBorder="1" applyAlignment="1" applyProtection="1">
      <alignment horizontal="center"/>
      <protection locked="0"/>
    </xf>
    <xf numFmtId="164" fontId="5" fillId="3" borderId="4" xfId="1" applyNumberFormat="1" applyFont="1" applyFill="1" applyBorder="1" applyAlignment="1" applyProtection="1">
      <alignment horizontal="center"/>
      <protection locked="0"/>
    </xf>
    <xf numFmtId="164" fontId="0" fillId="0" borderId="4" xfId="1" applyNumberFormat="1" applyFont="1" applyBorder="1" applyAlignment="1" applyProtection="1">
      <alignment horizontal="center"/>
      <protection hidden="1"/>
    </xf>
    <xf numFmtId="164" fontId="2" fillId="0" borderId="11" xfId="1" applyNumberFormat="1" applyFont="1" applyBorder="1" applyAlignment="1" applyProtection="1">
      <alignment horizontal="left" vertical="top"/>
      <protection locked="0"/>
    </xf>
    <xf numFmtId="164" fontId="2" fillId="0" borderId="12" xfId="1" applyNumberFormat="1" applyFont="1" applyBorder="1" applyAlignment="1" applyProtection="1">
      <alignment horizontal="left" vertical="top"/>
      <protection locked="0"/>
    </xf>
    <xf numFmtId="164" fontId="2" fillId="0" borderId="13" xfId="1" applyNumberFormat="1" applyFont="1" applyBorder="1" applyAlignment="1" applyProtection="1">
      <alignment horizontal="left" vertical="top"/>
      <protection locked="0"/>
    </xf>
    <xf numFmtId="164" fontId="2" fillId="0" borderId="14" xfId="1" applyNumberFormat="1" applyFont="1" applyBorder="1" applyAlignment="1" applyProtection="1">
      <alignment horizontal="left" vertical="top"/>
      <protection locked="0"/>
    </xf>
    <xf numFmtId="164" fontId="2" fillId="0" borderId="0" xfId="1" applyNumberFormat="1" applyFont="1" applyBorder="1" applyAlignment="1" applyProtection="1">
      <alignment horizontal="left" vertical="top"/>
      <protection locked="0"/>
    </xf>
    <xf numFmtId="164" fontId="2" fillId="0" borderId="15" xfId="1" applyNumberFormat="1" applyFont="1" applyBorder="1" applyAlignment="1" applyProtection="1">
      <alignment horizontal="left" vertical="top"/>
      <protection locked="0"/>
    </xf>
    <xf numFmtId="164" fontId="2" fillId="0" borderId="16" xfId="1" applyNumberFormat="1" applyFont="1" applyBorder="1" applyAlignment="1" applyProtection="1">
      <alignment horizontal="left" vertical="top"/>
      <protection locked="0"/>
    </xf>
    <xf numFmtId="164" fontId="2" fillId="0" borderId="17" xfId="1" applyNumberFormat="1" applyFont="1" applyBorder="1" applyAlignment="1" applyProtection="1">
      <alignment horizontal="left" vertical="top"/>
      <protection locked="0"/>
    </xf>
    <xf numFmtId="164" fontId="2" fillId="0" borderId="18" xfId="1" applyNumberFormat="1" applyFont="1" applyBorder="1" applyAlignment="1" applyProtection="1">
      <alignment horizontal="left" vertical="top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hidden="1"/>
    </xf>
    <xf numFmtId="164" fontId="0" fillId="0" borderId="12" xfId="1" applyNumberFormat="1" applyFont="1" applyBorder="1" applyAlignment="1" applyProtection="1">
      <alignment horizontal="center"/>
      <protection hidden="1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4" fontId="3" fillId="4" borderId="4" xfId="1" applyNumberFormat="1" applyFont="1" applyFill="1" applyBorder="1" applyAlignment="1" applyProtection="1">
      <protection locked="0"/>
    </xf>
    <xf numFmtId="164" fontId="3" fillId="4" borderId="5" xfId="1" applyNumberFormat="1" applyFont="1" applyFill="1" applyBorder="1" applyAlignment="1" applyProtection="1">
      <protection locked="0"/>
    </xf>
    <xf numFmtId="164" fontId="3" fillId="4" borderId="12" xfId="1" applyNumberFormat="1" applyFont="1" applyFill="1" applyBorder="1" applyAlignment="1" applyProtection="1">
      <protection locked="0"/>
    </xf>
    <xf numFmtId="164" fontId="3" fillId="4" borderId="13" xfId="1" applyNumberFormat="1" applyFont="1" applyFill="1" applyBorder="1" applyAlignment="1" applyProtection="1">
      <protection locked="0"/>
    </xf>
    <xf numFmtId="164" fontId="9" fillId="4" borderId="20" xfId="1" applyNumberFormat="1" applyFont="1" applyFill="1" applyBorder="1" applyAlignment="1" applyProtection="1">
      <alignment horizontal="center"/>
      <protection locked="0"/>
    </xf>
    <xf numFmtId="164" fontId="9" fillId="4" borderId="4" xfId="1" applyNumberFormat="1" applyFont="1" applyFill="1" applyBorder="1" applyAlignment="1" applyProtection="1">
      <alignment horizontal="center"/>
      <protection locked="0"/>
    </xf>
    <xf numFmtId="164" fontId="11" fillId="4" borderId="20" xfId="1" applyNumberFormat="1" applyFont="1" applyFill="1" applyBorder="1" applyAlignment="1" applyProtection="1">
      <alignment horizontal="center"/>
      <protection locked="0"/>
    </xf>
    <xf numFmtId="164" fontId="9" fillId="4" borderId="5" xfId="1" applyNumberFormat="1" applyFont="1" applyFill="1" applyBorder="1" applyAlignment="1" applyProtection="1">
      <alignment horizontal="center"/>
      <protection locked="0"/>
    </xf>
    <xf numFmtId="164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4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4" fontId="9" fillId="0" borderId="20" xfId="1" applyNumberFormat="1" applyFont="1" applyBorder="1" applyAlignment="1" applyProtection="1">
      <alignment horizontal="left"/>
      <protection locked="0"/>
    </xf>
    <xf numFmtId="164" fontId="9" fillId="0" borderId="5" xfId="1" applyNumberFormat="1" applyFont="1" applyBorder="1" applyAlignment="1" applyProtection="1">
      <alignment horizontal="left"/>
      <protection locked="0"/>
    </xf>
    <xf numFmtId="164" fontId="12" fillId="4" borderId="4" xfId="1" applyNumberFormat="1" applyFont="1" applyFill="1" applyBorder="1" applyAlignment="1" applyProtection="1">
      <protection locked="0"/>
    </xf>
    <xf numFmtId="164" fontId="12" fillId="4" borderId="5" xfId="1" applyNumberFormat="1" applyFont="1" applyFill="1" applyBorder="1" applyAlignment="1" applyProtection="1">
      <protection locked="0"/>
    </xf>
    <xf numFmtId="164" fontId="8" fillId="0" borderId="43" xfId="1" applyNumberFormat="1" applyFont="1" applyBorder="1" applyAlignment="1" applyProtection="1">
      <alignment horizontal="left"/>
      <protection locked="0"/>
    </xf>
    <xf numFmtId="164" fontId="8" fillId="0" borderId="44" xfId="1" applyNumberFormat="1" applyFont="1" applyBorder="1" applyAlignment="1" applyProtection="1">
      <alignment horizontal="left"/>
      <protection locked="0"/>
    </xf>
    <xf numFmtId="164" fontId="13" fillId="0" borderId="11" xfId="1" applyNumberFormat="1" applyFont="1" applyBorder="1" applyAlignment="1" applyProtection="1">
      <alignment horizontal="center"/>
      <protection locked="0"/>
    </xf>
    <xf numFmtId="164" fontId="13" fillId="0" borderId="12" xfId="1" applyNumberFormat="1" applyFont="1" applyBorder="1" applyAlignment="1" applyProtection="1">
      <alignment horizontal="center"/>
      <protection locked="0"/>
    </xf>
    <xf numFmtId="164" fontId="13" fillId="0" borderId="16" xfId="1" applyNumberFormat="1" applyFont="1" applyBorder="1" applyAlignment="1" applyProtection="1">
      <alignment horizontal="center"/>
      <protection locked="0"/>
    </xf>
    <xf numFmtId="164" fontId="13" fillId="0" borderId="17" xfId="1" applyNumberFormat="1" applyFont="1" applyBorder="1" applyAlignment="1" applyProtection="1">
      <alignment horizontal="center"/>
      <protection locked="0"/>
    </xf>
    <xf numFmtId="164" fontId="12" fillId="0" borderId="20" xfId="1" applyNumberFormat="1" applyFont="1" applyBorder="1" applyAlignment="1" applyProtection="1">
      <alignment horizontal="center"/>
      <protection hidden="1"/>
    </xf>
    <xf numFmtId="164" fontId="12" fillId="0" borderId="4" xfId="1" applyNumberFormat="1" applyFont="1" applyBorder="1" applyAlignment="1" applyProtection="1">
      <alignment horizontal="center"/>
      <protection hidden="1"/>
    </xf>
    <xf numFmtId="164" fontId="16" fillId="4" borderId="20" xfId="1" applyNumberFormat="1" applyFont="1" applyFill="1" applyBorder="1" applyAlignment="1" applyProtection="1">
      <alignment horizontal="center"/>
      <protection locked="0"/>
    </xf>
    <xf numFmtId="164" fontId="16" fillId="4" borderId="4" xfId="1" applyNumberFormat="1" applyFont="1" applyFill="1" applyBorder="1" applyAlignment="1" applyProtection="1">
      <alignment horizontal="center"/>
      <protection locked="0"/>
    </xf>
    <xf numFmtId="164" fontId="3" fillId="0" borderId="20" xfId="1" applyNumberFormat="1" applyFont="1" applyBorder="1" applyAlignment="1" applyProtection="1">
      <alignment horizontal="center"/>
      <protection hidden="1"/>
    </xf>
    <xf numFmtId="164" fontId="3" fillId="0" borderId="4" xfId="1" applyNumberFormat="1" applyFont="1" applyBorder="1" applyAlignment="1" applyProtection="1">
      <alignment horizontal="center"/>
      <protection hidden="1"/>
    </xf>
    <xf numFmtId="164" fontId="9" fillId="0" borderId="2" xfId="1" applyNumberFormat="1" applyFont="1" applyBorder="1" applyAlignment="1" applyProtection="1">
      <alignment horizontal="left"/>
      <protection locked="0"/>
    </xf>
    <xf numFmtId="164" fontId="9" fillId="0" borderId="3" xfId="1" applyNumberFormat="1" applyFont="1" applyBorder="1" applyAlignment="1" applyProtection="1">
      <alignment horizontal="left"/>
      <protection locked="0"/>
    </xf>
    <xf numFmtId="164" fontId="16" fillId="4" borderId="4" xfId="1" applyNumberFormat="1" applyFont="1" applyFill="1" applyBorder="1" applyAlignment="1" applyProtection="1">
      <protection locked="0"/>
    </xf>
    <xf numFmtId="164" fontId="16" fillId="4" borderId="5" xfId="1" applyNumberFormat="1" applyFont="1" applyFill="1" applyBorder="1" applyAlignment="1" applyProtection="1">
      <protection locked="0"/>
    </xf>
    <xf numFmtId="164" fontId="8" fillId="0" borderId="31" xfId="1" applyNumberFormat="1" applyFont="1" applyBorder="1" applyAlignment="1" applyProtection="1">
      <alignment horizontal="left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2" xfId="1" applyNumberFormat="1" applyFont="1" applyBorder="1" applyAlignment="1" applyProtection="1">
      <alignment horizontal="center"/>
      <protection locked="0"/>
    </xf>
    <xf numFmtId="164" fontId="8" fillId="0" borderId="31" xfId="1" applyNumberFormat="1" applyFont="1" applyBorder="1" applyAlignment="1" applyProtection="1">
      <alignment horizontal="center"/>
      <protection locked="0"/>
    </xf>
    <xf numFmtId="164" fontId="10" fillId="3" borderId="20" xfId="1" applyNumberFormat="1" applyFont="1" applyFill="1" applyBorder="1" applyAlignment="1" applyProtection="1">
      <alignment horizontal="center"/>
      <protection locked="0"/>
    </xf>
    <xf numFmtId="164" fontId="10" fillId="3" borderId="4" xfId="1" applyNumberFormat="1" applyFont="1" applyFill="1" applyBorder="1" applyAlignment="1" applyProtection="1">
      <alignment horizontal="center"/>
      <protection locked="0"/>
    </xf>
    <xf numFmtId="164" fontId="8" fillId="0" borderId="30" xfId="1" applyNumberFormat="1" applyFont="1" applyBorder="1" applyAlignment="1" applyProtection="1">
      <alignment horizontal="center"/>
      <protection locked="0"/>
    </xf>
    <xf numFmtId="164" fontId="8" fillId="3" borderId="2" xfId="1" applyNumberFormat="1" applyFont="1" applyFill="1" applyBorder="1" applyAlignment="1" applyProtection="1">
      <alignment horizontal="center"/>
      <protection locked="0"/>
    </xf>
    <xf numFmtId="164" fontId="8" fillId="3" borderId="3" xfId="1" applyNumberFormat="1" applyFont="1" applyFill="1" applyBorder="1" applyAlignment="1" applyProtection="1">
      <alignment horizontal="center"/>
      <protection locked="0"/>
    </xf>
    <xf numFmtId="164" fontId="11" fillId="3" borderId="45" xfId="1" applyNumberFormat="1" applyFont="1" applyFill="1" applyBorder="1" applyAlignment="1" applyProtection="1">
      <alignment horizontal="center" vertical="center"/>
      <protection locked="0"/>
    </xf>
    <xf numFmtId="164" fontId="9" fillId="3" borderId="46" xfId="1" applyNumberFormat="1" applyFont="1" applyFill="1" applyBorder="1" applyAlignment="1" applyProtection="1">
      <alignment horizontal="center" vertical="center"/>
      <protection locked="0"/>
    </xf>
    <xf numFmtId="164" fontId="8" fillId="0" borderId="33" xfId="1" applyNumberFormat="1" applyFont="1" applyBorder="1" applyAlignment="1" applyProtection="1">
      <alignment horizontal="center"/>
      <protection locked="0"/>
    </xf>
    <xf numFmtId="164" fontId="9" fillId="0" borderId="16" xfId="1" applyNumberFormat="1" applyFont="1" applyBorder="1" applyAlignment="1" applyProtection="1">
      <alignment horizontal="left"/>
      <protection locked="0"/>
    </xf>
    <xf numFmtId="164" fontId="9" fillId="0" borderId="18" xfId="1" applyNumberFormat="1" applyFont="1" applyBorder="1" applyAlignment="1" applyProtection="1">
      <alignment horizontal="left"/>
      <protection locked="0"/>
    </xf>
    <xf numFmtId="164" fontId="9" fillId="0" borderId="11" xfId="1" applyNumberFormat="1" applyFont="1" applyBorder="1" applyAlignment="1" applyProtection="1">
      <alignment horizontal="left"/>
      <protection locked="0"/>
    </xf>
    <xf numFmtId="164" fontId="9" fillId="0" borderId="13" xfId="1" applyNumberFormat="1" applyFont="1" applyBorder="1" applyAlignment="1" applyProtection="1">
      <alignment horizontal="left"/>
      <protection locked="0"/>
    </xf>
    <xf numFmtId="164" fontId="24" fillId="4" borderId="11" xfId="1" applyNumberFormat="1" applyFont="1" applyFill="1" applyBorder="1" applyAlignment="1" applyProtection="1">
      <alignment horizontal="center"/>
      <protection locked="0"/>
    </xf>
    <xf numFmtId="164" fontId="24" fillId="4" borderId="12" xfId="1" applyNumberFormat="1" applyFont="1" applyFill="1" applyBorder="1" applyAlignment="1" applyProtection="1">
      <alignment horizontal="center"/>
      <protection locked="0"/>
    </xf>
    <xf numFmtId="164" fontId="24" fillId="4" borderId="16" xfId="1" applyNumberFormat="1" applyFont="1" applyFill="1" applyBorder="1" applyAlignment="1" applyProtection="1">
      <alignment horizontal="center"/>
      <protection locked="0"/>
    </xf>
    <xf numFmtId="164" fontId="24" fillId="4" borderId="17" xfId="1" applyNumberFormat="1" applyFont="1" applyFill="1" applyBorder="1" applyAlignment="1" applyProtection="1">
      <alignment horizontal="center"/>
      <protection locked="0"/>
    </xf>
    <xf numFmtId="164" fontId="24" fillId="4" borderId="14" xfId="1" applyNumberFormat="1" applyFont="1" applyFill="1" applyBorder="1" applyAlignment="1" applyProtection="1">
      <alignment horizontal="center"/>
      <protection locked="0"/>
    </xf>
    <xf numFmtId="164" fontId="24" fillId="4" borderId="0" xfId="1" applyNumberFormat="1" applyFont="1" applyFill="1" applyAlignment="1" applyProtection="1">
      <alignment horizontal="center"/>
      <protection locked="0"/>
    </xf>
    <xf numFmtId="164" fontId="24" fillId="4" borderId="0" xfId="1" applyNumberFormat="1" applyFont="1" applyFill="1" applyBorder="1" applyAlignment="1" applyProtection="1">
      <alignment horizontal="center"/>
      <protection locked="0"/>
    </xf>
    <xf numFmtId="164" fontId="9" fillId="3" borderId="20" xfId="1" applyNumberFormat="1" applyFont="1" applyFill="1" applyBorder="1" applyAlignment="1" applyProtection="1">
      <alignment horizontal="center"/>
      <protection locked="0"/>
    </xf>
    <xf numFmtId="164" fontId="9" fillId="3" borderId="5" xfId="1" applyNumberFormat="1" applyFont="1" applyFill="1" applyBorder="1" applyAlignment="1" applyProtection="1">
      <alignment horizontal="center"/>
      <protection locked="0"/>
    </xf>
    <xf numFmtId="164" fontId="8" fillId="0" borderId="29" xfId="1" applyNumberFormat="1" applyFont="1" applyBorder="1" applyAlignment="1" applyProtection="1">
      <alignment horizontal="center"/>
      <protection locked="0"/>
    </xf>
    <xf numFmtId="164" fontId="8" fillId="0" borderId="28" xfId="1" applyNumberFormat="1" applyFont="1" applyBorder="1" applyAlignment="1" applyProtection="1">
      <alignment horizontal="center"/>
      <protection locked="0"/>
    </xf>
    <xf numFmtId="164" fontId="0" fillId="0" borderId="11" xfId="1" applyNumberFormat="1" applyFont="1" applyBorder="1" applyAlignment="1" applyProtection="1">
      <alignment horizontal="center"/>
      <protection locked="0"/>
    </xf>
    <xf numFmtId="164" fontId="0" fillId="0" borderId="12" xfId="1" applyNumberFormat="1" applyFont="1" applyBorder="1" applyAlignment="1" applyProtection="1">
      <alignment horizontal="center"/>
      <protection locked="0"/>
    </xf>
    <xf numFmtId="164" fontId="26" fillId="0" borderId="20" xfId="1" applyNumberFormat="1" applyFont="1" applyBorder="1" applyAlignment="1" applyProtection="1">
      <alignment horizontal="center" vertical="center"/>
      <protection hidden="1"/>
    </xf>
    <xf numFmtId="164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4" fontId="3" fillId="4" borderId="12" xfId="1" applyNumberFormat="1" applyFont="1" applyFill="1" applyBorder="1" applyAlignment="1"/>
    <xf numFmtId="164" fontId="3" fillId="4" borderId="13" xfId="1" applyNumberFormat="1" applyFont="1" applyFill="1" applyBorder="1" applyAlignment="1"/>
    <xf numFmtId="164" fontId="0" fillId="0" borderId="11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4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4" fontId="13" fillId="0" borderId="13" xfId="1" applyNumberFormat="1" applyFont="1" applyBorder="1" applyAlignment="1" applyProtection="1">
      <alignment horizontal="center"/>
      <protection locked="0"/>
    </xf>
    <xf numFmtId="164" fontId="13" fillId="0" borderId="18" xfId="1" applyNumberFormat="1" applyFont="1" applyBorder="1" applyAlignment="1" applyProtection="1">
      <alignment horizontal="center"/>
      <protection locked="0"/>
    </xf>
    <xf numFmtId="164" fontId="18" fillId="4" borderId="20" xfId="1" applyNumberFormat="1" applyFont="1" applyFill="1" applyBorder="1" applyAlignment="1" applyProtection="1">
      <alignment horizontal="center"/>
      <protection locked="0"/>
    </xf>
    <xf numFmtId="164" fontId="18" fillId="4" borderId="4" xfId="1" applyNumberFormat="1" applyFont="1" applyFill="1" applyBorder="1" applyAlignment="1" applyProtection="1">
      <alignment horizontal="center"/>
      <protection locked="0"/>
    </xf>
    <xf numFmtId="164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4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90625" style="83" customWidth="1"/>
    <col min="2" max="2" width="28.26953125" style="87" customWidth="1"/>
    <col min="3" max="3" width="24.453125" style="88" customWidth="1"/>
    <col min="4" max="4" width="16.1796875" style="83" customWidth="1"/>
    <col min="5" max="5" width="21.81640625" style="83" customWidth="1"/>
    <col min="6" max="6" width="20.54296875" style="85" customWidth="1"/>
    <col min="7" max="7" width="20" style="85" customWidth="1"/>
    <col min="8" max="8" width="16.90625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14" t="s">
        <v>37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82"/>
      <c r="M1" s="82"/>
      <c r="N1" s="82"/>
    </row>
    <row r="2" spans="1:15" ht="31" customHeight="1">
      <c r="A2" s="116" t="s">
        <v>36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82"/>
      <c r="M2" s="82"/>
      <c r="N2" s="82"/>
    </row>
    <row r="3" spans="1:15" ht="15" customHeight="1" thickBot="1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713288.13559322036</v>
      </c>
      <c r="C12" s="48">
        <f>RUHANGO!G37</f>
        <v>196200</v>
      </c>
      <c r="D12" s="48">
        <f>RUHANGO!C43</f>
        <v>0</v>
      </c>
      <c r="E12" s="48">
        <f>RUHANGO!C44</f>
        <v>0</v>
      </c>
      <c r="F12" s="50">
        <f t="shared" si="0"/>
        <v>909488.13559322036</v>
      </c>
      <c r="G12" s="47">
        <f>RUHANGO!C41</f>
        <v>0</v>
      </c>
      <c r="H12" s="48">
        <f>RUHANGO!C39</f>
        <v>909488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712372.88135593222</v>
      </c>
      <c r="C22" s="48">
        <f>NYANZA!G37</f>
        <v>205100</v>
      </c>
      <c r="D22" s="48">
        <f>NYANZA!C43</f>
        <v>0</v>
      </c>
      <c r="E22" s="48">
        <f>NYANZA!C44</f>
        <v>0</v>
      </c>
      <c r="F22" s="50">
        <f t="shared" si="0"/>
        <v>917472.88135593222</v>
      </c>
      <c r="G22" s="47">
        <f>NYANZA!C41</f>
        <v>0</v>
      </c>
      <c r="H22" s="48">
        <f>NYANZA!C39</f>
        <v>917473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1425661.0169491526</v>
      </c>
      <c r="C29" s="70">
        <f t="shared" si="1"/>
        <v>401300</v>
      </c>
      <c r="D29" s="71">
        <f t="shared" si="1"/>
        <v>0</v>
      </c>
      <c r="E29" s="70">
        <f t="shared" si="1"/>
        <v>0</v>
      </c>
      <c r="F29" s="70">
        <f>SUM(F5:F28)</f>
        <v>1826961.0169491526</v>
      </c>
      <c r="G29" s="71">
        <f>SUM(G5:G28)</f>
        <v>0</v>
      </c>
      <c r="H29" s="71">
        <f>SUM(H5:H28)</f>
        <v>1826961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53"/>
      <c r="B30" s="153"/>
      <c r="C30" s="153"/>
      <c r="D30" s="154"/>
      <c r="E30" s="144" t="s">
        <v>11</v>
      </c>
      <c r="F30" s="145"/>
      <c r="G30" s="145"/>
      <c r="H30" s="145"/>
      <c r="I30" s="146"/>
      <c r="J30" s="118"/>
      <c r="K30" s="119"/>
      <c r="L30" s="82"/>
    </row>
    <row r="31" spans="1:15" ht="19" thickBot="1">
      <c r="A31" s="141" t="s">
        <v>9</v>
      </c>
      <c r="B31" s="142"/>
      <c r="C31" s="142"/>
      <c r="D31" s="142"/>
      <c r="E31" s="147"/>
      <c r="F31" s="148"/>
      <c r="G31" s="148"/>
      <c r="H31" s="148"/>
      <c r="I31" s="149"/>
      <c r="J31" s="120"/>
      <c r="K31" s="121"/>
      <c r="L31" s="82"/>
    </row>
    <row r="32" spans="1:15" ht="15" thickBot="1">
      <c r="A32" s="137" t="s">
        <v>12</v>
      </c>
      <c r="B32" s="138"/>
      <c r="C32" s="155">
        <f>SUM(B29+C29)</f>
        <v>1826961.0169491526</v>
      </c>
      <c r="D32" s="156"/>
      <c r="E32" s="147"/>
      <c r="F32" s="148"/>
      <c r="G32" s="148"/>
      <c r="H32" s="148"/>
      <c r="I32" s="149"/>
      <c r="J32" s="120"/>
      <c r="K32" s="121"/>
      <c r="L32" s="82"/>
    </row>
    <row r="33" spans="1:12" ht="15" thickBot="1">
      <c r="A33" s="137" t="s">
        <v>13</v>
      </c>
      <c r="B33" s="138"/>
      <c r="C33" s="133">
        <f>SUM(F29,G29)</f>
        <v>1826961.0169491526</v>
      </c>
      <c r="D33" s="143"/>
      <c r="E33" s="147"/>
      <c r="F33" s="148"/>
      <c r="G33" s="148"/>
      <c r="H33" s="148"/>
      <c r="I33" s="149"/>
      <c r="J33" s="120"/>
      <c r="K33" s="121"/>
      <c r="L33" s="82"/>
    </row>
    <row r="34" spans="1:12" ht="15" thickBot="1">
      <c r="A34" s="135" t="s">
        <v>81</v>
      </c>
      <c r="B34" s="136"/>
      <c r="C34" s="133">
        <f>SUM(H29,J29,I29+G29)</f>
        <v>1826961</v>
      </c>
      <c r="D34" s="134"/>
      <c r="E34" s="147"/>
      <c r="F34" s="148"/>
      <c r="G34" s="148"/>
      <c r="H34" s="148"/>
      <c r="I34" s="149"/>
      <c r="J34" s="120"/>
      <c r="K34" s="121"/>
      <c r="L34" s="82"/>
    </row>
    <row r="35" spans="1:12" ht="15" thickBot="1">
      <c r="A35" s="137" t="s">
        <v>10</v>
      </c>
      <c r="B35" s="138"/>
      <c r="C35" s="133">
        <f>SUM(D29:E29)</f>
        <v>0</v>
      </c>
      <c r="D35" s="134"/>
      <c r="E35" s="150"/>
      <c r="F35" s="151"/>
      <c r="G35" s="151"/>
      <c r="H35" s="151"/>
      <c r="I35" s="152"/>
      <c r="J35" s="120"/>
      <c r="K35" s="121"/>
      <c r="L35" s="82"/>
    </row>
    <row r="36" spans="1:12" ht="15" thickBot="1">
      <c r="A36" s="137" t="s">
        <v>83</v>
      </c>
      <c r="B36" s="138"/>
      <c r="C36" s="133">
        <f>SUM(H29+I29+J29+C35)</f>
        <v>1826961</v>
      </c>
      <c r="D36" s="134"/>
      <c r="E36" s="124" t="s">
        <v>35</v>
      </c>
      <c r="F36" s="125"/>
      <c r="G36" s="125"/>
      <c r="H36" s="125"/>
      <c r="I36" s="126"/>
      <c r="J36" s="120"/>
      <c r="K36" s="121"/>
      <c r="L36" s="82"/>
    </row>
    <row r="37" spans="1:12" ht="15" thickBot="1">
      <c r="A37" s="139" t="s">
        <v>14</v>
      </c>
      <c r="B37" s="140"/>
      <c r="C37" s="133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1826961</v>
      </c>
      <c r="D37" s="134"/>
      <c r="E37" s="127"/>
      <c r="F37" s="128"/>
      <c r="G37" s="128"/>
      <c r="H37" s="128"/>
      <c r="I37" s="129"/>
      <c r="J37" s="120"/>
      <c r="K37" s="121"/>
      <c r="L37" s="82"/>
    </row>
    <row r="38" spans="1:12" ht="26.5" thickBot="1">
      <c r="A38" s="130" t="s">
        <v>15</v>
      </c>
      <c r="B38" s="131"/>
      <c r="C38" s="131"/>
      <c r="D38" s="131"/>
      <c r="E38" s="131"/>
      <c r="F38" s="131"/>
      <c r="G38" s="131"/>
      <c r="H38" s="131"/>
      <c r="I38" s="132"/>
      <c r="J38" s="122"/>
      <c r="K38" s="123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9" style="43" customWidth="1"/>
    <col min="2" max="2" width="21.90625" style="43" customWidth="1"/>
    <col min="3" max="3" width="25" style="43" customWidth="1"/>
    <col min="4" max="4" width="15.36328125" style="43" customWidth="1"/>
    <col min="5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6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8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s="89" customFormat="1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9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20.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3.15" customHeight="1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22" customHeight="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22.5" customHeight="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24.65" customHeight="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22" customHeight="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22" customHeight="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22" customHeight="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22" customHeight="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81640625" style="43" customWidth="1"/>
    <col min="7" max="7" width="20.54296875" style="43" customWidth="1"/>
    <col min="8" max="8" width="21.8164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4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3.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>
        <v>2124</v>
      </c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43" customWidth="1"/>
    <col min="2" max="2" width="26.36328125" style="43" customWidth="1"/>
    <col min="3" max="3" width="19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179687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4.6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4"/>
  <sheetViews>
    <sheetView workbookViewId="0">
      <selection activeCell="E6" sqref="E6:H14"/>
    </sheetView>
  </sheetViews>
  <sheetFormatPr defaultColWidth="8.7265625"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453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4"/>
  <sheetViews>
    <sheetView workbookViewId="0">
      <selection activeCell="E6" sqref="E6:H14"/>
    </sheetView>
  </sheetViews>
  <sheetFormatPr defaultColWidth="8.7265625" defaultRowHeight="14.5"/>
  <cols>
    <col min="1" max="1" width="23.54296875" style="43" customWidth="1"/>
    <col min="2" max="2" width="19.54296875" style="43" customWidth="1"/>
    <col min="3" max="3" width="14.81640625" style="43" customWidth="1"/>
    <col min="4" max="4" width="9.6328125" style="43" customWidth="1"/>
    <col min="5" max="5" width="22.1796875" style="43" customWidth="1"/>
    <col min="6" max="6" width="23.54296875" style="43" customWidth="1"/>
    <col min="7" max="7" width="17.1796875" style="43" customWidth="1"/>
    <col min="8" max="8" width="22.6328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4"/>
  <sheetViews>
    <sheetView workbookViewId="0">
      <selection activeCell="E6" sqref="E6:H14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36328125" customWidth="1"/>
    <col min="5" max="5" width="21.6328125" customWidth="1"/>
    <col min="6" max="6" width="19.6328125" customWidth="1"/>
    <col min="7" max="7" width="15.6328125" customWidth="1"/>
    <col min="8" max="8" width="20.816406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4"/>
  <sheetViews>
    <sheetView workbookViewId="0">
      <selection activeCell="E6" sqref="E6:H14"/>
    </sheetView>
  </sheetViews>
  <sheetFormatPr defaultRowHeight="14.5"/>
  <cols>
    <col min="1" max="1" width="23.54296875" customWidth="1"/>
    <col min="2" max="2" width="14.63281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453125" customWidth="1"/>
    <col min="8" max="8" width="16.6328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3.90625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90625" style="43" customWidth="1"/>
    <col min="8" max="8" width="15.7265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3.1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6.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workbookViewId="0">
      <selection activeCell="E6" sqref="E6:H14"/>
    </sheetView>
  </sheetViews>
  <sheetFormatPr defaultRowHeight="14.5"/>
  <cols>
    <col min="1" max="1" width="24.453125" customWidth="1"/>
    <col min="2" max="2" width="16.36328125" customWidth="1"/>
    <col min="3" max="3" width="21.36328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4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"/>
  <sheetViews>
    <sheetView workbookViewId="0">
      <selection activeCell="E6" sqref="E6:H14"/>
    </sheetView>
  </sheetViews>
  <sheetFormatPr defaultRowHeight="14.5"/>
  <cols>
    <col min="1" max="1" width="19" customWidth="1"/>
    <col min="2" max="2" width="16.1796875" customWidth="1"/>
    <col min="3" max="3" width="20.81640625" customWidth="1"/>
    <col min="4" max="4" width="14.089843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3.1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0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s="43" customFormat="1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4.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4"/>
  <sheetViews>
    <sheetView workbookViewId="0">
      <selection activeCell="E6" sqref="E6:H14"/>
    </sheetView>
  </sheetViews>
  <sheetFormatPr defaultColWidth="8.7265625"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4.90625" style="43" customWidth="1"/>
    <col min="5" max="5" width="19.26953125" style="43" customWidth="1"/>
    <col min="6" max="6" width="15.9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21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5.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9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9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zoomScale="48" zoomScaleNormal="48" workbookViewId="0">
      <selection activeCell="D34" sqref="D34"/>
    </sheetView>
  </sheetViews>
  <sheetFormatPr defaultRowHeight="14.5"/>
  <cols>
    <col min="1" max="1" width="23.08984375" customWidth="1"/>
    <col min="2" max="2" width="15.453125" customWidth="1"/>
    <col min="3" max="3" width="20.26953125" customWidth="1"/>
    <col min="4" max="4" width="16.1796875" customWidth="1"/>
    <col min="5" max="5" width="18.26953125" customWidth="1"/>
    <col min="6" max="6" width="15.36328125" customWidth="1"/>
    <col min="7" max="7" width="22.90625" customWidth="1"/>
    <col min="8" max="8" width="19" customWidth="1"/>
  </cols>
  <sheetData>
    <row r="1" spans="1:9" ht="14.5" customHeight="1">
      <c r="A1" s="210" t="s">
        <v>88</v>
      </c>
      <c r="B1" s="211"/>
      <c r="C1" s="211"/>
      <c r="D1" s="211"/>
      <c r="E1" s="211"/>
      <c r="F1" s="211"/>
      <c r="G1" s="211"/>
      <c r="H1" s="211"/>
      <c r="I1" s="157"/>
    </row>
    <row r="2" spans="1:9" ht="22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90</v>
      </c>
      <c r="B3" s="215"/>
      <c r="C3" s="215"/>
      <c r="D3" s="215"/>
      <c r="E3" s="215"/>
      <c r="F3" s="215"/>
      <c r="G3" s="215"/>
      <c r="H3" s="216"/>
      <c r="I3" s="158"/>
    </row>
    <row r="4" spans="1:9" ht="22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>
        <v>2320</v>
      </c>
      <c r="C10" s="196">
        <v>1800</v>
      </c>
      <c r="D10" s="197"/>
      <c r="E10" s="12">
        <f t="shared" si="0"/>
        <v>4176000</v>
      </c>
      <c r="F10" s="12">
        <f t="shared" si="1"/>
        <v>637016.94915254239</v>
      </c>
      <c r="G10" s="12">
        <f>PRODUCT(B10*30)</f>
        <v>69600</v>
      </c>
      <c r="H10" s="100">
        <f t="shared" si="2"/>
        <v>706616.94915254239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>
        <v>200</v>
      </c>
      <c r="C12" s="196">
        <v>2500</v>
      </c>
      <c r="D12" s="197"/>
      <c r="E12" s="12">
        <f t="shared" si="0"/>
        <v>500000</v>
      </c>
      <c r="F12" s="12">
        <f>PRODUCT(E12*18)/118</f>
        <v>76271.186440677964</v>
      </c>
      <c r="G12" s="12">
        <f>PRODUCT(B12*30)</f>
        <v>6000</v>
      </c>
      <c r="H12" s="100">
        <f t="shared" si="2"/>
        <v>82271.186440677964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s="43" customFormat="1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s="43" customFormat="1" ht="15" thickBot="1">
      <c r="A21" s="36" t="s">
        <v>85</v>
      </c>
      <c r="B21" s="13">
        <v>2412</v>
      </c>
      <c r="C21" s="13"/>
      <c r="D21" s="13">
        <v>50</v>
      </c>
      <c r="E21" s="20">
        <f t="shared" si="4"/>
        <v>0</v>
      </c>
      <c r="F21" s="17">
        <f t="shared" si="3"/>
        <v>0</v>
      </c>
      <c r="G21" s="15">
        <f t="shared" si="5"/>
        <v>120600</v>
      </c>
      <c r="H21" s="103">
        <f t="shared" si="6"/>
        <v>120600</v>
      </c>
      <c r="I21" s="158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4676000</v>
      </c>
      <c r="F37" s="24">
        <f>SUM(F5:F36)</f>
        <v>713288.13559322036</v>
      </c>
      <c r="G37" s="24">
        <f t="shared" ref="G37:H37" si="10">SUM(G5:G36)</f>
        <v>196200</v>
      </c>
      <c r="H37" s="24">
        <f t="shared" si="10"/>
        <v>909488.13559322036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>
        <v>909488</v>
      </c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909488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2520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2520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4"/>
  <sheetViews>
    <sheetView zoomScaleNormal="100" workbookViewId="0">
      <selection activeCell="E6" sqref="E6:H14"/>
    </sheetView>
  </sheetViews>
  <sheetFormatPr defaultColWidth="8.7265625" defaultRowHeight="14.5"/>
  <cols>
    <col min="1" max="1" width="24.6328125" style="43" customWidth="1"/>
    <col min="2" max="2" width="15.9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72656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34.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27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4.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9.15" customHeight="1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5" customHeight="1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customHeight="1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customHeight="1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customHeight="1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customHeight="1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customHeight="1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customHeight="1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customHeight="1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customHeight="1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customHeight="1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customHeight="1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customHeight="1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customHeight="1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customHeight="1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4.5" customHeight="1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4"/>
  <sheetViews>
    <sheetView workbookViewId="0">
      <selection activeCell="E6" sqref="E6:H14"/>
    </sheetView>
  </sheetViews>
  <sheetFormatPr defaultColWidth="8.7265625" defaultRowHeight="14.5"/>
  <cols>
    <col min="1" max="1" width="19.7265625" style="43" customWidth="1"/>
    <col min="2" max="2" width="14.36328125" style="43" customWidth="1"/>
    <col min="3" max="3" width="20" style="43" customWidth="1"/>
    <col min="4" max="4" width="14.08984375" style="43" customWidth="1"/>
    <col min="5" max="5" width="20" style="43" customWidth="1"/>
    <col min="6" max="6" width="15.36328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1.6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4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4.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customHeight="1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 ht="14.5" customHeight="1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customHeight="1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4"/>
  <sheetViews>
    <sheetView workbookViewId="0">
      <selection activeCell="E6" sqref="E6:H14"/>
    </sheetView>
  </sheetViews>
  <sheetFormatPr defaultColWidth="8.7265625" defaultRowHeight="14.5"/>
  <cols>
    <col min="1" max="1" width="19.7265625" style="43" customWidth="1"/>
    <col min="2" max="2" width="14.36328125" style="43" customWidth="1"/>
    <col min="3" max="3" width="23.90625" style="43" customWidth="1"/>
    <col min="4" max="4" width="18" style="43" customWidth="1"/>
    <col min="5" max="5" width="20.54296875" style="43" customWidth="1"/>
    <col min="6" max="6" width="22.90625" style="43" customWidth="1"/>
    <col min="7" max="7" width="21.08984375" style="43" customWidth="1"/>
    <col min="8" max="8" width="19.906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225"/>
    </row>
    <row r="2" spans="1:9" ht="15" customHeight="1" thickBot="1">
      <c r="A2" s="212"/>
      <c r="B2" s="213"/>
      <c r="C2" s="213"/>
      <c r="D2" s="213"/>
      <c r="E2" s="213"/>
      <c r="F2" s="213"/>
      <c r="G2" s="213"/>
      <c r="H2" s="213"/>
      <c r="I2" s="226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226"/>
    </row>
    <row r="4" spans="1:9" ht="15" customHeight="1" thickBot="1">
      <c r="A4" s="212"/>
      <c r="B4" s="213"/>
      <c r="C4" s="213"/>
      <c r="D4" s="213"/>
      <c r="E4" s="213"/>
      <c r="F4" s="213"/>
      <c r="G4" s="213"/>
      <c r="H4" s="213"/>
      <c r="I4" s="226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226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6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6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6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6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6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6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6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6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6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226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6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6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6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6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6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6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6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6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6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6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6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6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6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6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6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6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6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6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6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6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6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6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226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226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226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226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226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226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226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226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226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226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226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226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226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226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226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226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226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226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226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226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226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226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226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226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226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226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227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6.90625" customWidth="1"/>
    <col min="6" max="7" width="19" customWidth="1"/>
    <col min="8" max="8" width="24.36328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19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9" customWidth="1"/>
    <col min="5" max="5" width="17.7265625" customWidth="1"/>
    <col min="6" max="6" width="18" customWidth="1"/>
    <col min="7" max="7" width="21.81640625" customWidth="1"/>
    <col min="8" max="8" width="22.36328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0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0.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64"/>
  <sheetViews>
    <sheetView topLeftCell="A25" workbookViewId="0">
      <selection activeCell="C33" sqref="C33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9" customWidth="1"/>
    <col min="7" max="7" width="17.7265625" customWidth="1"/>
    <col min="8" max="8" width="22.6328125" customWidth="1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4.6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1.6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64"/>
  <sheetViews>
    <sheetView tabSelected="1" topLeftCell="A9" zoomScale="64" zoomScaleNormal="64" workbookViewId="0">
      <selection activeCell="E35" sqref="E35"/>
    </sheetView>
  </sheetViews>
  <sheetFormatPr defaultRowHeight="14.5"/>
  <cols>
    <col min="1" max="1" width="22.453125" customWidth="1"/>
    <col min="2" max="2" width="17.1796875" customWidth="1"/>
    <col min="3" max="3" width="19.26953125" customWidth="1"/>
    <col min="4" max="4" width="16.54296875" customWidth="1"/>
    <col min="5" max="5" width="22.36328125" customWidth="1"/>
    <col min="6" max="6" width="17.1796875" customWidth="1"/>
    <col min="7" max="7" width="16.26953125" customWidth="1"/>
    <col min="8" max="8" width="23.26953125" customWidth="1"/>
  </cols>
  <sheetData>
    <row r="1" spans="1:9" ht="14.5" customHeight="1">
      <c r="A1" s="210" t="s">
        <v>89</v>
      </c>
      <c r="B1" s="211"/>
      <c r="C1" s="211"/>
      <c r="D1" s="211"/>
      <c r="E1" s="211"/>
      <c r="F1" s="211"/>
      <c r="G1" s="211"/>
      <c r="H1" s="211"/>
      <c r="I1" s="157"/>
    </row>
    <row r="2" spans="1:9" ht="27.6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86</v>
      </c>
      <c r="B3" s="215"/>
      <c r="C3" s="215"/>
      <c r="D3" s="215"/>
      <c r="E3" s="215"/>
      <c r="F3" s="215"/>
      <c r="G3" s="215"/>
      <c r="H3" s="216"/>
      <c r="I3" s="158"/>
    </row>
    <row r="4" spans="1:9" ht="21.65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87</v>
      </c>
      <c r="B8" s="11">
        <v>400</v>
      </c>
      <c r="C8" s="196">
        <v>2000</v>
      </c>
      <c r="D8" s="197"/>
      <c r="E8" s="12">
        <f t="shared" si="0"/>
        <v>800000</v>
      </c>
      <c r="F8" s="12">
        <f t="shared" si="1"/>
        <v>122033.89830508475</v>
      </c>
      <c r="G8" s="12">
        <f>PRODUCT(B8*50)</f>
        <v>20000</v>
      </c>
      <c r="H8" s="100">
        <f t="shared" si="2"/>
        <v>142033.89830508473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>
        <v>1950</v>
      </c>
      <c r="C10" s="196">
        <v>1800</v>
      </c>
      <c r="D10" s="197"/>
      <c r="E10" s="12">
        <f t="shared" si="0"/>
        <v>3510000</v>
      </c>
      <c r="F10" s="12">
        <f t="shared" si="1"/>
        <v>535423.72881355928</v>
      </c>
      <c r="G10" s="12">
        <f>PRODUCT(B10*30)</f>
        <v>58500</v>
      </c>
      <c r="H10" s="100">
        <f t="shared" si="2"/>
        <v>593923.72881355928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>
        <v>300</v>
      </c>
      <c r="C13" s="196">
        <v>1200</v>
      </c>
      <c r="D13" s="197"/>
      <c r="E13" s="12">
        <f t="shared" si="0"/>
        <v>360000</v>
      </c>
      <c r="F13" s="12">
        <f t="shared" si="1"/>
        <v>54915.254237288136</v>
      </c>
      <c r="G13" s="12">
        <f>PRODUCT(B13*20)</f>
        <v>6000</v>
      </c>
      <c r="H13" s="100">
        <f t="shared" si="2"/>
        <v>60915.254237288136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85</v>
      </c>
      <c r="B21" s="13">
        <v>2412</v>
      </c>
      <c r="C21" s="13"/>
      <c r="D21" s="13">
        <v>50</v>
      </c>
      <c r="E21" s="20">
        <f t="shared" si="4"/>
        <v>0</v>
      </c>
      <c r="F21" s="17">
        <f t="shared" si="3"/>
        <v>0</v>
      </c>
      <c r="G21" s="15">
        <f t="shared" si="5"/>
        <v>120600</v>
      </c>
      <c r="H21" s="103">
        <f t="shared" si="6"/>
        <v>120600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4670000</v>
      </c>
      <c r="F37" s="24">
        <f>SUM(F5:F36)</f>
        <v>712372.88135593222</v>
      </c>
      <c r="G37" s="24">
        <f t="shared" ref="G37:H37" si="10">SUM(G5:G36)</f>
        <v>205100</v>
      </c>
      <c r="H37" s="24">
        <f t="shared" si="10"/>
        <v>917472.88135593222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>
        <v>917473</v>
      </c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917473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1950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400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300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2650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90625" style="43" customWidth="1"/>
    <col min="2" max="2" width="16.17968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9" style="43" customWidth="1"/>
    <col min="8" max="8" width="24.6328125" style="43" customWidth="1"/>
    <col min="9" max="16384" width="8.7265625" style="43"/>
  </cols>
  <sheetData>
    <row r="1" spans="1:9" ht="14.5" customHeight="1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0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 ht="14.5" customHeight="1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22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4.5" customHeight="1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customHeight="1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56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56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56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56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56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56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56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56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228"/>
      <c r="D63" s="229"/>
      <c r="E63" s="230"/>
      <c r="F63" s="231"/>
      <c r="G63" s="231"/>
      <c r="H63" s="231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81640625" customWidth="1"/>
    <col min="3" max="3" width="25.26953125" customWidth="1"/>
    <col min="4" max="4" width="18.453125" customWidth="1"/>
    <col min="5" max="5" width="21.08984375" customWidth="1"/>
    <col min="6" max="6" width="15.36328125" customWidth="1"/>
    <col min="7" max="7" width="13.453125" customWidth="1"/>
    <col min="8" max="8" width="15.36328125" customWidth="1"/>
  </cols>
  <sheetData>
    <row r="1" spans="1:9">
      <c r="A1" s="210" t="s">
        <v>55</v>
      </c>
      <c r="B1" s="211"/>
      <c r="C1" s="211"/>
      <c r="D1" s="211"/>
      <c r="E1" s="211"/>
      <c r="F1" s="211"/>
      <c r="G1" s="211"/>
      <c r="H1" s="211"/>
      <c r="I1" s="157"/>
    </row>
    <row r="2" spans="1:9" ht="29.5" customHeight="1" thickBot="1">
      <c r="A2" s="212"/>
      <c r="B2" s="213"/>
      <c r="C2" s="213"/>
      <c r="D2" s="213"/>
      <c r="E2" s="213"/>
      <c r="F2" s="213"/>
      <c r="G2" s="213"/>
      <c r="H2" s="213"/>
      <c r="I2" s="158"/>
    </row>
    <row r="3" spans="1:9">
      <c r="A3" s="214" t="s">
        <v>80</v>
      </c>
      <c r="B3" s="215"/>
      <c r="C3" s="215"/>
      <c r="D3" s="215"/>
      <c r="E3" s="215"/>
      <c r="F3" s="215"/>
      <c r="G3" s="215"/>
      <c r="H3" s="216"/>
      <c r="I3" s="158"/>
    </row>
    <row r="4" spans="1:9" ht="30" customHeight="1" thickBot="1">
      <c r="A4" s="212"/>
      <c r="B4" s="213"/>
      <c r="C4" s="213"/>
      <c r="D4" s="213"/>
      <c r="E4" s="213"/>
      <c r="F4" s="213"/>
      <c r="G4" s="213"/>
      <c r="H4" s="213"/>
      <c r="I4" s="158"/>
    </row>
    <row r="5" spans="1:9" ht="15" thickBot="1">
      <c r="A5" s="98" t="s">
        <v>38</v>
      </c>
      <c r="B5" s="30" t="s">
        <v>39</v>
      </c>
      <c r="C5" s="217" t="s">
        <v>40</v>
      </c>
      <c r="D5" s="218"/>
      <c r="E5" s="30" t="s">
        <v>41</v>
      </c>
      <c r="F5" s="31" t="s">
        <v>42</v>
      </c>
      <c r="G5" s="30" t="s">
        <v>43</v>
      </c>
      <c r="H5" s="31" t="s">
        <v>8</v>
      </c>
      <c r="I5" s="158"/>
    </row>
    <row r="6" spans="1:9">
      <c r="A6" s="38" t="s">
        <v>44</v>
      </c>
      <c r="B6" s="9"/>
      <c r="C6" s="219"/>
      <c r="D6" s="220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58"/>
    </row>
    <row r="7" spans="1:9">
      <c r="A7" s="38" t="s">
        <v>45</v>
      </c>
      <c r="B7" s="9"/>
      <c r="C7" s="219"/>
      <c r="D7" s="220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58"/>
    </row>
    <row r="8" spans="1:9">
      <c r="A8" s="39" t="s">
        <v>46</v>
      </c>
      <c r="B8" s="11"/>
      <c r="C8" s="196"/>
      <c r="D8" s="197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58"/>
    </row>
    <row r="9" spans="1:9">
      <c r="A9" s="39" t="s">
        <v>47</v>
      </c>
      <c r="B9" s="11"/>
      <c r="C9" s="196"/>
      <c r="D9" s="197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58"/>
    </row>
    <row r="10" spans="1:9">
      <c r="A10" s="39" t="s">
        <v>48</v>
      </c>
      <c r="B10" s="11"/>
      <c r="C10" s="196"/>
      <c r="D10" s="197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58"/>
    </row>
    <row r="11" spans="1:9">
      <c r="A11" s="40" t="s">
        <v>66</v>
      </c>
      <c r="B11" s="11"/>
      <c r="C11" s="196"/>
      <c r="D11" s="197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58"/>
    </row>
    <row r="12" spans="1:9">
      <c r="A12" s="40" t="s">
        <v>66</v>
      </c>
      <c r="B12" s="11"/>
      <c r="C12" s="196"/>
      <c r="D12" s="197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58"/>
    </row>
    <row r="13" spans="1:9">
      <c r="A13" s="40" t="s">
        <v>60</v>
      </c>
      <c r="B13" s="11"/>
      <c r="C13" s="196"/>
      <c r="D13" s="197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58"/>
    </row>
    <row r="14" spans="1:9" ht="15" thickBot="1">
      <c r="A14" s="41" t="s">
        <v>60</v>
      </c>
      <c r="B14" s="11"/>
      <c r="C14" s="196"/>
      <c r="D14" s="197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58"/>
    </row>
    <row r="15" spans="1:9" ht="26.5" thickBot="1">
      <c r="A15" s="198" t="s">
        <v>49</v>
      </c>
      <c r="B15" s="199"/>
      <c r="C15" s="199"/>
      <c r="D15" s="199"/>
      <c r="E15" s="199"/>
      <c r="F15" s="199"/>
      <c r="G15" s="199"/>
      <c r="H15" s="199"/>
      <c r="I15" s="15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5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5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5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5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5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5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5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5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5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5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5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5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5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5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5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5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5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5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5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5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5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58"/>
    </row>
    <row r="38" spans="1:9" ht="15" thickBot="1">
      <c r="A38" s="203" t="s">
        <v>78</v>
      </c>
      <c r="B38" s="204"/>
      <c r="C38" s="63" t="s">
        <v>72</v>
      </c>
      <c r="D38" s="54"/>
      <c r="E38" s="201" t="s">
        <v>70</v>
      </c>
      <c r="F38" s="202"/>
      <c r="G38" s="62" t="s">
        <v>71</v>
      </c>
      <c r="H38" s="107" t="s">
        <v>72</v>
      </c>
      <c r="I38" s="158"/>
    </row>
    <row r="39" spans="1:9" ht="15" thickBot="1">
      <c r="A39" s="206" t="s">
        <v>68</v>
      </c>
      <c r="B39" s="207"/>
      <c r="C39" s="55"/>
      <c r="D39" s="58"/>
      <c r="E39" s="200"/>
      <c r="F39" s="200"/>
      <c r="G39" s="61"/>
      <c r="H39" s="108"/>
      <c r="I39" s="158"/>
    </row>
    <row r="40" spans="1:9" ht="15" thickBot="1">
      <c r="A40" s="174" t="s">
        <v>69</v>
      </c>
      <c r="B40" s="175"/>
      <c r="C40" s="51"/>
      <c r="D40" s="59"/>
      <c r="E40" s="205"/>
      <c r="F40" s="205"/>
      <c r="G40" s="60"/>
      <c r="H40" s="109"/>
      <c r="I40" s="158"/>
    </row>
    <row r="41" spans="1:9" ht="15" thickBot="1">
      <c r="A41" s="174" t="s">
        <v>73</v>
      </c>
      <c r="B41" s="175"/>
      <c r="C41" s="52"/>
      <c r="D41" s="58"/>
      <c r="E41" s="195"/>
      <c r="F41" s="195"/>
      <c r="G41" s="60"/>
      <c r="H41" s="109"/>
      <c r="I41" s="158"/>
    </row>
    <row r="42" spans="1:9" ht="15" thickBot="1">
      <c r="A42" s="208" t="s">
        <v>74</v>
      </c>
      <c r="B42" s="209"/>
      <c r="C42" s="53"/>
      <c r="D42" s="56"/>
      <c r="E42" s="194"/>
      <c r="F42" s="195"/>
      <c r="G42" s="11"/>
      <c r="H42" s="109"/>
      <c r="I42" s="158"/>
    </row>
    <row r="43" spans="1:9" ht="15" thickBot="1">
      <c r="A43" s="190" t="s">
        <v>75</v>
      </c>
      <c r="B43" s="191"/>
      <c r="C43" s="90"/>
      <c r="D43" s="56"/>
      <c r="E43" s="194"/>
      <c r="F43" s="195"/>
      <c r="G43" s="11"/>
      <c r="H43" s="109"/>
      <c r="I43" s="158"/>
    </row>
    <row r="44" spans="1:9" ht="15" thickBot="1">
      <c r="A44" s="190" t="s">
        <v>76</v>
      </c>
      <c r="B44" s="191"/>
      <c r="C44" s="90"/>
      <c r="D44" s="57"/>
      <c r="E44" s="194"/>
      <c r="F44" s="195"/>
      <c r="G44" s="11"/>
      <c r="H44" s="109"/>
      <c r="I44" s="158"/>
    </row>
    <row r="45" spans="1:9" ht="15" thickBot="1">
      <c r="A45" s="190" t="s">
        <v>77</v>
      </c>
      <c r="B45" s="191"/>
      <c r="C45" s="91">
        <f>SUM(C39+C40+C41+C42+C43+C44)</f>
        <v>0</v>
      </c>
      <c r="D45" s="92"/>
      <c r="E45" s="178"/>
      <c r="F45" s="179"/>
      <c r="G45" s="93"/>
      <c r="H45" s="110"/>
      <c r="I45" s="158"/>
    </row>
    <row r="46" spans="1:9">
      <c r="A46" s="180" t="s">
        <v>57</v>
      </c>
      <c r="B46" s="181"/>
      <c r="C46" s="181"/>
      <c r="D46" s="181"/>
      <c r="E46" s="181"/>
      <c r="F46" s="181"/>
      <c r="G46" s="181"/>
      <c r="H46" s="181"/>
      <c r="I46" s="158"/>
    </row>
    <row r="47" spans="1:9" ht="15" thickBot="1">
      <c r="A47" s="182"/>
      <c r="B47" s="183"/>
      <c r="C47" s="183"/>
      <c r="D47" s="183"/>
      <c r="E47" s="183"/>
      <c r="F47" s="183"/>
      <c r="G47" s="183"/>
      <c r="H47" s="183"/>
      <c r="I47" s="158"/>
    </row>
    <row r="48" spans="1:9" ht="24" thickBot="1">
      <c r="A48" s="166" t="s">
        <v>9</v>
      </c>
      <c r="B48" s="167"/>
      <c r="C48" s="192" t="s">
        <v>58</v>
      </c>
      <c r="D48" s="193"/>
      <c r="E48" s="186" t="s">
        <v>59</v>
      </c>
      <c r="F48" s="187"/>
      <c r="G48" s="187"/>
      <c r="H48" s="187"/>
      <c r="I48" s="158"/>
    </row>
    <row r="49" spans="1:9" ht="19" thickBot="1">
      <c r="A49" s="168"/>
      <c r="B49" s="169"/>
      <c r="C49" s="176" t="s">
        <v>61</v>
      </c>
      <c r="D49" s="177"/>
      <c r="E49" s="184">
        <f>SUM(B9:B12)</f>
        <v>0</v>
      </c>
      <c r="F49" s="185"/>
      <c r="G49" s="185"/>
      <c r="H49" s="185"/>
      <c r="I49" s="158"/>
    </row>
    <row r="50" spans="1:9" ht="19" thickBot="1">
      <c r="A50" s="170"/>
      <c r="B50" s="171"/>
      <c r="C50" s="176" t="s">
        <v>46</v>
      </c>
      <c r="D50" s="177"/>
      <c r="E50" s="184">
        <f>SUM(B6:B8)</f>
        <v>0</v>
      </c>
      <c r="F50" s="185"/>
      <c r="G50" s="185"/>
      <c r="H50" s="185"/>
      <c r="I50" s="158"/>
    </row>
    <row r="51" spans="1:9" ht="19" thickBot="1">
      <c r="A51" s="170"/>
      <c r="B51" s="171"/>
      <c r="C51" s="176" t="s">
        <v>62</v>
      </c>
      <c r="D51" s="177"/>
      <c r="E51" s="184">
        <f>SUM(B13:B14)</f>
        <v>0</v>
      </c>
      <c r="F51" s="185"/>
      <c r="G51" s="185"/>
      <c r="H51" s="185"/>
      <c r="I51" s="158"/>
    </row>
    <row r="52" spans="1:9" ht="19" thickBot="1">
      <c r="A52" s="170"/>
      <c r="B52" s="171"/>
      <c r="C52" s="160" t="s">
        <v>63</v>
      </c>
      <c r="D52" s="161"/>
      <c r="E52" s="188">
        <f>SUM(B17:B18)</f>
        <v>0</v>
      </c>
      <c r="F52" s="189"/>
      <c r="G52" s="189"/>
      <c r="H52" s="189"/>
      <c r="I52" s="158"/>
    </row>
    <row r="53" spans="1:9" ht="19" thickBot="1">
      <c r="A53" s="170"/>
      <c r="B53" s="171"/>
      <c r="C53" s="160" t="s">
        <v>64</v>
      </c>
      <c r="D53" s="161"/>
      <c r="E53" s="188">
        <f>SUM(B19:B20)</f>
        <v>0</v>
      </c>
      <c r="F53" s="189"/>
      <c r="G53" s="189"/>
      <c r="H53" s="189"/>
      <c r="I53" s="158"/>
    </row>
    <row r="54" spans="1:9" ht="19" thickBot="1">
      <c r="A54" s="170"/>
      <c r="B54" s="171"/>
      <c r="C54" s="160" t="s">
        <v>84</v>
      </c>
      <c r="D54" s="161"/>
      <c r="E54" s="188">
        <f>B29</f>
        <v>0</v>
      </c>
      <c r="F54" s="189"/>
      <c r="G54" s="189"/>
      <c r="H54" s="189"/>
      <c r="I54" s="158"/>
    </row>
    <row r="55" spans="1:9" ht="19" thickBot="1">
      <c r="A55" s="170"/>
      <c r="B55" s="171"/>
      <c r="C55" s="160" t="s">
        <v>84</v>
      </c>
      <c r="D55" s="161"/>
      <c r="E55" s="188">
        <f t="shared" ref="E55:E61" si="11">B30</f>
        <v>0</v>
      </c>
      <c r="F55" s="189"/>
      <c r="G55" s="189"/>
      <c r="H55" s="189"/>
      <c r="I55" s="158"/>
    </row>
    <row r="56" spans="1:9" ht="19" thickBot="1">
      <c r="A56" s="170"/>
      <c r="B56" s="171"/>
      <c r="C56" s="160" t="s">
        <v>84</v>
      </c>
      <c r="D56" s="161"/>
      <c r="E56" s="188">
        <f t="shared" si="11"/>
        <v>0</v>
      </c>
      <c r="F56" s="189"/>
      <c r="G56" s="189"/>
      <c r="H56" s="189"/>
      <c r="I56" s="158"/>
    </row>
    <row r="57" spans="1:9" ht="19" thickBot="1">
      <c r="A57" s="170"/>
      <c r="B57" s="171"/>
      <c r="C57" s="160" t="s">
        <v>84</v>
      </c>
      <c r="D57" s="161"/>
      <c r="E57" s="188">
        <f t="shared" si="11"/>
        <v>0</v>
      </c>
      <c r="F57" s="189"/>
      <c r="G57" s="189"/>
      <c r="H57" s="189"/>
      <c r="I57" s="158"/>
    </row>
    <row r="58" spans="1:9" ht="19" thickBot="1">
      <c r="A58" s="170"/>
      <c r="B58" s="171"/>
      <c r="C58" s="160" t="s">
        <v>84</v>
      </c>
      <c r="D58" s="161"/>
      <c r="E58" s="188">
        <f t="shared" si="11"/>
        <v>0</v>
      </c>
      <c r="F58" s="189"/>
      <c r="G58" s="189"/>
      <c r="H58" s="189"/>
      <c r="I58" s="158"/>
    </row>
    <row r="59" spans="1:9" ht="19" thickBot="1">
      <c r="A59" s="170"/>
      <c r="B59" s="171"/>
      <c r="C59" s="160" t="s">
        <v>84</v>
      </c>
      <c r="D59" s="161"/>
      <c r="E59" s="188">
        <f t="shared" si="11"/>
        <v>0</v>
      </c>
      <c r="F59" s="189"/>
      <c r="G59" s="189"/>
      <c r="H59" s="189"/>
      <c r="I59" s="158"/>
    </row>
    <row r="60" spans="1:9" ht="19" thickBot="1">
      <c r="A60" s="170"/>
      <c r="B60" s="171"/>
      <c r="C60" s="160" t="s">
        <v>84</v>
      </c>
      <c r="D60" s="161"/>
      <c r="E60" s="188">
        <f t="shared" si="11"/>
        <v>0</v>
      </c>
      <c r="F60" s="189"/>
      <c r="G60" s="189"/>
      <c r="H60" s="189"/>
      <c r="I60" s="158"/>
    </row>
    <row r="61" spans="1:9" ht="19" thickBot="1">
      <c r="A61" s="170"/>
      <c r="B61" s="171"/>
      <c r="C61" s="160" t="s">
        <v>84</v>
      </c>
      <c r="D61" s="161"/>
      <c r="E61" s="188">
        <f t="shared" si="11"/>
        <v>0</v>
      </c>
      <c r="F61" s="189"/>
      <c r="G61" s="189"/>
      <c r="H61" s="189"/>
      <c r="I61" s="158"/>
    </row>
    <row r="62" spans="1:9" ht="32.5" thickBot="1">
      <c r="A62" s="170"/>
      <c r="B62" s="171"/>
      <c r="C62" s="160" t="s">
        <v>65</v>
      </c>
      <c r="D62" s="161"/>
      <c r="E62" s="223">
        <f>SUM(E49:H61)</f>
        <v>0</v>
      </c>
      <c r="F62" s="224"/>
      <c r="G62" s="224"/>
      <c r="H62" s="224"/>
      <c r="I62" s="158"/>
    </row>
    <row r="63" spans="1:9" ht="19" thickBot="1">
      <c r="A63" s="172"/>
      <c r="B63" s="173"/>
      <c r="C63" s="162"/>
      <c r="D63" s="163"/>
      <c r="E63" s="221"/>
      <c r="F63" s="222"/>
      <c r="G63" s="222"/>
      <c r="H63" s="222"/>
      <c r="I63" s="158"/>
    </row>
    <row r="64" spans="1:9" ht="15" thickBot="1">
      <c r="A64" s="164"/>
      <c r="B64" s="165"/>
      <c r="C64" s="165"/>
      <c r="D64" s="165"/>
      <c r="E64" s="165"/>
      <c r="F64" s="165"/>
      <c r="G64" s="165"/>
      <c r="H64" s="165"/>
      <c r="I64" s="159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0" t="s">
        <v>57</v>
      </c>
      <c r="B1" s="181"/>
      <c r="C1" s="181"/>
      <c r="D1" s="181"/>
      <c r="E1" s="181"/>
      <c r="F1" s="181"/>
      <c r="G1" s="238"/>
    </row>
    <row r="2" spans="1:7" ht="15" thickBot="1">
      <c r="A2" s="182"/>
      <c r="B2" s="183"/>
      <c r="C2" s="183"/>
      <c r="D2" s="183"/>
      <c r="E2" s="183"/>
      <c r="F2" s="183"/>
      <c r="G2" s="239"/>
    </row>
    <row r="3" spans="1:7" ht="28.5" thickBot="1">
      <c r="A3" s="240" t="s">
        <v>58</v>
      </c>
      <c r="B3" s="241"/>
      <c r="C3" s="242"/>
      <c r="D3" s="240" t="s">
        <v>59</v>
      </c>
      <c r="E3" s="241"/>
      <c r="F3" s="241"/>
      <c r="G3" s="242"/>
    </row>
    <row r="4" spans="1:7" ht="41.5" customHeight="1" thickBot="1">
      <c r="A4" s="232" t="s">
        <v>61</v>
      </c>
      <c r="B4" s="233"/>
      <c r="C4" s="234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4470</v>
      </c>
      <c r="E4" s="236"/>
      <c r="F4" s="236"/>
      <c r="G4" s="237"/>
    </row>
    <row r="5" spans="1:7" ht="37" customHeight="1" thickBot="1">
      <c r="A5" s="232" t="s">
        <v>46</v>
      </c>
      <c r="B5" s="233"/>
      <c r="C5" s="234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400</v>
      </c>
      <c r="E5" s="236"/>
      <c r="F5" s="236"/>
      <c r="G5" s="237"/>
    </row>
    <row r="6" spans="1:7" ht="40" customHeight="1" thickBot="1">
      <c r="A6" s="232" t="s">
        <v>60</v>
      </c>
      <c r="B6" s="233"/>
      <c r="C6" s="234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300</v>
      </c>
      <c r="E6" s="236"/>
      <c r="F6" s="236"/>
      <c r="G6" s="237"/>
    </row>
    <row r="7" spans="1:7" ht="38.5" customHeight="1" thickBot="1">
      <c r="A7" s="243" t="s">
        <v>63</v>
      </c>
      <c r="B7" s="244"/>
      <c r="C7" s="245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6"/>
      <c r="F7" s="236"/>
      <c r="G7" s="237"/>
    </row>
    <row r="8" spans="1:7" ht="40" customHeight="1" thickBot="1">
      <c r="A8" s="243" t="s">
        <v>64</v>
      </c>
      <c r="B8" s="244"/>
      <c r="C8" s="245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6"/>
      <c r="F8" s="236"/>
      <c r="G8" s="237"/>
    </row>
    <row r="9" spans="1:7" ht="38.5" customHeight="1" thickBot="1">
      <c r="A9" s="243" t="s">
        <v>84</v>
      </c>
      <c r="B9" s="244"/>
      <c r="C9" s="245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.15" customHeight="1" thickBot="1">
      <c r="A10" s="243" t="s">
        <v>84</v>
      </c>
      <c r="B10" s="244"/>
      <c r="C10" s="245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5" customHeight="1" thickBot="1">
      <c r="A11" s="243" t="s">
        <v>84</v>
      </c>
      <c r="B11" s="244"/>
      <c r="C11" s="245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65" customHeight="1" thickBot="1">
      <c r="A12" s="243" t="s">
        <v>84</v>
      </c>
      <c r="B12" s="244"/>
      <c r="C12" s="245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.15" customHeight="1" thickBot="1">
      <c r="A13" s="243" t="s">
        <v>84</v>
      </c>
      <c r="B13" s="244"/>
      <c r="C13" s="245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29" thickBot="1">
      <c r="A14" s="243" t="s">
        <v>84</v>
      </c>
      <c r="B14" s="244"/>
      <c r="C14" s="245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29" thickBot="1">
      <c r="A15" s="243" t="s">
        <v>84</v>
      </c>
      <c r="B15" s="244"/>
      <c r="C15" s="245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29" thickBot="1">
      <c r="A16" s="243" t="s">
        <v>84</v>
      </c>
      <c r="B16" s="244"/>
      <c r="C16" s="245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29" thickBot="1">
      <c r="A17" s="243" t="s">
        <v>65</v>
      </c>
      <c r="B17" s="244"/>
      <c r="C17" s="245"/>
      <c r="D17" s="246">
        <f>SUM(D4:D16)</f>
        <v>5170</v>
      </c>
      <c r="E17" s="247"/>
      <c r="F17" s="247"/>
      <c r="G17" s="248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niyonkurujoas55@gmail.com</cp:lastModifiedBy>
  <dcterms:created xsi:type="dcterms:W3CDTF">2023-12-29T10:10:15Z</dcterms:created>
  <dcterms:modified xsi:type="dcterms:W3CDTF">2026-06-08T13:31:55Z</dcterms:modified>
</cp:coreProperties>
</file>