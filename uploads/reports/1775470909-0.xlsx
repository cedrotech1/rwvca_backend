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796C6A78-3CCB-4B56-BC5A-4DD29E9D2D5A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D16" i="26" s="1"/>
  <c r="E52" i="24"/>
  <c r="D15" i="26" s="1"/>
  <c r="E51" i="24"/>
  <c r="D14" i="26" s="1"/>
  <c r="E50" i="24"/>
  <c r="D13" i="26" s="1"/>
  <c r="E49" i="24"/>
  <c r="D12" i="26" s="1"/>
  <c r="E48" i="24"/>
  <c r="D11" i="26" s="1"/>
  <c r="E47" i="24"/>
  <c r="D10" i="26" s="1"/>
  <c r="E46" i="24"/>
  <c r="E45" i="24"/>
  <c r="D8" i="26" s="1"/>
  <c r="E44" i="24"/>
  <c r="D7" i="26" s="1"/>
  <c r="E43" i="24"/>
  <c r="D6" i="26" s="1"/>
  <c r="E42" i="24"/>
  <c r="D5" i="26" s="1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G29" i="24" s="1"/>
  <c r="C22" i="1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29" i="23" s="1"/>
  <c r="C21" i="1" s="1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C20" i="1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H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H7" i="21" s="1"/>
  <c r="G6" i="21"/>
  <c r="G29" i="21" s="1"/>
  <c r="C18" i="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H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H7" i="20" s="1"/>
  <c r="G6" i="20"/>
  <c r="G29" i="20" s="1"/>
  <c r="C17" i="1" s="1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G29" i="18" s="1"/>
  <c r="C19" i="1" s="1"/>
  <c r="E11" i="18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C13" i="1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62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F10" i="14"/>
  <c r="H10" i="14" s="1"/>
  <c r="E10" i="14"/>
  <c r="G9" i="14"/>
  <c r="E9" i="14"/>
  <c r="G8" i="14"/>
  <c r="G37" i="14" s="1"/>
  <c r="C12" i="1" s="1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G29" i="11" s="1"/>
  <c r="C23" i="1" s="1"/>
  <c r="E19" i="1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G8" i="6"/>
  <c r="G37" i="6" s="1"/>
  <c r="C5" i="1" s="1"/>
  <c r="E8" i="6"/>
  <c r="F8" i="6" s="1"/>
  <c r="H8" i="6" s="1"/>
  <c r="G7" i="6"/>
  <c r="E7" i="6"/>
  <c r="F7" i="6" s="1"/>
  <c r="H7" i="6" s="1"/>
  <c r="G6" i="6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H21" i="9" l="1"/>
  <c r="D9" i="26"/>
  <c r="G29" i="9"/>
  <c r="C6" i="1" s="1"/>
  <c r="C29" i="1" s="1"/>
  <c r="E54" i="9"/>
  <c r="D4" i="26"/>
  <c r="E54" i="24"/>
  <c r="E29" i="24"/>
  <c r="F6" i="24"/>
  <c r="E29" i="23"/>
  <c r="F6" i="23"/>
  <c r="E29" i="22"/>
  <c r="F6" i="22"/>
  <c r="F6" i="21"/>
  <c r="E29" i="21"/>
  <c r="F6" i="20"/>
  <c r="E29" i="20"/>
  <c r="E37" i="19"/>
  <c r="F6" i="19"/>
  <c r="E29" i="18"/>
  <c r="F11" i="18"/>
  <c r="H11" i="18" s="1"/>
  <c r="H6" i="18"/>
  <c r="F29" i="18"/>
  <c r="E37" i="17"/>
  <c r="F6" i="17"/>
  <c r="F6" i="16"/>
  <c r="E37" i="16"/>
  <c r="E37" i="15"/>
  <c r="F6" i="15"/>
  <c r="E37" i="14"/>
  <c r="F9" i="14"/>
  <c r="H9" i="14" s="1"/>
  <c r="H6" i="14"/>
  <c r="H37" i="14" s="1"/>
  <c r="F37" i="14"/>
  <c r="B12" i="1" s="1"/>
  <c r="F12" i="1" s="1"/>
  <c r="E37" i="13"/>
  <c r="F6" i="13"/>
  <c r="F6" i="12"/>
  <c r="E29" i="12"/>
  <c r="E29" i="11"/>
  <c r="F19" i="11"/>
  <c r="H19" i="11" s="1"/>
  <c r="H6" i="11"/>
  <c r="F29" i="11"/>
  <c r="F6" i="10"/>
  <c r="E29" i="10"/>
  <c r="F12" i="9"/>
  <c r="H12" i="9" s="1"/>
  <c r="E29" i="9"/>
  <c r="H6" i="9"/>
  <c r="F29" i="9"/>
  <c r="F6" i="8"/>
  <c r="E37" i="8"/>
  <c r="F6" i="7"/>
  <c r="E29" i="7"/>
  <c r="F9" i="6"/>
  <c r="H9" i="6" s="1"/>
  <c r="E37" i="6"/>
  <c r="H6" i="6"/>
  <c r="H37" i="6" s="1"/>
  <c r="F37" i="6"/>
  <c r="B5" i="1" s="1"/>
  <c r="D17" i="26" l="1"/>
  <c r="H6" i="24"/>
  <c r="F29" i="24"/>
  <c r="H6" i="23"/>
  <c r="F29" i="23"/>
  <c r="H6" i="22"/>
  <c r="F29" i="22"/>
  <c r="H6" i="21"/>
  <c r="F29" i="21"/>
  <c r="H6" i="20"/>
  <c r="F29" i="20"/>
  <c r="H6" i="19"/>
  <c r="H37" i="19" s="1"/>
  <c r="F37" i="19"/>
  <c r="B16" i="1" s="1"/>
  <c r="F16" i="1" s="1"/>
  <c r="H29" i="18"/>
  <c r="B19" i="1"/>
  <c r="F19" i="1" s="1"/>
  <c r="H6" i="17"/>
  <c r="H37" i="17" s="1"/>
  <c r="F37" i="17"/>
  <c r="B15" i="1" s="1"/>
  <c r="F15" i="1" s="1"/>
  <c r="H6" i="16"/>
  <c r="H37" i="16" s="1"/>
  <c r="F37" i="16"/>
  <c r="B14" i="1" s="1"/>
  <c r="F14" i="1" s="1"/>
  <c r="H6" i="15"/>
  <c r="H37" i="15" s="1"/>
  <c r="F37" i="15"/>
  <c r="B13" i="1" s="1"/>
  <c r="F13" i="1" s="1"/>
  <c r="H6" i="13"/>
  <c r="H37" i="13" s="1"/>
  <c r="F37" i="13"/>
  <c r="B11" i="1" s="1"/>
  <c r="F11" i="1" s="1"/>
  <c r="H6" i="12"/>
  <c r="F29" i="12"/>
  <c r="B23" i="1"/>
  <c r="F23" i="1" s="1"/>
  <c r="H29" i="11"/>
  <c r="H6" i="10"/>
  <c r="F29" i="10"/>
  <c r="H29" i="9"/>
  <c r="B6" i="1"/>
  <c r="F6" i="1" s="1"/>
  <c r="H6" i="8"/>
  <c r="H37" i="8" s="1"/>
  <c r="F37" i="8"/>
  <c r="B7" i="1" s="1"/>
  <c r="F7" i="1" s="1"/>
  <c r="H6" i="7"/>
  <c r="F29" i="7"/>
  <c r="F5" i="1"/>
  <c r="H29" i="24" l="1"/>
  <c r="B22" i="1"/>
  <c r="F22" i="1" s="1"/>
  <c r="H29" i="23"/>
  <c r="B21" i="1"/>
  <c r="F21" i="1" s="1"/>
  <c r="H29" i="22"/>
  <c r="B20" i="1"/>
  <c r="F20" i="1" s="1"/>
  <c r="H29" i="21"/>
  <c r="B18" i="1"/>
  <c r="F18" i="1" s="1"/>
  <c r="H29" i="20"/>
  <c r="B17" i="1"/>
  <c r="F17" i="1" s="1"/>
  <c r="H29" i="12"/>
  <c r="B9" i="1"/>
  <c r="F9" i="1" s="1"/>
  <c r="H29" i="10"/>
  <c r="B10" i="1"/>
  <c r="F10" i="1" s="1"/>
  <c r="H29" i="7"/>
  <c r="B8" i="1"/>
  <c r="B29" i="1" l="1"/>
  <c r="C32" i="1" s="1"/>
  <c r="F8" i="1"/>
  <c r="F29" i="1" s="1"/>
  <c r="C33" i="1" s="1"/>
  <c r="C36" i="1" s="1"/>
</calcChain>
</file>

<file path=xl/sharedStrings.xml><?xml version="1.0" encoding="utf-8"?>
<sst xmlns="http://schemas.openxmlformats.org/spreadsheetml/2006/main" count="1782" uniqueCount="88">
  <si>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</si>
  <si>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</si>
  <si>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</si>
  <si>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</si>
  <si>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</si>
  <si>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</si>
  <si>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</si>
  <si>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</si>
  <si>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</si>
  <si>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</si>
  <si>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</si>
  <si>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</si>
  <si>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</si>
  <si>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</si>
  <si>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</si>
  <si>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</si>
  <si>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</si>
  <si>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</si>
  <si>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</si>
  <si>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</si>
  <si>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</si>
  <si>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</si>
  <si>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</si>
  <si>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</si>
  <si>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</si>
  <si>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</si>
  <si>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</si>
  <si>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</si>
  <si>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</si>
  <si>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</si>
  <si>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</si>
  <si>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</si>
  <si>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</si>
  <si>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</si>
  <si>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</si>
  <si>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</si>
  <si>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</si>
  <si>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</si>
  <si>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</si>
  <si>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</si>
  <si>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</si>
  <si>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</si>
  <si>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</si>
  <si>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</si>
  <si>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</si>
  <si>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</si>
  <si>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</si>
  <si>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</si>
  <si>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</si>
  <si>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</si>
  <si>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</si>
  <si>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</si>
  <si>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</si>
  <si>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</si>
  <si>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</si>
  <si>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</si>
  <si>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</si>
  <si>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</si>
  <si>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</si>
  <si>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</si>
  <si>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</si>
  <si>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</si>
  <si>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</si>
  <si>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</si>
  <si>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</si>
  <si>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</si>
  <si>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</si>
  <si>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</si>
  <si>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</si>
  <si>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</si>
  <si>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</si>
  <si>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</si>
  <si>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</si>
  <si>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</si>
  <si>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</si>
  <si>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</si>
  <si>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</si>
  <si>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</si>
  <si>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</si>
  <si>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</si>
  <si>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</si>
  <si>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</si>
  <si>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</si>
  <si>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</si>
  <si>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CYPRESS</t>
  </si>
  <si>
    <t>NO</t>
  </si>
  <si>
    <t>NO Member we have recruited in this qaurter</t>
  </si>
  <si>
    <t>GAHANGA QAURTER REPORT FROM 01/01-31/03/2026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</si>
</sst>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/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27722754.915254239</v>
      </c>
      <c r="C6" s="18">
        <f>GAHANGA!G29</f>
        <v>2527950</v>
      </c>
      <c r="D6" s="19"/>
      <c r="E6" s="18"/>
      <c r="F6" s="14">
        <f t="shared" si="0"/>
        <v>30250704.915254239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35390376.915254235</v>
      </c>
      <c r="C29" s="33">
        <f t="shared" si="1"/>
        <v>3223650</v>
      </c>
      <c r="D29" s="34">
        <f t="shared" si="1"/>
        <v>0</v>
      </c>
      <c r="E29" s="33">
        <f t="shared" si="1"/>
        <v>0</v>
      </c>
      <c r="F29" s="33">
        <f t="shared" si="1"/>
        <v>38614026.915254235</v>
      </c>
      <c r="G29" s="34">
        <f t="shared" si="1"/>
        <v>0</v>
      </c>
      <c r="H29" s="34">
        <f t="shared" si="1"/>
        <v>8363322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38614026.915254235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38614026.915254235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8363322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38614026.915254235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8363322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87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610</v>
      </c>
      <c r="C7" s="141">
        <v>7670</v>
      </c>
      <c r="D7" s="142"/>
      <c r="E7" s="44">
        <f t="shared" si="0"/>
        <v>4678700</v>
      </c>
      <c r="F7" s="44">
        <f t="shared" si="1"/>
        <v>713700</v>
      </c>
      <c r="G7" s="44">
        <f t="shared" si="2"/>
        <v>30500</v>
      </c>
      <c r="H7" s="45">
        <f t="shared" si="3"/>
        <v>744200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80965</v>
      </c>
      <c r="C10" s="144">
        <v>2124</v>
      </c>
      <c r="D10" s="139"/>
      <c r="E10" s="48">
        <f t="shared" si="0"/>
        <v>171969660</v>
      </c>
      <c r="F10" s="48">
        <f t="shared" si="1"/>
        <v>26232660</v>
      </c>
      <c r="G10" s="48">
        <f t="shared" si="4"/>
        <v>2428950</v>
      </c>
      <c r="H10" s="49">
        <f t="shared" si="3"/>
        <v>28661610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2100</v>
      </c>
      <c r="C13" s="144">
        <v>1357</v>
      </c>
      <c r="D13" s="139"/>
      <c r="E13" s="48">
        <f t="shared" si="0"/>
        <v>2849700</v>
      </c>
      <c r="F13" s="48">
        <f t="shared" si="1"/>
        <v>434700</v>
      </c>
      <c r="G13" s="48">
        <f t="shared" ref="G13:G14" si="5">PRODUCT(B13*20)</f>
        <v>42000</v>
      </c>
      <c r="H13" s="49">
        <f t="shared" si="3"/>
        <v>476700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500</v>
      </c>
      <c r="C17" s="56">
        <v>4000</v>
      </c>
      <c r="D17" s="56">
        <v>50</v>
      </c>
      <c r="E17" s="57">
        <f t="shared" ref="E17:E28" si="6">PRODUCT(B17*C17)</f>
        <v>2000000</v>
      </c>
      <c r="F17" s="58">
        <f t="shared" ref="F17:F28" si="7">PRODUCT(E17*18)/118</f>
        <v>305084.74576271186</v>
      </c>
      <c r="G17" s="58">
        <f t="shared" ref="G17:G28" si="8">PRODUCT(B17*D17)</f>
        <v>25000</v>
      </c>
      <c r="H17" s="58">
        <f t="shared" ref="H17:H29" si="9">SUM(F17:G17)</f>
        <v>330084.74576271186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84</v>
      </c>
      <c r="B21" s="64">
        <v>30</v>
      </c>
      <c r="C21" s="64">
        <v>8000</v>
      </c>
      <c r="D21" s="64">
        <v>50</v>
      </c>
      <c r="E21" s="61">
        <f t="shared" si="6"/>
        <v>240000</v>
      </c>
      <c r="F21" s="62">
        <f t="shared" si="7"/>
        <v>36610.169491525427</v>
      </c>
      <c r="G21" s="62">
        <f t="shared" si="8"/>
        <v>1500</v>
      </c>
      <c r="H21" s="62">
        <f t="shared" si="9"/>
        <v>38110.169491525427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181738060</v>
      </c>
      <c r="F29" s="74">
        <f t="shared" si="10"/>
        <v>27722754.915254239</v>
      </c>
      <c r="G29" s="75">
        <f t="shared" si="10"/>
        <v>2527950</v>
      </c>
      <c r="H29" s="76">
        <f t="shared" si="9"/>
        <v>30250704.915254239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 t="s">
        <v>85</v>
      </c>
      <c r="D35" s="74"/>
      <c r="E35" s="138" t="s">
        <v>86</v>
      </c>
      <c r="F35" s="139"/>
      <c r="G35" s="47"/>
      <c r="H35" s="88"/>
    </row>
    <row r="36" spans="1:8" ht="14.25" customHeight="1">
      <c r="A36" s="137" t="s">
        <v>74</v>
      </c>
      <c r="B36" s="103"/>
      <c r="C36" s="92" t="s">
        <v>85</v>
      </c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80965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610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2100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500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30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84205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101217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860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5882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500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30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108489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2026-04-06T09:27:49Z</dcterms:modified>
</cp:coreProperties>
</file>