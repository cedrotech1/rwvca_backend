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D4" i="21" s="1"/>
  <c r="C81" i="2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D5" i="21" l="1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<sst xmlns="http://schemas.openxmlformats.org/spreadsheetml/2006/main" count="1734" uniqueCount="90">
  <si>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</si>
  <si>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</si>
  <si>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</si>
  <si>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</si>
  <si>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</si>
  <si>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</si>
  <si>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</si>
  <si>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</si>
  <si>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</si>
  <si>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</si>
  <si>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</si>
  <si>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</si>
  <si>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</si>
  <si>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</si>
  <si>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</si>
  <si>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</si>
  <si>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</si>
  <si>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</si>
  <si>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</si>
  <si>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</si>
  <si>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</si>
  <si>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</si>
  <si>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</si>
  <si>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</si>
  <si>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</si>
  <si>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</si>
  <si>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</si>
  <si>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</si>
  <si>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</si>
  <si>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</si>
  <si>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</si>
  <si>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</si>
  <si>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</si>
  <si>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</si>
  <si>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</si>
  <si>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</si>
  <si>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</si>
  <si>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</si>
  <si>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</si>
  <si>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</si>
  <si>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</si>
  <si>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</si>
  <si>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</si>
  <si>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</si>
  <si>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</si>
  <si>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</si>
  <si>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</si>
  <si>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</si>
  <si>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</si>
  <si>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</si>
  <si>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</si>
  <si>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</si>
  <si>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</si>
  <si>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</si>
  <si>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</si>
  <si>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</si>
  <si>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</si>
  <si>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</si>
  <si>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</si>
  <si>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</si>
  <si>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</si>
  <si>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</si>
  <si>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</si>
  <si>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</si>
  <si>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</si>
  <si>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</si>
  <si>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</si>
  <si>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</si>
  <si>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</si>
  <si>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</si>
  <si>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</si>
  <si>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</si>
  <si>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</si>
  <si>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</si>
  <si>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</si>
  <si>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</si>
  <si>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</si>
  <si>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</si>
  <si>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</si>
  <si>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</si>
  <si>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</si>
  <si>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</si>
  <si>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</si>
  <si>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</si>
  <si>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</si>
  <si>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</si>
  <si>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</si>
  <si>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</si>
  <si>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</si>
  <si>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WEEKLY REPORT FROM 09-15/3/2026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</si>
</sst>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17" t="s">
        <v>37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82"/>
      <c r="M1" s="82"/>
      <c r="N1" s="82"/>
    </row>
    <row r="2" spans="1:15" ht="31" customHeight="1">
      <c r="A2" s="119" t="s">
        <v>36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82"/>
      <c r="M2" s="82"/>
      <c r="N2" s="82"/>
    </row>
    <row r="3" spans="1:15" ht="15" customHeight="1" thickBo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2905645.4237288134</v>
      </c>
      <c r="C8" s="48">
        <f>BISHENYI!G37</f>
        <v>243010</v>
      </c>
      <c r="D8" s="48">
        <f>BISHENYI!C43</f>
        <v>0</v>
      </c>
      <c r="E8" s="48">
        <f>BISHENYI!C44</f>
        <v>0</v>
      </c>
      <c r="F8" s="50">
        <f t="shared" si="0"/>
        <v>3148655.4237288134</v>
      </c>
      <c r="G8" s="47">
        <f>BISHENYI!C41</f>
        <v>0</v>
      </c>
      <c r="H8" s="48">
        <f>BISHENYI!C39</f>
        <v>3148655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2905645.4237288134</v>
      </c>
      <c r="C29" s="70">
        <f t="shared" si="1"/>
        <v>243010</v>
      </c>
      <c r="D29" s="71">
        <f t="shared" si="1"/>
        <v>0</v>
      </c>
      <c r="E29" s="70">
        <f t="shared" si="1"/>
        <v>0</v>
      </c>
      <c r="F29" s="70">
        <f>SUM(F5:F28)</f>
        <v>3148655.4237288134</v>
      </c>
      <c r="G29" s="71">
        <f>SUM(G5:G28)</f>
        <v>0</v>
      </c>
      <c r="H29" s="71">
        <f>SUM(H5:H28)</f>
        <v>3148655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6"/>
      <c r="B30" s="156"/>
      <c r="C30" s="156"/>
      <c r="D30" s="157"/>
      <c r="E30" s="147" t="s">
        <v>11</v>
      </c>
      <c r="F30" s="148"/>
      <c r="G30" s="148"/>
      <c r="H30" s="148"/>
      <c r="I30" s="149"/>
      <c r="J30" s="121"/>
      <c r="K30" s="122"/>
      <c r="L30" s="82"/>
    </row>
    <row r="31" spans="1:15" ht="19" thickBot="1">
      <c r="A31" s="144" t="s">
        <v>9</v>
      </c>
      <c r="B31" s="145"/>
      <c r="C31" s="145"/>
      <c r="D31" s="145"/>
      <c r="E31" s="150"/>
      <c r="F31" s="151"/>
      <c r="G31" s="151"/>
      <c r="H31" s="151"/>
      <c r="I31" s="152"/>
      <c r="J31" s="123"/>
      <c r="K31" s="124"/>
      <c r="L31" s="82"/>
    </row>
    <row r="32" spans="1:15" ht="15" thickBot="1">
      <c r="A32" s="140" t="s">
        <v>12</v>
      </c>
      <c r="B32" s="141"/>
      <c r="C32" s="158">
        <f>SUM(B29+C29)</f>
        <v>3148655.4237288134</v>
      </c>
      <c r="D32" s="159"/>
      <c r="E32" s="150"/>
      <c r="F32" s="151"/>
      <c r="G32" s="151"/>
      <c r="H32" s="151"/>
      <c r="I32" s="152"/>
      <c r="J32" s="123"/>
      <c r="K32" s="124"/>
      <c r="L32" s="82"/>
    </row>
    <row r="33" spans="1:12" ht="15" thickBot="1">
      <c r="A33" s="140" t="s">
        <v>13</v>
      </c>
      <c r="B33" s="141"/>
      <c r="C33" s="136">
        <f>SUM(F29,G29)</f>
        <v>3148655.4237288134</v>
      </c>
      <c r="D33" s="146"/>
      <c r="E33" s="150"/>
      <c r="F33" s="151"/>
      <c r="G33" s="151"/>
      <c r="H33" s="151"/>
      <c r="I33" s="152"/>
      <c r="J33" s="123"/>
      <c r="K33" s="124"/>
      <c r="L33" s="82"/>
    </row>
    <row r="34" spans="1:12" ht="15" thickBot="1">
      <c r="A34" s="138" t="s">
        <v>81</v>
      </c>
      <c r="B34" s="139"/>
      <c r="C34" s="136">
        <f>SUM(H29,J29,I29+G29)</f>
        <v>3148655</v>
      </c>
      <c r="D34" s="137"/>
      <c r="E34" s="150"/>
      <c r="F34" s="151"/>
      <c r="G34" s="151"/>
      <c r="H34" s="151"/>
      <c r="I34" s="152"/>
      <c r="J34" s="123"/>
      <c r="K34" s="124"/>
      <c r="L34" s="82"/>
    </row>
    <row r="35" spans="1:12" ht="15" thickBot="1">
      <c r="A35" s="140" t="s">
        <v>10</v>
      </c>
      <c r="B35" s="141"/>
      <c r="C35" s="136">
        <f>SUM(D29:E29)</f>
        <v>0</v>
      </c>
      <c r="D35" s="137"/>
      <c r="E35" s="153"/>
      <c r="F35" s="154"/>
      <c r="G35" s="154"/>
      <c r="H35" s="154"/>
      <c r="I35" s="155"/>
      <c r="J35" s="123"/>
      <c r="K35" s="124"/>
      <c r="L35" s="82"/>
    </row>
    <row r="36" spans="1:12" ht="15" thickBot="1">
      <c r="A36" s="140" t="s">
        <v>83</v>
      </c>
      <c r="B36" s="141"/>
      <c r="C36" s="136">
        <f>SUM(H29+I29+J29+C35)</f>
        <v>3148655</v>
      </c>
      <c r="D36" s="137"/>
      <c r="E36" s="127" t="s">
        <v>35</v>
      </c>
      <c r="F36" s="128"/>
      <c r="G36" s="128"/>
      <c r="H36" s="128"/>
      <c r="I36" s="129"/>
      <c r="J36" s="123"/>
      <c r="K36" s="124"/>
      <c r="L36" s="82"/>
    </row>
    <row r="37" spans="1:12" ht="15" thickBot="1">
      <c r="A37" s="142" t="s">
        <v>14</v>
      </c>
      <c r="B37" s="143"/>
      <c r="C37" s="136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3148655</v>
      </c>
      <c r="D37" s="137"/>
      <c r="E37" s="130"/>
      <c r="F37" s="131"/>
      <c r="G37" s="131"/>
      <c r="H37" s="131"/>
      <c r="I37" s="132"/>
      <c r="J37" s="123"/>
      <c r="K37" s="124"/>
      <c r="L37" s="82"/>
    </row>
    <row r="38" spans="1:12" ht="26.5" thickBot="1">
      <c r="A38" s="133" t="s">
        <v>15</v>
      </c>
      <c r="B38" s="134"/>
      <c r="C38" s="134"/>
      <c r="D38" s="134"/>
      <c r="E38" s="134"/>
      <c r="F38" s="134"/>
      <c r="G38" s="134"/>
      <c r="H38" s="134"/>
      <c r="I38" s="135"/>
      <c r="J38" s="125"/>
      <c r="K38" s="126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214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214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214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214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214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214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214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214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214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214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214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214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214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214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214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214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214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214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214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214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214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214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214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214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214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214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214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214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214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214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214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214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214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214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214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214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214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214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214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214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214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214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214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214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214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214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214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214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214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214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214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214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214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214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214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214"/>
    </row>
    <row r="74" spans="1:9" s="89" customFormat="1" ht="14.5" customHeight="1" thickBot="1">
      <c r="A74" s="186" t="s">
        <v>78</v>
      </c>
      <c r="B74" s="187"/>
      <c r="C74" s="63" t="s">
        <v>72</v>
      </c>
      <c r="D74" s="54"/>
      <c r="E74" s="184" t="s">
        <v>70</v>
      </c>
      <c r="F74" s="185"/>
      <c r="G74" s="62" t="s">
        <v>71</v>
      </c>
      <c r="H74" s="107" t="s">
        <v>72</v>
      </c>
      <c r="I74" s="214"/>
    </row>
    <row r="75" spans="1:9" ht="15" customHeight="1" thickBot="1">
      <c r="A75" s="191" t="s">
        <v>68</v>
      </c>
      <c r="B75" s="192"/>
      <c r="C75" s="55"/>
      <c r="D75" s="58"/>
      <c r="E75" s="183"/>
      <c r="F75" s="183"/>
      <c r="G75" s="61"/>
      <c r="H75" s="108"/>
      <c r="I75" s="214"/>
    </row>
    <row r="76" spans="1:9" ht="15" thickBot="1">
      <c r="A76" s="188" t="s">
        <v>69</v>
      </c>
      <c r="B76" s="189"/>
      <c r="C76" s="51"/>
      <c r="D76" s="59"/>
      <c r="E76" s="190"/>
      <c r="F76" s="190"/>
      <c r="G76" s="60"/>
      <c r="H76" s="109"/>
      <c r="I76" s="214"/>
    </row>
    <row r="77" spans="1:9" ht="15" thickBot="1">
      <c r="A77" s="188" t="s">
        <v>73</v>
      </c>
      <c r="B77" s="189"/>
      <c r="C77" s="52"/>
      <c r="D77" s="58"/>
      <c r="E77" s="180"/>
      <c r="F77" s="180"/>
      <c r="G77" s="60"/>
      <c r="H77" s="109"/>
      <c r="I77" s="214"/>
    </row>
    <row r="78" spans="1:9" ht="15" thickBot="1">
      <c r="A78" s="193" t="s">
        <v>74</v>
      </c>
      <c r="B78" s="194"/>
      <c r="C78" s="53"/>
      <c r="D78" s="56"/>
      <c r="E78" s="179"/>
      <c r="F78" s="180"/>
      <c r="G78" s="11"/>
      <c r="H78" s="109"/>
      <c r="I78" s="214"/>
    </row>
    <row r="79" spans="1:9" ht="15" thickBot="1">
      <c r="A79" s="195" t="s">
        <v>75</v>
      </c>
      <c r="B79" s="196"/>
      <c r="C79" s="90"/>
      <c r="D79" s="56"/>
      <c r="E79" s="179"/>
      <c r="F79" s="180"/>
      <c r="G79" s="11"/>
      <c r="H79" s="109"/>
      <c r="I79" s="214"/>
    </row>
    <row r="80" spans="1:9" ht="15" thickBot="1">
      <c r="A80" s="195" t="s">
        <v>76</v>
      </c>
      <c r="B80" s="196"/>
      <c r="C80" s="90"/>
      <c r="D80" s="57"/>
      <c r="E80" s="179"/>
      <c r="F80" s="180"/>
      <c r="G80" s="11"/>
      <c r="H80" s="109"/>
      <c r="I80" s="214"/>
    </row>
    <row r="81" spans="1:9" ht="15" thickBot="1">
      <c r="A81" s="195" t="s">
        <v>77</v>
      </c>
      <c r="B81" s="196"/>
      <c r="C81" s="91">
        <f>SUM(C75+C76+C77+C78+C79+C80)</f>
        <v>0</v>
      </c>
      <c r="D81" s="92"/>
      <c r="E81" s="201"/>
      <c r="F81" s="202"/>
      <c r="G81" s="93"/>
      <c r="H81" s="110"/>
      <c r="I81" s="214"/>
    </row>
    <row r="82" spans="1:9" ht="19.5" customHeight="1">
      <c r="A82" s="203" t="s">
        <v>57</v>
      </c>
      <c r="B82" s="204"/>
      <c r="C82" s="204"/>
      <c r="D82" s="204"/>
      <c r="E82" s="204"/>
      <c r="F82" s="204"/>
      <c r="G82" s="204"/>
      <c r="H82" s="204"/>
      <c r="I82" s="214"/>
    </row>
    <row r="83" spans="1:9" ht="20.5" customHeight="1" thickBot="1">
      <c r="A83" s="205"/>
      <c r="B83" s="206"/>
      <c r="C83" s="206"/>
      <c r="D83" s="206"/>
      <c r="E83" s="206"/>
      <c r="F83" s="206"/>
      <c r="G83" s="206"/>
      <c r="H83" s="206"/>
      <c r="I83" s="214"/>
    </row>
    <row r="84" spans="1:9" ht="23" customHeight="1" thickBot="1">
      <c r="A84" s="220" t="s">
        <v>9</v>
      </c>
      <c r="B84" s="221"/>
      <c r="C84" s="211" t="s">
        <v>58</v>
      </c>
      <c r="D84" s="212"/>
      <c r="E84" s="209" t="s">
        <v>59</v>
      </c>
      <c r="F84" s="210"/>
      <c r="G84" s="210"/>
      <c r="H84" s="210"/>
      <c r="I84" s="214"/>
    </row>
    <row r="85" spans="1:9" ht="22" customHeight="1" thickBot="1">
      <c r="A85" s="222"/>
      <c r="B85" s="223"/>
      <c r="C85" s="197" t="s">
        <v>61</v>
      </c>
      <c r="D85" s="198"/>
      <c r="E85" s="207">
        <f>SUM(B9:B12)</f>
        <v>0</v>
      </c>
      <c r="F85" s="208"/>
      <c r="G85" s="208"/>
      <c r="H85" s="208"/>
      <c r="I85" s="214"/>
    </row>
    <row r="86" spans="1:9" ht="22.5" customHeight="1" thickBot="1">
      <c r="A86" s="224"/>
      <c r="B86" s="225"/>
      <c r="C86" s="197" t="s">
        <v>46</v>
      </c>
      <c r="D86" s="198"/>
      <c r="E86" s="207">
        <f>SUM(B6:B8)</f>
        <v>0</v>
      </c>
      <c r="F86" s="208"/>
      <c r="G86" s="208"/>
      <c r="H86" s="208"/>
      <c r="I86" s="214"/>
    </row>
    <row r="87" spans="1:9" ht="24.5" customHeight="1" thickBot="1">
      <c r="A87" s="224"/>
      <c r="B87" s="225"/>
      <c r="C87" s="197" t="s">
        <v>62</v>
      </c>
      <c r="D87" s="198"/>
      <c r="E87" s="207">
        <f>SUM(B13:B14)</f>
        <v>0</v>
      </c>
      <c r="F87" s="208"/>
      <c r="G87" s="208"/>
      <c r="H87" s="208"/>
      <c r="I87" s="214"/>
    </row>
    <row r="88" spans="1:9" ht="22" customHeight="1" thickBot="1">
      <c r="A88" s="224"/>
      <c r="B88" s="225"/>
      <c r="C88" s="199" t="s">
        <v>63</v>
      </c>
      <c r="D88" s="200"/>
      <c r="E88" s="160">
        <f>SUM(B17:B54)</f>
        <v>0</v>
      </c>
      <c r="F88" s="161"/>
      <c r="G88" s="161"/>
      <c r="H88" s="161"/>
      <c r="I88" s="214"/>
    </row>
    <row r="89" spans="1:9" ht="22" customHeight="1" thickBot="1">
      <c r="A89" s="224"/>
      <c r="B89" s="225"/>
      <c r="C89" s="199" t="s">
        <v>64</v>
      </c>
      <c r="D89" s="200"/>
      <c r="E89" s="160">
        <f>SUM(B55:B56)</f>
        <v>0</v>
      </c>
      <c r="F89" s="161"/>
      <c r="G89" s="161"/>
      <c r="H89" s="161"/>
      <c r="I89" s="214"/>
    </row>
    <row r="90" spans="1:9" ht="22" customHeight="1" thickBot="1">
      <c r="A90" s="224"/>
      <c r="B90" s="225"/>
      <c r="C90" s="199" t="s">
        <v>56</v>
      </c>
      <c r="D90" s="200"/>
      <c r="E90" s="160">
        <f>SUM(B57,B58,B59,B60,B61,B62,B63,B64,B65)</f>
        <v>0</v>
      </c>
      <c r="F90" s="161"/>
      <c r="G90" s="161"/>
      <c r="H90" s="161"/>
      <c r="I90" s="214"/>
    </row>
    <row r="91" spans="1:9" ht="22" customHeight="1" thickBot="1">
      <c r="A91" s="224"/>
      <c r="B91" s="225"/>
      <c r="C91" s="199" t="s">
        <v>56</v>
      </c>
      <c r="D91" s="200"/>
      <c r="E91" s="160">
        <f t="shared" ref="E91:E97" si="12">B66</f>
        <v>0</v>
      </c>
      <c r="F91" s="161"/>
      <c r="G91" s="161"/>
      <c r="H91" s="161"/>
      <c r="I91" s="214"/>
    </row>
    <row r="92" spans="1:9" ht="19" thickBot="1">
      <c r="A92" s="224"/>
      <c r="B92" s="225"/>
      <c r="C92" s="199" t="s">
        <v>56</v>
      </c>
      <c r="D92" s="200"/>
      <c r="E92" s="160">
        <f t="shared" si="12"/>
        <v>0</v>
      </c>
      <c r="F92" s="161"/>
      <c r="G92" s="161"/>
      <c r="H92" s="161"/>
      <c r="I92" s="214"/>
    </row>
    <row r="93" spans="1:9" ht="19" thickBot="1">
      <c r="A93" s="224"/>
      <c r="B93" s="225"/>
      <c r="C93" s="199" t="s">
        <v>56</v>
      </c>
      <c r="D93" s="200"/>
      <c r="E93" s="160">
        <f t="shared" si="12"/>
        <v>0</v>
      </c>
      <c r="F93" s="161"/>
      <c r="G93" s="161"/>
      <c r="H93" s="161"/>
      <c r="I93" s="214"/>
    </row>
    <row r="94" spans="1:9" ht="19" thickBot="1">
      <c r="A94" s="224"/>
      <c r="B94" s="225"/>
      <c r="C94" s="199" t="s">
        <v>56</v>
      </c>
      <c r="D94" s="200"/>
      <c r="E94" s="160">
        <f t="shared" si="12"/>
        <v>0</v>
      </c>
      <c r="F94" s="161"/>
      <c r="G94" s="161"/>
      <c r="H94" s="161"/>
      <c r="I94" s="214"/>
    </row>
    <row r="95" spans="1:9" ht="19" thickBot="1">
      <c r="A95" s="224"/>
      <c r="B95" s="225"/>
      <c r="C95" s="199" t="s">
        <v>56</v>
      </c>
      <c r="D95" s="200"/>
      <c r="E95" s="160">
        <f t="shared" si="12"/>
        <v>0</v>
      </c>
      <c r="F95" s="161"/>
      <c r="G95" s="161"/>
      <c r="H95" s="161"/>
      <c r="I95" s="214"/>
    </row>
    <row r="96" spans="1:9" ht="19" thickBot="1">
      <c r="A96" s="224"/>
      <c r="B96" s="225"/>
      <c r="C96" s="199" t="s">
        <v>56</v>
      </c>
      <c r="D96" s="200"/>
      <c r="E96" s="160">
        <f t="shared" si="12"/>
        <v>0</v>
      </c>
      <c r="F96" s="161"/>
      <c r="G96" s="161"/>
      <c r="H96" s="161"/>
      <c r="I96" s="214"/>
    </row>
    <row r="97" spans="1:9" ht="19" thickBot="1">
      <c r="A97" s="224"/>
      <c r="B97" s="225"/>
      <c r="C97" s="199" t="s">
        <v>56</v>
      </c>
      <c r="D97" s="200"/>
      <c r="E97" s="160">
        <f t="shared" si="12"/>
        <v>0</v>
      </c>
      <c r="F97" s="161"/>
      <c r="G97" s="161"/>
      <c r="H97" s="161"/>
      <c r="I97" s="214"/>
    </row>
    <row r="98" spans="1:9" ht="32.5" thickBot="1">
      <c r="A98" s="224"/>
      <c r="B98" s="225"/>
      <c r="C98" s="199" t="s">
        <v>65</v>
      </c>
      <c r="D98" s="200"/>
      <c r="E98" s="164">
        <f>SUM(E85:H97)</f>
        <v>0</v>
      </c>
      <c r="F98" s="165"/>
      <c r="G98" s="165"/>
      <c r="H98" s="165"/>
      <c r="I98" s="214"/>
    </row>
    <row r="99" spans="1:9" ht="19" thickBot="1">
      <c r="A99" s="226"/>
      <c r="B99" s="227"/>
      <c r="C99" s="216"/>
      <c r="D99" s="217"/>
      <c r="E99" s="162"/>
      <c r="F99" s="163"/>
      <c r="G99" s="163"/>
      <c r="H99" s="163"/>
      <c r="I99" s="214"/>
    </row>
    <row r="100" spans="1:9" ht="15" thickBot="1">
      <c r="A100" s="218"/>
      <c r="B100" s="219"/>
      <c r="C100" s="219"/>
      <c r="D100" s="219"/>
      <c r="E100" s="219"/>
      <c r="F100" s="219"/>
      <c r="G100" s="219"/>
      <c r="H100" s="219"/>
      <c r="I100" s="215"/>
    </row>
  </sheetData>
  <sheetProtection password="C8CD" sheet="1" objects="1" scenarios="1"/>
  <mergeCells count="66"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27" workbookViewId="0">
      <selection activeCell="C41" sqref="C41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89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>
        <v>150</v>
      </c>
      <c r="C7" s="177">
        <v>7670</v>
      </c>
      <c r="D7" s="178"/>
      <c r="E7" s="10">
        <f t="shared" si="0"/>
        <v>1150500</v>
      </c>
      <c r="F7" s="10">
        <f t="shared" si="1"/>
        <v>175500</v>
      </c>
      <c r="G7" s="10">
        <f>PRODUCT(B7*50)</f>
        <v>7500</v>
      </c>
      <c r="H7" s="99">
        <f t="shared" si="2"/>
        <v>183000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6517</v>
      </c>
      <c r="C11" s="166">
        <v>2360</v>
      </c>
      <c r="D11" s="167"/>
      <c r="E11" s="12">
        <f t="shared" si="0"/>
        <v>15380120</v>
      </c>
      <c r="F11" s="12">
        <f t="shared" si="1"/>
        <v>2346120</v>
      </c>
      <c r="G11" s="12">
        <f>PRODUCT(B11*30)</f>
        <v>195510</v>
      </c>
      <c r="H11" s="100">
        <f t="shared" si="2"/>
        <v>2541630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1250</v>
      </c>
      <c r="C13" s="166">
        <v>1534</v>
      </c>
      <c r="D13" s="167"/>
      <c r="E13" s="12">
        <f t="shared" si="0"/>
        <v>1917500</v>
      </c>
      <c r="F13" s="12">
        <f t="shared" si="1"/>
        <v>292500</v>
      </c>
      <c r="G13" s="12">
        <f>PRODUCT(B13*20)</f>
        <v>25000</v>
      </c>
      <c r="H13" s="100">
        <f t="shared" si="2"/>
        <v>317500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>
        <v>300</v>
      </c>
      <c r="C18" s="27">
        <v>2000</v>
      </c>
      <c r="D18" s="27">
        <v>50</v>
      </c>
      <c r="E18" s="20">
        <f t="shared" ref="E18:E22" si="4">PRODUCT(B18*C18)</f>
        <v>600000</v>
      </c>
      <c r="F18" s="17">
        <f t="shared" si="3"/>
        <v>91525.423728813563</v>
      </c>
      <c r="G18" s="15">
        <f t="shared" ref="G18:G22" si="5">PRODUCT(B18*D18)</f>
        <v>15000</v>
      </c>
      <c r="H18" s="103">
        <f t="shared" ref="H18:H22" si="6">SUM(F18:G18)</f>
        <v>106525.42372881356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19048120</v>
      </c>
      <c r="F37" s="24">
        <f>SUM(F5:F36)</f>
        <v>2905645.4237288134</v>
      </c>
      <c r="G37" s="24">
        <f t="shared" ref="G37:H37" si="10">SUM(G5:G36)</f>
        <v>243010</v>
      </c>
      <c r="H37" s="24">
        <f t="shared" si="10"/>
        <v>3148655.4237288134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>
        <v>3148655</v>
      </c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3148655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6517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150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1250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300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8217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85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86</v>
      </c>
      <c r="B3" s="173"/>
      <c r="C3" s="173"/>
      <c r="D3" s="173"/>
      <c r="E3" s="173"/>
      <c r="F3" s="173"/>
      <c r="G3" s="173"/>
      <c r="H3" s="174"/>
      <c r="I3" s="229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>
        <v>7670</v>
      </c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>
        <v>3700</v>
      </c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2714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>
        <v>2124</v>
      </c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>
        <v>1357</v>
      </c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6517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150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1250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300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8217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2026-03-16T16:55:08Z</dcterms:modified>
</cp:coreProperties>
</file>