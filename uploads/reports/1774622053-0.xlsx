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3\"/>
    </mc:Choice>
  </mc:AlternateContent>
  <bookViews>
    <workbookView xWindow="0" yWindow="0" windowWidth="19200" windowHeight="7890" tabRatio="965" firstSheet="6" activeTab="18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62" i="24" s="1"/>
  <c r="C45" i="24"/>
  <c r="G36" i="24"/>
  <c r="E36" i="24"/>
  <c r="F36" i="24" s="1"/>
  <c r="H36" i="24" s="1"/>
  <c r="G35" i="24"/>
  <c r="E35" i="24"/>
  <c r="F35" i="24" s="1"/>
  <c r="H35" i="24" s="1"/>
  <c r="G34" i="24"/>
  <c r="E34" i="24"/>
  <c r="F34" i="24" s="1"/>
  <c r="H34" i="24" s="1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G30" i="24"/>
  <c r="F30" i="24"/>
  <c r="H30" i="24" s="1"/>
  <c r="E30" i="24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G18" i="24"/>
  <c r="E18" i="24"/>
  <c r="F18" i="24" s="1"/>
  <c r="H18" i="24" s="1"/>
  <c r="G17" i="24"/>
  <c r="E17" i="24"/>
  <c r="F17" i="24" s="1"/>
  <c r="G14" i="24"/>
  <c r="F14" i="24"/>
  <c r="H14" i="24" s="1"/>
  <c r="E14" i="24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H34" i="23" s="1"/>
  <c r="G33" i="23"/>
  <c r="E33" i="23"/>
  <c r="F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H30" i="23" s="1"/>
  <c r="G29" i="23"/>
  <c r="E29" i="23"/>
  <c r="F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G6" i="23"/>
  <c r="E6" i="23"/>
  <c r="F6" i="23" s="1"/>
  <c r="E61" i="18"/>
  <c r="E60" i="18"/>
  <c r="D15" i="21" s="1"/>
  <c r="E59" i="18"/>
  <c r="D14" i="21" s="1"/>
  <c r="E58" i="18"/>
  <c r="E57" i="18"/>
  <c r="E56" i="18"/>
  <c r="E55" i="18"/>
  <c r="D10" i="21" s="1"/>
  <c r="E54" i="18"/>
  <c r="E53" i="18"/>
  <c r="E52" i="18"/>
  <c r="E51" i="18"/>
  <c r="D6" i="21" s="1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H34" i="18" s="1"/>
  <c r="G33" i="18"/>
  <c r="E33" i="18"/>
  <c r="F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H30" i="18" s="1"/>
  <c r="G29" i="18"/>
  <c r="E29" i="18"/>
  <c r="F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G6" i="18"/>
  <c r="G37" i="18" s="1"/>
  <c r="C22" i="1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6" i="17"/>
  <c r="E36" i="17"/>
  <c r="F36" i="17" s="1"/>
  <c r="H36" i="17" s="1"/>
  <c r="G35" i="17"/>
  <c r="E35" i="17"/>
  <c r="F35" i="17" s="1"/>
  <c r="H35" i="17" s="1"/>
  <c r="G34" i="17"/>
  <c r="E34" i="17"/>
  <c r="F34" i="17" s="1"/>
  <c r="H34" i="17" s="1"/>
  <c r="G33" i="17"/>
  <c r="E33" i="17"/>
  <c r="F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H30" i="17" s="1"/>
  <c r="G29" i="17"/>
  <c r="E29" i="17"/>
  <c r="F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H19" i="17" s="1"/>
  <c r="G18" i="17"/>
  <c r="E18" i="17"/>
  <c r="F18" i="17" s="1"/>
  <c r="G17" i="17"/>
  <c r="E17" i="17"/>
  <c r="F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G10" i="17"/>
  <c r="E10" i="17"/>
  <c r="F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H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H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20" i="1" s="1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H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H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G37" i="14" s="1"/>
  <c r="C18" i="1" s="1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H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H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H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H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H36" i="15" s="1"/>
  <c r="E36" i="15"/>
  <c r="G35" i="15"/>
  <c r="E35" i="15"/>
  <c r="F35" i="15" s="1"/>
  <c r="G34" i="15"/>
  <c r="E34" i="15"/>
  <c r="F34" i="15" s="1"/>
  <c r="G33" i="15"/>
  <c r="E33" i="15"/>
  <c r="F33" i="15" s="1"/>
  <c r="G32" i="15"/>
  <c r="E32" i="15"/>
  <c r="F32" i="15" s="1"/>
  <c r="G31" i="15"/>
  <c r="E31" i="15"/>
  <c r="F31" i="15" s="1"/>
  <c r="H31" i="15" s="1"/>
  <c r="G30" i="15"/>
  <c r="E30" i="15"/>
  <c r="F30" i="15" s="1"/>
  <c r="H30" i="15" s="1"/>
  <c r="G29" i="15"/>
  <c r="E29" i="15"/>
  <c r="F29" i="15" s="1"/>
  <c r="H29" i="15" s="1"/>
  <c r="G28" i="15"/>
  <c r="F28" i="15"/>
  <c r="H28" i="15" s="1"/>
  <c r="E28" i="15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F20" i="15"/>
  <c r="H20" i="15" s="1"/>
  <c r="E20" i="15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F13" i="15"/>
  <c r="H13" i="15" s="1"/>
  <c r="E13" i="15"/>
  <c r="G12" i="15"/>
  <c r="E12" i="15"/>
  <c r="F12" i="15" s="1"/>
  <c r="H12" i="15" s="1"/>
  <c r="G11" i="15"/>
  <c r="F11" i="15"/>
  <c r="H11" i="15" s="1"/>
  <c r="E11" i="15"/>
  <c r="G10" i="15"/>
  <c r="E10" i="15"/>
  <c r="F10" i="15" s="1"/>
  <c r="G9" i="15"/>
  <c r="E9" i="15"/>
  <c r="F9" i="15" s="1"/>
  <c r="H9" i="15" s="1"/>
  <c r="G8" i="15"/>
  <c r="F8" i="15"/>
  <c r="H8" i="15" s="1"/>
  <c r="E8" i="15"/>
  <c r="G7" i="15"/>
  <c r="E7" i="15"/>
  <c r="F7" i="15" s="1"/>
  <c r="G6" i="15"/>
  <c r="F6" i="15"/>
  <c r="E6" i="15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G35" i="11"/>
  <c r="E35" i="11"/>
  <c r="F35" i="11" s="1"/>
  <c r="G34" i="11"/>
  <c r="E34" i="11"/>
  <c r="F34" i="11" s="1"/>
  <c r="G33" i="11"/>
  <c r="E33" i="11"/>
  <c r="F33" i="11" s="1"/>
  <c r="G32" i="11"/>
  <c r="E32" i="11"/>
  <c r="F32" i="11" s="1"/>
  <c r="G31" i="11"/>
  <c r="E31" i="11"/>
  <c r="F31" i="11" s="1"/>
  <c r="G30" i="11"/>
  <c r="E30" i="11"/>
  <c r="F30" i="11" s="1"/>
  <c r="G29" i="11"/>
  <c r="E29" i="11"/>
  <c r="F29" i="11" s="1"/>
  <c r="G28" i="11"/>
  <c r="E28" i="11"/>
  <c r="F28" i="11" s="1"/>
  <c r="G27" i="11"/>
  <c r="E27" i="11"/>
  <c r="F27" i="11" s="1"/>
  <c r="G26" i="11"/>
  <c r="E26" i="11"/>
  <c r="F26" i="11" s="1"/>
  <c r="G25" i="11"/>
  <c r="E25" i="11"/>
  <c r="F25" i="11" s="1"/>
  <c r="G24" i="11"/>
  <c r="E24" i="11"/>
  <c r="F24" i="11" s="1"/>
  <c r="G23" i="11"/>
  <c r="E23" i="11"/>
  <c r="F23" i="11" s="1"/>
  <c r="G22" i="11"/>
  <c r="E22" i="11"/>
  <c r="F22" i="11" s="1"/>
  <c r="G21" i="11"/>
  <c r="E21" i="11"/>
  <c r="F21" i="11" s="1"/>
  <c r="G20" i="11"/>
  <c r="E20" i="11"/>
  <c r="F20" i="11" s="1"/>
  <c r="G19" i="11"/>
  <c r="E19" i="11"/>
  <c r="F19" i="11" s="1"/>
  <c r="G18" i="11"/>
  <c r="E18" i="11"/>
  <c r="F18" i="11" s="1"/>
  <c r="G17" i="11"/>
  <c r="E17" i="11"/>
  <c r="F17" i="11" s="1"/>
  <c r="G14" i="11"/>
  <c r="E14" i="11"/>
  <c r="F14" i="11" s="1"/>
  <c r="G13" i="11"/>
  <c r="E13" i="11"/>
  <c r="F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G8" i="11"/>
  <c r="E8" i="11"/>
  <c r="F8" i="11" s="1"/>
  <c r="G7" i="11"/>
  <c r="E7" i="11"/>
  <c r="F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G35" i="10"/>
  <c r="E35" i="10"/>
  <c r="F35" i="10" s="1"/>
  <c r="G34" i="10"/>
  <c r="E34" i="10"/>
  <c r="F34" i="10" s="1"/>
  <c r="G33" i="10"/>
  <c r="E33" i="10"/>
  <c r="F33" i="10" s="1"/>
  <c r="G32" i="10"/>
  <c r="E32" i="10"/>
  <c r="F32" i="10" s="1"/>
  <c r="G31" i="10"/>
  <c r="E31" i="10"/>
  <c r="F31" i="10" s="1"/>
  <c r="G30" i="10"/>
  <c r="E30" i="10"/>
  <c r="F30" i="10" s="1"/>
  <c r="G29" i="10"/>
  <c r="E29" i="10"/>
  <c r="F29" i="10" s="1"/>
  <c r="G28" i="10"/>
  <c r="E28" i="10"/>
  <c r="F28" i="10" s="1"/>
  <c r="G27" i="10"/>
  <c r="E27" i="10"/>
  <c r="F27" i="10" s="1"/>
  <c r="G26" i="10"/>
  <c r="E26" i="10"/>
  <c r="F26" i="10" s="1"/>
  <c r="G25" i="10"/>
  <c r="E25" i="10"/>
  <c r="F25" i="10" s="1"/>
  <c r="G24" i="10"/>
  <c r="E24" i="10"/>
  <c r="F24" i="10" s="1"/>
  <c r="G23" i="10"/>
  <c r="E23" i="10"/>
  <c r="F23" i="10" s="1"/>
  <c r="G22" i="10"/>
  <c r="E22" i="10"/>
  <c r="F22" i="10" s="1"/>
  <c r="G21" i="10"/>
  <c r="E21" i="10"/>
  <c r="F21" i="10" s="1"/>
  <c r="G20" i="10"/>
  <c r="E20" i="10"/>
  <c r="F20" i="10" s="1"/>
  <c r="G19" i="10"/>
  <c r="E19" i="10"/>
  <c r="F19" i="10" s="1"/>
  <c r="G18" i="10"/>
  <c r="E18" i="10"/>
  <c r="F18" i="10" s="1"/>
  <c r="G17" i="10"/>
  <c r="E17" i="10"/>
  <c r="F17" i="10" s="1"/>
  <c r="G14" i="10"/>
  <c r="E14" i="10"/>
  <c r="F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G35" i="9"/>
  <c r="E35" i="9"/>
  <c r="F35" i="9" s="1"/>
  <c r="G34" i="9"/>
  <c r="E34" i="9"/>
  <c r="F34" i="9" s="1"/>
  <c r="G33" i="9"/>
  <c r="E33" i="9"/>
  <c r="F33" i="9" s="1"/>
  <c r="G32" i="9"/>
  <c r="E32" i="9"/>
  <c r="F32" i="9" s="1"/>
  <c r="G31" i="9"/>
  <c r="E31" i="9"/>
  <c r="F31" i="9" s="1"/>
  <c r="G30" i="9"/>
  <c r="E30" i="9"/>
  <c r="F30" i="9" s="1"/>
  <c r="G29" i="9"/>
  <c r="E29" i="9"/>
  <c r="F29" i="9" s="1"/>
  <c r="G28" i="9"/>
  <c r="E28" i="9"/>
  <c r="F28" i="9" s="1"/>
  <c r="G27" i="9"/>
  <c r="E27" i="9"/>
  <c r="F27" i="9" s="1"/>
  <c r="G26" i="9"/>
  <c r="E26" i="9"/>
  <c r="F26" i="9" s="1"/>
  <c r="G25" i="9"/>
  <c r="E25" i="9"/>
  <c r="F25" i="9" s="1"/>
  <c r="G24" i="9"/>
  <c r="E24" i="9"/>
  <c r="F24" i="9" s="1"/>
  <c r="H24" i="9" s="1"/>
  <c r="G23" i="9"/>
  <c r="E23" i="9"/>
  <c r="F23" i="9" s="1"/>
  <c r="G22" i="9"/>
  <c r="E22" i="9"/>
  <c r="F22" i="9" s="1"/>
  <c r="G21" i="9"/>
  <c r="E21" i="9"/>
  <c r="F21" i="9" s="1"/>
  <c r="G20" i="9"/>
  <c r="E20" i="9"/>
  <c r="F20" i="9" s="1"/>
  <c r="H20" i="9" s="1"/>
  <c r="G19" i="9"/>
  <c r="E19" i="9"/>
  <c r="F19" i="9" s="1"/>
  <c r="G18" i="9"/>
  <c r="E18" i="9"/>
  <c r="F18" i="9" s="1"/>
  <c r="G17" i="9"/>
  <c r="E17" i="9"/>
  <c r="F17" i="9" s="1"/>
  <c r="G14" i="9"/>
  <c r="E14" i="9"/>
  <c r="F14" i="9" s="1"/>
  <c r="H14" i="9" s="1"/>
  <c r="G13" i="9"/>
  <c r="E13" i="9"/>
  <c r="F13" i="9" s="1"/>
  <c r="G12" i="9"/>
  <c r="E12" i="9"/>
  <c r="F12" i="9" s="1"/>
  <c r="G11" i="9"/>
  <c r="E11" i="9"/>
  <c r="F11" i="9" s="1"/>
  <c r="G10" i="9"/>
  <c r="E10" i="9"/>
  <c r="F10" i="9" s="1"/>
  <c r="H10" i="9" s="1"/>
  <c r="G9" i="9"/>
  <c r="E9" i="9"/>
  <c r="F9" i="9" s="1"/>
  <c r="G8" i="9"/>
  <c r="E8" i="9"/>
  <c r="F8" i="9" s="1"/>
  <c r="G7" i="9"/>
  <c r="E7" i="9"/>
  <c r="F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G21" i="22"/>
  <c r="E21" i="22"/>
  <c r="F21" i="22" s="1"/>
  <c r="G20" i="22"/>
  <c r="E20" i="22"/>
  <c r="F20" i="22" s="1"/>
  <c r="H20" i="22" s="1"/>
  <c r="G19" i="22"/>
  <c r="E19" i="22"/>
  <c r="F19" i="22" s="1"/>
  <c r="G18" i="22"/>
  <c r="E18" i="22"/>
  <c r="F18" i="22" s="1"/>
  <c r="G17" i="22"/>
  <c r="E17" i="22"/>
  <c r="F17" i="22" s="1"/>
  <c r="G14" i="22"/>
  <c r="E14" i="22"/>
  <c r="F14" i="22" s="1"/>
  <c r="H14" i="22" s="1"/>
  <c r="G13" i="22"/>
  <c r="E13" i="22"/>
  <c r="F13" i="22" s="1"/>
  <c r="G12" i="22"/>
  <c r="E12" i="22"/>
  <c r="F12" i="22" s="1"/>
  <c r="G11" i="22"/>
  <c r="E11" i="22"/>
  <c r="F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G7" i="22"/>
  <c r="E7" i="22"/>
  <c r="F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F36" i="8"/>
  <c r="H36" i="8" s="1"/>
  <c r="E36" i="8"/>
  <c r="G35" i="8"/>
  <c r="F35" i="8"/>
  <c r="H35" i="8" s="1"/>
  <c r="E35" i="8"/>
  <c r="G34" i="8"/>
  <c r="E34" i="8"/>
  <c r="F34" i="8" s="1"/>
  <c r="H34" i="8" s="1"/>
  <c r="G33" i="8"/>
  <c r="E33" i="8"/>
  <c r="F33" i="8" s="1"/>
  <c r="H33" i="8" s="1"/>
  <c r="G32" i="8"/>
  <c r="E32" i="8"/>
  <c r="F32" i="8" s="1"/>
  <c r="G31" i="8"/>
  <c r="E31" i="8"/>
  <c r="F31" i="8" s="1"/>
  <c r="H31" i="8" s="1"/>
  <c r="G30" i="8"/>
  <c r="E30" i="8"/>
  <c r="F30" i="8" s="1"/>
  <c r="H30" i="8" s="1"/>
  <c r="G29" i="8"/>
  <c r="F29" i="8"/>
  <c r="H29" i="8" s="1"/>
  <c r="E29" i="8"/>
  <c r="G28" i="8"/>
  <c r="F28" i="8"/>
  <c r="H28" i="8" s="1"/>
  <c r="E28" i="8"/>
  <c r="G27" i="8"/>
  <c r="F27" i="8"/>
  <c r="H27" i="8" s="1"/>
  <c r="E27" i="8"/>
  <c r="G26" i="8"/>
  <c r="E26" i="8"/>
  <c r="F26" i="8" s="1"/>
  <c r="H26" i="8" s="1"/>
  <c r="G25" i="8"/>
  <c r="E25" i="8"/>
  <c r="F25" i="8" s="1"/>
  <c r="H25" i="8" s="1"/>
  <c r="G24" i="8"/>
  <c r="E24" i="8"/>
  <c r="F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E13" i="8"/>
  <c r="F13" i="8" s="1"/>
  <c r="H13" i="8" s="1"/>
  <c r="G12" i="8"/>
  <c r="E12" i="8"/>
  <c r="F12" i="8" s="1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G33" i="6"/>
  <c r="E33" i="6"/>
  <c r="F33" i="6" s="1"/>
  <c r="G32" i="6"/>
  <c r="E32" i="6"/>
  <c r="F32" i="6" s="1"/>
  <c r="H32" i="6" s="1"/>
  <c r="G31" i="6"/>
  <c r="E31" i="6"/>
  <c r="F31" i="6" s="1"/>
  <c r="G30" i="6"/>
  <c r="E30" i="6"/>
  <c r="F30" i="6" s="1"/>
  <c r="G29" i="6"/>
  <c r="E29" i="6"/>
  <c r="F29" i="6" s="1"/>
  <c r="G28" i="6"/>
  <c r="E28" i="6"/>
  <c r="F28" i="6" s="1"/>
  <c r="H28" i="6" s="1"/>
  <c r="G27" i="6"/>
  <c r="E27" i="6"/>
  <c r="F27" i="6" s="1"/>
  <c r="G26" i="6"/>
  <c r="E26" i="6"/>
  <c r="F26" i="6" s="1"/>
  <c r="G25" i="6"/>
  <c r="E25" i="6"/>
  <c r="F25" i="6" s="1"/>
  <c r="G24" i="6"/>
  <c r="E24" i="6"/>
  <c r="F24" i="6" s="1"/>
  <c r="H24" i="6" s="1"/>
  <c r="G23" i="6"/>
  <c r="E23" i="6"/>
  <c r="F23" i="6" s="1"/>
  <c r="G22" i="6"/>
  <c r="E22" i="6"/>
  <c r="F22" i="6" s="1"/>
  <c r="G21" i="6"/>
  <c r="E21" i="6"/>
  <c r="F21" i="6" s="1"/>
  <c r="G20" i="6"/>
  <c r="E20" i="6"/>
  <c r="F20" i="6" s="1"/>
  <c r="H20" i="6" s="1"/>
  <c r="G19" i="6"/>
  <c r="E19" i="6"/>
  <c r="F19" i="6" s="1"/>
  <c r="G18" i="6"/>
  <c r="E18" i="6"/>
  <c r="F18" i="6" s="1"/>
  <c r="G17" i="6"/>
  <c r="E17" i="6"/>
  <c r="F17" i="6" s="1"/>
  <c r="G14" i="6"/>
  <c r="E14" i="6"/>
  <c r="F14" i="6" s="1"/>
  <c r="H14" i="6" s="1"/>
  <c r="G13" i="6"/>
  <c r="E13" i="6"/>
  <c r="F13" i="6" s="1"/>
  <c r="G12" i="6"/>
  <c r="E12" i="6"/>
  <c r="F12" i="6" s="1"/>
  <c r="G11" i="6"/>
  <c r="E11" i="6"/>
  <c r="F11" i="6" s="1"/>
  <c r="G10" i="6"/>
  <c r="E10" i="6"/>
  <c r="F10" i="6" s="1"/>
  <c r="G9" i="6"/>
  <c r="E9" i="6"/>
  <c r="F9" i="6" s="1"/>
  <c r="G8" i="6"/>
  <c r="E8" i="6"/>
  <c r="F8" i="6" s="1"/>
  <c r="G7" i="6"/>
  <c r="E7" i="6"/>
  <c r="F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G34" i="19"/>
  <c r="E34" i="19"/>
  <c r="F34" i="19" s="1"/>
  <c r="G33" i="19"/>
  <c r="E33" i="19"/>
  <c r="F33" i="19" s="1"/>
  <c r="G32" i="19"/>
  <c r="E32" i="19"/>
  <c r="F32" i="19" s="1"/>
  <c r="H32" i="19" s="1"/>
  <c r="G31" i="19"/>
  <c r="E31" i="19"/>
  <c r="F31" i="19" s="1"/>
  <c r="G30" i="19"/>
  <c r="E30" i="19"/>
  <c r="F30" i="19" s="1"/>
  <c r="G29" i="19"/>
  <c r="E29" i="19"/>
  <c r="F29" i="19" s="1"/>
  <c r="G28" i="19"/>
  <c r="E28" i="19"/>
  <c r="F28" i="19" s="1"/>
  <c r="H28" i="19" s="1"/>
  <c r="G27" i="19"/>
  <c r="E27" i="19"/>
  <c r="F27" i="19" s="1"/>
  <c r="G26" i="19"/>
  <c r="E26" i="19"/>
  <c r="F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G7" i="19"/>
  <c r="E7" i="19"/>
  <c r="F7" i="19" s="1"/>
  <c r="G6" i="19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62" i="7" s="1"/>
  <c r="C45" i="7"/>
  <c r="G36" i="7"/>
  <c r="E36" i="7"/>
  <c r="F36" i="7" s="1"/>
  <c r="H36" i="7" s="1"/>
  <c r="G35" i="7"/>
  <c r="E35" i="7"/>
  <c r="F35" i="7" s="1"/>
  <c r="G34" i="7"/>
  <c r="E34" i="7"/>
  <c r="F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G33" i="4"/>
  <c r="E33" i="4"/>
  <c r="F33" i="4" s="1"/>
  <c r="G32" i="4"/>
  <c r="E32" i="4"/>
  <c r="F32" i="4" s="1"/>
  <c r="H32" i="4" s="1"/>
  <c r="G31" i="4"/>
  <c r="E31" i="4"/>
  <c r="F31" i="4" s="1"/>
  <c r="G30" i="4"/>
  <c r="E30" i="4"/>
  <c r="F30" i="4" s="1"/>
  <c r="G29" i="4"/>
  <c r="E29" i="4"/>
  <c r="F29" i="4" s="1"/>
  <c r="G28" i="4"/>
  <c r="E28" i="4"/>
  <c r="F28" i="4" s="1"/>
  <c r="H28" i="4" s="1"/>
  <c r="G27" i="4"/>
  <c r="E27" i="4"/>
  <c r="F27" i="4" s="1"/>
  <c r="G26" i="4"/>
  <c r="E26" i="4"/>
  <c r="F26" i="4" s="1"/>
  <c r="G25" i="4"/>
  <c r="E25" i="4"/>
  <c r="F25" i="4" s="1"/>
  <c r="G24" i="4"/>
  <c r="E24" i="4"/>
  <c r="F24" i="4" s="1"/>
  <c r="H24" i="4" s="1"/>
  <c r="G23" i="4"/>
  <c r="E23" i="4"/>
  <c r="F23" i="4" s="1"/>
  <c r="G22" i="4"/>
  <c r="E22" i="4"/>
  <c r="F22" i="4" s="1"/>
  <c r="G21" i="4"/>
  <c r="E21" i="4"/>
  <c r="F21" i="4" s="1"/>
  <c r="G20" i="4"/>
  <c r="E20" i="4"/>
  <c r="F20" i="4" s="1"/>
  <c r="H20" i="4" s="1"/>
  <c r="G19" i="4"/>
  <c r="E19" i="4"/>
  <c r="F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G12" i="4"/>
  <c r="E12" i="4"/>
  <c r="F12" i="4" s="1"/>
  <c r="G11" i="4"/>
  <c r="E11" i="4"/>
  <c r="F11" i="4" s="1"/>
  <c r="G10" i="4"/>
  <c r="E10" i="4"/>
  <c r="F10" i="4" s="1"/>
  <c r="G9" i="4"/>
  <c r="E9" i="4"/>
  <c r="F9" i="4" s="1"/>
  <c r="G8" i="4"/>
  <c r="E8" i="4"/>
  <c r="F8" i="4" s="1"/>
  <c r="G7" i="4"/>
  <c r="E7" i="4"/>
  <c r="F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G33" i="3"/>
  <c r="E33" i="3"/>
  <c r="F33" i="3" s="1"/>
  <c r="G32" i="3"/>
  <c r="E32" i="3"/>
  <c r="F32" i="3" s="1"/>
  <c r="H32" i="3" s="1"/>
  <c r="G31" i="3"/>
  <c r="E31" i="3"/>
  <c r="F31" i="3" s="1"/>
  <c r="G30" i="3"/>
  <c r="E30" i="3"/>
  <c r="F30" i="3" s="1"/>
  <c r="G29" i="3"/>
  <c r="E29" i="3"/>
  <c r="F29" i="3" s="1"/>
  <c r="G28" i="3"/>
  <c r="E28" i="3"/>
  <c r="F28" i="3" s="1"/>
  <c r="H28" i="3" s="1"/>
  <c r="G27" i="3"/>
  <c r="E27" i="3"/>
  <c r="F27" i="3" s="1"/>
  <c r="G26" i="3"/>
  <c r="E26" i="3"/>
  <c r="F26" i="3" s="1"/>
  <c r="G25" i="3"/>
  <c r="E25" i="3"/>
  <c r="F25" i="3" s="1"/>
  <c r="G24" i="3"/>
  <c r="E24" i="3"/>
  <c r="F24" i="3" s="1"/>
  <c r="H24" i="3" s="1"/>
  <c r="G23" i="3"/>
  <c r="E23" i="3"/>
  <c r="F23" i="3" s="1"/>
  <c r="G22" i="3"/>
  <c r="E22" i="3"/>
  <c r="F22" i="3" s="1"/>
  <c r="G21" i="3"/>
  <c r="E21" i="3"/>
  <c r="F21" i="3" s="1"/>
  <c r="G20" i="3"/>
  <c r="E20" i="3"/>
  <c r="F20" i="3" s="1"/>
  <c r="H20" i="3" s="1"/>
  <c r="G19" i="3"/>
  <c r="E19" i="3"/>
  <c r="F19" i="3" s="1"/>
  <c r="G18" i="3"/>
  <c r="E18" i="3"/>
  <c r="F18" i="3" s="1"/>
  <c r="G17" i="3"/>
  <c r="E17" i="3"/>
  <c r="F17" i="3" s="1"/>
  <c r="G14" i="3"/>
  <c r="E14" i="3"/>
  <c r="F14" i="3" s="1"/>
  <c r="H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H10" i="3" s="1"/>
  <c r="G9" i="3"/>
  <c r="E9" i="3"/>
  <c r="F9" i="3" s="1"/>
  <c r="G8" i="3"/>
  <c r="E8" i="3"/>
  <c r="F8" i="3" s="1"/>
  <c r="G7" i="3"/>
  <c r="E7" i="3"/>
  <c r="F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G34" i="5"/>
  <c r="E34" i="5"/>
  <c r="F34" i="5" s="1"/>
  <c r="G33" i="5"/>
  <c r="E33" i="5"/>
  <c r="F33" i="5" s="1"/>
  <c r="G32" i="5"/>
  <c r="E32" i="5"/>
  <c r="F32" i="5" s="1"/>
  <c r="H32" i="5" s="1"/>
  <c r="G31" i="5"/>
  <c r="E31" i="5"/>
  <c r="F31" i="5" s="1"/>
  <c r="G30" i="5"/>
  <c r="E30" i="5"/>
  <c r="F30" i="5" s="1"/>
  <c r="G29" i="5"/>
  <c r="E29" i="5"/>
  <c r="F29" i="5" s="1"/>
  <c r="G28" i="5"/>
  <c r="E28" i="5"/>
  <c r="F28" i="5" s="1"/>
  <c r="H28" i="5" s="1"/>
  <c r="G27" i="5"/>
  <c r="E27" i="5"/>
  <c r="F27" i="5" s="1"/>
  <c r="G26" i="5"/>
  <c r="E26" i="5"/>
  <c r="F26" i="5" s="1"/>
  <c r="G25" i="5"/>
  <c r="E25" i="5"/>
  <c r="F25" i="5" s="1"/>
  <c r="G24" i="5"/>
  <c r="E24" i="5"/>
  <c r="F24" i="5" s="1"/>
  <c r="H24" i="5" s="1"/>
  <c r="G23" i="5"/>
  <c r="E23" i="5"/>
  <c r="F23" i="5" s="1"/>
  <c r="G22" i="5"/>
  <c r="E22" i="5"/>
  <c r="F22" i="5" s="1"/>
  <c r="G21" i="5"/>
  <c r="E21" i="5"/>
  <c r="F21" i="5" s="1"/>
  <c r="G20" i="5"/>
  <c r="E20" i="5"/>
  <c r="F20" i="5" s="1"/>
  <c r="H20" i="5" s="1"/>
  <c r="G19" i="5"/>
  <c r="E19" i="5"/>
  <c r="F19" i="5" s="1"/>
  <c r="G18" i="5"/>
  <c r="E18" i="5"/>
  <c r="F18" i="5" s="1"/>
  <c r="G17" i="5"/>
  <c r="E17" i="5"/>
  <c r="F17" i="5" s="1"/>
  <c r="G14" i="5"/>
  <c r="E14" i="5"/>
  <c r="F14" i="5" s="1"/>
  <c r="H14" i="5" s="1"/>
  <c r="G13" i="5"/>
  <c r="E13" i="5"/>
  <c r="F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G8" i="5"/>
  <c r="E8" i="5"/>
  <c r="F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G36" i="2"/>
  <c r="E36" i="2"/>
  <c r="F36" i="2" s="1"/>
  <c r="H36" i="2" s="1"/>
  <c r="G35" i="2"/>
  <c r="E35" i="2"/>
  <c r="F35" i="2" s="1"/>
  <c r="G34" i="2"/>
  <c r="E34" i="2"/>
  <c r="F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G30" i="2"/>
  <c r="E30" i="2"/>
  <c r="F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G26" i="2"/>
  <c r="E26" i="2"/>
  <c r="F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G22" i="2"/>
  <c r="E22" i="2"/>
  <c r="F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G18" i="2"/>
  <c r="E18" i="2"/>
  <c r="F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G12" i="2"/>
  <c r="E12" i="2"/>
  <c r="F12" i="2" s="1"/>
  <c r="G11" i="2"/>
  <c r="E11" i="2"/>
  <c r="F11" i="2" s="1"/>
  <c r="H11" i="2" s="1"/>
  <c r="G10" i="2"/>
  <c r="E10" i="2"/>
  <c r="F10" i="2" s="1"/>
  <c r="G9" i="2"/>
  <c r="E9" i="2"/>
  <c r="F9" i="2" s="1"/>
  <c r="G8" i="2"/>
  <c r="E8" i="2"/>
  <c r="F8" i="2" s="1"/>
  <c r="H8" i="2" s="1"/>
  <c r="G7" i="2"/>
  <c r="E7" i="2"/>
  <c r="F7" i="2" s="1"/>
  <c r="H7" i="2" s="1"/>
  <c r="G6" i="2"/>
  <c r="E6" i="2"/>
  <c r="F6" i="2" s="1"/>
  <c r="D4" i="21" l="1"/>
  <c r="H20" i="17"/>
  <c r="H22" i="17"/>
  <c r="D7" i="21"/>
  <c r="H18" i="17"/>
  <c r="G37" i="17"/>
  <c r="C21" i="1" s="1"/>
  <c r="H12" i="2"/>
  <c r="H18" i="2"/>
  <c r="H22" i="2"/>
  <c r="H26" i="2"/>
  <c r="H30" i="2"/>
  <c r="H34" i="2"/>
  <c r="H8" i="5"/>
  <c r="H12" i="5"/>
  <c r="H32" i="8"/>
  <c r="H32" i="15"/>
  <c r="D8" i="21"/>
  <c r="D16" i="21"/>
  <c r="D9" i="21"/>
  <c r="H9" i="2"/>
  <c r="H13" i="2"/>
  <c r="H19" i="2"/>
  <c r="H23" i="2"/>
  <c r="H27" i="2"/>
  <c r="H31" i="2"/>
  <c r="H35" i="2"/>
  <c r="H9" i="5"/>
  <c r="H13" i="5"/>
  <c r="H19" i="5"/>
  <c r="H23" i="5"/>
  <c r="H27" i="5"/>
  <c r="H31" i="5"/>
  <c r="H35" i="5"/>
  <c r="H9" i="3"/>
  <c r="H13" i="3"/>
  <c r="D11" i="21"/>
  <c r="D12" i="21"/>
  <c r="H24" i="8"/>
  <c r="H7" i="15"/>
  <c r="D5" i="21"/>
  <c r="D13" i="21"/>
  <c r="H17" i="5"/>
  <c r="H21" i="5"/>
  <c r="H25" i="5"/>
  <c r="H29" i="5"/>
  <c r="H33" i="5"/>
  <c r="H7" i="3"/>
  <c r="H11" i="3"/>
  <c r="H17" i="3"/>
  <c r="H21" i="3"/>
  <c r="H25" i="3"/>
  <c r="H29" i="3"/>
  <c r="H33" i="3"/>
  <c r="H7" i="4"/>
  <c r="H11" i="4"/>
  <c r="H21" i="4"/>
  <c r="H25" i="4"/>
  <c r="H29" i="4"/>
  <c r="H33" i="4"/>
  <c r="H7" i="7"/>
  <c r="H11" i="7"/>
  <c r="H17" i="7"/>
  <c r="H21" i="7"/>
  <c r="H7" i="19"/>
  <c r="H11" i="19"/>
  <c r="H17" i="19"/>
  <c r="H21" i="19"/>
  <c r="H25" i="19"/>
  <c r="H29" i="19"/>
  <c r="H33" i="19"/>
  <c r="H7" i="6"/>
  <c r="H11" i="6"/>
  <c r="H17" i="6"/>
  <c r="H21" i="6"/>
  <c r="H25" i="6"/>
  <c r="H29" i="6"/>
  <c r="H33" i="6"/>
  <c r="H7" i="8"/>
  <c r="H11" i="8"/>
  <c r="H7" i="22"/>
  <c r="H11" i="22"/>
  <c r="H17" i="22"/>
  <c r="H7" i="9"/>
  <c r="H11" i="9"/>
  <c r="H17" i="9"/>
  <c r="H21" i="9"/>
  <c r="H25" i="9"/>
  <c r="H29" i="9"/>
  <c r="H33" i="9"/>
  <c r="H7" i="10"/>
  <c r="H11" i="10"/>
  <c r="H17" i="10"/>
  <c r="H21" i="10"/>
  <c r="H25" i="10"/>
  <c r="H29" i="10"/>
  <c r="H33" i="10"/>
  <c r="H7" i="11"/>
  <c r="H11" i="11"/>
  <c r="H17" i="15"/>
  <c r="H35" i="15"/>
  <c r="E62" i="8"/>
  <c r="E62" i="9"/>
  <c r="E62" i="14"/>
  <c r="E62" i="16"/>
  <c r="H18" i="5"/>
  <c r="H22" i="5"/>
  <c r="H26" i="5"/>
  <c r="H30" i="5"/>
  <c r="H34" i="5"/>
  <c r="H8" i="3"/>
  <c r="H12" i="3"/>
  <c r="H18" i="3"/>
  <c r="H22" i="3"/>
  <c r="H26" i="3"/>
  <c r="H30" i="3"/>
  <c r="H34" i="3"/>
  <c r="E62" i="3"/>
  <c r="H8" i="4"/>
  <c r="H12" i="4"/>
  <c r="H18" i="4"/>
  <c r="H22" i="4"/>
  <c r="H26" i="4"/>
  <c r="H30" i="4"/>
  <c r="H34" i="4"/>
  <c r="H8" i="7"/>
  <c r="H12" i="7"/>
  <c r="H18" i="7"/>
  <c r="H22" i="7"/>
  <c r="H26" i="7"/>
  <c r="H30" i="7"/>
  <c r="H34" i="7"/>
  <c r="H8" i="19"/>
  <c r="H12" i="19"/>
  <c r="H18" i="19"/>
  <c r="H22" i="19"/>
  <c r="H26" i="19"/>
  <c r="H30" i="19"/>
  <c r="H34" i="19"/>
  <c r="H8" i="6"/>
  <c r="H12" i="6"/>
  <c r="H18" i="6"/>
  <c r="H22" i="6"/>
  <c r="H26" i="6"/>
  <c r="H30" i="6"/>
  <c r="H34" i="6"/>
  <c r="E62" i="6"/>
  <c r="H8" i="8"/>
  <c r="H12" i="8"/>
  <c r="H8" i="22"/>
  <c r="H12" i="22"/>
  <c r="H18" i="22"/>
  <c r="H22" i="22"/>
  <c r="H26" i="22"/>
  <c r="H30" i="22"/>
  <c r="H34" i="22"/>
  <c r="H8" i="9"/>
  <c r="H12" i="9"/>
  <c r="H18" i="9"/>
  <c r="H22" i="9"/>
  <c r="H26" i="9"/>
  <c r="H30" i="9"/>
  <c r="H34" i="9"/>
  <c r="H8" i="10"/>
  <c r="H12" i="10"/>
  <c r="H18" i="10"/>
  <c r="H22" i="10"/>
  <c r="H26" i="10"/>
  <c r="H30" i="10"/>
  <c r="H34" i="10"/>
  <c r="H8" i="11"/>
  <c r="H12" i="11"/>
  <c r="H18" i="11"/>
  <c r="H22" i="11"/>
  <c r="H26" i="11"/>
  <c r="H30" i="11"/>
  <c r="H34" i="11"/>
  <c r="H10" i="15"/>
  <c r="H18" i="15"/>
  <c r="H25" i="15"/>
  <c r="H19" i="24"/>
  <c r="H19" i="3"/>
  <c r="H23" i="3"/>
  <c r="H27" i="3"/>
  <c r="H31" i="3"/>
  <c r="H9" i="4"/>
  <c r="H13" i="4"/>
  <c r="H19" i="4"/>
  <c r="H23" i="4"/>
  <c r="H27" i="4"/>
  <c r="H31" i="4"/>
  <c r="H9" i="7"/>
  <c r="H13" i="7"/>
  <c r="H19" i="7"/>
  <c r="H23" i="7"/>
  <c r="H9" i="19"/>
  <c r="H13" i="19"/>
  <c r="H19" i="19"/>
  <c r="H23" i="19"/>
  <c r="H27" i="19"/>
  <c r="H31" i="19"/>
  <c r="H35" i="19"/>
  <c r="H9" i="6"/>
  <c r="H13" i="6"/>
  <c r="H19" i="6"/>
  <c r="H23" i="6"/>
  <c r="H27" i="6"/>
  <c r="H31" i="6"/>
  <c r="H35" i="6"/>
  <c r="H13" i="22"/>
  <c r="H19" i="22"/>
  <c r="H9" i="9"/>
  <c r="H13" i="9"/>
  <c r="H19" i="9"/>
  <c r="H23" i="9"/>
  <c r="H27" i="9"/>
  <c r="H31" i="9"/>
  <c r="H35" i="9"/>
  <c r="H9" i="10"/>
  <c r="H13" i="10"/>
  <c r="H19" i="10"/>
  <c r="H23" i="10"/>
  <c r="H27" i="10"/>
  <c r="H31" i="10"/>
  <c r="H35" i="10"/>
  <c r="H9" i="11"/>
  <c r="H13" i="11"/>
  <c r="H19" i="15"/>
  <c r="H26" i="15"/>
  <c r="H33" i="15"/>
  <c r="G37" i="23"/>
  <c r="C24" i="1" s="1"/>
  <c r="H19" i="8"/>
  <c r="H7" i="17"/>
  <c r="H11" i="17"/>
  <c r="H17" i="17"/>
  <c r="H21" i="17"/>
  <c r="H25" i="17"/>
  <c r="H29" i="17"/>
  <c r="H33" i="17"/>
  <c r="H7" i="18"/>
  <c r="H11" i="18"/>
  <c r="H17" i="18"/>
  <c r="H21" i="18"/>
  <c r="H25" i="18"/>
  <c r="H29" i="18"/>
  <c r="H33" i="18"/>
  <c r="H7" i="23"/>
  <c r="H11" i="23"/>
  <c r="H17" i="23"/>
  <c r="H21" i="23"/>
  <c r="H25" i="23"/>
  <c r="H29" i="23"/>
  <c r="H33" i="23"/>
  <c r="G37" i="24"/>
  <c r="C25" i="1" s="1"/>
  <c r="H17" i="24"/>
  <c r="H24" i="24"/>
  <c r="H31" i="24"/>
  <c r="H28" i="9"/>
  <c r="H32" i="9"/>
  <c r="H36" i="9"/>
  <c r="H10" i="10"/>
  <c r="H14" i="10"/>
  <c r="H20" i="10"/>
  <c r="H24" i="10"/>
  <c r="H28" i="10"/>
  <c r="H32" i="10"/>
  <c r="H36" i="10"/>
  <c r="H10" i="11"/>
  <c r="H14" i="11"/>
  <c r="H20" i="11"/>
  <c r="H24" i="11"/>
  <c r="H28" i="11"/>
  <c r="H32" i="11"/>
  <c r="H36" i="11"/>
  <c r="H27" i="15"/>
  <c r="H34" i="15"/>
  <c r="G37" i="19"/>
  <c r="C23" i="1" s="1"/>
  <c r="G37" i="6"/>
  <c r="C9" i="1" s="1"/>
  <c r="G37" i="10"/>
  <c r="E62" i="12"/>
  <c r="H10" i="2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E37" i="23"/>
  <c r="F37" i="18"/>
  <c r="B22" i="1" s="1"/>
  <c r="H6" i="18"/>
  <c r="H37" i="18" s="1"/>
  <c r="E37" i="18"/>
  <c r="F37" i="17"/>
  <c r="B21" i="1" s="1"/>
  <c r="H6" i="17"/>
  <c r="E37" i="17"/>
  <c r="F37" i="16"/>
  <c r="B20" i="1" s="1"/>
  <c r="H6" i="16"/>
  <c r="H37" i="16" s="1"/>
  <c r="E37" i="16"/>
  <c r="F37" i="14"/>
  <c r="B18" i="1" s="1"/>
  <c r="H6" i="14"/>
  <c r="H37" i="14" s="1"/>
  <c r="E37" i="14"/>
  <c r="F37" i="13"/>
  <c r="B17" i="1" s="1"/>
  <c r="H6" i="13"/>
  <c r="H37" i="13" s="1"/>
  <c r="E37" i="13"/>
  <c r="F37" i="12"/>
  <c r="H6" i="12"/>
  <c r="H37" i="12" s="1"/>
  <c r="E37" i="12"/>
  <c r="H6" i="15"/>
  <c r="H37" i="15" s="1"/>
  <c r="F37" i="11"/>
  <c r="H6" i="11"/>
  <c r="E37" i="11"/>
  <c r="F37" i="10"/>
  <c r="H6" i="10"/>
  <c r="E37" i="10"/>
  <c r="F37" i="9"/>
  <c r="H6" i="9"/>
  <c r="H37" i="9" s="1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H37" i="5" s="1"/>
  <c r="E37" i="5"/>
  <c r="F37" i="2"/>
  <c r="H6" i="2"/>
  <c r="E37" i="2"/>
  <c r="H37" i="7" l="1"/>
  <c r="H37" i="8"/>
  <c r="H37" i="10"/>
  <c r="H37" i="19"/>
  <c r="H37" i="23"/>
  <c r="H37" i="2"/>
  <c r="H37" i="4"/>
  <c r="H37" i="11"/>
  <c r="H37" i="24"/>
  <c r="H37" i="6"/>
  <c r="H37" i="17"/>
  <c r="C39" i="17" s="1"/>
  <c r="H37" i="22"/>
  <c r="H37" i="3"/>
  <c r="C45" i="17" l="1"/>
  <c r="C37" i="1" s="1"/>
  <c r="H21" i="1"/>
  <c r="G15" i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<sst xmlns="http://schemas.openxmlformats.org/spreadsheetml/2006/main" count="1701" uniqueCount="92">
  <si>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</si>
  <si>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</si>
  <si>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</si>
  <si>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</si>
  <si>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</si>
  <si>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</si>
  <si>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</si>
  <si>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</si>
  <si>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</si>
  <si>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</si>
  <si>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</si>
  <si>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</si>
  <si>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</si>
  <si>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</si>
  <si>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</si>
  <si>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</si>
  <si>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</si>
  <si>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</si>
  <si>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</si>
  <si>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</si>
  <si>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</si>
  <si>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</si>
  <si>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</si>
  <si>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</si>
  <si>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</si>
  <si>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</si>
  <si>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</si>
  <si>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</si>
  <si>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</si>
  <si>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</si>
  <si>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</si>
  <si>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</si>
  <si>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</si>
  <si>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</si>
  <si>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</si>
  <si>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</si>
  <si>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</si>
  <si>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</si>
  <si>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</si>
  <si>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</si>
  <si>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</si>
  <si>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</si>
  <si>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</si>
  <si>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</si>
  <si>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</si>
  <si>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</si>
  <si>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</si>
  <si>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</si>
  <si>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</si>
  <si>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</si>
  <si>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</si>
  <si>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</si>
  <si>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</si>
  <si>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</si>
  <si>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</si>
  <si>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</si>
  <si>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</si>
  <si>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</si>
  <si>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</si>
  <si>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</si>
  <si>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</si>
  <si>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</si>
  <si>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</si>
  <si>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</si>
  <si>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</si>
  <si>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</si>
  <si>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</si>
  <si>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</si>
  <si>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</si>
  <si>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</si>
  <si>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</si>
  <si>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</si>
  <si>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</si>
  <si>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</si>
  <si>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</si>
  <si>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</si>
  <si>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</si>
  <si>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</si>
  <si>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</si>
  <si>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</si>
  <si>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</si>
  <si>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</si>
  <si>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</si>
  <si>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</si>
  <si>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</si>
  <si>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INTURUSI DECHETS</t>
  </si>
  <si>
    <t>INTURUSI M2</t>
  </si>
  <si>
    <t>ALL THOSE MONEY WAS DEPOSITED  ON MOMO 052004</t>
  </si>
  <si>
    <t>`</t>
  </si>
  <si>
    <t>DAILY REPORT ON 27/03/ 2026</t>
  </si>
  <si>
    <t>NIYITEGEKA LAURENT</t>
  </si>
  <si>
    <t>0788558597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</si>
</sst>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2">
    <xf numFmtId="0" fontId="0" fillId="0" borderId="0" xfId="0"/>
    <xf numFmtId="165" fontId="3" fillId="0" borderId="7" xfId="1" applyNumberFormat="1" applyFont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9" fillId="0" borderId="30" xfId="1" applyNumberFormat="1" applyFont="1" applyBorder="1" applyProtection="1">
      <protection hidden="1"/>
    </xf>
    <xf numFmtId="165" fontId="8" fillId="0" borderId="31" xfId="1" applyNumberFormat="1" applyFont="1" applyBorder="1" applyProtection="1">
      <protection locked="0"/>
    </xf>
    <xf numFmtId="165" fontId="9" fillId="0" borderId="33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9" fillId="0" borderId="1" xfId="1" applyNumberFormat="1" applyFont="1" applyBorder="1" applyAlignment="1" applyProtection="1">
      <alignment horizontal="center"/>
      <protection locked="0"/>
    </xf>
    <xf numFmtId="165" fontId="9" fillId="0" borderId="1" xfId="1" applyNumberFormat="1" applyFont="1" applyBorder="1" applyProtection="1">
      <protection hidden="1"/>
    </xf>
    <xf numFmtId="165" fontId="9" fillId="0" borderId="6" xfId="1" applyNumberFormat="1" applyFont="1" applyBorder="1" applyProtection="1">
      <protection hidden="1"/>
    </xf>
    <xf numFmtId="165" fontId="9" fillId="0" borderId="7" xfId="1" applyNumberFormat="1" applyFont="1" applyBorder="1" applyProtection="1">
      <protection hidden="1"/>
    </xf>
    <xf numFmtId="165" fontId="9" fillId="0" borderId="8" xfId="1" applyNumberFormat="1" applyFont="1" applyBorder="1" applyProtection="1">
      <protection hidden="1"/>
    </xf>
    <xf numFmtId="165" fontId="9" fillId="0" borderId="9" xfId="1" applyNumberFormat="1" applyFont="1" applyBorder="1" applyProtection="1">
      <protection hidden="1"/>
    </xf>
    <xf numFmtId="165" fontId="9" fillId="0" borderId="10" xfId="1" applyNumberFormat="1" applyFont="1" applyBorder="1" applyProtection="1">
      <protection hidden="1"/>
    </xf>
    <xf numFmtId="165" fontId="9" fillId="0" borderId="34" xfId="1" applyNumberFormat="1" applyFont="1" applyBorder="1" applyProtection="1">
      <protection hidden="1"/>
    </xf>
    <xf numFmtId="165" fontId="9" fillId="4" borderId="2" xfId="1" applyNumberFormat="1" applyFont="1" applyFill="1" applyBorder="1" applyAlignment="1" applyProtection="1">
      <alignment vertical="center"/>
      <protection locked="0"/>
    </xf>
    <xf numFmtId="165" fontId="8" fillId="4" borderId="35" xfId="1" applyNumberFormat="1" applyFont="1" applyFill="1" applyBorder="1" applyProtection="1">
      <protection locked="0"/>
    </xf>
    <xf numFmtId="165" fontId="9" fillId="4" borderId="36" xfId="1" applyNumberFormat="1" applyFont="1" applyFill="1" applyBorder="1" applyProtection="1">
      <protection hidden="1"/>
    </xf>
    <xf numFmtId="165" fontId="9" fillId="0" borderId="37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9" fillId="3" borderId="1" xfId="1" applyNumberFormat="1" applyFont="1" applyFill="1" applyBorder="1" applyProtection="1">
      <protection locked="0"/>
    </xf>
    <xf numFmtId="165" fontId="9" fillId="3" borderId="4" xfId="1" applyNumberFormat="1" applyFont="1" applyFill="1" applyBorder="1" applyProtection="1">
      <protection locked="0"/>
    </xf>
    <xf numFmtId="165" fontId="9" fillId="4" borderId="1" xfId="1" applyNumberFormat="1" applyFont="1" applyFill="1" applyBorder="1" applyAlignment="1" applyProtection="1">
      <alignment horizontal="center"/>
      <protection locked="0"/>
    </xf>
    <xf numFmtId="165" fontId="11" fillId="4" borderId="38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Protection="1">
      <protection locked="0"/>
    </xf>
    <xf numFmtId="165" fontId="9" fillId="4" borderId="39" xfId="1" applyNumberFormat="1" applyFont="1" applyFill="1" applyBorder="1" applyProtection="1">
      <protection locked="0"/>
    </xf>
    <xf numFmtId="165" fontId="9" fillId="4" borderId="40" xfId="1" applyNumberFormat="1" applyFont="1" applyFill="1" applyBorder="1" applyProtection="1">
      <protection locked="0"/>
    </xf>
    <xf numFmtId="165" fontId="9" fillId="4" borderId="27" xfId="1" applyNumberFormat="1" applyFont="1" applyFill="1" applyBorder="1" applyProtection="1">
      <protection locked="0"/>
    </xf>
    <xf numFmtId="165" fontId="9" fillId="4" borderId="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5" fillId="4" borderId="7" xfId="1" applyNumberFormat="1" applyFont="1" applyFill="1" applyBorder="1" applyProtection="1">
      <protection locked="0"/>
    </xf>
    <xf numFmtId="165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9" fillId="0" borderId="1" xfId="1" applyNumberFormat="1" applyFont="1" applyBorder="1" applyProtection="1">
      <protection locked="0"/>
    </xf>
    <xf numFmtId="165" fontId="3" fillId="0" borderId="38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39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1" fillId="4" borderId="1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11" xfId="1" applyNumberFormat="1" applyFont="1" applyFill="1" applyBorder="1" applyProtection="1">
      <protection locked="0"/>
    </xf>
    <xf numFmtId="165" fontId="11" fillId="4" borderId="20" xfId="1" applyNumberFormat="1" applyFont="1" applyFill="1" applyBorder="1" applyProtection="1">
      <protection locked="0"/>
    </xf>
    <xf numFmtId="165" fontId="8" fillId="0" borderId="33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5" fillId="3" borderId="47" xfId="1" applyNumberFormat="1" applyFont="1" applyFill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38" xfId="1" applyNumberFormat="1" applyFont="1" applyFill="1" applyBorder="1" applyProtection="1">
      <protection locked="0"/>
    </xf>
    <xf numFmtId="165" fontId="3" fillId="4" borderId="39" xfId="1" applyNumberFormat="1" applyFont="1" applyFill="1" applyBorder="1" applyProtection="1">
      <protection locked="0"/>
    </xf>
    <xf numFmtId="165" fontId="0" fillId="4" borderId="39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hidden="1"/>
    </xf>
    <xf numFmtId="165" fontId="23" fillId="2" borderId="12" xfId="1" applyNumberFormat="1" applyFont="1" applyFill="1" applyBorder="1" applyProtection="1">
      <protection locked="0"/>
    </xf>
    <xf numFmtId="165" fontId="0" fillId="4" borderId="41" xfId="1" applyNumberFormat="1" applyFont="1" applyFill="1" applyBorder="1" applyAlignment="1" applyProtection="1">
      <alignment horizontal="center"/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5" fontId="8" fillId="0" borderId="5" xfId="1" applyNumberFormat="1" applyFont="1" applyBorder="1" applyAlignment="1" applyProtection="1">
      <protection locked="0"/>
    </xf>
    <xf numFmtId="165" fontId="8" fillId="0" borderId="18" xfId="1" applyNumberFormat="1" applyFont="1" applyBorder="1" applyAlignment="1" applyProtection="1">
      <protection hidden="1"/>
    </xf>
    <xf numFmtId="165" fontId="11" fillId="4" borderId="8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protection locked="0"/>
    </xf>
    <xf numFmtId="165" fontId="9" fillId="0" borderId="19" xfId="1" applyNumberFormat="1" applyFont="1" applyBorder="1" applyProtection="1">
      <protection hidden="1"/>
    </xf>
    <xf numFmtId="165" fontId="9" fillId="0" borderId="41" xfId="1" applyNumberFormat="1" applyFont="1" applyBorder="1" applyProtection="1">
      <protection hidden="1"/>
    </xf>
    <xf numFmtId="165" fontId="9" fillId="0" borderId="24" xfId="1" applyNumberFormat="1" applyFont="1" applyBorder="1" applyProtection="1">
      <protection hidden="1"/>
    </xf>
    <xf numFmtId="165" fontId="8" fillId="0" borderId="34" xfId="1" applyNumberFormat="1" applyFont="1" applyBorder="1" applyProtection="1">
      <protection locked="0"/>
    </xf>
    <xf numFmtId="165" fontId="9" fillId="4" borderId="1" xfId="1" applyNumberFormat="1" applyFont="1" applyFill="1" applyBorder="1" applyProtection="1">
      <protection locked="0"/>
    </xf>
    <xf numFmtId="165" fontId="9" fillId="0" borderId="29" xfId="1" applyNumberFormat="1" applyFont="1" applyBorder="1" applyProtection="1">
      <protection hidden="1"/>
    </xf>
    <xf numFmtId="165" fontId="9" fillId="0" borderId="32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hidden="1"/>
    </xf>
    <xf numFmtId="165" fontId="9" fillId="0" borderId="11" xfId="1" applyNumberFormat="1" applyFont="1" applyBorder="1" applyProtection="1">
      <protection hidden="1"/>
    </xf>
    <xf numFmtId="165" fontId="9" fillId="0" borderId="20" xfId="1" applyNumberFormat="1" applyFont="1" applyBorder="1" applyProtection="1">
      <protection hidden="1"/>
    </xf>
    <xf numFmtId="165" fontId="9" fillId="0" borderId="14" xfId="1" applyNumberFormat="1" applyFont="1" applyBorder="1" applyProtection="1">
      <protection hidden="1"/>
    </xf>
    <xf numFmtId="165" fontId="9" fillId="0" borderId="16" xfId="1" applyNumberFormat="1" applyFont="1" applyBorder="1" applyProtection="1">
      <protection hidden="1"/>
    </xf>
    <xf numFmtId="165" fontId="9" fillId="0" borderId="42" xfId="1" applyNumberFormat="1" applyFont="1" applyBorder="1" applyProtection="1">
      <protection hidden="1"/>
    </xf>
    <xf numFmtId="165" fontId="15" fillId="3" borderId="4" xfId="1" applyNumberFormat="1" applyFont="1" applyFill="1" applyBorder="1" applyProtection="1">
      <protection locked="0"/>
    </xf>
    <xf numFmtId="165" fontId="8" fillId="0" borderId="29" xfId="1" applyNumberFormat="1" applyFont="1" applyBorder="1" applyProtection="1">
      <protection locked="0"/>
    </xf>
    <xf numFmtId="165" fontId="8" fillId="0" borderId="32" xfId="1" applyNumberFormat="1" applyFont="1" applyBorder="1" applyProtection="1">
      <protection locked="0"/>
    </xf>
    <xf numFmtId="165" fontId="8" fillId="0" borderId="49" xfId="1" applyNumberFormat="1" applyFont="1" applyBorder="1" applyAlignment="1" applyProtection="1">
      <protection locked="0"/>
    </xf>
    <xf numFmtId="165" fontId="3" fillId="0" borderId="48" xfId="1" applyNumberFormat="1" applyFont="1" applyBorder="1" applyProtection="1">
      <protection hidden="1"/>
    </xf>
    <xf numFmtId="165" fontId="3" fillId="0" borderId="21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locked="0"/>
    </xf>
    <xf numFmtId="165" fontId="8" fillId="0" borderId="30" xfId="1" quotePrefix="1" applyNumberFormat="1" applyFont="1" applyBorder="1" applyProtection="1">
      <protection locked="0"/>
    </xf>
    <xf numFmtId="165" fontId="8" fillId="0" borderId="33" xfId="1" quotePrefix="1" applyNumberFormat="1" applyFont="1" applyBorder="1" applyProtection="1">
      <protection locked="0"/>
    </xf>
    <xf numFmtId="165" fontId="8" fillId="0" borderId="31" xfId="1" quotePrefix="1" applyNumberFormat="1" applyFont="1" applyBorder="1" applyProtection="1"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1" fillId="4" borderId="14" xfId="1" applyNumberFormat="1" applyFont="1" applyFill="1" applyBorder="1" applyAlignment="1" applyProtection="1">
      <alignment horizontal="center"/>
      <protection locked="0"/>
    </xf>
    <xf numFmtId="165" fontId="21" fillId="4" borderId="0" xfId="1" applyNumberFormat="1" applyFont="1" applyFill="1" applyBorder="1" applyAlignment="1" applyProtection="1">
      <alignment horizontal="center"/>
      <protection locked="0"/>
    </xf>
    <xf numFmtId="165" fontId="22" fillId="4" borderId="14" xfId="1" applyNumberFormat="1" applyFont="1" applyFill="1" applyBorder="1" applyAlignment="1" applyProtection="1">
      <alignment horizontal="center" vertical="center"/>
      <protection locked="0"/>
    </xf>
    <xf numFmtId="165" fontId="22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3" fillId="0" borderId="20" xfId="1" applyNumberFormat="1" applyFont="1" applyBorder="1" applyAlignment="1" applyProtection="1">
      <alignment horizontal="center"/>
      <protection hidden="1"/>
    </xf>
    <xf numFmtId="165" fontId="3" fillId="0" borderId="4" xfId="1" applyNumberFormat="1" applyFont="1" applyBorder="1" applyAlignment="1" applyProtection="1">
      <alignment horizontal="center"/>
      <protection hidden="1"/>
    </xf>
    <xf numFmtId="165" fontId="0" fillId="0" borderId="11" xfId="1" applyNumberFormat="1" applyFont="1" applyBorder="1" applyAlignment="1" applyProtection="1">
      <alignment horizontal="center"/>
      <protection locked="0"/>
    </xf>
    <xf numFmtId="165" fontId="0" fillId="0" borderId="12" xfId="1" applyNumberFormat="1" applyFont="1" applyBorder="1" applyAlignment="1" applyProtection="1">
      <alignment horizontal="center"/>
      <protection locked="0"/>
    </xf>
    <xf numFmtId="165" fontId="26" fillId="0" borderId="20" xfId="1" applyNumberFormat="1" applyFont="1" applyBorder="1" applyAlignment="1" applyProtection="1">
      <alignment horizontal="center" vertical="center"/>
      <protection hidden="1"/>
    </xf>
    <xf numFmtId="165" fontId="26" fillId="0" borderId="4" xfId="1" applyNumberFormat="1" applyFont="1" applyBorder="1" applyAlignment="1" applyProtection="1">
      <alignment horizontal="center" vertical="center"/>
      <protection hidden="1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8" fillId="0" borderId="31" xfId="1" applyNumberFormat="1" applyFont="1" applyBorder="1" applyAlignment="1" applyProtection="1">
      <alignment horizontal="center"/>
      <protection locked="0"/>
    </xf>
    <xf numFmtId="165" fontId="24" fillId="4" borderId="11" xfId="1" applyNumberFormat="1" applyFont="1" applyFill="1" applyBorder="1" applyAlignment="1" applyProtection="1">
      <alignment horizontal="center"/>
      <protection locked="0"/>
    </xf>
    <xf numFmtId="165" fontId="24" fillId="4" borderId="12" xfId="1" applyNumberFormat="1" applyFont="1" applyFill="1" applyBorder="1" applyAlignment="1" applyProtection="1">
      <alignment horizontal="center"/>
      <protection locked="0"/>
    </xf>
    <xf numFmtId="165" fontId="24" fillId="4" borderId="16" xfId="1" applyNumberFormat="1" applyFont="1" applyFill="1" applyBorder="1" applyAlignment="1" applyProtection="1">
      <alignment horizontal="center"/>
      <protection locked="0"/>
    </xf>
    <xf numFmtId="165" fontId="24" fillId="4" borderId="17" xfId="1" applyNumberFormat="1" applyFont="1" applyFill="1" applyBorder="1" applyAlignment="1" applyProtection="1">
      <alignment horizontal="center"/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9" fillId="3" borderId="20" xfId="1" applyNumberFormat="1" applyFont="1" applyFill="1" applyBorder="1" applyAlignment="1" applyProtection="1">
      <alignment horizontal="center"/>
      <protection locked="0"/>
    </xf>
    <xf numFmtId="165" fontId="9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8" fillId="0" borderId="31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10" fillId="3" borderId="20" xfId="1" applyNumberFormat="1" applyFont="1" applyFill="1" applyBorder="1" applyAlignment="1" applyProtection="1">
      <alignment horizontal="center"/>
      <protection locked="0"/>
    </xf>
    <xf numFmtId="165" fontId="10" fillId="3" borderId="4" xfId="1" applyNumberFormat="1" applyFont="1" applyFill="1" applyBorder="1" applyAlignment="1" applyProtection="1">
      <alignment horizontal="center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165" fontId="11" fillId="3" borderId="45" xfId="1" applyNumberFormat="1" applyFont="1" applyFill="1" applyBorder="1" applyAlignment="1" applyProtection="1">
      <alignment horizontal="center" vertical="center"/>
      <protection locked="0"/>
    </xf>
    <xf numFmtId="165" fontId="9" fillId="3" borderId="46" xfId="1" applyNumberFormat="1" applyFont="1" applyFill="1" applyBorder="1" applyAlignment="1" applyProtection="1">
      <alignment horizontal="center" vertical="center"/>
      <protection locked="0"/>
    </xf>
    <xf numFmtId="165" fontId="9" fillId="0" borderId="20" xfId="1" applyNumberFormat="1" applyFont="1" applyBorder="1" applyAlignment="1" applyProtection="1">
      <alignment horizontal="left"/>
      <protection locked="0"/>
    </xf>
    <xf numFmtId="165" fontId="9" fillId="0" borderId="5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9" fillId="0" borderId="16" xfId="1" applyNumberFormat="1" applyFont="1" applyBorder="1" applyAlignment="1" applyProtection="1">
      <alignment horizontal="left"/>
      <protection locked="0"/>
    </xf>
    <xf numFmtId="165" fontId="9" fillId="0" borderId="18" xfId="1" applyNumberFormat="1" applyFont="1" applyBorder="1" applyAlignment="1" applyProtection="1">
      <alignment horizontal="left"/>
      <protection locked="0"/>
    </xf>
    <xf numFmtId="165" fontId="9" fillId="0" borderId="11" xfId="1" applyNumberFormat="1" applyFont="1" applyBorder="1" applyAlignment="1" applyProtection="1">
      <alignment horizontal="left"/>
      <protection locked="0"/>
    </xf>
    <xf numFmtId="165" fontId="9" fillId="0" borderId="13" xfId="1" applyNumberFormat="1" applyFont="1" applyBorder="1" applyAlignment="1" applyProtection="1">
      <alignment horizontal="left"/>
      <protection locked="0"/>
    </xf>
    <xf numFmtId="165" fontId="9" fillId="0" borderId="2" xfId="1" applyNumberFormat="1" applyFont="1" applyBorder="1" applyAlignment="1" applyProtection="1">
      <alignment horizontal="left"/>
      <protection locked="0"/>
    </xf>
    <xf numFmtId="165" fontId="9" fillId="0" borderId="3" xfId="1" applyNumberFormat="1" applyFont="1" applyBorder="1" applyAlignment="1" applyProtection="1">
      <alignment horizontal="left"/>
      <protection locked="0"/>
    </xf>
    <xf numFmtId="165" fontId="12" fillId="4" borderId="4" xfId="1" applyNumberFormat="1" applyFont="1" applyFill="1" applyBorder="1" applyAlignment="1" applyProtection="1">
      <protection locked="0"/>
    </xf>
    <xf numFmtId="165" fontId="12" fillId="4" borderId="5" xfId="1" applyNumberFormat="1" applyFont="1" applyFill="1" applyBorder="1" applyAlignment="1" applyProtection="1">
      <protection locked="0"/>
    </xf>
    <xf numFmtId="165" fontId="3" fillId="4" borderId="4" xfId="1" applyNumberFormat="1" applyFont="1" applyFill="1" applyBorder="1" applyAlignment="1" applyProtection="1">
      <protection locked="0"/>
    </xf>
    <xf numFmtId="165" fontId="3" fillId="4" borderId="5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alignment horizontal="left"/>
      <protection locked="0"/>
    </xf>
    <xf numFmtId="165" fontId="8" fillId="0" borderId="44" xfId="1" applyNumberFormat="1" applyFont="1" applyBorder="1" applyAlignment="1" applyProtection="1">
      <alignment horizontal="left"/>
      <protection locked="0"/>
    </xf>
    <xf numFmtId="165" fontId="13" fillId="0" borderId="11" xfId="1" applyNumberFormat="1" applyFont="1" applyBorder="1" applyAlignment="1" applyProtection="1">
      <alignment horizontal="center"/>
      <protection locked="0"/>
    </xf>
    <xf numFmtId="165" fontId="13" fillId="0" borderId="12" xfId="1" applyNumberFormat="1" applyFont="1" applyBorder="1" applyAlignment="1" applyProtection="1">
      <alignment horizontal="center"/>
      <protection locked="0"/>
    </xf>
    <xf numFmtId="165" fontId="13" fillId="0" borderId="16" xfId="1" applyNumberFormat="1" applyFont="1" applyBorder="1" applyAlignment="1" applyProtection="1">
      <alignment horizontal="center"/>
      <protection locked="0"/>
    </xf>
    <xf numFmtId="165" fontId="13" fillId="0" borderId="17" xfId="1" applyNumberFormat="1" applyFont="1" applyBorder="1" applyAlignment="1" applyProtection="1">
      <alignment horizontal="center"/>
      <protection locked="0"/>
    </xf>
    <xf numFmtId="165" fontId="12" fillId="0" borderId="20" xfId="1" applyNumberFormat="1" applyFont="1" applyBorder="1" applyAlignment="1" applyProtection="1">
      <alignment horizontal="center"/>
      <protection hidden="1"/>
    </xf>
    <xf numFmtId="165" fontId="12" fillId="0" borderId="4" xfId="1" applyNumberFormat="1" applyFont="1" applyBorder="1" applyAlignment="1" applyProtection="1">
      <alignment horizontal="center"/>
      <protection hidden="1"/>
    </xf>
    <xf numFmtId="165" fontId="16" fillId="4" borderId="20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protection locked="0"/>
    </xf>
    <xf numFmtId="165" fontId="16" fillId="4" borderId="5" xfId="1" applyNumberFormat="1" applyFont="1" applyFill="1" applyBorder="1" applyAlignment="1" applyProtection="1"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5" fontId="3" fillId="4" borderId="12" xfId="1" applyNumberFormat="1" applyFont="1" applyFill="1" applyBorder="1" applyAlignment="1" applyProtection="1">
      <protection locked="0"/>
    </xf>
    <xf numFmtId="165" fontId="3" fillId="4" borderId="13" xfId="1" applyNumberFormat="1" applyFont="1" applyFill="1" applyBorder="1" applyAlignment="1" applyProtection="1">
      <protection locked="0"/>
    </xf>
    <xf numFmtId="165" fontId="9" fillId="4" borderId="20" xfId="1" applyNumberFormat="1" applyFont="1" applyFill="1" applyBorder="1" applyAlignment="1" applyProtection="1">
      <alignment horizontal="center"/>
      <protection locked="0"/>
    </xf>
    <xf numFmtId="165" fontId="9" fillId="4" borderId="4" xfId="1" applyNumberFormat="1" applyFont="1" applyFill="1" applyBorder="1" applyAlignment="1" applyProtection="1">
      <alignment horizontal="center"/>
      <protection locked="0"/>
    </xf>
    <xf numFmtId="165" fontId="11" fillId="4" borderId="20" xfId="1" applyNumberFormat="1" applyFont="1" applyFill="1" applyBorder="1" applyAlignment="1" applyProtection="1">
      <alignment horizontal="center"/>
      <protection locked="0"/>
    </xf>
    <xf numFmtId="165" fontId="9" fillId="4" borderId="5" xfId="1" applyNumberFormat="1" applyFont="1" applyFill="1" applyBorder="1" applyAlignment="1" applyProtection="1">
      <alignment horizontal="center"/>
      <protection locked="0"/>
    </xf>
    <xf numFmtId="165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5" fontId="3" fillId="4" borderId="12" xfId="1" applyNumberFormat="1" applyFont="1" applyFill="1" applyBorder="1" applyAlignment="1"/>
    <xf numFmtId="165" fontId="3" fillId="4" borderId="13" xfId="1" applyNumberFormat="1" applyFont="1" applyFill="1" applyBorder="1" applyAlignment="1"/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165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5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13" fillId="0" borderId="13" xfId="1" applyNumberFormat="1" applyFont="1" applyBorder="1" applyAlignment="1" applyProtection="1">
      <alignment horizontal="center"/>
      <protection locked="0"/>
    </xf>
    <xf numFmtId="165" fontId="13" fillId="0" borderId="18" xfId="1" applyNumberFormat="1" applyFont="1" applyBorder="1" applyAlignment="1" applyProtection="1">
      <alignment horizontal="center"/>
      <protection locked="0"/>
    </xf>
    <xf numFmtId="165" fontId="18" fillId="4" borderId="20" xfId="1" applyNumberFormat="1" applyFont="1" applyFill="1" applyBorder="1" applyAlignment="1" applyProtection="1">
      <alignment horizontal="center"/>
      <protection locked="0"/>
    </xf>
    <xf numFmtId="165" fontId="18" fillId="4" borderId="4" xfId="1" applyNumberFormat="1" applyFont="1" applyFill="1" applyBorder="1" applyAlignment="1" applyProtection="1">
      <alignment horizontal="center"/>
      <protection locked="0"/>
    </xf>
    <xf numFmtId="165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38" t="s">
        <v>37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82"/>
      <c r="M1" s="82"/>
      <c r="N1" s="82"/>
    </row>
    <row r="2" spans="1:15" ht="31" customHeight="1">
      <c r="A2" s="140" t="s">
        <v>36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82"/>
      <c r="M2" s="82"/>
      <c r="N2" s="82"/>
    </row>
    <row r="3" spans="1:15" ht="15" customHeight="1" thickBot="1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0.15254237288135594</v>
      </c>
      <c r="C21" s="48">
        <f>KIREHE!G37</f>
        <v>10000</v>
      </c>
      <c r="D21" s="48">
        <f>KIREHE!C43</f>
        <v>0</v>
      </c>
      <c r="E21" s="48">
        <f>KIREHE!C44</f>
        <v>0</v>
      </c>
      <c r="F21" s="50">
        <f t="shared" si="0"/>
        <v>10000.152542372882</v>
      </c>
      <c r="G21" s="47">
        <f>KIREHE!C41</f>
        <v>0</v>
      </c>
      <c r="H21" s="48">
        <f>KIREHE!C39</f>
        <v>10000.152542372882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0.15254237288135594</v>
      </c>
      <c r="C29" s="70">
        <f t="shared" si="1"/>
        <v>10000</v>
      </c>
      <c r="D29" s="71">
        <f t="shared" si="1"/>
        <v>0</v>
      </c>
      <c r="E29" s="70">
        <f t="shared" si="1"/>
        <v>0</v>
      </c>
      <c r="F29" s="70">
        <f>SUM(F5:F28)</f>
        <v>10000.152542372882</v>
      </c>
      <c r="G29" s="71">
        <f>SUM(G5:G28)</f>
        <v>0</v>
      </c>
      <c r="H29" s="71">
        <f>SUM(H5:H28)</f>
        <v>10000.152542372882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32"/>
      <c r="B30" s="132"/>
      <c r="C30" s="132"/>
      <c r="D30" s="133"/>
      <c r="E30" s="123" t="s">
        <v>11</v>
      </c>
      <c r="F30" s="124"/>
      <c r="G30" s="124"/>
      <c r="H30" s="124"/>
      <c r="I30" s="125"/>
      <c r="J30" s="142"/>
      <c r="K30" s="143"/>
      <c r="L30" s="82"/>
    </row>
    <row r="31" spans="1:15" ht="19" thickBot="1">
      <c r="A31" s="119" t="s">
        <v>9</v>
      </c>
      <c r="B31" s="120"/>
      <c r="C31" s="120"/>
      <c r="D31" s="120"/>
      <c r="E31" s="126"/>
      <c r="F31" s="127"/>
      <c r="G31" s="127"/>
      <c r="H31" s="127"/>
      <c r="I31" s="128"/>
      <c r="J31" s="144"/>
      <c r="K31" s="145"/>
      <c r="L31" s="82"/>
    </row>
    <row r="32" spans="1:15" ht="15" thickBot="1">
      <c r="A32" s="134" t="s">
        <v>12</v>
      </c>
      <c r="B32" s="135"/>
      <c r="C32" s="136">
        <f>SUM(B29+C29)</f>
        <v>10000.152542372882</v>
      </c>
      <c r="D32" s="137"/>
      <c r="E32" s="126"/>
      <c r="F32" s="127"/>
      <c r="G32" s="127"/>
      <c r="H32" s="127"/>
      <c r="I32" s="128"/>
      <c r="J32" s="144"/>
      <c r="K32" s="145"/>
      <c r="L32" s="82"/>
    </row>
    <row r="33" spans="1:12" ht="15" thickBot="1">
      <c r="A33" s="134" t="s">
        <v>13</v>
      </c>
      <c r="B33" s="135"/>
      <c r="C33" s="121">
        <f>SUM(F29,G29)</f>
        <v>10000.152542372882</v>
      </c>
      <c r="D33" s="122"/>
      <c r="E33" s="126"/>
      <c r="F33" s="127"/>
      <c r="G33" s="127"/>
      <c r="H33" s="127"/>
      <c r="I33" s="128"/>
      <c r="J33" s="144"/>
      <c r="K33" s="145"/>
      <c r="L33" s="82"/>
    </row>
    <row r="34" spans="1:12" ht="15" thickBot="1">
      <c r="A34" s="158" t="s">
        <v>81</v>
      </c>
      <c r="B34" s="159"/>
      <c r="C34" s="121">
        <f>SUM(H29,J29,I29+G29)</f>
        <v>10000.152542372882</v>
      </c>
      <c r="D34" s="157"/>
      <c r="E34" s="126"/>
      <c r="F34" s="127"/>
      <c r="G34" s="127"/>
      <c r="H34" s="127"/>
      <c r="I34" s="128"/>
      <c r="J34" s="144"/>
      <c r="K34" s="145"/>
      <c r="L34" s="82"/>
    </row>
    <row r="35" spans="1:12" ht="15" thickBot="1">
      <c r="A35" s="134" t="s">
        <v>10</v>
      </c>
      <c r="B35" s="135"/>
      <c r="C35" s="121">
        <f>SUM(D29:E29)</f>
        <v>0</v>
      </c>
      <c r="D35" s="157"/>
      <c r="E35" s="129"/>
      <c r="F35" s="130"/>
      <c r="G35" s="130"/>
      <c r="H35" s="130"/>
      <c r="I35" s="131"/>
      <c r="J35" s="144"/>
      <c r="K35" s="145"/>
      <c r="L35" s="82"/>
    </row>
    <row r="36" spans="1:12" ht="15" thickBot="1">
      <c r="A36" s="134" t="s">
        <v>83</v>
      </c>
      <c r="B36" s="135"/>
      <c r="C36" s="121">
        <f>SUM(H29+I29+J29+C35)</f>
        <v>10000.152542372882</v>
      </c>
      <c r="D36" s="157"/>
      <c r="E36" s="148" t="s">
        <v>35</v>
      </c>
      <c r="F36" s="149"/>
      <c r="G36" s="149"/>
      <c r="H36" s="149"/>
      <c r="I36" s="150"/>
      <c r="J36" s="144"/>
      <c r="K36" s="145"/>
      <c r="L36" s="82"/>
    </row>
    <row r="37" spans="1:12" ht="15" thickBot="1">
      <c r="A37" s="117" t="s">
        <v>14</v>
      </c>
      <c r="B37" s="118"/>
      <c r="C37" s="121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10000.152542372882</v>
      </c>
      <c r="D37" s="157"/>
      <c r="E37" s="151"/>
      <c r="F37" s="152"/>
      <c r="G37" s="152"/>
      <c r="H37" s="152"/>
      <c r="I37" s="153"/>
      <c r="J37" s="144"/>
      <c r="K37" s="145"/>
      <c r="L37" s="82"/>
    </row>
    <row r="38" spans="1:12" ht="26.5" thickBot="1">
      <c r="A38" s="154" t="s">
        <v>15</v>
      </c>
      <c r="B38" s="155"/>
      <c r="C38" s="155"/>
      <c r="D38" s="155"/>
      <c r="E38" s="155"/>
      <c r="F38" s="155"/>
      <c r="G38" s="155"/>
      <c r="H38" s="155"/>
      <c r="I38" s="156"/>
      <c r="J38" s="146"/>
      <c r="K38" s="147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RowHeight="14.5"/>
  <cols>
    <col min="1" max="1" width="18.90625" style="43" customWidth="1"/>
    <col min="2" max="2" width="21.90625" style="43" customWidth="1"/>
    <col min="3" max="3" width="25" style="43" customWidth="1"/>
    <col min="4" max="4" width="15.36328125" style="43" customWidth="1"/>
    <col min="5" max="5" width="25.36328125" style="43" customWidth="1"/>
    <col min="6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6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8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s="89" customFormat="1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9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20.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3" customHeight="1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22" customHeight="1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22.5" customHeight="1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24.5" customHeight="1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22" customHeight="1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22" customHeight="1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22" customHeight="1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22" customHeight="1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4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3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>
        <v>2124</v>
      </c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3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6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4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3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0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s="43" customFormat="1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1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5.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9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9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2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2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s="43" customFormat="1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3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7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9" customHeight="1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5" customHeight="1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customHeight="1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customHeight="1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customHeight="1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customHeight="1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customHeight="1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customHeight="1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customHeight="1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customHeight="1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customHeight="1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customHeight="1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customHeight="1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customHeight="1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customHeight="1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4.5" customHeight="1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E1" workbookViewId="0">
      <selection activeCell="I1" sqref="I1:I64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1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4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9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0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0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workbookViewId="0">
      <selection activeCell="D22" sqref="D22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89</v>
      </c>
      <c r="B3" s="173"/>
      <c r="C3" s="173"/>
      <c r="D3" s="173"/>
      <c r="E3" s="173"/>
      <c r="F3" s="173"/>
      <c r="G3" s="173"/>
      <c r="H3" s="174"/>
      <c r="I3" s="214"/>
    </row>
    <row r="4" spans="1:9" ht="21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/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>
        <v>2124</v>
      </c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>
        <v>1180</v>
      </c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85</v>
      </c>
      <c r="B18" s="27"/>
      <c r="C18" s="27">
        <v>1800</v>
      </c>
      <c r="D18" s="27">
        <v>30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86</v>
      </c>
      <c r="B19" s="13"/>
      <c r="C19" s="13">
        <v>1180</v>
      </c>
      <c r="D19" s="13">
        <v>30</v>
      </c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60</v>
      </c>
      <c r="B20" s="13"/>
      <c r="C20" s="13">
        <v>1534</v>
      </c>
      <c r="D20" s="13">
        <v>30</v>
      </c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>
        <v>30</v>
      </c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>
        <v>1</v>
      </c>
      <c r="C22" s="13">
        <v>1</v>
      </c>
      <c r="D22" s="13">
        <v>10000</v>
      </c>
      <c r="E22" s="20">
        <f t="shared" si="4"/>
        <v>1</v>
      </c>
      <c r="F22" s="17">
        <f t="shared" si="3"/>
        <v>0.15254237288135594</v>
      </c>
      <c r="G22" s="95">
        <f t="shared" si="5"/>
        <v>10000</v>
      </c>
      <c r="H22" s="104">
        <f t="shared" si="6"/>
        <v>10000.152542372882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1</v>
      </c>
      <c r="F37" s="24">
        <f>SUM(F5:F36)</f>
        <v>0.15254237288135594</v>
      </c>
      <c r="G37" s="24">
        <f t="shared" ref="G37:H37" si="10">SUM(G5:G36)</f>
        <v>10000</v>
      </c>
      <c r="H37" s="24">
        <f t="shared" si="10"/>
        <v>10000.152542372882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>
        <f>H37</f>
        <v>10000.152542372882</v>
      </c>
      <c r="D39" s="58"/>
      <c r="E39" s="183" t="s">
        <v>90</v>
      </c>
      <c r="F39" s="183"/>
      <c r="G39" s="114" t="s">
        <v>91</v>
      </c>
      <c r="H39" s="108">
        <v>10000</v>
      </c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115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115" t="s">
        <v>88</v>
      </c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6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10000.152542372882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 t="s">
        <v>87</v>
      </c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7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0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2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9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30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84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84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84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84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84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84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84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84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203" t="s">
        <v>57</v>
      </c>
      <c r="B1" s="204"/>
      <c r="C1" s="204"/>
      <c r="D1" s="204"/>
      <c r="E1" s="204"/>
      <c r="F1" s="204"/>
      <c r="G1" s="247"/>
    </row>
    <row r="2" spans="1:7" ht="15" thickBot="1">
      <c r="A2" s="205"/>
      <c r="B2" s="206"/>
      <c r="C2" s="206"/>
      <c r="D2" s="206"/>
      <c r="E2" s="206"/>
      <c r="F2" s="206"/>
      <c r="G2" s="248"/>
    </row>
    <row r="3" spans="1:7" ht="28.5" thickBot="1">
      <c r="A3" s="249" t="s">
        <v>58</v>
      </c>
      <c r="B3" s="250"/>
      <c r="C3" s="251"/>
      <c r="D3" s="249" t="s">
        <v>59</v>
      </c>
      <c r="E3" s="250"/>
      <c r="F3" s="250"/>
      <c r="G3" s="251"/>
    </row>
    <row r="4" spans="1:7" ht="41.5" customHeight="1" thickBot="1">
      <c r="A4" s="244" t="s">
        <v>61</v>
      </c>
      <c r="B4" s="245"/>
      <c r="C4" s="246"/>
      <c r="D4" s="235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0</v>
      </c>
      <c r="E4" s="236"/>
      <c r="F4" s="236"/>
      <c r="G4" s="237"/>
    </row>
    <row r="5" spans="1:7" ht="37" customHeight="1" thickBot="1">
      <c r="A5" s="244" t="s">
        <v>46</v>
      </c>
      <c r="B5" s="245"/>
      <c r="C5" s="246"/>
      <c r="D5" s="235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5" s="236"/>
      <c r="F5" s="236"/>
      <c r="G5" s="237"/>
    </row>
    <row r="6" spans="1:7" ht="40" customHeight="1" thickBot="1">
      <c r="A6" s="244" t="s">
        <v>60</v>
      </c>
      <c r="B6" s="245"/>
      <c r="C6" s="246"/>
      <c r="D6" s="235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6"/>
      <c r="F6" s="236"/>
      <c r="G6" s="237"/>
    </row>
    <row r="7" spans="1:7" ht="38.5" customHeight="1" thickBot="1">
      <c r="A7" s="238" t="s">
        <v>63</v>
      </c>
      <c r="B7" s="239"/>
      <c r="C7" s="240"/>
      <c r="D7" s="235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7" s="236"/>
      <c r="F7" s="236"/>
      <c r="G7" s="237"/>
    </row>
    <row r="8" spans="1:7" ht="40" customHeight="1" thickBot="1">
      <c r="A8" s="238" t="s">
        <v>64</v>
      </c>
      <c r="B8" s="239"/>
      <c r="C8" s="240"/>
      <c r="D8" s="235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6"/>
      <c r="F8" s="236"/>
      <c r="G8" s="237"/>
    </row>
    <row r="9" spans="1:7" ht="38.5" customHeight="1" thickBot="1">
      <c r="A9" s="238" t="s">
        <v>84</v>
      </c>
      <c r="B9" s="239"/>
      <c r="C9" s="240"/>
      <c r="D9" s="235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6"/>
      <c r="F9" s="236"/>
      <c r="G9" s="237"/>
    </row>
    <row r="10" spans="1:7" ht="38" customHeight="1" thickBot="1">
      <c r="A10" s="238" t="s">
        <v>84</v>
      </c>
      <c r="B10" s="239"/>
      <c r="C10" s="240"/>
      <c r="D10" s="235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6"/>
      <c r="F10" s="236"/>
      <c r="G10" s="237"/>
    </row>
    <row r="11" spans="1:7" ht="38.5" customHeight="1" thickBot="1">
      <c r="A11" s="238" t="s">
        <v>84</v>
      </c>
      <c r="B11" s="239"/>
      <c r="C11" s="240"/>
      <c r="D11" s="235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6"/>
      <c r="F11" s="236"/>
      <c r="G11" s="237"/>
    </row>
    <row r="12" spans="1:7" ht="36.5" customHeight="1" thickBot="1">
      <c r="A12" s="238" t="s">
        <v>84</v>
      </c>
      <c r="B12" s="239"/>
      <c r="C12" s="240"/>
      <c r="D12" s="235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6"/>
      <c r="F12" s="236"/>
      <c r="G12" s="237"/>
    </row>
    <row r="13" spans="1:7" ht="38" customHeight="1" thickBot="1">
      <c r="A13" s="238" t="s">
        <v>84</v>
      </c>
      <c r="B13" s="239"/>
      <c r="C13" s="240"/>
      <c r="D13" s="235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6"/>
      <c r="F13" s="236"/>
      <c r="G13" s="237"/>
    </row>
    <row r="14" spans="1:7" ht="29" thickBot="1">
      <c r="A14" s="238" t="s">
        <v>84</v>
      </c>
      <c r="B14" s="239"/>
      <c r="C14" s="240"/>
      <c r="D14" s="235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6"/>
      <c r="F14" s="236"/>
      <c r="G14" s="237"/>
    </row>
    <row r="15" spans="1:7" ht="29" thickBot="1">
      <c r="A15" s="238" t="s">
        <v>84</v>
      </c>
      <c r="B15" s="239"/>
      <c r="C15" s="240"/>
      <c r="D15" s="235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6"/>
      <c r="F15" s="236"/>
      <c r="G15" s="237"/>
    </row>
    <row r="16" spans="1:7" ht="29" thickBot="1">
      <c r="A16" s="238" t="s">
        <v>84</v>
      </c>
      <c r="B16" s="239"/>
      <c r="C16" s="240"/>
      <c r="D16" s="235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6"/>
      <c r="F16" s="236"/>
      <c r="G16" s="237"/>
    </row>
    <row r="17" spans="1:7" ht="29" thickBot="1">
      <c r="A17" s="238" t="s">
        <v>65</v>
      </c>
      <c r="B17" s="239"/>
      <c r="C17" s="240"/>
      <c r="D17" s="241">
        <f>SUM(D4:D16)</f>
        <v>0</v>
      </c>
      <c r="E17" s="242"/>
      <c r="F17" s="242"/>
      <c r="G17" s="243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2026-03-27T14:28:45Z</dcterms:modified>
</cp:coreProperties>
</file>