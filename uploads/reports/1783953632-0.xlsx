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<sst xmlns="http://schemas.openxmlformats.org/spreadsheetml/2006/main" count="1779" uniqueCount="85">
  <si>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</si>
  <si>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</si>
  <si>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</si>
  <si>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</si>
  <si>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</si>
  <si>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</si>
  <si>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</si>
  <si>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</si>
  <si>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</si>
  <si>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</si>
  <si>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</si>
  <si>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</si>
  <si>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</si>
  <si>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</si>
  <si>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</si>
  <si>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</si>
  <si>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</si>
  <si>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</si>
  <si>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</si>
  <si>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</si>
  <si>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</si>
  <si>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</si>
  <si>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</si>
  <si>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</si>
  <si>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</si>
  <si>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</si>
  <si>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</si>
  <si>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</si>
  <si>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</si>
  <si>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</si>
  <si>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</si>
  <si>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</si>
  <si>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</si>
  <si>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</si>
  <si>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</si>
  <si>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</si>
  <si>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</si>
  <si>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</si>
  <si>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</si>
  <si>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</si>
  <si>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</si>
  <si>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</si>
  <si>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</si>
  <si>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</si>
  <si>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</si>
  <si>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</si>
  <si>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</si>
  <si>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</si>
  <si>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</si>
  <si>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</si>
  <si>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</si>
  <si>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</si>
  <si>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</si>
  <si>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</si>
  <si>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</si>
  <si>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</si>
  <si>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</si>
  <si>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</si>
  <si>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</si>
  <si>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</si>
  <si>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</si>
  <si>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</si>
  <si>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</si>
  <si>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</si>
  <si>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</si>
  <si>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</si>
  <si>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</si>
  <si>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</si>
  <si>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</si>
  <si>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</si>
  <si>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</si>
  <si>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</si>
  <si>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</si>
  <si>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</si>
  <si>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</si>
  <si>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</si>
  <si>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</si>
  <si>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</si>
  <si>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</si>
  <si>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</si>
  <si>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</si>
  <si>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</si>
  <si>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</si>
  <si>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</si>
  <si>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06/ 07/ 2026  TO  12/07/2026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</si>
</sst>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484486.16949152545</v>
      </c>
      <c r="C16" s="68">
        <f>KARONGI!G37</f>
        <v>52460</v>
      </c>
      <c r="D16" s="4"/>
      <c r="E16" s="3"/>
      <c r="F16" s="70">
        <f t="shared" si="0"/>
        <v>536946.16949152551</v>
      </c>
      <c r="G16" s="67">
        <f>KARONGI!C41</f>
        <v>0</v>
      </c>
      <c r="H16" s="68">
        <f>KARONGI!C39</f>
        <v>536946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8152108.1694915257</v>
      </c>
      <c r="C29" s="102">
        <f t="shared" si="1"/>
        <v>748160</v>
      </c>
      <c r="D29" s="103">
        <f t="shared" si="1"/>
        <v>0</v>
      </c>
      <c r="E29" s="102">
        <f t="shared" si="1"/>
        <v>0</v>
      </c>
      <c r="F29" s="102">
        <f>SUM(F5:F28)</f>
        <v>8900268.1694915257</v>
      </c>
      <c r="G29" s="103">
        <f>SUM(G5:G28)</f>
        <v>0</v>
      </c>
      <c r="H29" s="103">
        <f>SUM(H5:H28)</f>
        <v>8900268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8900268.1694915257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8900268.1694915257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8900268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8900268.1694915257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8900268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34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233</v>
      </c>
      <c r="C8" s="166">
        <v>1416</v>
      </c>
      <c r="D8" s="167"/>
      <c r="E8" s="16">
        <f t="shared" si="0"/>
        <v>329928</v>
      </c>
      <c r="F8" s="16">
        <f t="shared" si="1"/>
        <v>50328</v>
      </c>
      <c r="G8" s="16">
        <f>PRODUCT(B8*50)</f>
        <v>11650</v>
      </c>
      <c r="H8" s="17">
        <f t="shared" si="2"/>
        <v>61978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1227</v>
      </c>
      <c r="C10" s="166">
        <v>2124</v>
      </c>
      <c r="D10" s="167"/>
      <c r="E10" s="16">
        <f t="shared" si="0"/>
        <v>2606148</v>
      </c>
      <c r="F10" s="16">
        <f t="shared" si="1"/>
        <v>397548</v>
      </c>
      <c r="G10" s="16">
        <f>PRODUCT(B10*30)</f>
        <v>36810</v>
      </c>
      <c r="H10" s="17">
        <f t="shared" si="2"/>
        <v>434358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200</v>
      </c>
      <c r="C13" s="166">
        <v>1200</v>
      </c>
      <c r="D13" s="167"/>
      <c r="E13" s="16">
        <f t="shared" si="0"/>
        <v>240000</v>
      </c>
      <c r="F13" s="16">
        <f t="shared" si="1"/>
        <v>36610.169491525427</v>
      </c>
      <c r="G13" s="16">
        <f>PRODUCT(B13*20)</f>
        <v>4000</v>
      </c>
      <c r="H13" s="17">
        <f t="shared" si="2"/>
        <v>40610.169491525427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3176076</v>
      </c>
      <c r="F37" s="32">
        <f>SUM(F5:F36)</f>
        <v>484486.16949152545</v>
      </c>
      <c r="G37" s="32">
        <f t="shared" ref="G37:H37" si="3">SUM(G5:G36)</f>
        <v>52460</v>
      </c>
      <c r="H37" s="32">
        <f t="shared" si="3"/>
        <v>536946.16949152539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536946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1227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233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200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1660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21479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483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25944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2026-07-13T13:40:11Z</dcterms:modified>
</cp:coreProperties>
</file>