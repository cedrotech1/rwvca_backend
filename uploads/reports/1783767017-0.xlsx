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7" i="1" l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<sst xmlns="http://schemas.openxmlformats.org/spreadsheetml/2006/main" count="65" uniqueCount="47">
  <si>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</si>
  <si>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</si>
  <si>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</si>
  <si>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</si>
  <si>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</si>
  <si>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</si>
  <si>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</si>
  <si>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</si>
  <si>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</si>
  <si>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</si>
  <si>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</si>
  <si>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</si>
  <si>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</si>
  <si>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</si>
  <si>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</si>
  <si>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</si>
  <si>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</si>
  <si>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</si>
  <si>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</si>
  <si>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</si>
  <si>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</si>
  <si>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</si>
  <si>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</si>
  <si>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</si>
  <si>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</si>
  <si>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</si>
  <si>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</si>
  <si>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</si>
  <si>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</si>
  <si>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</si>
  <si>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</si>
  <si>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</si>
  <si>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</si>
  <si>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</si>
  <si>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</si>
  <si>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</si>
  <si>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</si>
  <si>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</si>
  <si>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</si>
  <si>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</si>
  <si>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</si>
  <si>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</si>
  <si>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</si>
  <si>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</si>
  <si>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</si>
  <si>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</si>
  <si>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-11/07/2026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</si>
</sst>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I1" sqref="I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93">
        <v>8850</v>
      </c>
      <c r="D6" s="9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200</v>
      </c>
      <c r="C8" s="89">
        <v>2360</v>
      </c>
      <c r="D8" s="90"/>
      <c r="E8" s="13">
        <f t="shared" si="3"/>
        <v>472000</v>
      </c>
      <c r="F8" s="13">
        <f t="shared" si="4"/>
        <v>72000</v>
      </c>
      <c r="G8" s="13">
        <f>PRODUCT(B8*50)</f>
        <v>10000</v>
      </c>
      <c r="H8" s="14">
        <f t="shared" si="5"/>
        <v>82000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1055</v>
      </c>
      <c r="C10" s="89">
        <v>2360</v>
      </c>
      <c r="D10" s="90"/>
      <c r="E10" s="13">
        <f t="shared" si="3"/>
        <v>2489800</v>
      </c>
      <c r="F10" s="13">
        <f t="shared" si="4"/>
        <v>379800</v>
      </c>
      <c r="G10" s="13">
        <f>PRODUCT(B10*30)</f>
        <v>31650</v>
      </c>
      <c r="H10" s="14">
        <f t="shared" si="5"/>
        <v>411450</v>
      </c>
    </row>
    <row r="11" spans="1:8">
      <c r="A11" s="10" t="s">
        <v>12</v>
      </c>
      <c r="B11" s="11">
        <v>45</v>
      </c>
      <c r="C11" s="89">
        <v>1534</v>
      </c>
      <c r="D11" s="90"/>
      <c r="E11" s="13">
        <f t="shared" si="3"/>
        <v>69030</v>
      </c>
      <c r="F11" s="13">
        <f t="shared" si="4"/>
        <v>10530</v>
      </c>
      <c r="G11" s="13">
        <f>PRODUCT(B11*20)</f>
        <v>900</v>
      </c>
      <c r="H11" s="14">
        <f t="shared" si="5"/>
        <v>11430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3030830</v>
      </c>
      <c r="F41" s="36">
        <f>SUM(F6:F40)</f>
        <v>462330</v>
      </c>
      <c r="G41" s="36">
        <f>SUM(G6:G40)</f>
        <v>42550</v>
      </c>
      <c r="H41" s="37">
        <f t="shared" si="19"/>
        <v>504880</v>
      </c>
    </row>
    <row r="42" spans="1:8">
      <c r="A42" s="75" t="s">
        <v>34</v>
      </c>
      <c r="B42" s="76"/>
      <c r="C42" s="38">
        <v>504880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504880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2026-07-11T10:47:41Z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