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WEEK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<sst xmlns="http://schemas.openxmlformats.org/spreadsheetml/2006/main" count="1779" uniqueCount="85">
  <si>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</si>
  <si>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</si>
  <si>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</si>
  <si>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</si>
  <si>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</si>
  <si>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</si>
  <si>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</si>
  <si>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</si>
  <si>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</si>
  <si>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</si>
  <si>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</si>
  <si>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</si>
  <si>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</si>
  <si>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</si>
  <si>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</si>
  <si>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</si>
  <si>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</si>
  <si>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</si>
  <si>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</si>
  <si>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</si>
  <si>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</si>
  <si>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</si>
  <si>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</si>
  <si>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</si>
  <si>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</si>
  <si>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</si>
  <si>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</si>
  <si>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</si>
  <si>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</si>
  <si>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</si>
  <si>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</si>
  <si>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</si>
  <si>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</si>
  <si>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</si>
  <si>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</si>
  <si>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</si>
  <si>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</si>
  <si>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</si>
  <si>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</si>
  <si>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</si>
  <si>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</si>
  <si>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</si>
  <si>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</si>
  <si>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</si>
  <si>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</si>
  <si>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</si>
  <si>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</si>
  <si>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</si>
  <si>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</si>
  <si>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</si>
  <si>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</si>
  <si>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</si>
  <si>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</si>
  <si>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</si>
  <si>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</si>
  <si>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</si>
  <si>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</si>
  <si>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</si>
  <si>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</si>
  <si>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</si>
  <si>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</si>
  <si>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</si>
  <si>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</si>
  <si>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</si>
  <si>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</si>
  <si>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</si>
  <si>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</si>
  <si>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</si>
  <si>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</si>
  <si>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</si>
  <si>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</si>
  <si>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</si>
  <si>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</si>
  <si>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</si>
  <si>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</si>
  <si>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</si>
  <si>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</si>
  <si>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</si>
  <si>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</si>
  <si>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</si>
  <si>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</si>
  <si>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</si>
  <si>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</si>
  <si>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</si>
  <si>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3 WEEKLY REPORT FROM  01 JUNE 2026  TO  21  JUNE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</si>
</sst>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1105628.3389830508</v>
      </c>
      <c r="C16" s="68">
        <f>KARONGI!G37</f>
        <v>180650</v>
      </c>
      <c r="D16" s="4"/>
      <c r="E16" s="3"/>
      <c r="F16" s="70">
        <f t="shared" si="0"/>
        <v>1286278.3389830508</v>
      </c>
      <c r="G16" s="67">
        <f>KARONGI!C41</f>
        <v>0</v>
      </c>
      <c r="H16" s="68">
        <f>KARONGI!C39</f>
        <v>1428398.34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8773250.3389830515</v>
      </c>
      <c r="C29" s="102">
        <f t="shared" si="1"/>
        <v>876350</v>
      </c>
      <c r="D29" s="103">
        <f t="shared" si="1"/>
        <v>0</v>
      </c>
      <c r="E29" s="102">
        <f t="shared" si="1"/>
        <v>0</v>
      </c>
      <c r="F29" s="102">
        <f>SUM(F5:F28)</f>
        <v>9649600.3389830515</v>
      </c>
      <c r="G29" s="103">
        <f>SUM(G5:G28)</f>
        <v>0</v>
      </c>
      <c r="H29" s="103">
        <f>SUM(H5:H28)</f>
        <v>9791720.3399999999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9649600.3389830515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9649600.3389830515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9791720.3399999999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9649600.3389830515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9791720.3399999999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B23" workbookViewId="0">
      <selection activeCell="G40" sqref="G40:H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>
        <v>100</v>
      </c>
      <c r="C6" s="182">
        <v>2000</v>
      </c>
      <c r="D6" s="183"/>
      <c r="E6" s="13">
        <f t="shared" ref="E6:E14" si="0">PRODUCT(B6*C6)</f>
        <v>200000</v>
      </c>
      <c r="F6" s="13">
        <f t="shared" ref="F6:F14" si="1">PRODUCT(E6*18)/118</f>
        <v>30508.474576271186</v>
      </c>
      <c r="G6" s="13">
        <f>PRODUCT(B6*50)</f>
        <v>5000</v>
      </c>
      <c r="H6" s="14">
        <f t="shared" ref="H6:H14" si="2">SUM(F6:G6)</f>
        <v>35508.474576271183</v>
      </c>
    </row>
    <row r="7" spans="1:8">
      <c r="A7" s="42" t="s">
        <v>47</v>
      </c>
      <c r="B7" s="12">
        <v>300</v>
      </c>
      <c r="C7" s="182">
        <v>900</v>
      </c>
      <c r="D7" s="183"/>
      <c r="E7" s="13">
        <f t="shared" si="0"/>
        <v>270000</v>
      </c>
      <c r="F7" s="13">
        <f t="shared" si="1"/>
        <v>41186.4406779661</v>
      </c>
      <c r="G7" s="13">
        <f>PRODUCT(B7*50)</f>
        <v>15000</v>
      </c>
      <c r="H7" s="14">
        <f t="shared" si="2"/>
        <v>56186.4406779661</v>
      </c>
    </row>
    <row r="8" spans="1:8">
      <c r="A8" s="43" t="s">
        <v>48</v>
      </c>
      <c r="B8" s="15">
        <v>2113</v>
      </c>
      <c r="C8" s="166">
        <v>1416</v>
      </c>
      <c r="D8" s="167"/>
      <c r="E8" s="16">
        <f t="shared" si="0"/>
        <v>2992008</v>
      </c>
      <c r="F8" s="16">
        <f t="shared" si="1"/>
        <v>456408</v>
      </c>
      <c r="G8" s="16">
        <f>PRODUCT(B8*50)</f>
        <v>105650</v>
      </c>
      <c r="H8" s="17">
        <f t="shared" si="2"/>
        <v>562058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1500</v>
      </c>
      <c r="C10" s="166">
        <v>2124</v>
      </c>
      <c r="D10" s="167"/>
      <c r="E10" s="16">
        <f t="shared" si="0"/>
        <v>3186000</v>
      </c>
      <c r="F10" s="16">
        <f t="shared" si="1"/>
        <v>486000</v>
      </c>
      <c r="G10" s="16">
        <f>PRODUCT(B10*30)</f>
        <v>45000</v>
      </c>
      <c r="H10" s="17">
        <f t="shared" si="2"/>
        <v>531000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500</v>
      </c>
      <c r="C13" s="166">
        <v>1200</v>
      </c>
      <c r="D13" s="167"/>
      <c r="E13" s="16">
        <f t="shared" si="0"/>
        <v>600000</v>
      </c>
      <c r="F13" s="16">
        <f t="shared" si="1"/>
        <v>91525.423728813563</v>
      </c>
      <c r="G13" s="16">
        <f>PRODUCT(B13*20)</f>
        <v>10000</v>
      </c>
      <c r="H13" s="17">
        <f t="shared" si="2"/>
        <v>101525.42372881356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420</v>
      </c>
      <c r="C21" s="18">
        <v>1357</v>
      </c>
      <c r="D21" s="18">
        <v>30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7248008</v>
      </c>
      <c r="F37" s="32">
        <f>SUM(F5:F36)</f>
        <v>1105628.3389830508</v>
      </c>
      <c r="G37" s="32">
        <f t="shared" ref="G37:H37" si="3">SUM(G5:G36)</f>
        <v>180650</v>
      </c>
      <c r="H37" s="32">
        <f t="shared" si="3"/>
        <v>1286278.3389830508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1428398.34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1500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2513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500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4513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21752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2763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28797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2026-06-25T10:30:34Z</dcterms:modified>
</cp:coreProperties>
</file>