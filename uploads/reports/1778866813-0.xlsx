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5EF77D5B-7F6A-4E1A-8791-FE39AAD0B296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G27" i="10"/>
  <c r="E27" i="10"/>
  <c r="F27" i="10" s="1"/>
  <c r="H27" i="10" s="1"/>
  <c r="G26" i="10"/>
  <c r="E26" i="10"/>
  <c r="F26" i="10" s="1"/>
  <c r="H26" i="10" s="1"/>
  <c r="H25" i="10"/>
  <c r="G25" i="10"/>
  <c r="F25" i="10"/>
  <c r="E25" i="10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6" i="10"/>
  <c r="E16" i="10"/>
  <c r="F16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F8" i="10"/>
  <c r="H8" i="10" s="1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H5" i="1"/>
  <c r="G5" i="1"/>
  <c r="G29" i="1" s="1"/>
  <c r="I29" i="1" l="1"/>
  <c r="H13" i="10"/>
  <c r="H7" i="10"/>
  <c r="H6" i="10"/>
  <c r="H17" i="10"/>
  <c r="H16" i="10"/>
  <c r="H18" i="10"/>
  <c r="H10" i="10"/>
  <c r="G28" i="10"/>
  <c r="C10" i="1" s="1"/>
  <c r="E53" i="10"/>
  <c r="E28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8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H28" i="10" l="1"/>
  <c r="C29" i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<sst xmlns="http://schemas.openxmlformats.org/spreadsheetml/2006/main" count="1778" uniqueCount="86">
  <si>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</si>
  <si>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</si>
  <si>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</si>
  <si>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</si>
  <si>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</si>
  <si>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</si>
  <si>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</si>
  <si>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</si>
  <si>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</si>
  <si>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</si>
  <si>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</si>
  <si>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</si>
  <si>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</si>
  <si>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</si>
  <si>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</si>
  <si>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</si>
  <si>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</si>
  <si>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</si>
  <si>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</si>
  <si>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</si>
  <si>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</si>
  <si>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</si>
  <si>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</si>
  <si>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</si>
  <si>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</si>
  <si>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</si>
  <si>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</si>
  <si>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</si>
  <si>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</si>
  <si>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</si>
  <si>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</si>
  <si>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</si>
  <si>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</si>
  <si>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</si>
  <si>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</si>
  <si>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</si>
  <si>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</si>
  <si>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</si>
  <si>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</si>
  <si>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</si>
  <si>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</si>
  <si>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</si>
  <si>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</si>
  <si>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</si>
  <si>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</si>
  <si>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</si>
  <si>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</si>
  <si>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</si>
  <si>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</si>
  <si>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</si>
  <si>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</si>
  <si>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</si>
  <si>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</si>
  <si>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</si>
  <si>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</si>
  <si>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</si>
  <si>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</si>
  <si>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</si>
  <si>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</si>
  <si>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</si>
  <si>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</si>
  <si>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</si>
  <si>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</si>
  <si>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</si>
  <si>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</si>
  <si>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</si>
  <si>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</si>
  <si>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</si>
  <si>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</si>
  <si>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</si>
  <si>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</si>
  <si>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</si>
  <si>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</si>
  <si>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</si>
  <si>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</si>
  <si>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</si>
  <si>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</si>
  <si>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</si>
  <si>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</si>
  <si>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</si>
  <si>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</si>
  <si>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</si>
  <si>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</si>
  <si>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</si>
  <si>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</si>
  <si>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15MAY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</si>
</sst>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BUGESERA!F28</f>
        <v>958356</v>
      </c>
      <c r="C10" s="18">
        <f>BUGESERA!G28</f>
        <v>88970</v>
      </c>
      <c r="D10" s="19"/>
      <c r="E10" s="18"/>
      <c r="F10" s="14">
        <f t="shared" si="0"/>
        <v>1047326</v>
      </c>
      <c r="G10" s="17">
        <f>BUGESERA!C32</f>
        <v>0</v>
      </c>
      <c r="H10" s="18">
        <f>BUGESERA!C30</f>
        <v>1047326</v>
      </c>
      <c r="I10" s="18">
        <f>BUGESERA!C33</f>
        <v>0</v>
      </c>
      <c r="J10" s="18">
        <f>BUGESERA!C31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8625978</v>
      </c>
      <c r="C29" s="33">
        <f t="shared" si="1"/>
        <v>784670</v>
      </c>
      <c r="D29" s="34">
        <f t="shared" si="1"/>
        <v>0</v>
      </c>
      <c r="E29" s="33">
        <f t="shared" si="1"/>
        <v>0</v>
      </c>
      <c r="F29" s="33">
        <f t="shared" si="1"/>
        <v>9410648</v>
      </c>
      <c r="G29" s="34">
        <f t="shared" si="1"/>
        <v>0</v>
      </c>
      <c r="H29" s="34">
        <f t="shared" si="1"/>
        <v>9410648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29"/>
      <c r="C30" s="129"/>
      <c r="D30" s="113"/>
      <c r="E30" s="158" t="s">
        <v>32</v>
      </c>
      <c r="F30" s="126"/>
      <c r="G30" s="126"/>
      <c r="H30" s="126"/>
      <c r="I30" s="127"/>
      <c r="J30" s="154"/>
      <c r="K30" s="127"/>
      <c r="L30" s="1"/>
      <c r="M30" s="1"/>
      <c r="N30" s="1"/>
      <c r="O30" s="1"/>
    </row>
    <row r="31" spans="1:15" ht="18" customHeight="1">
      <c r="A31" s="160" t="s">
        <v>33</v>
      </c>
      <c r="B31" s="129"/>
      <c r="C31" s="129"/>
      <c r="D31" s="161"/>
      <c r="E31" s="155"/>
      <c r="F31" s="137"/>
      <c r="G31" s="137"/>
      <c r="H31" s="137"/>
      <c r="I31" s="138"/>
      <c r="J31" s="155"/>
      <c r="K31" s="138"/>
      <c r="L31" s="1"/>
      <c r="M31" s="1"/>
      <c r="N31" s="1"/>
      <c r="O31" s="1"/>
    </row>
    <row r="32" spans="1:15" ht="18" customHeight="1">
      <c r="A32" s="144" t="s">
        <v>34</v>
      </c>
      <c r="B32" s="113"/>
      <c r="C32" s="159">
        <f>SUM(B29:C29)</f>
        <v>9410648</v>
      </c>
      <c r="D32" s="126"/>
      <c r="E32" s="155"/>
      <c r="F32" s="137"/>
      <c r="G32" s="137"/>
      <c r="H32" s="137"/>
      <c r="I32" s="138"/>
      <c r="J32" s="155"/>
      <c r="K32" s="138"/>
      <c r="L32" s="1"/>
      <c r="M32" s="1"/>
      <c r="N32" s="1"/>
      <c r="O32" s="1"/>
    </row>
    <row r="33" spans="1:15" ht="18" customHeight="1">
      <c r="A33" s="144" t="s">
        <v>35</v>
      </c>
      <c r="B33" s="113"/>
      <c r="C33" s="140">
        <f>SUM(F29,G29)</f>
        <v>9410648</v>
      </c>
      <c r="D33" s="129"/>
      <c r="E33" s="155"/>
      <c r="F33" s="137"/>
      <c r="G33" s="137"/>
      <c r="H33" s="137"/>
      <c r="I33" s="138"/>
      <c r="J33" s="155"/>
      <c r="K33" s="138"/>
      <c r="L33" s="1"/>
      <c r="M33" s="1"/>
      <c r="N33" s="1"/>
      <c r="O33" s="1"/>
    </row>
    <row r="34" spans="1:15" ht="18" customHeight="1">
      <c r="A34" s="144" t="s">
        <v>36</v>
      </c>
      <c r="B34" s="113"/>
      <c r="C34" s="140">
        <f>SUM(H29,J29,I29)</f>
        <v>9410648</v>
      </c>
      <c r="D34" s="113"/>
      <c r="E34" s="155"/>
      <c r="F34" s="137"/>
      <c r="G34" s="137"/>
      <c r="H34" s="137"/>
      <c r="I34" s="138"/>
      <c r="J34" s="155"/>
      <c r="K34" s="138"/>
      <c r="L34" s="1"/>
      <c r="M34" s="1"/>
      <c r="N34" s="1"/>
      <c r="O34" s="1"/>
    </row>
    <row r="35" spans="1:15" ht="18" customHeight="1">
      <c r="A35" s="144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5"/>
      <c r="K35" s="138"/>
      <c r="L35" s="1"/>
      <c r="M35" s="1"/>
      <c r="N35" s="1"/>
      <c r="O35" s="1"/>
    </row>
    <row r="36" spans="1:15" ht="18" customHeight="1">
      <c r="A36" s="144" t="s">
        <v>38</v>
      </c>
      <c r="B36" s="113"/>
      <c r="C36" s="140">
        <f>SUM(C33,C35)</f>
        <v>9410648</v>
      </c>
      <c r="D36" s="113"/>
      <c r="E36" s="156" t="s">
        <v>39</v>
      </c>
      <c r="F36" s="126"/>
      <c r="G36" s="126"/>
      <c r="H36" s="126"/>
      <c r="I36" s="127"/>
      <c r="J36" s="155"/>
      <c r="K36" s="138"/>
      <c r="L36" s="1"/>
      <c r="M36" s="1"/>
      <c r="N36" s="1"/>
      <c r="O36" s="1"/>
    </row>
    <row r="37" spans="1:15" ht="18" customHeight="1">
      <c r="A37" s="145" t="s">
        <v>40</v>
      </c>
      <c r="B37" s="111"/>
      <c r="C37" s="140">
        <f>SUM(C34:C35)</f>
        <v>9410648</v>
      </c>
      <c r="D37" s="113"/>
      <c r="E37" s="109"/>
      <c r="F37" s="110"/>
      <c r="G37" s="110"/>
      <c r="H37" s="110"/>
      <c r="I37" s="111"/>
      <c r="J37" s="155"/>
      <c r="K37" s="138"/>
      <c r="L37" s="1"/>
      <c r="M37" s="1"/>
      <c r="N37" s="1"/>
      <c r="O37" s="1"/>
    </row>
    <row r="38" spans="1:15" ht="18" customHeight="1">
      <c r="A38" s="157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3" si="0">PRODUCT(B6*C6)</f>
        <v>0</v>
      </c>
      <c r="F6" s="44">
        <f t="shared" ref="F6:F13" si="1">PRODUCT(E6*18)/118</f>
        <v>0</v>
      </c>
      <c r="G6" s="44">
        <f t="shared" ref="G6:G8" si="2">PRODUCT(B6*50)</f>
        <v>0</v>
      </c>
      <c r="H6" s="45">
        <f t="shared" ref="H6:H13" si="3">SUM(F6:G6)</f>
        <v>0</v>
      </c>
    </row>
    <row r="7" spans="1:8" ht="14.25" customHeight="1">
      <c r="A7" s="42" t="s">
        <v>51</v>
      </c>
      <c r="B7" s="43"/>
      <c r="C7" s="123">
        <v>4720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2779</v>
      </c>
      <c r="C10" s="115">
        <v>2124</v>
      </c>
      <c r="D10" s="116"/>
      <c r="E10" s="48">
        <f t="shared" si="0"/>
        <v>5902596</v>
      </c>
      <c r="F10" s="48">
        <f t="shared" si="1"/>
        <v>900396</v>
      </c>
      <c r="G10" s="48">
        <f t="shared" si="4"/>
        <v>83370</v>
      </c>
      <c r="H10" s="49">
        <f t="shared" si="3"/>
        <v>983766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280</v>
      </c>
      <c r="C13" s="115">
        <v>1357</v>
      </c>
      <c r="D13" s="116"/>
      <c r="E13" s="48">
        <f t="shared" si="0"/>
        <v>379960</v>
      </c>
      <c r="F13" s="48">
        <f t="shared" si="1"/>
        <v>57960</v>
      </c>
      <c r="G13" s="48">
        <f t="shared" ref="G13" si="5">PRODUCT(B13*20)</f>
        <v>5600</v>
      </c>
      <c r="H13" s="49">
        <f t="shared" si="3"/>
        <v>63560</v>
      </c>
    </row>
    <row r="14" spans="1:8" ht="19.5" customHeight="1">
      <c r="A14" s="128" t="s">
        <v>57</v>
      </c>
      <c r="B14" s="129"/>
      <c r="C14" s="129"/>
      <c r="D14" s="129"/>
      <c r="E14" s="129"/>
      <c r="F14" s="129"/>
      <c r="G14" s="129"/>
      <c r="H14" s="113"/>
    </row>
    <row r="15" spans="1:8" ht="14.25" customHeight="1">
      <c r="A15" s="51" t="s">
        <v>44</v>
      </c>
      <c r="B15" s="52" t="s">
        <v>45</v>
      </c>
      <c r="C15" s="52" t="s">
        <v>58</v>
      </c>
      <c r="D15" s="52" t="s">
        <v>49</v>
      </c>
      <c r="E15" s="53" t="s">
        <v>47</v>
      </c>
      <c r="F15" s="53" t="s">
        <v>59</v>
      </c>
      <c r="G15" s="53" t="s">
        <v>49</v>
      </c>
      <c r="H15" s="54" t="s">
        <v>60</v>
      </c>
    </row>
    <row r="16" spans="1:8" ht="14.25" customHeight="1">
      <c r="A16" s="55" t="s">
        <v>61</v>
      </c>
      <c r="B16" s="56"/>
      <c r="C16" s="56">
        <v>2006</v>
      </c>
      <c r="D16" s="56">
        <v>25</v>
      </c>
      <c r="E16" s="57">
        <f t="shared" ref="E16:E27" si="6">PRODUCT(B16*C16)</f>
        <v>0</v>
      </c>
      <c r="F16" s="58">
        <f t="shared" ref="F16:F27" si="7">PRODUCT(E16*18)/118</f>
        <v>0</v>
      </c>
      <c r="G16" s="58">
        <f t="shared" ref="G16:G27" si="8">PRODUCT(B16*D16)</f>
        <v>0</v>
      </c>
      <c r="H16" s="58">
        <f t="shared" ref="H16:H28" si="9">SUM(F16:G16)</f>
        <v>0</v>
      </c>
    </row>
    <row r="17" spans="1:8" ht="14.25" customHeight="1">
      <c r="A17" s="59" t="s">
        <v>84</v>
      </c>
      <c r="B17" s="60"/>
      <c r="C17" s="60">
        <v>3304</v>
      </c>
      <c r="D17" s="60">
        <v>40</v>
      </c>
      <c r="E17" s="61">
        <f t="shared" si="6"/>
        <v>0</v>
      </c>
      <c r="F17" s="62">
        <f t="shared" si="7"/>
        <v>0</v>
      </c>
      <c r="G17" s="62">
        <f t="shared" si="8"/>
        <v>0</v>
      </c>
      <c r="H17" s="62">
        <f t="shared" si="9"/>
        <v>0</v>
      </c>
    </row>
    <row r="18" spans="1:8" ht="14.25" customHeight="1">
      <c r="A18" s="63" t="s">
        <v>62</v>
      </c>
      <c r="B18" s="64"/>
      <c r="C18" s="64">
        <v>2360</v>
      </c>
      <c r="D18" s="64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63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5"/>
      <c r="C22" s="65"/>
      <c r="D22" s="65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0"/>
      <c r="C23" s="60"/>
      <c r="D23" s="60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4"/>
      <c r="C24" s="64"/>
      <c r="D24" s="64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6" t="s">
        <v>63</v>
      </c>
      <c r="B27" s="67"/>
      <c r="C27" s="67"/>
      <c r="D27" s="67"/>
      <c r="E27" s="68">
        <f t="shared" si="6"/>
        <v>0</v>
      </c>
      <c r="F27" s="69">
        <f t="shared" si="7"/>
        <v>0</v>
      </c>
      <c r="G27" s="70">
        <f t="shared" si="8"/>
        <v>0</v>
      </c>
      <c r="H27" s="70">
        <f t="shared" si="9"/>
        <v>0</v>
      </c>
    </row>
    <row r="28" spans="1:8" ht="14.25" customHeight="1">
      <c r="A28" s="71" t="s">
        <v>64</v>
      </c>
      <c r="B28" s="72"/>
      <c r="C28" s="72"/>
      <c r="D28" s="72"/>
      <c r="E28" s="73">
        <f>SUM(E6:E27)</f>
        <v>6282556</v>
      </c>
      <c r="F28" s="74">
        <f>SUM(F6:F27)</f>
        <v>958356</v>
      </c>
      <c r="G28" s="75">
        <f>SUM(G6:G27)</f>
        <v>88970</v>
      </c>
      <c r="H28" s="76">
        <f t="shared" si="9"/>
        <v>1047326</v>
      </c>
    </row>
    <row r="29" spans="1:8" ht="14.25" customHeight="1">
      <c r="A29" s="133" t="s">
        <v>65</v>
      </c>
      <c r="B29" s="134"/>
      <c r="C29" s="77" t="s">
        <v>66</v>
      </c>
      <c r="D29" s="78"/>
      <c r="E29" s="135" t="s">
        <v>67</v>
      </c>
      <c r="F29" s="113"/>
      <c r="G29" s="79" t="s">
        <v>68</v>
      </c>
      <c r="H29" s="80" t="s">
        <v>66</v>
      </c>
    </row>
    <row r="30" spans="1:8" ht="14.25" customHeight="1">
      <c r="A30" s="118" t="s">
        <v>69</v>
      </c>
      <c r="B30" s="111"/>
      <c r="C30" s="103">
        <v>1047326</v>
      </c>
      <c r="D30" s="82"/>
      <c r="E30" s="123"/>
      <c r="F30" s="124"/>
      <c r="G30" s="83"/>
      <c r="H30" s="84"/>
    </row>
    <row r="31" spans="1:8" ht="14.25" customHeight="1">
      <c r="A31" s="114" t="s">
        <v>70</v>
      </c>
      <c r="B31" s="113"/>
      <c r="C31" s="104"/>
      <c r="D31" s="86"/>
      <c r="E31" s="115"/>
      <c r="F31" s="116"/>
      <c r="G31" s="87"/>
      <c r="H31" s="88"/>
    </row>
    <row r="32" spans="1:8" ht="14.25" customHeight="1">
      <c r="A32" s="114" t="s">
        <v>71</v>
      </c>
      <c r="B32" s="113"/>
      <c r="C32" s="89"/>
      <c r="D32" s="82"/>
      <c r="E32" s="117"/>
      <c r="F32" s="116"/>
      <c r="G32" s="87"/>
      <c r="H32" s="88"/>
    </row>
    <row r="33" spans="1:8" ht="14.25" customHeight="1">
      <c r="A33" s="130" t="s">
        <v>72</v>
      </c>
      <c r="B33" s="127"/>
      <c r="C33" s="90"/>
      <c r="D33" s="74"/>
      <c r="E33" s="120"/>
      <c r="F33" s="116"/>
      <c r="G33" s="47"/>
      <c r="H33" s="88"/>
    </row>
    <row r="34" spans="1:8" ht="14.25" customHeight="1">
      <c r="A34" s="114" t="s">
        <v>73</v>
      </c>
      <c r="B34" s="113"/>
      <c r="C34" s="91"/>
      <c r="D34" s="74"/>
      <c r="E34" s="119"/>
      <c r="F34" s="116"/>
      <c r="G34" s="47"/>
      <c r="H34" s="88"/>
    </row>
    <row r="35" spans="1:8" ht="14.25" customHeight="1">
      <c r="A35" s="114" t="s">
        <v>74</v>
      </c>
      <c r="B35" s="113"/>
      <c r="C35" s="92"/>
      <c r="D35" s="93"/>
      <c r="E35" s="119"/>
      <c r="F35" s="116"/>
      <c r="G35" s="47"/>
      <c r="H35" s="88"/>
    </row>
    <row r="36" spans="1:8" ht="14.25" customHeight="1">
      <c r="A36" s="114" t="s">
        <v>75</v>
      </c>
      <c r="B36" s="113"/>
      <c r="C36" s="94">
        <v>0</v>
      </c>
      <c r="D36" s="95"/>
      <c r="E36" s="121"/>
      <c r="F36" s="122"/>
      <c r="G36" s="96"/>
      <c r="H36" s="97"/>
    </row>
    <row r="37" spans="1:8" ht="14.25" customHeight="1">
      <c r="A37" s="143" t="s">
        <v>76</v>
      </c>
      <c r="B37" s="126"/>
      <c r="C37" s="126"/>
      <c r="D37" s="126"/>
      <c r="E37" s="126"/>
      <c r="F37" s="126"/>
      <c r="G37" s="126"/>
      <c r="H37" s="127"/>
    </row>
    <row r="38" spans="1:8" ht="15" customHeight="1">
      <c r="A38" s="109"/>
      <c r="B38" s="110"/>
      <c r="C38" s="110"/>
      <c r="D38" s="110"/>
      <c r="E38" s="110"/>
      <c r="F38" s="110"/>
      <c r="G38" s="110"/>
      <c r="H38" s="111"/>
    </row>
    <row r="39" spans="1:8" ht="14.25" customHeight="1">
      <c r="A39" s="98"/>
      <c r="B39" s="142" t="s">
        <v>77</v>
      </c>
      <c r="C39" s="129"/>
      <c r="D39" s="113"/>
      <c r="E39" s="142" t="s">
        <v>78</v>
      </c>
      <c r="F39" s="129"/>
      <c r="G39" s="129"/>
      <c r="H39" s="113"/>
    </row>
    <row r="40" spans="1:8" ht="14.25" customHeight="1">
      <c r="A40" s="98"/>
      <c r="B40" s="131" t="s">
        <v>79</v>
      </c>
      <c r="C40" s="129"/>
      <c r="D40" s="113"/>
      <c r="E40" s="132">
        <f>SUM(B9:B12)</f>
        <v>2779</v>
      </c>
      <c r="F40" s="129"/>
      <c r="G40" s="129"/>
      <c r="H40" s="113"/>
    </row>
    <row r="41" spans="1:8" ht="14.25" customHeight="1">
      <c r="A41" s="98"/>
      <c r="B41" s="131" t="s">
        <v>52</v>
      </c>
      <c r="C41" s="129"/>
      <c r="D41" s="113"/>
      <c r="E41" s="132">
        <f>SUM(B6:B8)</f>
        <v>0</v>
      </c>
      <c r="F41" s="129"/>
      <c r="G41" s="129"/>
      <c r="H41" s="113"/>
    </row>
    <row r="42" spans="1:8" ht="14.25" customHeight="1">
      <c r="A42" s="98"/>
      <c r="B42" s="131" t="s">
        <v>80</v>
      </c>
      <c r="C42" s="129"/>
      <c r="D42" s="113"/>
      <c r="E42" s="136">
        <f>SUM(B13:B13)</f>
        <v>280</v>
      </c>
      <c r="F42" s="137"/>
      <c r="G42" s="137"/>
      <c r="H42" s="138"/>
    </row>
    <row r="43" spans="1:8" ht="14.25" customHeight="1">
      <c r="A43" s="37"/>
      <c r="B43" s="139" t="s">
        <v>61</v>
      </c>
      <c r="C43" s="129"/>
      <c r="D43" s="113"/>
      <c r="E43" s="140">
        <f>SUM(B16:B17)</f>
        <v>0</v>
      </c>
      <c r="F43" s="129"/>
      <c r="G43" s="129"/>
      <c r="H43" s="113"/>
    </row>
    <row r="44" spans="1:8" ht="14.25" customHeight="1">
      <c r="A44" s="37"/>
      <c r="B44" s="139" t="s">
        <v>62</v>
      </c>
      <c r="C44" s="129"/>
      <c r="D44" s="113"/>
      <c r="E44" s="140">
        <f>SUM(B18:B19)</f>
        <v>0</v>
      </c>
      <c r="F44" s="129"/>
      <c r="G44" s="129"/>
      <c r="H44" s="113"/>
    </row>
    <row r="45" spans="1:8" ht="14.25" customHeight="1">
      <c r="A45" s="37"/>
      <c r="B45" s="139" t="s">
        <v>81</v>
      </c>
      <c r="C45" s="129"/>
      <c r="D45" s="113"/>
      <c r="E45" s="140">
        <f t="shared" ref="E45:E52" si="10">B20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si="10"/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0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0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0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0"/>
        <v>0</v>
      </c>
      <c r="F50" s="129"/>
      <c r="G50" s="129"/>
      <c r="H50" s="113"/>
    </row>
    <row r="51" spans="1:8" ht="14.25" customHeight="1">
      <c r="B51" s="139" t="s">
        <v>81</v>
      </c>
      <c r="C51" s="129"/>
      <c r="D51" s="113"/>
      <c r="E51" s="140">
        <f t="shared" si="10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0"/>
        <v>0</v>
      </c>
      <c r="F52" s="129"/>
      <c r="G52" s="129"/>
      <c r="H52" s="113"/>
    </row>
    <row r="53" spans="1:8" ht="14.25" customHeight="1">
      <c r="B53" s="139" t="s">
        <v>82</v>
      </c>
      <c r="C53" s="129"/>
      <c r="D53" s="113"/>
      <c r="E53" s="140">
        <f>SUM(E40:H52)</f>
        <v>3059</v>
      </c>
      <c r="F53" s="129"/>
      <c r="G53" s="129"/>
      <c r="H53" s="113"/>
    </row>
    <row r="54" spans="1:8" ht="14.25" customHeight="1">
      <c r="B54" s="139"/>
      <c r="C54" s="129"/>
      <c r="D54" s="113"/>
      <c r="E54" s="141"/>
      <c r="F54" s="129"/>
      <c r="G54" s="129"/>
      <c r="H54" s="113"/>
    </row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61">
    <mergeCell ref="B40:D40"/>
    <mergeCell ref="E40:H40"/>
    <mergeCell ref="A35:B35"/>
    <mergeCell ref="A36:B36"/>
    <mergeCell ref="B39:D39"/>
    <mergeCell ref="E39:H39"/>
    <mergeCell ref="A37:H38"/>
    <mergeCell ref="E52:H52"/>
    <mergeCell ref="E53:H53"/>
    <mergeCell ref="E54:H54"/>
    <mergeCell ref="E45:H45"/>
    <mergeCell ref="E46:H46"/>
    <mergeCell ref="E47:H47"/>
    <mergeCell ref="E48:H48"/>
    <mergeCell ref="E49:H49"/>
    <mergeCell ref="E50:H50"/>
    <mergeCell ref="E51:H51"/>
    <mergeCell ref="B51:D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B42:D42"/>
    <mergeCell ref="E42:H42"/>
    <mergeCell ref="B43:D43"/>
    <mergeCell ref="E43:H43"/>
    <mergeCell ref="E44:H44"/>
    <mergeCell ref="A34:B34"/>
    <mergeCell ref="A1:H2"/>
    <mergeCell ref="A14:H14"/>
    <mergeCell ref="A33:B33"/>
    <mergeCell ref="B41:D41"/>
    <mergeCell ref="E41:H41"/>
    <mergeCell ref="C6:D6"/>
    <mergeCell ref="C7:D7"/>
    <mergeCell ref="C8:D8"/>
    <mergeCell ref="C9:D9"/>
    <mergeCell ref="C10:D10"/>
    <mergeCell ref="C11:D11"/>
    <mergeCell ref="C12:D12"/>
    <mergeCell ref="C13:D13"/>
    <mergeCell ref="A29:B29"/>
    <mergeCell ref="E29:F29"/>
    <mergeCell ref="E34:F34"/>
    <mergeCell ref="E33:F33"/>
    <mergeCell ref="E35:F35"/>
    <mergeCell ref="E36:F36"/>
    <mergeCell ref="E30:F30"/>
    <mergeCell ref="A3:H4"/>
    <mergeCell ref="C5:D5"/>
    <mergeCell ref="A31:B31"/>
    <mergeCell ref="E31:F31"/>
    <mergeCell ref="A32:B32"/>
    <mergeCell ref="E32:F32"/>
    <mergeCell ref="A30:B30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23031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4062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27343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2026-05-15T17:38:13Z</dcterms:modified>
</cp:coreProperties>
</file>