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DE66CF1A-A754-4BB7-A483-4B216CD64A1D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13" i="10" l="1"/>
  <c r="H7" i="10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<sst xmlns="http://schemas.openxmlformats.org/spreadsheetml/2006/main" count="1779" uniqueCount="86">
  <si>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</si>
  <si>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</si>
  <si>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</si>
  <si>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</si>
  <si>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</si>
  <si>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</si>
  <si>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</si>
  <si>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</si>
  <si>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</si>
  <si>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</si>
  <si>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</si>
  <si>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</si>
  <si>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</si>
  <si>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</si>
  <si>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</si>
  <si>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</si>
  <si>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</si>
  <si>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</si>
  <si>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</si>
  <si>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</si>
  <si>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</si>
  <si>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</si>
  <si>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</si>
  <si>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</si>
  <si>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</si>
  <si>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</si>
  <si>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</si>
  <si>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</si>
  <si>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</si>
  <si>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</si>
  <si>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</si>
  <si>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</si>
  <si>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</si>
  <si>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</si>
  <si>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</si>
  <si>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</si>
  <si>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</si>
  <si>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</si>
  <si>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</si>
  <si>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</si>
  <si>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</si>
  <si>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</si>
  <si>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</si>
  <si>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</si>
  <si>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</si>
  <si>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</si>
  <si>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</si>
  <si>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</si>
  <si>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</si>
  <si>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</si>
  <si>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</si>
  <si>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</si>
  <si>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</si>
  <si>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</si>
  <si>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</si>
  <si>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</si>
  <si>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</si>
  <si>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</si>
  <si>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</si>
  <si>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</si>
  <si>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</si>
  <si>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</si>
  <si>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</si>
  <si>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</si>
  <si>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</si>
  <si>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</si>
  <si>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</si>
  <si>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</si>
  <si>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</si>
  <si>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</si>
  <si>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</si>
  <si>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</si>
  <si>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</si>
  <si>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</si>
  <si>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</si>
  <si>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</si>
  <si>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</si>
  <si>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</si>
  <si>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</si>
  <si>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</si>
  <si>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</si>
  <si>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</si>
  <si>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</si>
  <si>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</si>
  <si>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</si>
  <si>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16APRIL2026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</si>
</sst>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6"/>
      <c r="L1" s="1"/>
      <c r="M1" s="1"/>
      <c r="N1" s="1"/>
      <c r="O1" s="1"/>
    </row>
    <row r="2" spans="1:15" ht="30.75" customHeight="1">
      <c r="A2" s="147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48"/>
      <c r="L2" s="1"/>
      <c r="M2" s="1"/>
      <c r="N2" s="1"/>
      <c r="O2" s="1"/>
    </row>
    <row r="3" spans="1:15" ht="15" customHeight="1">
      <c r="A3" s="149"/>
      <c r="B3" s="150"/>
      <c r="C3" s="150"/>
      <c r="D3" s="150"/>
      <c r="E3" s="150"/>
      <c r="F3" s="150"/>
      <c r="G3" s="150"/>
      <c r="H3" s="150"/>
      <c r="I3" s="150"/>
      <c r="J3" s="150"/>
      <c r="K3" s="151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644688</v>
      </c>
      <c r="C10" s="18">
        <f>BUGESERA!G29</f>
        <v>59980</v>
      </c>
      <c r="D10" s="19"/>
      <c r="E10" s="18"/>
      <c r="F10" s="14">
        <f t="shared" si="0"/>
        <v>704668</v>
      </c>
      <c r="G10" s="17">
        <f>BUGESERA!C33</f>
        <v>0</v>
      </c>
      <c r="H10" s="18">
        <f>BUGESERA!C31</f>
        <v>704668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8312310</v>
      </c>
      <c r="C29" s="33">
        <f t="shared" si="1"/>
        <v>755680</v>
      </c>
      <c r="D29" s="34">
        <f t="shared" si="1"/>
        <v>0</v>
      </c>
      <c r="E29" s="33">
        <f t="shared" si="1"/>
        <v>0</v>
      </c>
      <c r="F29" s="33">
        <f t="shared" si="1"/>
        <v>9067990</v>
      </c>
      <c r="G29" s="34">
        <f t="shared" si="1"/>
        <v>0</v>
      </c>
      <c r="H29" s="34">
        <f t="shared" si="1"/>
        <v>9067990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0"/>
      <c r="B30" s="107"/>
      <c r="C30" s="107"/>
      <c r="D30" s="108"/>
      <c r="E30" s="156" t="s">
        <v>32</v>
      </c>
      <c r="F30" s="113"/>
      <c r="G30" s="113"/>
      <c r="H30" s="113"/>
      <c r="I30" s="114"/>
      <c r="J30" s="152"/>
      <c r="K30" s="114"/>
      <c r="L30" s="1"/>
      <c r="M30" s="1"/>
      <c r="N30" s="1"/>
      <c r="O30" s="1"/>
    </row>
    <row r="31" spans="1:15" ht="18" customHeight="1">
      <c r="A31" s="158" t="s">
        <v>33</v>
      </c>
      <c r="B31" s="107"/>
      <c r="C31" s="107"/>
      <c r="D31" s="159"/>
      <c r="E31" s="153"/>
      <c r="F31" s="122"/>
      <c r="G31" s="122"/>
      <c r="H31" s="122"/>
      <c r="I31" s="123"/>
      <c r="J31" s="153"/>
      <c r="K31" s="123"/>
      <c r="L31" s="1"/>
      <c r="M31" s="1"/>
      <c r="N31" s="1"/>
      <c r="O31" s="1"/>
    </row>
    <row r="32" spans="1:15" ht="18" customHeight="1">
      <c r="A32" s="161" t="s">
        <v>34</v>
      </c>
      <c r="B32" s="108"/>
      <c r="C32" s="157">
        <f>SUM(B29:C29)</f>
        <v>9067990</v>
      </c>
      <c r="D32" s="113"/>
      <c r="E32" s="153"/>
      <c r="F32" s="122"/>
      <c r="G32" s="122"/>
      <c r="H32" s="122"/>
      <c r="I32" s="123"/>
      <c r="J32" s="153"/>
      <c r="K32" s="123"/>
      <c r="L32" s="1"/>
      <c r="M32" s="1"/>
      <c r="N32" s="1"/>
      <c r="O32" s="1"/>
    </row>
    <row r="33" spans="1:15" ht="18" customHeight="1">
      <c r="A33" s="161" t="s">
        <v>35</v>
      </c>
      <c r="B33" s="108"/>
      <c r="C33" s="118">
        <f>SUM(F29,G29)</f>
        <v>9067990</v>
      </c>
      <c r="D33" s="107"/>
      <c r="E33" s="153"/>
      <c r="F33" s="122"/>
      <c r="G33" s="122"/>
      <c r="H33" s="122"/>
      <c r="I33" s="123"/>
      <c r="J33" s="153"/>
      <c r="K33" s="123"/>
      <c r="L33" s="1"/>
      <c r="M33" s="1"/>
      <c r="N33" s="1"/>
      <c r="O33" s="1"/>
    </row>
    <row r="34" spans="1:15" ht="18" customHeight="1">
      <c r="A34" s="161" t="s">
        <v>36</v>
      </c>
      <c r="B34" s="108"/>
      <c r="C34" s="118">
        <f>SUM(H29,J29,I29)</f>
        <v>9067990</v>
      </c>
      <c r="D34" s="108"/>
      <c r="E34" s="153"/>
      <c r="F34" s="122"/>
      <c r="G34" s="122"/>
      <c r="H34" s="122"/>
      <c r="I34" s="123"/>
      <c r="J34" s="153"/>
      <c r="K34" s="123"/>
      <c r="L34" s="1"/>
      <c r="M34" s="1"/>
      <c r="N34" s="1"/>
      <c r="O34" s="1"/>
    </row>
    <row r="35" spans="1:15" ht="18" customHeight="1">
      <c r="A35" s="161" t="s">
        <v>37</v>
      </c>
      <c r="B35" s="108"/>
      <c r="C35" s="118">
        <f>SUM(D29:E29)</f>
        <v>0</v>
      </c>
      <c r="D35" s="108"/>
      <c r="E35" s="115"/>
      <c r="F35" s="116"/>
      <c r="G35" s="116"/>
      <c r="H35" s="116"/>
      <c r="I35" s="117"/>
      <c r="J35" s="153"/>
      <c r="K35" s="123"/>
      <c r="L35" s="1"/>
      <c r="M35" s="1"/>
      <c r="N35" s="1"/>
      <c r="O35" s="1"/>
    </row>
    <row r="36" spans="1:15" ht="18" customHeight="1">
      <c r="A36" s="161" t="s">
        <v>38</v>
      </c>
      <c r="B36" s="108"/>
      <c r="C36" s="118">
        <f>SUM(C33,C35)</f>
        <v>9067990</v>
      </c>
      <c r="D36" s="108"/>
      <c r="E36" s="154" t="s">
        <v>39</v>
      </c>
      <c r="F36" s="113"/>
      <c r="G36" s="113"/>
      <c r="H36" s="113"/>
      <c r="I36" s="114"/>
      <c r="J36" s="153"/>
      <c r="K36" s="123"/>
      <c r="L36" s="1"/>
      <c r="M36" s="1"/>
      <c r="N36" s="1"/>
      <c r="O36" s="1"/>
    </row>
    <row r="37" spans="1:15" ht="18" customHeight="1">
      <c r="A37" s="162" t="s">
        <v>40</v>
      </c>
      <c r="B37" s="117"/>
      <c r="C37" s="118">
        <f>SUM(C34:C35)</f>
        <v>9067990</v>
      </c>
      <c r="D37" s="108"/>
      <c r="E37" s="115"/>
      <c r="F37" s="116"/>
      <c r="G37" s="116"/>
      <c r="H37" s="116"/>
      <c r="I37" s="117"/>
      <c r="J37" s="153"/>
      <c r="K37" s="123"/>
      <c r="L37" s="1"/>
      <c r="M37" s="1"/>
      <c r="N37" s="1"/>
      <c r="O37" s="1"/>
    </row>
    <row r="38" spans="1:15" ht="18" customHeight="1">
      <c r="A38" s="155" t="s">
        <v>41</v>
      </c>
      <c r="B38" s="107"/>
      <c r="C38" s="107"/>
      <c r="D38" s="107"/>
      <c r="E38" s="107"/>
      <c r="F38" s="107"/>
      <c r="G38" s="107"/>
      <c r="H38" s="107"/>
      <c r="I38" s="108"/>
      <c r="J38" s="115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67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f>SUM(C39:C44)</f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22.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24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21.7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21.7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21.7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21.7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21.7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21.7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24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24.7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64" t="s">
        <v>82</v>
      </c>
      <c r="C62" s="107"/>
      <c r="D62" s="108"/>
      <c r="E62" s="165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f>SUM(C31:C36)</f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83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>
        <v>15000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>
        <v>9000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9">
        <v>7670</v>
      </c>
      <c r="D8" s="130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9">
        <v>4130</v>
      </c>
      <c r="D9" s="130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9">
        <v>2124</v>
      </c>
      <c r="D10" s="130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9">
        <v>3540</v>
      </c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>
        <v>2006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9">
        <v>1357</v>
      </c>
      <c r="D13" s="130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>
        <v>8363322</v>
      </c>
      <c r="D39" s="82"/>
      <c r="E39" s="127"/>
      <c r="F39" s="128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f>SUM(C39:C44)</f>
        <v>8363322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20252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250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3782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B62" s="120" t="s">
        <v>82</v>
      </c>
      <c r="C62" s="107"/>
      <c r="D62" s="108"/>
      <c r="E62" s="171">
        <f>SUM(E49:H61)</f>
        <v>24284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K11" sqref="K11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85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>
        <v>4720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1770</v>
      </c>
      <c r="C10" s="129">
        <v>2124</v>
      </c>
      <c r="D10" s="130"/>
      <c r="E10" s="48">
        <f t="shared" si="0"/>
        <v>3759480</v>
      </c>
      <c r="F10" s="48">
        <f t="shared" si="1"/>
        <v>573480</v>
      </c>
      <c r="G10" s="48">
        <f t="shared" si="4"/>
        <v>53100</v>
      </c>
      <c r="H10" s="49">
        <f t="shared" si="3"/>
        <v>626580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344</v>
      </c>
      <c r="C13" s="129">
        <v>1357</v>
      </c>
      <c r="D13" s="130"/>
      <c r="E13" s="48">
        <f t="shared" si="0"/>
        <v>466808</v>
      </c>
      <c r="F13" s="48">
        <f t="shared" si="1"/>
        <v>71208</v>
      </c>
      <c r="G13" s="48">
        <f t="shared" ref="G13:G14" si="5">PRODUCT(B13*20)</f>
        <v>6880</v>
      </c>
      <c r="H13" s="49">
        <f t="shared" si="3"/>
        <v>78088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/>
      <c r="C18" s="60">
        <v>3304</v>
      </c>
      <c r="D18" s="60">
        <v>40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4226288</v>
      </c>
      <c r="F29" s="74">
        <f t="shared" si="10"/>
        <v>644688</v>
      </c>
      <c r="G29" s="75">
        <f t="shared" si="10"/>
        <v>59980</v>
      </c>
      <c r="H29" s="76">
        <f t="shared" si="9"/>
        <v>704668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103">
        <v>704668</v>
      </c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104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1770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344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2114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>
        <v>2124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>
        <v>1357</v>
      </c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10" t="s">
        <v>72</v>
      </c>
      <c r="B42" s="108"/>
      <c r="C42" s="90"/>
      <c r="D42" s="74"/>
      <c r="E42" s="173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72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72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74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09">
        <f>SUM(B13:B14)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8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8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8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8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8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8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8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8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8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8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SUM(B11:B14)</f>
        <v>0</v>
      </c>
      <c r="F49" s="107"/>
      <c r="G49" s="107"/>
      <c r="H49" s="108"/>
    </row>
    <row r="50" spans="1:8" ht="14.25" customHeight="1">
      <c r="A50" s="37"/>
      <c r="B50" s="106" t="s">
        <v>52</v>
      </c>
      <c r="C50" s="107"/>
      <c r="D50" s="108"/>
      <c r="E50" s="109">
        <f>SUM(B8:B10)</f>
        <v>0</v>
      </c>
      <c r="F50" s="107"/>
      <c r="G50" s="107"/>
      <c r="H50" s="108"/>
    </row>
    <row r="51" spans="1:8" ht="14.25" customHeight="1">
      <c r="A51" s="37"/>
      <c r="B51" s="106" t="s">
        <v>80</v>
      </c>
      <c r="C51" s="107"/>
      <c r="D51" s="108"/>
      <c r="E51" s="109">
        <f>SUM(B15:B16)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SUM(B19:B20)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SUM(B29:B30)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0" si="7">B31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>B45</f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8.7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8.7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2" t="s">
        <v>76</v>
      </c>
      <c r="B1" s="113"/>
      <c r="C1" s="113"/>
      <c r="D1" s="113"/>
      <c r="E1" s="113"/>
      <c r="F1" s="113"/>
      <c r="G1" s="114"/>
    </row>
    <row r="2" spans="1:7" ht="14.25" customHeight="1">
      <c r="A2" s="115"/>
      <c r="B2" s="116"/>
      <c r="C2" s="116"/>
      <c r="D2" s="116"/>
      <c r="E2" s="116"/>
      <c r="F2" s="116"/>
      <c r="G2" s="117"/>
    </row>
    <row r="3" spans="1:7" ht="14.25" customHeight="1">
      <c r="A3" s="183" t="s">
        <v>77</v>
      </c>
      <c r="B3" s="107"/>
      <c r="C3" s="108"/>
      <c r="D3" s="183" t="s">
        <v>78</v>
      </c>
      <c r="E3" s="107"/>
      <c r="F3" s="107"/>
      <c r="G3" s="108"/>
    </row>
    <row r="4" spans="1:7" ht="41.25" customHeight="1">
      <c r="A4" s="181" t="s">
        <v>79</v>
      </c>
      <c r="B4" s="107"/>
      <c r="C4" s="108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22022</v>
      </c>
      <c r="E4" s="107"/>
      <c r="F4" s="107"/>
      <c r="G4" s="108"/>
    </row>
    <row r="5" spans="1:7" ht="36.75" customHeight="1">
      <c r="A5" s="181" t="s">
        <v>52</v>
      </c>
      <c r="B5" s="107"/>
      <c r="C5" s="108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07"/>
      <c r="F5" s="107"/>
      <c r="G5" s="108"/>
    </row>
    <row r="6" spans="1:7" ht="39.75" customHeight="1">
      <c r="A6" s="181" t="s">
        <v>56</v>
      </c>
      <c r="B6" s="107"/>
      <c r="C6" s="108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4126</v>
      </c>
      <c r="E6" s="107"/>
      <c r="F6" s="107"/>
      <c r="G6" s="108"/>
    </row>
    <row r="7" spans="1:7" ht="38.25" customHeight="1">
      <c r="A7" s="182" t="s">
        <v>61</v>
      </c>
      <c r="B7" s="107"/>
      <c r="C7" s="108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8"/>
    </row>
    <row r="8" spans="1:7" ht="39.75" customHeight="1">
      <c r="A8" s="182" t="s">
        <v>62</v>
      </c>
      <c r="B8" s="107"/>
      <c r="C8" s="108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8"/>
    </row>
    <row r="9" spans="1:7" ht="38.25" customHeight="1">
      <c r="A9" s="182" t="s">
        <v>81</v>
      </c>
      <c r="B9" s="107"/>
      <c r="C9" s="108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8"/>
    </row>
    <row r="10" spans="1:7" ht="37.5" customHeight="1">
      <c r="A10" s="182" t="s">
        <v>81</v>
      </c>
      <c r="B10" s="107"/>
      <c r="C10" s="108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8"/>
    </row>
    <row r="11" spans="1:7" ht="38.25" customHeight="1">
      <c r="A11" s="182" t="s">
        <v>81</v>
      </c>
      <c r="B11" s="107"/>
      <c r="C11" s="108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8"/>
    </row>
    <row r="12" spans="1:7" ht="36" customHeight="1">
      <c r="A12" s="182" t="s">
        <v>81</v>
      </c>
      <c r="B12" s="107"/>
      <c r="C12" s="108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8"/>
    </row>
    <row r="13" spans="1:7" ht="37.5" customHeight="1">
      <c r="A13" s="182" t="s">
        <v>81</v>
      </c>
      <c r="B13" s="107"/>
      <c r="C13" s="108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8"/>
    </row>
    <row r="14" spans="1:7" ht="14.25" customHeight="1">
      <c r="A14" s="182" t="s">
        <v>81</v>
      </c>
      <c r="B14" s="107"/>
      <c r="C14" s="108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8"/>
    </row>
    <row r="15" spans="1:7" ht="14.25" customHeight="1">
      <c r="A15" s="182" t="s">
        <v>81</v>
      </c>
      <c r="B15" s="107"/>
      <c r="C15" s="108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8"/>
    </row>
    <row r="16" spans="1:7" ht="14.25" customHeight="1">
      <c r="A16" s="182" t="s">
        <v>81</v>
      </c>
      <c r="B16" s="107"/>
      <c r="C16" s="108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8"/>
    </row>
    <row r="17" spans="1:7" ht="14.25" customHeight="1">
      <c r="A17" s="182" t="s">
        <v>82</v>
      </c>
      <c r="B17" s="107"/>
      <c r="C17" s="108"/>
      <c r="D17" s="180">
        <f>SUM(D4:D16)</f>
        <v>26398</v>
      </c>
      <c r="E17" s="107"/>
      <c r="F17" s="107"/>
      <c r="G17" s="108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2026-04-16T17:00:15Z</dcterms:modified>
</cp:coreProperties>
</file>