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6930" tabRatio="965" firstSheet="10" activeTab="23"/>
  </bookViews>
  <sheets>
    <sheet name="FINACHIAL REPORT" sheetId="1" r:id="rId1"/>
    <sheet name="Sheet17" sheetId="45" r:id="rId2"/>
    <sheet name="Sheet18" sheetId="46" r:id="rId3"/>
    <sheet name="Sheet19" sheetId="47" r:id="rId4"/>
    <sheet name="Sheet20" sheetId="48" r:id="rId5"/>
    <sheet name="Sheet21" sheetId="49" r:id="rId6"/>
    <sheet name="Sheet22" sheetId="50" r:id="rId7"/>
    <sheet name="Sheet23" sheetId="51" r:id="rId8"/>
    <sheet name="Sheet24" sheetId="52" r:id="rId9"/>
    <sheet name="Sheet25" sheetId="53" r:id="rId10"/>
    <sheet name="Sheet26" sheetId="54" r:id="rId11"/>
    <sheet name="Sheet27" sheetId="55" r:id="rId12"/>
    <sheet name="Sheet28" sheetId="56" r:id="rId13"/>
    <sheet name="Sheet29" sheetId="57" r:id="rId14"/>
    <sheet name="GASHYUSHYA" sheetId="24" r:id="rId15"/>
    <sheet name="Sheet30" sheetId="58" r:id="rId16"/>
    <sheet name="Sheet31" sheetId="59" r:id="rId17"/>
    <sheet name="Sheet32" sheetId="60" r:id="rId18"/>
    <sheet name="Sheet33" sheetId="61" r:id="rId19"/>
    <sheet name="Sheet34" sheetId="62" r:id="rId20"/>
    <sheet name="Sheet35" sheetId="63" r:id="rId21"/>
    <sheet name="NGOMA" sheetId="28" r:id="rId22"/>
    <sheet name="GISAGARA" sheetId="27" r:id="rId23"/>
    <sheet name="NYAMAGABE" sheetId="26" r:id="rId24"/>
    <sheet name="NGORORERO" sheetId="25" r:id="rId25"/>
    <sheet name="GISOZI" sheetId="2" r:id="rId26"/>
    <sheet name="BISHENYI" sheetId="5" r:id="rId27"/>
    <sheet name="RWAMAGANA" sheetId="6" state="hidden" r:id="rId28"/>
    <sheet name="KIMIRONKO" sheetId="3" r:id="rId29"/>
    <sheet name="GAHANGA" sheetId="4" r:id="rId30"/>
    <sheet name="BUGESERA" sheetId="7" r:id="rId31"/>
    <sheet name="NYARUGENGE" sheetId="19" r:id="rId32"/>
    <sheet name="MUHANGA" sheetId="8" r:id="rId33"/>
    <sheet name="HUYE" sheetId="9" r:id="rId34"/>
    <sheet name="Sheet1" sheetId="29" r:id="rId35"/>
    <sheet name="Sheet2" sheetId="30" r:id="rId36"/>
    <sheet name="Sheet3" sheetId="31" r:id="rId37"/>
    <sheet name="Sheet4" sheetId="32" r:id="rId38"/>
    <sheet name="Sheet5" sheetId="33" r:id="rId39"/>
    <sheet name="Sheet6" sheetId="34" r:id="rId40"/>
    <sheet name="Sheet7" sheetId="35" r:id="rId41"/>
    <sheet name="Sheet8" sheetId="36" r:id="rId42"/>
    <sheet name="Sheet9" sheetId="37" r:id="rId43"/>
    <sheet name="Sheet10" sheetId="38" r:id="rId44"/>
    <sheet name="Sheet11" sheetId="39" r:id="rId45"/>
    <sheet name="Sheet12" sheetId="40" r:id="rId46"/>
    <sheet name="Sheet13" sheetId="41" r:id="rId47"/>
    <sheet name="Sheet14" sheetId="42" r:id="rId48"/>
    <sheet name="Sheet15" sheetId="43" r:id="rId49"/>
    <sheet name="Sheet16" sheetId="44" r:id="rId50"/>
    <sheet name="NYAMASHEKE" sheetId="11" r:id="rId51"/>
    <sheet name="KAYONZA" sheetId="15" r:id="rId52"/>
    <sheet name="RUHANGO" sheetId="22" r:id="rId53"/>
    <sheet name="KARONGI" sheetId="12" r:id="rId54"/>
    <sheet name="RUSIZI" sheetId="10" r:id="rId55"/>
    <sheet name="RUBAVU" sheetId="13" r:id="rId56"/>
    <sheet name="MUSANZE" sheetId="14" r:id="rId57"/>
    <sheet name="NYAGATARE" sheetId="16" r:id="rId58"/>
    <sheet name="KIREHE" sheetId="17" r:id="rId59"/>
    <sheet name="NYANZA" sheetId="18" r:id="rId60"/>
    <sheet name="GATSIBO" sheetId="23" r:id="rId61"/>
    <sheet name="ALL TIMBER SUMMARY" sheetId="21" r:id="rId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E62" i="25" s="1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G37" i="25" s="1"/>
  <c r="E6" i="25"/>
  <c r="E37" i="25" s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17" i="26" l="1"/>
  <c r="G37" i="26"/>
  <c r="H8" i="26"/>
  <c r="H11" i="9"/>
  <c r="H10" i="9"/>
  <c r="H8" i="9"/>
  <c r="H17" i="9"/>
  <c r="D5" i="21"/>
  <c r="F6" i="28"/>
  <c r="F6" i="27"/>
  <c r="H6" i="26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37" i="26" l="1"/>
  <c r="H6" i="28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<sst xmlns="http://schemas.openxmlformats.org/spreadsheetml/2006/main" count="2010" uniqueCount="93">
  <si>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</si>
  <si>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</si>
  <si>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</si>
  <si>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</si>
  <si>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</si>
  <si>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</si>
  <si>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</si>
  <si>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</si>
  <si>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</si>
  <si>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</si>
  <si>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</si>
  <si>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</si>
  <si>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</si>
  <si>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</si>
  <si>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</si>
  <si>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</si>
  <si>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</si>
  <si>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</si>
  <si>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</si>
  <si>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</si>
  <si>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</si>
  <si>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</si>
  <si>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</si>
  <si>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</si>
  <si>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</si>
  <si>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</si>
  <si>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</si>
  <si>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</si>
  <si>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</si>
  <si>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</si>
  <si>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</si>
  <si>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</si>
  <si>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</si>
  <si>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</si>
  <si>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</si>
  <si>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</si>
  <si>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</si>
  <si>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</si>
  <si>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</si>
  <si>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</si>
  <si>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</si>
  <si>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</si>
  <si>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</si>
  <si>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</si>
  <si>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</si>
  <si>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</si>
  <si>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</si>
  <si>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</si>
  <si>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</si>
  <si>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</si>
  <si>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</si>
  <si>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</si>
  <si>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</si>
  <si>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</si>
  <si>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</si>
  <si>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</si>
  <si>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</si>
  <si>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</si>
  <si>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</si>
  <si>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</si>
  <si>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</si>
  <si>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</si>
  <si>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</si>
  <si>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</si>
  <si>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</si>
  <si>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</si>
  <si>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</si>
  <si>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</si>
  <si>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</si>
  <si>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</si>
  <si>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</si>
  <si>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</si>
  <si>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</si>
  <si>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</si>
  <si>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</si>
  <si>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</si>
  <si>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</si>
  <si>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</si>
  <si>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</si>
  <si>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</si>
  <si>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</si>
  <si>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</si>
  <si>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</si>
  <si>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</si>
  <si>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</si>
  <si>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</si>
  <si>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</si>
  <si>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>MONTHS REPORT OF MARCH 2026</t>
  </si>
  <si>
    <t xml:space="preserve">PINUS </t>
  </si>
  <si>
    <t>IBIPANDE PINUS</t>
  </si>
  <si>
    <t>GEREVERIYA</t>
  </si>
  <si>
    <t>DECHETS</t>
  </si>
  <si>
    <t xml:space="preserve"> NYAMAGABE  MONTHS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</si>
</sst>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C10" sqref="C10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251206.77966101695</v>
      </c>
      <c r="C13" s="48">
        <f>HUYE!G37</f>
        <v>33000</v>
      </c>
      <c r="D13" s="48">
        <f>HUYE!C43</f>
        <v>0</v>
      </c>
      <c r="E13" s="48">
        <f>HUYE!C44</f>
        <v>0</v>
      </c>
      <c r="F13" s="50">
        <f t="shared" si="0"/>
        <v>284206.77966101695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12611437.779661017</v>
      </c>
      <c r="C29" s="70">
        <f t="shared" si="1"/>
        <v>1396010</v>
      </c>
      <c r="D29" s="71">
        <f t="shared" si="1"/>
        <v>50000</v>
      </c>
      <c r="E29" s="70">
        <f t="shared" si="1"/>
        <v>100000</v>
      </c>
      <c r="F29" s="70">
        <f>SUM(F5:F28)</f>
        <v>14007447.779661017</v>
      </c>
      <c r="G29" s="71">
        <f>SUM(G5:G28)</f>
        <v>0</v>
      </c>
      <c r="H29" s="71">
        <f>SUM(H5:H28)</f>
        <v>13723241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14007447.779661017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14007447.779661017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13723241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150000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13873241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13873241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C7" sqref="C7:D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5:H55"/>
    <mergeCell ref="C57:D57"/>
    <mergeCell ref="E57:H57"/>
    <mergeCell ref="C58:D58"/>
    <mergeCell ref="E58:H5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5:H55"/>
    <mergeCell ref="C57:D57"/>
    <mergeCell ref="E57:H57"/>
    <mergeCell ref="C58:D58"/>
    <mergeCell ref="E58:H5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9" workbookViewId="0">
      <selection activeCell="C39" sqref="C39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87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>
        <v>180</v>
      </c>
      <c r="C8" s="171">
        <v>8260</v>
      </c>
      <c r="D8" s="172"/>
      <c r="E8" s="12">
        <f t="shared" si="0"/>
        <v>1486800</v>
      </c>
      <c r="F8" s="12">
        <f t="shared" si="1"/>
        <v>226800</v>
      </c>
      <c r="G8" s="12">
        <f>PRODUCT(B8*50)</f>
        <v>9000</v>
      </c>
      <c r="H8" s="100">
        <f t="shared" si="2"/>
        <v>235800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>
        <v>2000</v>
      </c>
      <c r="C10" s="171">
        <v>2360</v>
      </c>
      <c r="D10" s="172"/>
      <c r="E10" s="12">
        <f t="shared" si="0"/>
        <v>4720000</v>
      </c>
      <c r="F10" s="12">
        <f t="shared" si="1"/>
        <v>720000</v>
      </c>
      <c r="G10" s="12">
        <f>PRODUCT(B10*30)</f>
        <v>60000</v>
      </c>
      <c r="H10" s="100">
        <f t="shared" si="2"/>
        <v>780000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91</v>
      </c>
      <c r="B17" s="26">
        <v>16</v>
      </c>
      <c r="C17" s="26">
        <v>10000</v>
      </c>
      <c r="D17" s="26">
        <v>1500</v>
      </c>
      <c r="E17" s="19">
        <f>PRODUCT(B17*C17)</f>
        <v>160000</v>
      </c>
      <c r="F17" s="16">
        <f t="shared" ref="F17:F36" si="3">PRODUCT(E17*18)/118</f>
        <v>24406.77966101695</v>
      </c>
      <c r="G17" s="94">
        <f>PRODUCT(B17*D17)</f>
        <v>24000</v>
      </c>
      <c r="H17" s="102">
        <f>SUM(F17:G17)</f>
        <v>48406.779661016946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6366800</v>
      </c>
      <c r="F37" s="24">
        <f>SUM(F5:F36)</f>
        <v>971206.779661017</v>
      </c>
      <c r="G37" s="24">
        <f t="shared" ref="G37:H37" si="10">SUM(G5:G36)</f>
        <v>93000</v>
      </c>
      <c r="H37" s="24">
        <f t="shared" si="10"/>
        <v>1064206.779661017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>
        <v>54207</v>
      </c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54207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2000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180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16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2196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5:H55"/>
    <mergeCell ref="C57:D57"/>
    <mergeCell ref="E57:H57"/>
    <mergeCell ref="C58:D58"/>
    <mergeCell ref="E58:H5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6" sqref="C6:D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5:H55"/>
    <mergeCell ref="C57:D57"/>
    <mergeCell ref="E57:H57"/>
    <mergeCell ref="C58:D58"/>
    <mergeCell ref="E58:H58"/>
    <mergeCell ref="C56:D56"/>
    <mergeCell ref="E56:H56"/>
    <mergeCell ref="A49:B63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6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8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s="89" customFormat="1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9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20.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3.15" customHeight="1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22" customHeight="1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22.5" customHeight="1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24.65" customHeight="1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22" customHeight="1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22" customHeight="1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22" customHeight="1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22" customHeight="1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4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3.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>
        <v>2124</v>
      </c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4.6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85</v>
      </c>
      <c r="B3" s="165"/>
      <c r="C3" s="165"/>
      <c r="D3" s="165"/>
      <c r="E3" s="165"/>
      <c r="F3" s="165"/>
      <c r="G3" s="165"/>
      <c r="H3" s="166"/>
      <c r="I3" s="226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171">
        <v>5900</v>
      </c>
      <c r="D8" s="172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171">
        <v>2124</v>
      </c>
      <c r="D10" s="172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171">
        <v>1357</v>
      </c>
      <c r="D13" s="172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>
        <v>13723241</v>
      </c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>
        <v>50000</v>
      </c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>
        <v>100000</v>
      </c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13873241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34693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620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1837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1952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130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39232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3.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6.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8" sqref="C18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4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92</v>
      </c>
      <c r="B3" s="165"/>
      <c r="C3" s="165"/>
      <c r="D3" s="165"/>
      <c r="E3" s="165"/>
      <c r="F3" s="165"/>
      <c r="G3" s="165"/>
      <c r="H3" s="166"/>
      <c r="I3" s="162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88</v>
      </c>
      <c r="B6" s="9"/>
      <c r="C6" s="169">
        <v>9440</v>
      </c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>
        <v>180</v>
      </c>
      <c r="C7" s="169">
        <v>8260</v>
      </c>
      <c r="D7" s="170"/>
      <c r="E7" s="10">
        <f t="shared" si="0"/>
        <v>1486800</v>
      </c>
      <c r="F7" s="10">
        <f t="shared" si="1"/>
        <v>226800</v>
      </c>
      <c r="G7" s="10">
        <f>PRODUCT(B7*50)</f>
        <v>9000</v>
      </c>
      <c r="H7" s="99">
        <f t="shared" si="2"/>
        <v>235800</v>
      </c>
      <c r="I7" s="162"/>
    </row>
    <row r="8" spans="1:9">
      <c r="A8" s="39" t="s">
        <v>89</v>
      </c>
      <c r="B8" s="11"/>
      <c r="C8" s="171">
        <v>2360</v>
      </c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>
        <v>4130</v>
      </c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>
        <v>2360</v>
      </c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>
        <v>4300</v>
      </c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90</v>
      </c>
      <c r="B13" s="11"/>
      <c r="C13" s="171">
        <v>1180</v>
      </c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91</v>
      </c>
      <c r="B17" s="26">
        <v>16</v>
      </c>
      <c r="C17" s="26">
        <v>10000</v>
      </c>
      <c r="D17" s="26">
        <v>1500</v>
      </c>
      <c r="E17" s="19">
        <f>PRODUCT(B17*C17)</f>
        <v>160000</v>
      </c>
      <c r="F17" s="16">
        <f t="shared" ref="F17:F36" si="3">PRODUCT(E17*18)/118</f>
        <v>24406.77966101695</v>
      </c>
      <c r="G17" s="94">
        <f>PRODUCT(B17*D17)</f>
        <v>24000</v>
      </c>
      <c r="H17" s="102">
        <f>SUM(F17:G17)</f>
        <v>48406.779661016946</v>
      </c>
      <c r="I17" s="162"/>
    </row>
    <row r="18" spans="1:9" ht="15" thickBot="1">
      <c r="A18" s="34" t="s">
        <v>91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1646800</v>
      </c>
      <c r="F37" s="24">
        <f>SUM(F5:F36)</f>
        <v>251206.77966101695</v>
      </c>
      <c r="G37" s="24">
        <f t="shared" ref="G37:H37" si="10">SUM(G5:G36)</f>
        <v>33000</v>
      </c>
      <c r="H37" s="24">
        <f t="shared" si="10"/>
        <v>284206.77966101695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180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16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196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3.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0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s="43" customFormat="1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1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5.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9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2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2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s="43" customFormat="1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34.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7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9.15" customHeight="1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5" customHeight="1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customHeight="1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customHeight="1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customHeight="1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customHeight="1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customHeight="1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customHeight="1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customHeight="1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customHeight="1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customHeight="1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customHeight="1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customHeight="1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customHeight="1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customHeight="1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1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4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C60:D60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E57:H57"/>
    <mergeCell ref="E58:H58"/>
    <mergeCell ref="E59:H59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0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0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4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.6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7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.6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E56:H56"/>
    <mergeCell ref="E53:H53"/>
    <mergeCell ref="C57:D57"/>
    <mergeCell ref="E57:H57"/>
    <mergeCell ref="C58:D58"/>
    <mergeCell ref="E58:H58"/>
    <mergeCell ref="E44:F44"/>
    <mergeCell ref="A45:B45"/>
    <mergeCell ref="C53:D53"/>
    <mergeCell ref="C54:D54"/>
    <mergeCell ref="C55:D55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49:H49"/>
    <mergeCell ref="E51:H51"/>
    <mergeCell ref="E52:H52"/>
    <mergeCell ref="C52:D52"/>
    <mergeCell ref="C56:D5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0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2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97" t="s">
        <v>57</v>
      </c>
      <c r="B1" s="198"/>
      <c r="C1" s="198"/>
      <c r="D1" s="198"/>
      <c r="E1" s="198"/>
      <c r="F1" s="198"/>
      <c r="G1" s="244"/>
    </row>
    <row r="2" spans="1:7" ht="15" thickBot="1">
      <c r="A2" s="199"/>
      <c r="B2" s="200"/>
      <c r="C2" s="200"/>
      <c r="D2" s="200"/>
      <c r="E2" s="200"/>
      <c r="F2" s="200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34693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800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1837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1968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.15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6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.15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39428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FINACHIAL REPORT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GASHYUSHYA</vt:lpstr>
      <vt:lpstr>Sheet30</vt:lpstr>
      <vt:lpstr>Sheet31</vt:lpstr>
      <vt:lpstr>Sheet32</vt:lpstr>
      <vt:lpstr>Sheet33</vt:lpstr>
      <vt:lpstr>Sheet34</vt:lpstr>
      <vt:lpstr>Sheet35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2026-04-07T21:35:40Z</dcterms:modified>
</cp:coreProperties>
</file>