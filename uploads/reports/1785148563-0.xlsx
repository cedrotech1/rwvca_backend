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<sst xmlns="http://schemas.openxmlformats.org/spreadsheetml/2006/main" count="66" uniqueCount="40">
  <si>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ICPCs Musanze</t>
  </si>
  <si>
    <t>Report from 01/04-30/06/2026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</si>
  <si>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</si>
  <si>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</si>
  <si>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</si>
  <si>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</si>
  <si>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</si>
  <si>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</si>
  <si>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</si>
  <si>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</si>
  <si>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</si>
  <si>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</si>
  <si>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</si>
  <si>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</si>
  <si>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</si>
  <si>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Gereveria</t>
  </si>
  <si>
    <t>MADIRIYE</t>
  </si>
  <si>
    <t xml:space="preserve">Other Timber for Difference Price </t>
  </si>
  <si>
    <t>P/U</t>
  </si>
  <si>
    <t>VAT</t>
  </si>
  <si>
    <t>VTA+MST</t>
  </si>
  <si>
    <t>MADIRIYE 2m</t>
  </si>
  <si>
    <t>Ibipande</t>
  </si>
  <si>
    <t>Planche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</si>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</sst>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" workbookViewId="0">
      <selection activeCell="A3" sqref="A3:H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815</v>
      </c>
      <c r="C6" s="21">
        <v>8850</v>
      </c>
      <c r="D6" s="22"/>
      <c r="E6" s="23">
        <f t="shared" ref="E6" si="0">PRODUCT(B6*C6)</f>
        <v>7212750</v>
      </c>
      <c r="F6" s="23">
        <f t="shared" ref="F6" si="1">PRODUCT(E6*18)/118</f>
        <v>1100250</v>
      </c>
      <c r="G6" s="23">
        <f>PRODUCT(B6*50)</f>
        <v>40750</v>
      </c>
      <c r="H6" s="24">
        <f t="shared" ref="H6" si="2">SUM(F6:G6)</f>
        <v>1141000</v>
      </c>
    </row>
    <row r="7" spans="1:8">
      <c r="A7" s="19" t="s">
        <v>10</v>
      </c>
      <c r="B7" s="20">
        <v>6000</v>
      </c>
      <c r="C7" s="21">
        <v>1300</v>
      </c>
      <c r="D7" s="22"/>
      <c r="E7" s="23">
        <f t="shared" ref="E7:E14" si="3">PRODUCT(B7*C7)</f>
        <v>7800000</v>
      </c>
      <c r="F7" s="23">
        <f t="shared" ref="F7:F40" si="4">PRODUCT(E7*18)/118</f>
        <v>1189830.50847458</v>
      </c>
      <c r="G7" s="23">
        <f>PRODUCT(B7*50)</f>
        <v>300000</v>
      </c>
      <c r="H7" s="24">
        <f t="shared" ref="H7:H14" si="5">SUM(F7:G7)</f>
        <v>1489830.50847458</v>
      </c>
    </row>
    <row r="8" spans="1:8">
      <c r="A8" s="25" t="s">
        <v>11</v>
      </c>
      <c r="B8" s="26">
        <v>6</v>
      </c>
      <c r="C8" s="27">
        <v>60000</v>
      </c>
      <c r="D8" s="28"/>
      <c r="E8" s="29">
        <f t="shared" si="3"/>
        <v>360000</v>
      </c>
      <c r="F8" s="29">
        <f t="shared" si="4"/>
        <v>54915.2542372881</v>
      </c>
      <c r="G8" s="29">
        <f>PRODUCT(B8*50)</f>
        <v>300</v>
      </c>
      <c r="H8" s="30">
        <f t="shared" si="5"/>
        <v>55215.2542372881</v>
      </c>
    </row>
    <row r="9" spans="1:8">
      <c r="A9" s="25" t="s">
        <v>12</v>
      </c>
      <c r="B9" s="26">
        <v>40</v>
      </c>
      <c r="C9" s="27">
        <v>4700</v>
      </c>
      <c r="D9" s="28"/>
      <c r="E9" s="29">
        <f t="shared" si="3"/>
        <v>188000</v>
      </c>
      <c r="F9" s="29">
        <f t="shared" si="4"/>
        <v>28677.9661016949</v>
      </c>
      <c r="G9" s="29">
        <f>PRODUCT(B9*30)</f>
        <v>1200</v>
      </c>
      <c r="H9" s="30">
        <f t="shared" si="5"/>
        <v>29877.9661016949</v>
      </c>
    </row>
    <row r="10" spans="1:8">
      <c r="A10" s="25" t="s">
        <v>13</v>
      </c>
      <c r="B10" s="26">
        <v>18130</v>
      </c>
      <c r="C10" s="27">
        <v>2124</v>
      </c>
      <c r="D10" s="28"/>
      <c r="E10" s="29">
        <f t="shared" si="3"/>
        <v>38508120</v>
      </c>
      <c r="F10" s="29">
        <f t="shared" si="4"/>
        <v>5874120</v>
      </c>
      <c r="G10" s="29">
        <f>PRODUCT(B10*30)</f>
        <v>543900</v>
      </c>
      <c r="H10" s="30">
        <f t="shared" si="5"/>
        <v>6418020</v>
      </c>
    </row>
    <row r="11" spans="1:8">
      <c r="A11" s="25" t="s">
        <v>14</v>
      </c>
      <c r="B11" s="26">
        <v>3090</v>
      </c>
      <c r="C11" s="27">
        <v>944</v>
      </c>
      <c r="D11" s="28"/>
      <c r="E11" s="29">
        <f t="shared" si="3"/>
        <v>2916960</v>
      </c>
      <c r="F11" s="29">
        <f t="shared" si="4"/>
        <v>444960</v>
      </c>
      <c r="G11" s="29">
        <f>PRODUCT(B11*20)</f>
        <v>61800</v>
      </c>
      <c r="H11" s="30">
        <f t="shared" si="5"/>
        <v>506760</v>
      </c>
    </row>
    <row r="12" spans="1:8">
      <c r="A12" s="25" t="s">
        <v>15</v>
      </c>
      <c r="B12" s="26">
        <v>3114</v>
      </c>
      <c r="C12" s="27">
        <v>1180</v>
      </c>
      <c r="D12" s="28"/>
      <c r="E12" s="29">
        <f t="shared" si="3"/>
        <v>3674520</v>
      </c>
      <c r="F12" s="29">
        <f t="shared" si="4"/>
        <v>560520</v>
      </c>
      <c r="G12" s="29">
        <f>PRODUCT(B12*20)</f>
        <v>62280</v>
      </c>
      <c r="H12" s="30">
        <f t="shared" si="5"/>
        <v>622800</v>
      </c>
    </row>
    <row r="13" spans="1:8">
      <c r="A13" s="25" t="s">
        <v>16</v>
      </c>
      <c r="B13" s="26">
        <v>20</v>
      </c>
      <c r="C13" s="27">
        <v>4500</v>
      </c>
      <c r="D13" s="28"/>
      <c r="E13" s="29">
        <f t="shared" si="3"/>
        <v>90000</v>
      </c>
      <c r="F13" s="29">
        <f t="shared" si="4"/>
        <v>13728.813559322</v>
      </c>
      <c r="G13" s="29">
        <f>PRODUCT(B13*30)</f>
        <v>600</v>
      </c>
      <c r="H13" s="30">
        <f t="shared" si="5"/>
        <v>14328.813559322</v>
      </c>
    </row>
    <row r="14" ht="15.25" spans="1:8">
      <c r="A14" s="31" t="s">
        <v>16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17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18</v>
      </c>
      <c r="D16" s="35" t="s">
        <v>7</v>
      </c>
      <c r="E16" s="36" t="s">
        <v>5</v>
      </c>
      <c r="F16" s="36" t="s">
        <v>19</v>
      </c>
      <c r="G16" s="36" t="s">
        <v>7</v>
      </c>
      <c r="H16" s="37" t="s">
        <v>20</v>
      </c>
    </row>
    <row r="17" spans="1:9">
      <c r="A17" s="38" t="s">
        <v>21</v>
      </c>
      <c r="B17" s="22">
        <v>230</v>
      </c>
      <c r="C17" s="39">
        <v>1180</v>
      </c>
      <c r="D17" s="39">
        <v>20</v>
      </c>
      <c r="E17" s="23">
        <f>PRODUCT(B17*C17)</f>
        <v>271400</v>
      </c>
      <c r="F17" s="23">
        <f t="shared" ref="F17:F22" si="6">PRODUCT(E17*18)/118</f>
        <v>41400</v>
      </c>
      <c r="G17" s="23">
        <f>PRODUCT(B17*D17)</f>
        <v>4600</v>
      </c>
      <c r="H17" s="24">
        <f>SUM(F17:G17)</f>
        <v>46000</v>
      </c>
    </row>
    <row r="18" spans="1:9">
      <c r="A18" s="40" t="s">
        <v>22</v>
      </c>
      <c r="B18" s="28">
        <v>1120</v>
      </c>
      <c r="C18" s="41">
        <v>2360</v>
      </c>
      <c r="D18" s="41">
        <v>25</v>
      </c>
      <c r="E18" s="29">
        <f t="shared" ref="E18:E23" si="7">PRODUCT(B18*C18)</f>
        <v>2643200</v>
      </c>
      <c r="F18" s="29">
        <f t="shared" si="6"/>
        <v>403200</v>
      </c>
      <c r="G18" s="29">
        <f t="shared" ref="G18:G23" si="8">PRODUCT(B18*D18)</f>
        <v>28000</v>
      </c>
      <c r="H18" s="30">
        <f t="shared" ref="H18:H23" si="9">SUM(F18:G18)</f>
        <v>431200</v>
      </c>
    </row>
    <row r="19" spans="1:9">
      <c r="A19" s="25" t="s">
        <v>22</v>
      </c>
      <c r="B19" s="26">
        <v>2510</v>
      </c>
      <c r="C19" s="42">
        <v>1770</v>
      </c>
      <c r="D19" s="42">
        <v>25</v>
      </c>
      <c r="E19" s="29">
        <f t="shared" si="7"/>
        <v>4442700</v>
      </c>
      <c r="F19" s="29">
        <f t="shared" si="6"/>
        <v>677700</v>
      </c>
      <c r="G19" s="29">
        <f t="shared" si="8"/>
        <v>62750</v>
      </c>
      <c r="H19" s="30">
        <f t="shared" si="9"/>
        <v>740450</v>
      </c>
    </row>
    <row r="20" spans="1:9">
      <c r="A20" s="25" t="s">
        <v>22</v>
      </c>
      <c r="B20" s="26">
        <v>2360</v>
      </c>
      <c r="C20" s="42">
        <v>1000</v>
      </c>
      <c r="D20" s="42">
        <v>25</v>
      </c>
      <c r="E20" s="29">
        <f t="shared" si="7"/>
        <v>2360000</v>
      </c>
      <c r="F20" s="29">
        <f t="shared" si="6"/>
        <v>360000</v>
      </c>
      <c r="G20" s="29">
        <f t="shared" si="8"/>
        <v>59000</v>
      </c>
      <c r="H20" s="30">
        <f t="shared" si="9"/>
        <v>419000</v>
      </c>
    </row>
    <row r="21" spans="1:9">
      <c r="A21" s="25" t="s">
        <v>22</v>
      </c>
      <c r="B21" s="26">
        <v>2360</v>
      </c>
      <c r="C21" s="42">
        <v>570</v>
      </c>
      <c r="D21" s="42">
        <v>25</v>
      </c>
      <c r="E21" s="29">
        <f t="shared" si="7"/>
        <v>1345200</v>
      </c>
      <c r="F21" s="29">
        <f t="shared" si="6"/>
        <v>205200</v>
      </c>
      <c r="G21" s="29">
        <f t="shared" si="8"/>
        <v>59000</v>
      </c>
      <c r="H21" s="30">
        <f t="shared" si="9"/>
        <v>264200</v>
      </c>
    </row>
    <row r="22" ht="15.25" spans="1:9">
      <c r="A22" s="43" t="s">
        <v>23</v>
      </c>
      <c r="B22" s="44">
        <v>10</v>
      </c>
      <c r="C22" s="45">
        <v>2500</v>
      </c>
      <c r="D22" s="45">
        <v>20</v>
      </c>
      <c r="E22" s="46">
        <f t="shared" si="7"/>
        <v>25000</v>
      </c>
      <c r="F22" s="46">
        <f t="shared" si="6"/>
        <v>3813.5593220339</v>
      </c>
      <c r="G22" s="46">
        <f t="shared" si="8"/>
        <v>200</v>
      </c>
      <c r="H22" s="47">
        <f t="shared" si="9"/>
        <v>4013.5593220339</v>
      </c>
    </row>
    <row r="23" spans="1:9">
      <c r="A23" s="38" t="s">
        <v>24</v>
      </c>
      <c r="B23" s="22">
        <v>1</v>
      </c>
      <c r="C23" s="39"/>
      <c r="D23" s="39">
        <v>16800</v>
      </c>
      <c r="E23" s="23">
        <f t="shared" si="7"/>
        <v>0</v>
      </c>
      <c r="F23" s="23">
        <f t="shared" ref="F23:F34" si="10">PRODUCT(E23*18)/118</f>
        <v>0</v>
      </c>
      <c r="G23" s="23">
        <f t="shared" si="8"/>
        <v>16800</v>
      </c>
      <c r="H23" s="24">
        <f t="shared" si="9"/>
        <v>16800</v>
      </c>
    </row>
    <row r="24" spans="1:9">
      <c r="A24" s="40" t="s">
        <v>24</v>
      </c>
      <c r="B24" s="28">
        <v>1</v>
      </c>
      <c r="C24" s="41"/>
      <c r="D24" s="41">
        <v>44466</v>
      </c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44466</v>
      </c>
      <c r="H24" s="30">
        <f t="shared" ref="H24:H29" si="13">SUM(F24:G24)</f>
        <v>44466</v>
      </c>
      <c r="I24" s="48"/>
    </row>
    <row r="25" spans="1:9">
      <c r="A25" s="25" t="s">
        <v>24</v>
      </c>
      <c r="B25" s="26">
        <v>1</v>
      </c>
      <c r="C25" s="42"/>
      <c r="D25" s="42">
        <v>14400</v>
      </c>
      <c r="E25" s="29">
        <f t="shared" si="11"/>
        <v>0</v>
      </c>
      <c r="F25" s="29">
        <f t="shared" si="10"/>
        <v>0</v>
      </c>
      <c r="G25" s="29">
        <f t="shared" si="12"/>
        <v>14400</v>
      </c>
      <c r="H25" s="30">
        <f t="shared" si="13"/>
        <v>14400</v>
      </c>
      <c r="I25" s="48"/>
    </row>
    <row r="26" spans="1:9">
      <c r="A26" s="25" t="s">
        <v>24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24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24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24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24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24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24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24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24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24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24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24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24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24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24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25</v>
      </c>
      <c r="B41" s="50"/>
      <c r="C41" s="51"/>
      <c r="D41" s="51"/>
      <c r="E41" s="52">
        <f>SUM(E6:E40)</f>
        <v>71837850</v>
      </c>
      <c r="F41" s="52">
        <f>SUM(F6:F40)</f>
        <v>10958316.1016949</v>
      </c>
      <c r="G41" s="52">
        <f>SUM(G6:G40)</f>
        <v>1300046</v>
      </c>
      <c r="H41" s="53">
        <f t="shared" si="19"/>
        <v>12258362.1016949</v>
      </c>
    </row>
    <row r="42" spans="1:8">
      <c r="A42" s="54" t="s">
        <v>26</v>
      </c>
      <c r="B42" s="55"/>
      <c r="C42" s="56">
        <v>8700743</v>
      </c>
      <c r="D42" s="57"/>
      <c r="E42" s="58" t="s">
        <v>27</v>
      </c>
      <c r="F42" s="58"/>
      <c r="G42" s="58"/>
      <c r="H42" s="58"/>
    </row>
    <row r="43" ht="15.25" spans="1:8">
      <c r="A43" s="54" t="s">
        <v>28</v>
      </c>
      <c r="B43" s="55"/>
      <c r="C43" s="59">
        <v>3557619</v>
      </c>
      <c r="D43" s="56" t="s">
        <v>29</v>
      </c>
      <c r="E43" s="60" t="s">
        <v>30</v>
      </c>
      <c r="F43" s="61"/>
      <c r="G43" s="56" t="s">
        <v>31</v>
      </c>
      <c r="H43" s="62" t="s">
        <v>32</v>
      </c>
    </row>
    <row r="44" ht="15.25" spans="1:8">
      <c r="A44" s="54" t="s">
        <v>33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34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35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36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37</v>
      </c>
      <c r="B48" s="76"/>
      <c r="C48" s="81">
        <f>SUM(C42:C47)</f>
        <v>12258362</v>
      </c>
      <c r="D48" s="82"/>
      <c r="E48" s="83"/>
      <c r="F48" s="84"/>
      <c r="G48" s="85"/>
      <c r="H48" s="86"/>
    </row>
    <row r="49" spans="2:2">
      <c r="B49" s="1" t="s">
        <v>38</v>
      </c>
    </row>
    <row r="50" spans="2:2">
      <c r="B50" s="1" t="s">
        <v>39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2026-07-27T10:30:14Z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B247F3DF94F2409F8F39793368DA5890_13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