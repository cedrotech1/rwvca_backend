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72E5EC6C-C77D-4DD7-887E-2B58911472A6}" xr6:coauthVersionLast="47" xr6:coauthVersionMax="47" xr10:uidLastSave="{00000000-0000-0000-0000-000000000000}"/>
  <bookViews>
    <workbookView xWindow="-110" yWindow="-110" windowWidth="19420" windowHeight="10300" tabRatio="965" firstSheet="15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<sst xmlns="http://schemas.openxmlformats.org/spreadsheetml/2006/main" count="1779" uniqueCount="85">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</sst>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7" t="s">
        <v>38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15"/>
      <c r="M1" s="115"/>
      <c r="N1" s="115"/>
    </row>
    <row r="2" spans="1:15" ht="31" customHeight="1">
      <c r="A2" s="199" t="s">
        <v>37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115"/>
      <c r="M2" s="115"/>
      <c r="N2" s="115"/>
    </row>
    <row r="3" spans="1:15" ht="15" customHeight="1" thickBot="1">
      <c r="A3" s="199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212448.81355932204</v>
      </c>
      <c r="C16" s="68">
        <f>KARONGI!G37</f>
        <v>14150</v>
      </c>
      <c r="D16" s="4"/>
      <c r="E16" s="3"/>
      <c r="F16" s="70">
        <f t="shared" si="0"/>
        <v>226598.81355932204</v>
      </c>
      <c r="G16" s="67">
        <f>KARONGI!C41</f>
        <v>0</v>
      </c>
      <c r="H16" s="68">
        <f>KARONGI!C39</f>
        <v>226599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7880070.8135593217</v>
      </c>
      <c r="C29" s="102">
        <f t="shared" si="1"/>
        <v>709850</v>
      </c>
      <c r="D29" s="103">
        <f t="shared" si="1"/>
        <v>0</v>
      </c>
      <c r="E29" s="102">
        <f t="shared" si="1"/>
        <v>0</v>
      </c>
      <c r="F29" s="102">
        <f>SUM(F5:F28)</f>
        <v>8589920.8135593217</v>
      </c>
      <c r="G29" s="103">
        <f>SUM(G5:G28)</f>
        <v>0</v>
      </c>
      <c r="H29" s="103">
        <f>SUM(H5:H28)</f>
        <v>8589921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6"/>
      <c r="B30" s="236"/>
      <c r="C30" s="236"/>
      <c r="D30" s="237"/>
      <c r="E30" s="227" t="s">
        <v>12</v>
      </c>
      <c r="F30" s="228"/>
      <c r="G30" s="228"/>
      <c r="H30" s="228"/>
      <c r="I30" s="229"/>
      <c r="J30" s="201"/>
      <c r="K30" s="202"/>
      <c r="L30" s="115"/>
    </row>
    <row r="31" spans="1:15" ht="19" thickBot="1">
      <c r="A31" s="224" t="s">
        <v>9</v>
      </c>
      <c r="B31" s="225"/>
      <c r="C31" s="225"/>
      <c r="D31" s="225"/>
      <c r="E31" s="230"/>
      <c r="F31" s="231"/>
      <c r="G31" s="231"/>
      <c r="H31" s="231"/>
      <c r="I31" s="232"/>
      <c r="J31" s="203"/>
      <c r="K31" s="204"/>
      <c r="L31" s="115"/>
    </row>
    <row r="32" spans="1:15" ht="15" thickBot="1">
      <c r="A32" s="220" t="s">
        <v>13</v>
      </c>
      <c r="B32" s="221"/>
      <c r="C32" s="238">
        <f>SUM(B29:C29)</f>
        <v>8589920.8135593217</v>
      </c>
      <c r="D32" s="239"/>
      <c r="E32" s="230"/>
      <c r="F32" s="231"/>
      <c r="G32" s="231"/>
      <c r="H32" s="231"/>
      <c r="I32" s="232"/>
      <c r="J32" s="203"/>
      <c r="K32" s="204"/>
      <c r="L32" s="115"/>
    </row>
    <row r="33" spans="1:12" ht="15" thickBot="1">
      <c r="A33" s="220" t="s">
        <v>14</v>
      </c>
      <c r="B33" s="221"/>
      <c r="C33" s="216">
        <f>SUM(F29,G29)</f>
        <v>8589920.8135593217</v>
      </c>
      <c r="D33" s="226"/>
      <c r="E33" s="230"/>
      <c r="F33" s="231"/>
      <c r="G33" s="231"/>
      <c r="H33" s="231"/>
      <c r="I33" s="232"/>
      <c r="J33" s="203"/>
      <c r="K33" s="204"/>
      <c r="L33" s="115"/>
    </row>
    <row r="34" spans="1:12" ht="15" thickBot="1">
      <c r="A34" s="218" t="s">
        <v>83</v>
      </c>
      <c r="B34" s="219"/>
      <c r="C34" s="216">
        <f>SUM(H29,J29,I29)</f>
        <v>8589921</v>
      </c>
      <c r="D34" s="217"/>
      <c r="E34" s="230"/>
      <c r="F34" s="231"/>
      <c r="G34" s="231"/>
      <c r="H34" s="231"/>
      <c r="I34" s="232"/>
      <c r="J34" s="203"/>
      <c r="K34" s="204"/>
      <c r="L34" s="115"/>
    </row>
    <row r="35" spans="1:12" ht="15" thickBot="1">
      <c r="A35" s="220" t="s">
        <v>11</v>
      </c>
      <c r="B35" s="221"/>
      <c r="C35" s="216">
        <f>SUM(D29:E29)</f>
        <v>0</v>
      </c>
      <c r="D35" s="217"/>
      <c r="E35" s="233"/>
      <c r="F35" s="234"/>
      <c r="G35" s="234"/>
      <c r="H35" s="234"/>
      <c r="I35" s="235"/>
      <c r="J35" s="203"/>
      <c r="K35" s="204"/>
      <c r="L35" s="115"/>
    </row>
    <row r="36" spans="1:12" ht="15" thickBot="1">
      <c r="A36" s="220" t="s">
        <v>10</v>
      </c>
      <c r="B36" s="221"/>
      <c r="C36" s="216">
        <f t="shared" ref="C36" si="2">SUM(C33,C35)</f>
        <v>8589920.8135593217</v>
      </c>
      <c r="D36" s="217"/>
      <c r="E36" s="207" t="s">
        <v>36</v>
      </c>
      <c r="F36" s="208"/>
      <c r="G36" s="208"/>
      <c r="H36" s="208"/>
      <c r="I36" s="209"/>
      <c r="J36" s="203"/>
      <c r="K36" s="204"/>
      <c r="L36" s="115"/>
    </row>
    <row r="37" spans="1:12" ht="15" thickBot="1">
      <c r="A37" s="222" t="s">
        <v>15</v>
      </c>
      <c r="B37" s="223"/>
      <c r="C37" s="216">
        <f>SUM(C34:C35)</f>
        <v>8589921</v>
      </c>
      <c r="D37" s="217"/>
      <c r="E37" s="210"/>
      <c r="F37" s="211"/>
      <c r="G37" s="211"/>
      <c r="H37" s="211"/>
      <c r="I37" s="212"/>
      <c r="J37" s="203"/>
      <c r="K37" s="204"/>
      <c r="L37" s="115"/>
    </row>
    <row r="38" spans="1:12" ht="26.5" thickBot="1">
      <c r="A38" s="213" t="s">
        <v>16</v>
      </c>
      <c r="B38" s="214"/>
      <c r="C38" s="214"/>
      <c r="D38" s="214"/>
      <c r="E38" s="214"/>
      <c r="F38" s="214"/>
      <c r="G38" s="214"/>
      <c r="H38" s="214"/>
      <c r="I38" s="215"/>
      <c r="J38" s="205"/>
      <c r="K38" s="206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3" workbookViewId="0">
      <selection activeCell="C39" sqref="C39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>
        <v>130</v>
      </c>
      <c r="C6" s="145">
        <v>7080</v>
      </c>
      <c r="D6" s="146"/>
      <c r="E6" s="13">
        <f t="shared" ref="E6:E14" si="0">PRODUCT(B6*C6)</f>
        <v>920400</v>
      </c>
      <c r="F6" s="13">
        <f t="shared" ref="F6:F14" si="1">PRODUCT(E6*18)/118</f>
        <v>140400</v>
      </c>
      <c r="G6" s="13">
        <f>PRODUCT(B6*50)</f>
        <v>6500</v>
      </c>
      <c r="H6" s="14">
        <f t="shared" ref="H6:H14" si="2">SUM(F6:G6)</f>
        <v>146900</v>
      </c>
    </row>
    <row r="7" spans="1:8">
      <c r="A7" s="42" t="s">
        <v>47</v>
      </c>
      <c r="B7" s="12">
        <v>45</v>
      </c>
      <c r="C7" s="145">
        <v>2000</v>
      </c>
      <c r="D7" s="146"/>
      <c r="E7" s="13">
        <f t="shared" si="0"/>
        <v>90000</v>
      </c>
      <c r="F7" s="13">
        <f t="shared" si="1"/>
        <v>13728.813559322034</v>
      </c>
      <c r="G7" s="13">
        <f>PRODUCT(B7*50)</f>
        <v>2250</v>
      </c>
      <c r="H7" s="14">
        <f t="shared" si="2"/>
        <v>15978.813559322034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180</v>
      </c>
      <c r="C10" s="129">
        <v>2124</v>
      </c>
      <c r="D10" s="130"/>
      <c r="E10" s="16">
        <f t="shared" si="0"/>
        <v>382320</v>
      </c>
      <c r="F10" s="16">
        <f t="shared" si="1"/>
        <v>58320</v>
      </c>
      <c r="G10" s="16">
        <f>PRODUCT(B10*30)</f>
        <v>5400</v>
      </c>
      <c r="H10" s="17">
        <f t="shared" si="2"/>
        <v>63720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1392720</v>
      </c>
      <c r="F37" s="32">
        <f>SUM(F5:F36)</f>
        <v>212448.81355932204</v>
      </c>
      <c r="G37" s="32">
        <f t="shared" ref="G37:H37" si="3">SUM(G5:G36)</f>
        <v>14150</v>
      </c>
      <c r="H37" s="32">
        <f t="shared" si="3"/>
        <v>226598.81355932204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226599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180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175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355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20432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425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24639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2026-04-30T19:39:32Z</dcterms:modified>
</cp:coreProperties>
</file>