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EDE87BAE-AD13-4510-8605-8811C141A2E2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F28" i="10"/>
  <c r="E28" i="10"/>
  <c r="G27" i="10"/>
  <c r="F27" i="10"/>
  <c r="H27" i="10" s="1"/>
  <c r="E27" i="10"/>
  <c r="H26" i="10"/>
  <c r="G26" i="10"/>
  <c r="F26" i="10"/>
  <c r="E26" i="10"/>
  <c r="G25" i="10"/>
  <c r="F25" i="10"/>
  <c r="H25" i="10" s="1"/>
  <c r="E25" i="10"/>
  <c r="H24" i="10"/>
  <c r="G24" i="10"/>
  <c r="F24" i="10"/>
  <c r="E24" i="10"/>
  <c r="G23" i="10"/>
  <c r="F23" i="10"/>
  <c r="H23" i="10" s="1"/>
  <c r="E23" i="10"/>
  <c r="H22" i="10"/>
  <c r="G22" i="10"/>
  <c r="F22" i="10"/>
  <c r="E22" i="10"/>
  <c r="G21" i="10"/>
  <c r="F21" i="10"/>
  <c r="H21" i="10" s="1"/>
  <c r="E21" i="10"/>
  <c r="H20" i="10"/>
  <c r="G20" i="10"/>
  <c r="F20" i="10"/>
  <c r="E20" i="10"/>
  <c r="G19" i="10"/>
  <c r="E19" i="10"/>
  <c r="F19" i="10" s="1"/>
  <c r="G18" i="10"/>
  <c r="E18" i="10"/>
  <c r="F18" i="10" s="1"/>
  <c r="G17" i="10"/>
  <c r="F17" i="10"/>
  <c r="E17" i="10"/>
  <c r="H14" i="10"/>
  <c r="G14" i="10"/>
  <c r="F14" i="10"/>
  <c r="E14" i="10"/>
  <c r="G13" i="10"/>
  <c r="E13" i="10"/>
  <c r="F13" i="10" s="1"/>
  <c r="H12" i="10"/>
  <c r="G12" i="10"/>
  <c r="F12" i="10"/>
  <c r="E12" i="10"/>
  <c r="G11" i="10"/>
  <c r="F11" i="10"/>
  <c r="H11" i="10" s="1"/>
  <c r="E11" i="10"/>
  <c r="G10" i="10"/>
  <c r="E10" i="10"/>
  <c r="F10" i="10" s="1"/>
  <c r="G9" i="10"/>
  <c r="F9" i="10"/>
  <c r="H9" i="10" s="1"/>
  <c r="E9" i="10"/>
  <c r="H8" i="10"/>
  <c r="G8" i="10"/>
  <c r="F8" i="10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I29" i="1" s="1"/>
  <c r="H5" i="1"/>
  <c r="G5" i="1"/>
  <c r="G29" i="1" s="1"/>
  <c r="H13" i="10" l="1"/>
  <c r="H7" i="10"/>
  <c r="H6" i="10"/>
  <c r="H18" i="10"/>
  <c r="H17" i="10"/>
  <c r="H19" i="10"/>
  <c r="H10" i="10"/>
  <c r="G29" i="10"/>
  <c r="C10" i="1" s="1"/>
  <c r="E54" i="10"/>
  <c r="E29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9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C29" i="1" l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H29" i="10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<sst xmlns="http://schemas.openxmlformats.org/spreadsheetml/2006/main" count="1779" uniqueCount="86">
  <si>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</si>
  <si>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</si>
  <si>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</si>
  <si>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</si>
  <si>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</si>
  <si>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</si>
  <si>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</si>
  <si>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</si>
  <si>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</si>
  <si>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</si>
  <si>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</si>
  <si>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</si>
  <si>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</si>
  <si>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</si>
  <si>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</si>
  <si>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</si>
  <si>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</si>
  <si>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</si>
  <si>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</si>
  <si>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</si>
  <si>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</si>
  <si>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</si>
  <si>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</si>
  <si>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</si>
  <si>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</si>
  <si>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</si>
  <si>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</si>
  <si>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</si>
  <si>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</si>
  <si>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</si>
  <si>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</si>
  <si>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</si>
  <si>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</si>
  <si>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</si>
  <si>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</si>
  <si>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</si>
  <si>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</si>
  <si>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</si>
  <si>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</si>
  <si>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</si>
  <si>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</si>
  <si>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</si>
  <si>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</si>
  <si>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</si>
  <si>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</si>
  <si>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</si>
  <si>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</si>
  <si>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</si>
  <si>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</si>
  <si>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</si>
  <si>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</si>
  <si>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</si>
  <si>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</si>
  <si>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</si>
  <si>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</si>
  <si>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</si>
  <si>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</si>
  <si>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</si>
  <si>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</si>
  <si>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</si>
  <si>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</si>
  <si>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</si>
  <si>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</si>
  <si>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</si>
  <si>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</si>
  <si>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</si>
  <si>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</si>
  <si>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</si>
  <si>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</si>
  <si>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</si>
  <si>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</si>
  <si>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</si>
  <si>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</si>
  <si>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</si>
  <si>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</si>
  <si>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</si>
  <si>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</si>
  <si>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</si>
  <si>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</si>
  <si>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</si>
  <si>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</si>
  <si>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</si>
  <si>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</si>
  <si>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</si>
  <si>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</si>
  <si>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11APRIL2026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</si>
</sst>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5" fillId="2" borderId="42" xfId="0" applyNumberFormat="1" applyFont="1" applyFill="1" applyBorder="1" applyAlignment="1">
      <alignment horizontal="center"/>
    </xf>
    <xf numFmtId="164" fontId="24" fillId="0" borderId="42" xfId="0" applyNumberFormat="1" applyFont="1" applyBorder="1" applyAlignment="1">
      <alignment horizontal="center"/>
    </xf>
    <xf numFmtId="0" fontId="20" fillId="2" borderId="42" xfId="0" applyFont="1" applyFill="1" applyBorder="1" applyAlignment="1">
      <alignment horizontal="left"/>
    </xf>
    <xf numFmtId="0" fontId="23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6" t="s">
        <v>0</v>
      </c>
      <c r="B1" s="147"/>
      <c r="C1" s="147"/>
      <c r="D1" s="147"/>
      <c r="E1" s="147"/>
      <c r="F1" s="147"/>
      <c r="G1" s="147"/>
      <c r="H1" s="147"/>
      <c r="I1" s="147"/>
      <c r="J1" s="147"/>
      <c r="K1" s="148"/>
      <c r="L1" s="1"/>
      <c r="M1" s="1"/>
      <c r="N1" s="1"/>
      <c r="O1" s="1"/>
    </row>
    <row r="2" spans="1:15" ht="30.75" customHeight="1">
      <c r="A2" s="149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50"/>
      <c r="L2" s="1"/>
      <c r="M2" s="1"/>
      <c r="N2" s="1"/>
      <c r="O2" s="1"/>
    </row>
    <row r="3" spans="1:15" ht="15" customHeight="1">
      <c r="A3" s="151"/>
      <c r="B3" s="152"/>
      <c r="C3" s="152"/>
      <c r="D3" s="152"/>
      <c r="E3" s="152"/>
      <c r="F3" s="152"/>
      <c r="G3" s="152"/>
      <c r="H3" s="152"/>
      <c r="I3" s="152"/>
      <c r="J3" s="152"/>
      <c r="K3" s="153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178524</v>
      </c>
      <c r="C10" s="18">
        <f>BUGESERA!G29</f>
        <v>16530</v>
      </c>
      <c r="D10" s="19"/>
      <c r="E10" s="18"/>
      <c r="F10" s="14">
        <f t="shared" si="0"/>
        <v>195054</v>
      </c>
      <c r="G10" s="17">
        <f>BUGESERA!C33</f>
        <v>0</v>
      </c>
      <c r="H10" s="18">
        <f>BUGESERA!C31</f>
        <v>195054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7846146</v>
      </c>
      <c r="C29" s="33">
        <f t="shared" si="1"/>
        <v>712230</v>
      </c>
      <c r="D29" s="34">
        <f t="shared" si="1"/>
        <v>0</v>
      </c>
      <c r="E29" s="33">
        <f t="shared" si="1"/>
        <v>0</v>
      </c>
      <c r="F29" s="33">
        <f t="shared" si="1"/>
        <v>8558376</v>
      </c>
      <c r="G29" s="34">
        <f t="shared" si="1"/>
        <v>0</v>
      </c>
      <c r="H29" s="34">
        <f t="shared" si="1"/>
        <v>8558376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2"/>
      <c r="B30" s="107"/>
      <c r="C30" s="107"/>
      <c r="D30" s="108"/>
      <c r="E30" s="158" t="s">
        <v>32</v>
      </c>
      <c r="F30" s="113"/>
      <c r="G30" s="113"/>
      <c r="H30" s="113"/>
      <c r="I30" s="114"/>
      <c r="J30" s="154"/>
      <c r="K30" s="114"/>
      <c r="L30" s="1"/>
      <c r="M30" s="1"/>
      <c r="N30" s="1"/>
      <c r="O30" s="1"/>
    </row>
    <row r="31" spans="1:15" ht="18" customHeight="1">
      <c r="A31" s="160" t="s">
        <v>33</v>
      </c>
      <c r="B31" s="107"/>
      <c r="C31" s="107"/>
      <c r="D31" s="161"/>
      <c r="E31" s="155"/>
      <c r="F31" s="122"/>
      <c r="G31" s="122"/>
      <c r="H31" s="122"/>
      <c r="I31" s="123"/>
      <c r="J31" s="155"/>
      <c r="K31" s="123"/>
      <c r="L31" s="1"/>
      <c r="M31" s="1"/>
      <c r="N31" s="1"/>
      <c r="O31" s="1"/>
    </row>
    <row r="32" spans="1:15" ht="18" customHeight="1">
      <c r="A32" s="144" t="s">
        <v>34</v>
      </c>
      <c r="B32" s="108"/>
      <c r="C32" s="159">
        <f>SUM(B29:C29)</f>
        <v>8558376</v>
      </c>
      <c r="D32" s="113"/>
      <c r="E32" s="155"/>
      <c r="F32" s="122"/>
      <c r="G32" s="122"/>
      <c r="H32" s="122"/>
      <c r="I32" s="123"/>
      <c r="J32" s="155"/>
      <c r="K32" s="123"/>
      <c r="L32" s="1"/>
      <c r="M32" s="1"/>
      <c r="N32" s="1"/>
      <c r="O32" s="1"/>
    </row>
    <row r="33" spans="1:15" ht="18" customHeight="1">
      <c r="A33" s="144" t="s">
        <v>35</v>
      </c>
      <c r="B33" s="108"/>
      <c r="C33" s="118">
        <f>SUM(F29,G29)</f>
        <v>8558376</v>
      </c>
      <c r="D33" s="107"/>
      <c r="E33" s="155"/>
      <c r="F33" s="122"/>
      <c r="G33" s="122"/>
      <c r="H33" s="122"/>
      <c r="I33" s="123"/>
      <c r="J33" s="155"/>
      <c r="K33" s="123"/>
      <c r="L33" s="1"/>
      <c r="M33" s="1"/>
      <c r="N33" s="1"/>
      <c r="O33" s="1"/>
    </row>
    <row r="34" spans="1:15" ht="18" customHeight="1">
      <c r="A34" s="144" t="s">
        <v>36</v>
      </c>
      <c r="B34" s="108"/>
      <c r="C34" s="118">
        <f>SUM(H29,J29,I29)</f>
        <v>8558376</v>
      </c>
      <c r="D34" s="108"/>
      <c r="E34" s="155"/>
      <c r="F34" s="122"/>
      <c r="G34" s="122"/>
      <c r="H34" s="122"/>
      <c r="I34" s="123"/>
      <c r="J34" s="155"/>
      <c r="K34" s="123"/>
      <c r="L34" s="1"/>
      <c r="M34" s="1"/>
      <c r="N34" s="1"/>
      <c r="O34" s="1"/>
    </row>
    <row r="35" spans="1:15" ht="18" customHeight="1">
      <c r="A35" s="144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5"/>
      <c r="K35" s="123"/>
      <c r="L35" s="1"/>
      <c r="M35" s="1"/>
      <c r="N35" s="1"/>
      <c r="O35" s="1"/>
    </row>
    <row r="36" spans="1:15" ht="18" customHeight="1">
      <c r="A36" s="144" t="s">
        <v>38</v>
      </c>
      <c r="B36" s="108"/>
      <c r="C36" s="118">
        <f>SUM(C33,C35)</f>
        <v>8558376</v>
      </c>
      <c r="D36" s="108"/>
      <c r="E36" s="156" t="s">
        <v>39</v>
      </c>
      <c r="F36" s="113"/>
      <c r="G36" s="113"/>
      <c r="H36" s="113"/>
      <c r="I36" s="114"/>
      <c r="J36" s="155"/>
      <c r="K36" s="123"/>
      <c r="L36" s="1"/>
      <c r="M36" s="1"/>
      <c r="N36" s="1"/>
      <c r="O36" s="1"/>
    </row>
    <row r="37" spans="1:15" ht="18" customHeight="1">
      <c r="A37" s="145" t="s">
        <v>40</v>
      </c>
      <c r="B37" s="117"/>
      <c r="C37" s="118">
        <f>SUM(C34:C35)</f>
        <v>8558376</v>
      </c>
      <c r="D37" s="108"/>
      <c r="E37" s="115"/>
      <c r="F37" s="116"/>
      <c r="G37" s="116"/>
      <c r="H37" s="116"/>
      <c r="I37" s="117"/>
      <c r="J37" s="155"/>
      <c r="K37" s="123"/>
      <c r="L37" s="1"/>
      <c r="M37" s="1"/>
      <c r="N37" s="1"/>
      <c r="O37" s="1"/>
    </row>
    <row r="38" spans="1:15" ht="18" customHeight="1">
      <c r="A38" s="157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3:B33"/>
    <mergeCell ref="C36:D36"/>
    <mergeCell ref="C37:D37"/>
    <mergeCell ref="A34:B34"/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"/>
  <sheetViews>
    <sheetView tabSelected="1" workbookViewId="0">
      <selection activeCell="B7" sqref="B7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551</v>
      </c>
      <c r="C10" s="129">
        <v>2124</v>
      </c>
      <c r="D10" s="130"/>
      <c r="E10" s="48">
        <f t="shared" si="0"/>
        <v>1170324</v>
      </c>
      <c r="F10" s="48">
        <f t="shared" si="1"/>
        <v>178524</v>
      </c>
      <c r="G10" s="48">
        <f t="shared" si="4"/>
        <v>16530</v>
      </c>
      <c r="H10" s="49">
        <f t="shared" si="3"/>
        <v>195054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9.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>
        <v>2006</v>
      </c>
      <c r="D17" s="56">
        <v>25</v>
      </c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84</v>
      </c>
      <c r="B18" s="60"/>
      <c r="C18" s="60">
        <v>3304</v>
      </c>
      <c r="D18" s="60">
        <v>40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>
        <v>2360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1170324</v>
      </c>
      <c r="F29" s="74">
        <f t="shared" si="10"/>
        <v>178524</v>
      </c>
      <c r="G29" s="75">
        <f t="shared" si="10"/>
        <v>16530</v>
      </c>
      <c r="H29" s="76">
        <f t="shared" si="9"/>
        <v>195054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103">
        <v>195054</v>
      </c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104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551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551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2" t="s">
        <v>79</v>
      </c>
      <c r="B4" s="107"/>
      <c r="C4" s="108"/>
      <c r="D4" s="180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20803</v>
      </c>
      <c r="E4" s="107"/>
      <c r="F4" s="107"/>
      <c r="G4" s="108"/>
    </row>
    <row r="5" spans="1:7" ht="36.75" customHeight="1">
      <c r="A5" s="182" t="s">
        <v>52</v>
      </c>
      <c r="B5" s="107"/>
      <c r="C5" s="108"/>
      <c r="D5" s="180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2" t="s">
        <v>56</v>
      </c>
      <c r="B6" s="107"/>
      <c r="C6" s="108"/>
      <c r="D6" s="180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107"/>
      <c r="F6" s="107"/>
      <c r="G6" s="108"/>
    </row>
    <row r="7" spans="1:7" ht="38.25" customHeight="1">
      <c r="A7" s="181" t="s">
        <v>61</v>
      </c>
      <c r="B7" s="107"/>
      <c r="C7" s="108"/>
      <c r="D7" s="180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1" t="s">
        <v>62</v>
      </c>
      <c r="B8" s="107"/>
      <c r="C8" s="108"/>
      <c r="D8" s="180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1" t="s">
        <v>81</v>
      </c>
      <c r="B9" s="107"/>
      <c r="C9" s="108"/>
      <c r="D9" s="180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1" t="s">
        <v>81</v>
      </c>
      <c r="B10" s="107"/>
      <c r="C10" s="108"/>
      <c r="D10" s="180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1" t="s">
        <v>81</v>
      </c>
      <c r="B11" s="107"/>
      <c r="C11" s="108"/>
      <c r="D11" s="180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1" t="s">
        <v>81</v>
      </c>
      <c r="B12" s="107"/>
      <c r="C12" s="108"/>
      <c r="D12" s="180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1" t="s">
        <v>81</v>
      </c>
      <c r="B13" s="107"/>
      <c r="C13" s="108"/>
      <c r="D13" s="180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1" t="s">
        <v>81</v>
      </c>
      <c r="B14" s="107"/>
      <c r="C14" s="108"/>
      <c r="D14" s="180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1" t="s">
        <v>81</v>
      </c>
      <c r="B15" s="107"/>
      <c r="C15" s="108"/>
      <c r="D15" s="180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1" t="s">
        <v>81</v>
      </c>
      <c r="B16" s="107"/>
      <c r="C16" s="108"/>
      <c r="D16" s="180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1" t="s">
        <v>82</v>
      </c>
      <c r="B17" s="107"/>
      <c r="C17" s="108"/>
      <c r="D17" s="179">
        <f>SUM(D4:D16)</f>
        <v>24835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2026-04-11T16:34:20Z</dcterms:modified>
</cp:coreProperties>
</file>