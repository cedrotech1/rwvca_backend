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G17" i="1"/>
  <c r="E17" i="1"/>
  <c r="F17" i="1" s="1"/>
  <c r="H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11" i="1" l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<sst xmlns="http://schemas.openxmlformats.org/spreadsheetml/2006/main" count="66" uniqueCount="36">
  <si>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</si>
  <si>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</si>
  <si>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</si>
  <si>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</si>
  <si>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</si>
  <si>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</si>
  <si>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</si>
  <si>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</si>
  <si>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</si>
  <si>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</si>
  <si>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</si>
  <si>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</si>
  <si>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</si>
  <si>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</si>
  <si>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</si>
  <si>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</si>
  <si>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</si>
  <si>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</si>
  <si>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</si>
  <si>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</si>
  <si>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</si>
  <si>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</si>
  <si>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</si>
  <si>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</si>
  <si>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</si>
  <si>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</si>
  <si>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</si>
  <si>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</si>
  <si>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</si>
  <si>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</si>
  <si>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</si>
  <si>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</si>
  <si>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</si>
  <si>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</si>
  <si>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</si>
  <si>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Daily report on 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</si>
</sst>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57" t="s">
        <v>34</v>
      </c>
      <c r="B1" s="58"/>
      <c r="C1" s="58"/>
      <c r="D1" s="58"/>
      <c r="E1" s="58"/>
      <c r="F1" s="58"/>
      <c r="G1" s="58"/>
      <c r="H1" s="59"/>
    </row>
    <row r="2" spans="1:8" ht="12.65" customHeight="1">
      <c r="A2" s="60"/>
      <c r="B2" s="61"/>
      <c r="C2" s="61"/>
      <c r="D2" s="61"/>
      <c r="E2" s="61"/>
      <c r="F2" s="61"/>
      <c r="G2" s="61"/>
      <c r="H2" s="62"/>
    </row>
    <row r="3" spans="1:8" ht="13.15" customHeight="1">
      <c r="A3" s="63" t="s">
        <v>35</v>
      </c>
      <c r="B3" s="64"/>
      <c r="C3" s="64"/>
      <c r="D3" s="64"/>
      <c r="E3" s="64"/>
      <c r="F3" s="64"/>
      <c r="G3" s="64"/>
      <c r="H3" s="65"/>
    </row>
    <row r="4" spans="1:8">
      <c r="A4" s="66"/>
      <c r="B4" s="67"/>
      <c r="C4" s="67"/>
      <c r="D4" s="67"/>
      <c r="E4" s="67"/>
      <c r="F4" s="67"/>
      <c r="G4" s="67"/>
      <c r="H4" s="68"/>
    </row>
    <row r="5" spans="1:8">
      <c r="A5" s="2" t="s">
        <v>0</v>
      </c>
      <c r="B5" s="2" t="s">
        <v>1</v>
      </c>
      <c r="C5" s="85" t="s">
        <v>2</v>
      </c>
      <c r="D5" s="86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87">
        <v>9440</v>
      </c>
      <c r="D6" s="88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87">
        <v>7670</v>
      </c>
      <c r="D7" s="88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3">
        <v>2000</v>
      </c>
      <c r="D8" s="84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3">
        <v>4130</v>
      </c>
      <c r="D9" s="84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350</v>
      </c>
      <c r="C10" s="83">
        <v>2124</v>
      </c>
      <c r="D10" s="84"/>
      <c r="E10" s="13">
        <f t="shared" si="3"/>
        <v>743400</v>
      </c>
      <c r="F10" s="13">
        <f t="shared" si="4"/>
        <v>113400</v>
      </c>
      <c r="G10" s="13">
        <f>PRODUCT(B10*30)</f>
        <v>10500</v>
      </c>
      <c r="H10" s="14">
        <f t="shared" si="5"/>
        <v>123900</v>
      </c>
    </row>
    <row r="11" spans="1:8">
      <c r="A11" s="10" t="s">
        <v>12</v>
      </c>
      <c r="B11" s="11">
        <v>150</v>
      </c>
      <c r="C11" s="83">
        <v>1180</v>
      </c>
      <c r="D11" s="84"/>
      <c r="E11" s="13">
        <f t="shared" si="3"/>
        <v>177000</v>
      </c>
      <c r="F11" s="13">
        <f t="shared" si="4"/>
        <v>27000</v>
      </c>
      <c r="G11" s="13">
        <f>PRODUCT(B11*20)</f>
        <v>3000</v>
      </c>
      <c r="H11" s="14">
        <f t="shared" si="5"/>
        <v>30000</v>
      </c>
    </row>
    <row r="12" spans="1:8">
      <c r="A12" s="10" t="s">
        <v>12</v>
      </c>
      <c r="B12" s="11">
        <v>150</v>
      </c>
      <c r="C12" s="83">
        <v>944</v>
      </c>
      <c r="D12" s="84"/>
      <c r="E12" s="13">
        <f t="shared" si="3"/>
        <v>141600</v>
      </c>
      <c r="F12" s="13">
        <f t="shared" si="4"/>
        <v>21600</v>
      </c>
      <c r="G12" s="13">
        <f>PRODUCT(B12*20)</f>
        <v>3000</v>
      </c>
      <c r="H12" s="14">
        <f t="shared" si="5"/>
        <v>24600</v>
      </c>
    </row>
    <row r="13" spans="1:8">
      <c r="A13" s="10" t="s">
        <v>13</v>
      </c>
      <c r="B13" s="11"/>
      <c r="C13" s="83">
        <v>2124</v>
      </c>
      <c r="D13" s="84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83">
        <v>2124</v>
      </c>
      <c r="D14" s="84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77" t="s">
        <v>14</v>
      </c>
      <c r="B15" s="78"/>
      <c r="C15" s="78"/>
      <c r="D15" s="78"/>
      <c r="E15" s="78"/>
      <c r="F15" s="78"/>
      <c r="G15" s="78"/>
      <c r="H15" s="7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1062000</v>
      </c>
      <c r="F41" s="32">
        <f>SUM(F6:F40)</f>
        <v>162000</v>
      </c>
      <c r="G41" s="32">
        <f>SUM(G6:G40)</f>
        <v>16500</v>
      </c>
      <c r="H41" s="33">
        <f t="shared" si="19"/>
        <v>178500</v>
      </c>
    </row>
    <row r="42" spans="1:8">
      <c r="A42" s="69" t="s">
        <v>20</v>
      </c>
      <c r="B42" s="70"/>
      <c r="C42" s="34">
        <v>78100</v>
      </c>
      <c r="D42" s="35"/>
      <c r="E42" s="80" t="s">
        <v>21</v>
      </c>
      <c r="F42" s="80"/>
      <c r="G42" s="80"/>
      <c r="H42" s="80"/>
    </row>
    <row r="43" spans="1:8">
      <c r="A43" s="69" t="s">
        <v>22</v>
      </c>
      <c r="B43" s="70"/>
      <c r="C43" s="36">
        <v>100400</v>
      </c>
      <c r="D43" s="34" t="s">
        <v>23</v>
      </c>
      <c r="E43" s="81" t="s">
        <v>24</v>
      </c>
      <c r="F43" s="82"/>
      <c r="G43" s="34" t="s">
        <v>25</v>
      </c>
      <c r="H43" s="37" t="s">
        <v>26</v>
      </c>
    </row>
    <row r="44" spans="1:8">
      <c r="A44" s="69" t="s">
        <v>27</v>
      </c>
      <c r="B44" s="70"/>
      <c r="C44" s="38"/>
      <c r="D44" s="39"/>
      <c r="E44" s="71"/>
      <c r="F44" s="72"/>
      <c r="G44" s="40"/>
      <c r="H44" s="41"/>
    </row>
    <row r="45" spans="1:8">
      <c r="A45" s="73" t="s">
        <v>28</v>
      </c>
      <c r="B45" s="74"/>
      <c r="C45" s="42"/>
      <c r="D45" s="34"/>
      <c r="E45" s="75"/>
      <c r="F45" s="76"/>
      <c r="G45" s="11"/>
      <c r="H45" s="43"/>
    </row>
    <row r="46" spans="1:8">
      <c r="A46" s="51" t="s">
        <v>29</v>
      </c>
      <c r="B46" s="52"/>
      <c r="C46" s="44"/>
      <c r="D46" s="37"/>
      <c r="E46" s="53"/>
      <c r="F46" s="54"/>
      <c r="G46" s="11"/>
      <c r="H46" s="43"/>
    </row>
    <row r="47" spans="1:8">
      <c r="A47" s="51" t="s">
        <v>30</v>
      </c>
      <c r="B47" s="52"/>
      <c r="C47" s="44"/>
      <c r="D47" s="45"/>
      <c r="E47" s="53"/>
      <c r="F47" s="54"/>
      <c r="G47" s="11"/>
      <c r="H47" s="43"/>
    </row>
    <row r="48" spans="1:8">
      <c r="A48" s="51" t="s">
        <v>31</v>
      </c>
      <c r="B48" s="52"/>
      <c r="C48" s="46">
        <f>SUM(C42:C47)</f>
        <v>178500</v>
      </c>
      <c r="D48" s="47"/>
      <c r="E48" s="55"/>
      <c r="F48" s="5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2026-03-28T12:10:05Z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