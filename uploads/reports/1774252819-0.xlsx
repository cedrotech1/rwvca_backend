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062222A-72D8-4E55-B4F2-99D28F954EEF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<sst xmlns="http://schemas.openxmlformats.org/spreadsheetml/2006/main" count="1530" uniqueCount="88">
  <si>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</si>
  <si>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</si>
  <si>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</si>
  <si>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</si>
  <si>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</si>
  <si>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</si>
  <si>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</si>
  <si>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</si>
  <si>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</si>
  <si>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</si>
  <si>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</si>
  <si>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</si>
  <si>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</si>
  <si>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</si>
  <si>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</si>
  <si>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</si>
  <si>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</si>
  <si>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</si>
  <si>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</si>
  <si>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</si>
  <si>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</si>
  <si>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</si>
  <si>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</si>
  <si>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</si>
  <si>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</si>
  <si>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</si>
  <si>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</si>
  <si>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</si>
  <si>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</si>
  <si>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</si>
  <si>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</si>
  <si>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</si>
  <si>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</si>
  <si>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</si>
  <si>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</si>
  <si>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</si>
  <si>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</si>
  <si>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</si>
  <si>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</si>
  <si>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</si>
  <si>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</si>
  <si>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</si>
  <si>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</si>
  <si>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</si>
  <si>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</si>
  <si>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</si>
  <si>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</si>
  <si>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</si>
  <si>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</si>
  <si>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</si>
  <si>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</si>
  <si>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</si>
  <si>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</si>
  <si>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</si>
  <si>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</si>
  <si>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</si>
  <si>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</si>
  <si>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</si>
  <si>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</si>
  <si>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</si>
  <si>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</si>
  <si>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</si>
  <si>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</si>
  <si>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</si>
  <si>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</si>
  <si>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</si>
  <si>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</si>
  <si>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</si>
  <si>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</si>
  <si>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</si>
  <si>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</si>
  <si>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</si>
  <si>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</si>
  <si>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</si>
  <si>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</si>
  <si>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</si>
  <si>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</si>
  <si>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</si>
  <si>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</si>
  <si>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</si>
  <si>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</si>
  <si>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</si>
  <si>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</si>
  <si>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</si>
  <si>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</si>
  <si>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</si>
  <si>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</si>
  <si>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WEEKLY REPORT FROM  16/03/2026  -  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</si>
</sst>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96" t="s">
        <v>38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1"/>
      <c r="M1" s="11"/>
      <c r="N1" s="11"/>
    </row>
    <row r="2" spans="1:15" ht="31" customHeight="1">
      <c r="A2" s="198" t="s">
        <v>37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1"/>
      <c r="M2" s="11"/>
      <c r="N2" s="11"/>
    </row>
    <row r="3" spans="1:15" ht="15" customHeight="1" thickBot="1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416806.77966101695</v>
      </c>
      <c r="C16" s="66">
        <f>KARONGI!G29</f>
        <v>74168</v>
      </c>
      <c r="D16" s="4"/>
      <c r="E16" s="3"/>
      <c r="F16" s="68">
        <f t="shared" si="0"/>
        <v>490974.77966101695</v>
      </c>
      <c r="G16" s="65">
        <f>KARONGI!C33</f>
        <v>0</v>
      </c>
      <c r="H16" s="66">
        <f>KARONGI!C31</f>
        <v>490975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416806.77966101695</v>
      </c>
      <c r="C29" s="99">
        <f t="shared" si="1"/>
        <v>74168</v>
      </c>
      <c r="D29" s="100">
        <f t="shared" si="1"/>
        <v>0</v>
      </c>
      <c r="E29" s="99">
        <f t="shared" si="1"/>
        <v>0</v>
      </c>
      <c r="F29" s="99">
        <f>SUM(F5:F28)</f>
        <v>490974.77966101695</v>
      </c>
      <c r="G29" s="100">
        <f>SUM(G5:G28)</f>
        <v>0</v>
      </c>
      <c r="H29" s="100">
        <f>SUM(H5:H28)</f>
        <v>490975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35"/>
      <c r="B30" s="235"/>
      <c r="C30" s="235"/>
      <c r="D30" s="236"/>
      <c r="E30" s="226" t="s">
        <v>12</v>
      </c>
      <c r="F30" s="227"/>
      <c r="G30" s="227"/>
      <c r="H30" s="227"/>
      <c r="I30" s="228"/>
      <c r="J30" s="200"/>
      <c r="K30" s="201"/>
      <c r="L30" s="11"/>
    </row>
    <row r="31" spans="1:15" ht="19" thickBot="1">
      <c r="A31" s="223" t="s">
        <v>9</v>
      </c>
      <c r="B31" s="224"/>
      <c r="C31" s="224"/>
      <c r="D31" s="224"/>
      <c r="E31" s="229"/>
      <c r="F31" s="230"/>
      <c r="G31" s="230"/>
      <c r="H31" s="230"/>
      <c r="I31" s="231"/>
      <c r="J31" s="202"/>
      <c r="K31" s="203"/>
      <c r="L31" s="11"/>
    </row>
    <row r="32" spans="1:15" ht="15" thickBot="1">
      <c r="A32" s="219" t="s">
        <v>13</v>
      </c>
      <c r="B32" s="220"/>
      <c r="C32" s="237">
        <f>F29</f>
        <v>490974.77966101695</v>
      </c>
      <c r="D32" s="238"/>
      <c r="E32" s="229"/>
      <c r="F32" s="230"/>
      <c r="G32" s="230"/>
      <c r="H32" s="230"/>
      <c r="I32" s="231"/>
      <c r="J32" s="202"/>
      <c r="K32" s="203"/>
      <c r="L32" s="11"/>
    </row>
    <row r="33" spans="1:12" ht="15" thickBot="1">
      <c r="A33" s="219" t="s">
        <v>14</v>
      </c>
      <c r="B33" s="220"/>
      <c r="C33" s="215">
        <f>SUM(F29,G29)</f>
        <v>490974.77966101695</v>
      </c>
      <c r="D33" s="225"/>
      <c r="E33" s="229"/>
      <c r="F33" s="230"/>
      <c r="G33" s="230"/>
      <c r="H33" s="230"/>
      <c r="I33" s="231"/>
      <c r="J33" s="202"/>
      <c r="K33" s="203"/>
      <c r="L33" s="11"/>
    </row>
    <row r="34" spans="1:12" ht="15" thickBot="1">
      <c r="A34" s="217" t="s">
        <v>81</v>
      </c>
      <c r="B34" s="218"/>
      <c r="C34" s="215">
        <f>SUM(H29+I29+J29)</f>
        <v>490975</v>
      </c>
      <c r="D34" s="216"/>
      <c r="E34" s="229"/>
      <c r="F34" s="230"/>
      <c r="G34" s="230"/>
      <c r="H34" s="230"/>
      <c r="I34" s="231"/>
      <c r="J34" s="202"/>
      <c r="K34" s="203"/>
      <c r="L34" s="11"/>
    </row>
    <row r="35" spans="1:12" ht="15" thickBot="1">
      <c r="A35" s="219" t="s">
        <v>11</v>
      </c>
      <c r="B35" s="220"/>
      <c r="C35" s="215">
        <f>SUM(D29:E29)</f>
        <v>0</v>
      </c>
      <c r="D35" s="216"/>
      <c r="E35" s="232"/>
      <c r="F35" s="233"/>
      <c r="G35" s="233"/>
      <c r="H35" s="233"/>
      <c r="I35" s="234"/>
      <c r="J35" s="202"/>
      <c r="K35" s="203"/>
      <c r="L35" s="11"/>
    </row>
    <row r="36" spans="1:12" ht="15" thickBot="1">
      <c r="A36" s="219" t="s">
        <v>10</v>
      </c>
      <c r="B36" s="220"/>
      <c r="C36" s="215">
        <f t="shared" ref="C36" si="2">SUM(C33,C35)</f>
        <v>490974.77966101695</v>
      </c>
      <c r="D36" s="216"/>
      <c r="E36" s="206" t="s">
        <v>36</v>
      </c>
      <c r="F36" s="207"/>
      <c r="G36" s="207"/>
      <c r="H36" s="207"/>
      <c r="I36" s="208"/>
      <c r="J36" s="202"/>
      <c r="K36" s="203"/>
      <c r="L36" s="11"/>
    </row>
    <row r="37" spans="1:12" ht="15" thickBot="1">
      <c r="A37" s="221" t="s">
        <v>15</v>
      </c>
      <c r="B37" s="222"/>
      <c r="C37" s="215">
        <f>SUM(C34:D35)</f>
        <v>490975</v>
      </c>
      <c r="D37" s="216"/>
      <c r="E37" s="209"/>
      <c r="F37" s="210"/>
      <c r="G37" s="210"/>
      <c r="H37" s="210"/>
      <c r="I37" s="211"/>
      <c r="J37" s="202"/>
      <c r="K37" s="203"/>
      <c r="L37" s="11"/>
    </row>
    <row r="38" spans="1:12" ht="26.5" thickBot="1">
      <c r="A38" s="212" t="s">
        <v>16</v>
      </c>
      <c r="B38" s="213"/>
      <c r="C38" s="213"/>
      <c r="D38" s="213"/>
      <c r="E38" s="213"/>
      <c r="F38" s="213"/>
      <c r="G38" s="213"/>
      <c r="H38" s="213"/>
      <c r="I38" s="214"/>
      <c r="J38" s="204"/>
      <c r="K38" s="205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32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>
        <v>300</v>
      </c>
      <c r="C7" s="137">
        <v>2500</v>
      </c>
      <c r="D7" s="138"/>
      <c r="E7" s="17">
        <f t="shared" si="0"/>
        <v>750000</v>
      </c>
      <c r="F7" s="17">
        <f t="shared" si="1"/>
        <v>114406.77966101695</v>
      </c>
      <c r="G7" s="17">
        <f>PRODUCT(B7*50)</f>
        <v>15000</v>
      </c>
      <c r="H7" s="18">
        <f t="shared" si="2"/>
        <v>129406.77966101695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820</v>
      </c>
      <c r="C10" s="121">
        <v>2124</v>
      </c>
      <c r="D10" s="122"/>
      <c r="E10" s="20">
        <f t="shared" si="0"/>
        <v>1741680</v>
      </c>
      <c r="F10" s="20">
        <f t="shared" si="1"/>
        <v>265680</v>
      </c>
      <c r="G10" s="20">
        <f>PRODUCT(B10*30)</f>
        <v>24600</v>
      </c>
      <c r="H10" s="21">
        <f t="shared" si="2"/>
        <v>290280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170</v>
      </c>
      <c r="C17" s="39">
        <v>1416</v>
      </c>
      <c r="D17" s="39">
        <v>50</v>
      </c>
      <c r="E17" s="30">
        <f>PRODUCT(B17*C17)</f>
        <v>240720</v>
      </c>
      <c r="F17" s="27">
        <f t="shared" ref="F17:F22" si="3">PRODUCT(E17*18)/118</f>
        <v>36720</v>
      </c>
      <c r="G17" s="27">
        <f>PRODUCT(B17*D17)</f>
        <v>8500</v>
      </c>
      <c r="H17" s="27">
        <f>SUM(F17:G17)</f>
        <v>45220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98</v>
      </c>
      <c r="C21" s="22"/>
      <c r="D21" s="22">
        <v>266</v>
      </c>
      <c r="E21" s="31">
        <f t="shared" si="4"/>
        <v>0</v>
      </c>
      <c r="F21" s="28">
        <f t="shared" si="3"/>
        <v>0</v>
      </c>
      <c r="G21" s="28">
        <f t="shared" si="5"/>
        <v>26068</v>
      </c>
      <c r="H21" s="28">
        <f t="shared" si="6"/>
        <v>26068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2732400</v>
      </c>
      <c r="F29" s="37">
        <f>SUM(F6:F28)</f>
        <v>416806.77966101695</v>
      </c>
      <c r="G29" s="32">
        <f>SUM(G6:G28)</f>
        <v>74168</v>
      </c>
      <c r="H29" s="26">
        <f>SUM(F29:G29)</f>
        <v>490974.77966101695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490975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490975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820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300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170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98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1388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820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300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170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98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1388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2026-03-23T07:43:20Z</dcterms:modified>
</cp:coreProperties>
</file>