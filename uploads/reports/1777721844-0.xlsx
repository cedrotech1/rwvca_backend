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Password="EA6E" lockStructure="1"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<sst xmlns="http://schemas.openxmlformats.org/spreadsheetml/2006/main" count="66" uniqueCount="36">
  <si>
    <t>ICPCs Musanze</t>
  </si>
  <si>
    <t>Daily repoet of 01/05/2026</t>
  </si>
  <si>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</si>
  <si>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</si>
  <si>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</si>
  <si>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</si>
  <si>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</si>
  <si>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</si>
  <si>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</si>
  <si>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</si>
  <si>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</si>
  <si>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</si>
  <si>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</si>
  <si>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</si>
  <si>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</si>
  <si>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MADIRIYE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</si>
  <si>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</si>
  <si>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</si>
  <si>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</si>
  <si>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</si>
  <si>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</si>
  <si>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</si>
  <si>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</si>
  <si>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</si>
  <si>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</si>
  <si>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</si>
  <si>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</si>
  <si>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</si>
  <si>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</si>
  <si>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</si>
  <si>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</si>
  <si>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</si>
  <si>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</si>
  <si>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</si>
  <si>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</si>
  <si>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Michelline Niyonzima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</si>
</sst>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2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>
      <protection locked="0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4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2" applyNumberFormat="0" applyFill="0" applyAlignment="0" applyProtection="0">
      <alignment vertical="center"/>
    </xf>
    <xf numFmtId="0" fontId="13" fillId="0" borderId="42" applyNumberFormat="0" applyFill="0" applyAlignment="0" applyProtection="0">
      <alignment vertical="center"/>
    </xf>
    <xf numFmtId="0" fontId="14" fillId="0" borderId="4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4" applyNumberFormat="0" applyAlignment="0" applyProtection="0">
      <alignment vertical="center"/>
    </xf>
    <xf numFmtId="0" fontId="16" fillId="5" borderId="45" applyNumberFormat="0" applyAlignment="0" applyProtection="0">
      <alignment vertical="center"/>
    </xf>
    <xf numFmtId="0" fontId="17" fillId="5" borderId="44" applyNumberFormat="0" applyAlignment="0" applyProtection="0">
      <alignment vertical="center"/>
    </xf>
    <xf numFmtId="0" fontId="18" fillId="6" borderId="46" applyNumberFormat="0" applyAlignment="0" applyProtection="0">
      <alignment vertical="center"/>
    </xf>
    <xf numFmtId="0" fontId="19" fillId="0" borderId="47" applyNumberFormat="0" applyFill="0" applyAlignment="0" applyProtection="0">
      <alignment vertical="center"/>
    </xf>
    <xf numFmtId="0" fontId="20" fillId="0" borderId="4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77" fontId="2" fillId="0" borderId="1" xfId="1" applyNumberFormat="1" applyFont="1" applyBorder="1" applyAlignment="1">
      <alignment horizontal="center"/>
      <protection locked="0"/>
    </xf>
    <xf numFmtId="177" fontId="2" fillId="0" borderId="2" xfId="1" applyNumberFormat="1" applyFont="1" applyBorder="1" applyAlignment="1">
      <alignment horizontal="center"/>
      <protection locked="0"/>
    </xf>
    <xf numFmtId="177" fontId="2" fillId="0" borderId="3" xfId="1" applyNumberFormat="1" applyFont="1" applyBorder="1" applyAlignment="1">
      <alignment horizontal="center"/>
      <protection locked="0"/>
    </xf>
    <xf numFmtId="177" fontId="2" fillId="0" borderId="4" xfId="1" applyNumberFormat="1" applyFont="1" applyBorder="1" applyAlignment="1">
      <alignment horizontal="center"/>
      <protection locked="0"/>
    </xf>
    <xf numFmtId="177" fontId="2" fillId="0" borderId="5" xfId="1" applyNumberFormat="1" applyFont="1" applyBorder="1" applyAlignment="1">
      <alignment horizontal="center"/>
      <protection locked="0"/>
    </xf>
    <xf numFmtId="177" fontId="2" fillId="0" borderId="6" xfId="1" applyNumberFormat="1" applyFont="1" applyBorder="1" applyAlignment="1">
      <alignment horizontal="center"/>
      <protection locked="0"/>
    </xf>
    <xf numFmtId="177" fontId="3" fillId="0" borderId="7" xfId="1" applyNumberFormat="1" applyFont="1" applyBorder="1" applyAlignment="1">
      <alignment horizontal="center"/>
      <protection locked="0"/>
    </xf>
    <xf numFmtId="177" fontId="3" fillId="0" borderId="0" xfId="1" applyNumberFormat="1" applyFont="1" applyAlignment="1">
      <alignment horizontal="center"/>
      <protection locked="0"/>
    </xf>
    <xf numFmtId="177" fontId="3" fillId="0" borderId="8" xfId="1" applyNumberFormat="1" applyFont="1" applyBorder="1" applyAlignment="1">
      <alignment horizontal="center"/>
      <protection locked="0"/>
    </xf>
    <xf numFmtId="177" fontId="3" fillId="0" borderId="4" xfId="1" applyNumberFormat="1" applyFont="1" applyBorder="1" applyAlignment="1">
      <alignment horizontal="center"/>
      <protection locked="0"/>
    </xf>
    <xf numFmtId="177" fontId="3" fillId="0" borderId="5" xfId="1" applyNumberFormat="1" applyFont="1" applyBorder="1" applyAlignment="1">
      <alignment horizontal="center"/>
      <protection locked="0"/>
    </xf>
    <xf numFmtId="177" fontId="3" fillId="0" borderId="6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>
      <protection locked="0"/>
    </xf>
    <xf numFmtId="177" fontId="4" fillId="0" borderId="10" xfId="1" applyNumberFormat="1" applyFont="1" applyBorder="1" applyAlignment="1">
      <alignment horizontal="center"/>
      <protection locked="0"/>
    </xf>
    <xf numFmtId="177" fontId="4" fillId="0" borderId="11" xfId="1" applyNumberFormat="1" applyFont="1" applyBorder="1" applyAlignment="1">
      <alignment horizontal="center"/>
      <protection locked="0"/>
    </xf>
    <xf numFmtId="177" fontId="4" fillId="0" borderId="12" xfId="1" applyNumberFormat="1" applyFont="1" applyBorder="1">
      <protection locked="0"/>
    </xf>
    <xf numFmtId="177" fontId="4" fillId="0" borderId="11" xfId="1" applyNumberFormat="1" applyFont="1" applyBorder="1">
      <protection locked="0"/>
    </xf>
    <xf numFmtId="177" fontId="4" fillId="0" borderId="13" xfId="1" applyNumberFormat="1" applyFont="1" applyBorder="1">
      <protection locked="0"/>
    </xf>
    <xf numFmtId="177" fontId="1" fillId="0" borderId="14" xfId="1" applyNumberFormat="1" applyFont="1" applyBorder="1">
      <protection locked="0"/>
    </xf>
    <xf numFmtId="177" fontId="1" fillId="0" borderId="15" xfId="1" applyNumberFormat="1" applyFont="1" applyBorder="1" applyAlignment="1">
      <alignment horizontal="center"/>
      <protection locked="0"/>
    </xf>
    <xf numFmtId="177" fontId="1" fillId="0" borderId="14" xfId="1" applyNumberFormat="1" applyFont="1" applyBorder="1" applyAlignment="1">
      <alignment horizontal="center"/>
      <protection locked="0"/>
    </xf>
    <xf numFmtId="177" fontId="4" fillId="0" borderId="16" xfId="1" applyNumberFormat="1" applyFont="1" applyBorder="1" applyProtection="1">
      <protection hidden="1"/>
    </xf>
    <xf numFmtId="177" fontId="4" fillId="0" borderId="17" xfId="1" applyNumberFormat="1" applyFont="1" applyBorder="1" applyProtection="1">
      <protection hidden="1"/>
    </xf>
    <xf numFmtId="177" fontId="4" fillId="0" borderId="18" xfId="1" applyNumberFormat="1" applyFont="1" applyBorder="1">
      <protection locked="0"/>
    </xf>
    <xf numFmtId="177" fontId="1" fillId="0" borderId="19" xfId="1" applyNumberFormat="1" applyFont="1" applyBorder="1">
      <protection locked="0"/>
    </xf>
    <xf numFmtId="177" fontId="1" fillId="0" borderId="20" xfId="1" applyNumberFormat="1" applyFont="1" applyBorder="1" applyAlignment="1">
      <alignment horizontal="center"/>
      <protection locked="0"/>
    </xf>
    <xf numFmtId="177" fontId="1" fillId="0" borderId="19" xfId="1" applyNumberFormat="1" applyFont="1" applyBorder="1" applyAlignment="1">
      <alignment horizontal="center"/>
      <protection locked="0"/>
    </xf>
    <xf numFmtId="177" fontId="4" fillId="0" borderId="21" xfId="1" applyNumberFormat="1" applyFont="1" applyBorder="1" applyProtection="1">
      <protection hidden="1"/>
    </xf>
    <xf numFmtId="177" fontId="4" fillId="0" borderId="22" xfId="1" applyNumberFormat="1" applyFont="1" applyBorder="1" applyProtection="1">
      <protection hidden="1"/>
    </xf>
    <xf numFmtId="177" fontId="1" fillId="0" borderId="18" xfId="1" applyNumberFormat="1" applyFont="1" applyBorder="1">
      <protection locked="0"/>
    </xf>
    <xf numFmtId="177" fontId="5" fillId="0" borderId="10" xfId="1" applyNumberFormat="1" applyFont="1" applyBorder="1" applyAlignment="1">
      <alignment horizontal="center"/>
      <protection locked="0"/>
    </xf>
    <xf numFmtId="177" fontId="5" fillId="0" borderId="12" xfId="1" applyNumberFormat="1" applyFont="1" applyBorder="1" applyAlignment="1">
      <alignment horizontal="center"/>
      <protection locked="0"/>
    </xf>
    <xf numFmtId="177" fontId="5" fillId="0" borderId="11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Protection="1">
      <protection hidden="1"/>
    </xf>
    <xf numFmtId="177" fontId="4" fillId="0" borderId="11" xfId="1" applyNumberFormat="1" applyFont="1" applyBorder="1" applyProtection="1">
      <protection hidden="1"/>
    </xf>
    <xf numFmtId="177" fontId="4" fillId="0" borderId="13" xfId="1" applyNumberFormat="1" applyFont="1" applyBorder="1" applyAlignment="1">
      <alignment horizontal="left"/>
      <protection locked="0"/>
    </xf>
    <xf numFmtId="177" fontId="1" fillId="0" borderId="16" xfId="1" applyNumberFormat="1" applyFont="1" applyBorder="1" applyAlignment="1">
      <alignment horizontal="center"/>
      <protection locked="0"/>
    </xf>
    <xf numFmtId="177" fontId="4" fillId="0" borderId="18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center"/>
      <protection locked="0"/>
    </xf>
    <xf numFmtId="177" fontId="1" fillId="0" borderId="21" xfId="1" applyNumberFormat="1" applyFont="1" applyBorder="1">
      <protection locked="0"/>
    </xf>
    <xf numFmtId="177" fontId="4" fillId="0" borderId="23" xfId="1" applyNumberFormat="1" applyFont="1" applyBorder="1">
      <protection locked="0"/>
    </xf>
    <xf numFmtId="177" fontId="1" fillId="0" borderId="24" xfId="1" applyNumberFormat="1" applyFont="1" applyBorder="1">
      <protection locked="0"/>
    </xf>
    <xf numFmtId="177" fontId="1" fillId="0" borderId="25" xfId="1" applyNumberFormat="1" applyFont="1" applyBorder="1">
      <protection locked="0"/>
    </xf>
    <xf numFmtId="177" fontId="4" fillId="0" borderId="25" xfId="1" applyNumberFormat="1" applyFont="1" applyBorder="1" applyProtection="1">
      <protection hidden="1"/>
    </xf>
    <xf numFmtId="177" fontId="4" fillId="0" borderId="26" xfId="1" applyNumberFormat="1" applyFont="1" applyBorder="1" applyProtection="1">
      <protection hidden="1"/>
    </xf>
    <xf numFmtId="177" fontId="1" fillId="0" borderId="0" xfId="1" applyNumberFormat="1" applyFont="1">
      <protection locked="0"/>
    </xf>
    <xf numFmtId="177" fontId="4" fillId="2" borderId="27" xfId="1" applyNumberFormat="1" applyFont="1" applyFill="1" applyBorder="1" applyAlignment="1">
      <alignment vertical="center"/>
      <protection locked="0"/>
    </xf>
    <xf numFmtId="177" fontId="1" fillId="2" borderId="28" xfId="1" applyNumberFormat="1" applyFont="1" applyFill="1" applyBorder="1">
      <protection locked="0"/>
    </xf>
    <xf numFmtId="177" fontId="1" fillId="2" borderId="29" xfId="1" applyNumberFormat="1" applyFont="1" applyFill="1" applyBorder="1">
      <protection locked="0"/>
    </xf>
    <xf numFmtId="177" fontId="4" fillId="2" borderId="29" xfId="1" applyNumberFormat="1" applyFont="1" applyFill="1" applyBorder="1" applyProtection="1">
      <protection hidden="1"/>
    </xf>
    <xf numFmtId="177" fontId="4" fillId="2" borderId="30" xfId="1" applyNumberFormat="1" applyFont="1" applyFill="1" applyBorder="1" applyProtection="1">
      <protection hidden="1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77" fontId="1" fillId="0" borderId="9" xfId="1" applyNumberFormat="1" applyFont="1" applyBorder="1">
      <protection locked="0"/>
    </xf>
    <xf numFmtId="177" fontId="1" fillId="0" borderId="2" xfId="1" applyNumberFormat="1" applyFont="1" applyBorder="1">
      <protection locked="0"/>
    </xf>
    <xf numFmtId="177" fontId="4" fillId="0" borderId="31" xfId="1" applyNumberFormat="1" applyFont="1" applyBorder="1" applyAlignment="1">
      <alignment horizontal="center"/>
      <protection locked="0"/>
    </xf>
    <xf numFmtId="177" fontId="1" fillId="0" borderId="7" xfId="1" applyNumberFormat="1" applyFont="1" applyBorder="1">
      <protection locked="0"/>
    </xf>
    <xf numFmtId="177" fontId="1" fillId="0" borderId="32" xfId="1" applyNumberFormat="1" applyFont="1" applyBorder="1" applyAlignment="1">
      <alignment horizontal="center"/>
      <protection locked="0"/>
    </xf>
    <xf numFmtId="177" fontId="1" fillId="0" borderId="33" xfId="1" applyNumberFormat="1" applyFont="1" applyBorder="1" applyAlignment="1">
      <alignment horizontal="center"/>
      <protection locked="0"/>
    </xf>
    <xf numFmtId="177" fontId="1" fillId="0" borderId="11" xfId="1" applyNumberFormat="1" applyFont="1" applyBorder="1">
      <protection locked="0"/>
    </xf>
    <xf numFmtId="177" fontId="1" fillId="0" borderId="10" xfId="1" applyNumberFormat="1" applyFont="1" applyBorder="1">
      <protection locked="0"/>
    </xf>
    <xf numFmtId="177" fontId="1" fillId="0" borderId="34" xfId="1" applyNumberFormat="1" applyFont="1" applyBorder="1">
      <protection locked="0"/>
    </xf>
    <xf numFmtId="177" fontId="1" fillId="0" borderId="35" xfId="1" applyNumberFormat="1" applyFont="1" applyBorder="1" applyAlignment="1">
      <alignment horizontal="left"/>
      <protection locked="0"/>
    </xf>
    <xf numFmtId="177" fontId="1" fillId="0" borderId="36" xfId="1" applyNumberFormat="1" applyFont="1" applyBorder="1" applyAlignment="1">
      <alignment horizontal="left"/>
      <protection locked="0"/>
    </xf>
    <xf numFmtId="177" fontId="1" fillId="0" borderId="35" xfId="1" applyNumberFormat="1" applyFont="1" applyBorder="1">
      <protection locked="0"/>
    </xf>
    <xf numFmtId="177" fontId="1" fillId="0" borderId="37" xfId="1" applyNumberFormat="1" applyFont="1" applyBorder="1"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77" fontId="1" fillId="0" borderId="1" xfId="1" applyNumberFormat="1" applyFont="1" applyBorder="1">
      <protection locked="0"/>
    </xf>
    <xf numFmtId="177" fontId="1" fillId="0" borderId="19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left"/>
      <protection locked="0"/>
    </xf>
    <xf numFmtId="177" fontId="1" fillId="0" borderId="22" xfId="1" applyNumberFormat="1" applyFont="1" applyBorder="1"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1" xfId="0" applyFont="1" applyBorder="1" applyAlignment="1" applyProtection="1"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177" fontId="1" fillId="0" borderId="39" xfId="1" applyNumberFormat="1" applyFont="1" applyBorder="1">
      <protection locked="0"/>
    </xf>
    <xf numFmtId="177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tabSelected="1" topLeftCell="A31" workbookViewId="0">
      <selection activeCell="B50" sqref="B50"/>
    </sheetView>
  </sheetViews>
  <sheetFormatPr defaultColWidth="8.85454545454546" defaultRowHeight="14.5"/>
  <cols>
    <col min="1" max="1" width="18.2818181818182" style="1" customWidth="1"/>
    <col min="2" max="3" width="14.7090909090909" style="1" customWidth="1"/>
    <col min="4" max="4" width="7.28181818181818" style="1" customWidth="1"/>
    <col min="5" max="5" width="15.5727272727273" style="1" customWidth="1"/>
    <col min="6" max="6" width="11.4272727272727" style="1" customWidth="1"/>
    <col min="7" max="7" width="13.2818181818182" style="1" customWidth="1"/>
    <col min="8" max="8" width="16.1363636363636" style="1" customWidth="1"/>
    <col min="9" max="16384" width="8.85454545454546" style="1"/>
  </cols>
  <sheetData>
    <row r="1" ht="10.15" customHeight="1" spans="1:8">
      <c r="A1" s="2" t="s">
        <v>0</v>
      </c>
      <c r="B1" s="3"/>
      <c r="C1" s="3"/>
      <c r="D1" s="3"/>
      <c r="E1" s="3"/>
      <c r="F1" s="3"/>
      <c r="G1" s="3"/>
      <c r="H1" s="4"/>
    </row>
    <row r="2" ht="12.6" customHeight="1" spans="1:8">
      <c r="A2" s="5"/>
      <c r="B2" s="6"/>
      <c r="C2" s="6"/>
      <c r="D2" s="6"/>
      <c r="E2" s="6"/>
      <c r="F2" s="6"/>
      <c r="G2" s="6"/>
      <c r="H2" s="7"/>
    </row>
    <row r="3" ht="13.15" customHeight="1" spans="1:8">
      <c r="A3" s="8" t="s">
        <v>1</v>
      </c>
      <c r="B3" s="9"/>
      <c r="C3" s="9"/>
      <c r="D3" s="9"/>
      <c r="E3" s="9"/>
      <c r="F3" s="9"/>
      <c r="G3" s="9"/>
      <c r="H3" s="10"/>
    </row>
    <row r="4" ht="15.25" spans="1:8">
      <c r="A4" s="11"/>
      <c r="B4" s="12"/>
      <c r="C4" s="12"/>
      <c r="D4" s="12"/>
      <c r="E4" s="12"/>
      <c r="F4" s="12"/>
      <c r="G4" s="12"/>
      <c r="H4" s="13"/>
    </row>
    <row r="5" ht="15.25" spans="1:8">
      <c r="A5" s="14" t="s">
        <v>2</v>
      </c>
      <c r="B5" s="14" t="s">
        <v>3</v>
      </c>
      <c r="C5" s="15" t="s">
        <v>4</v>
      </c>
      <c r="D5" s="16"/>
      <c r="E5" s="14" t="s">
        <v>5</v>
      </c>
      <c r="F5" s="17" t="s">
        <v>6</v>
      </c>
      <c r="G5" s="14" t="s">
        <v>7</v>
      </c>
      <c r="H5" s="18" t="s">
        <v>8</v>
      </c>
    </row>
    <row r="6" spans="1:8">
      <c r="A6" s="19" t="s">
        <v>9</v>
      </c>
      <c r="B6" s="20">
        <v>200</v>
      </c>
      <c r="C6" s="21">
        <v>8850</v>
      </c>
      <c r="D6" s="22"/>
      <c r="E6" s="23">
        <f t="shared" ref="E6" si="0">PRODUCT(B6*C6)</f>
        <v>1770000</v>
      </c>
      <c r="F6" s="23">
        <f t="shared" ref="F6" si="1">PRODUCT(E6*18)/118</f>
        <v>270000</v>
      </c>
      <c r="G6" s="23">
        <f>PRODUCT(B6*50)</f>
        <v>10000</v>
      </c>
      <c r="H6" s="24">
        <f t="shared" ref="H6" si="2">SUM(F6:G6)</f>
        <v>280000</v>
      </c>
    </row>
    <row r="7" spans="1:8">
      <c r="A7" s="19" t="s">
        <v>10</v>
      </c>
      <c r="B7" s="20"/>
      <c r="C7" s="21">
        <v>7670</v>
      </c>
      <c r="D7" s="22"/>
      <c r="E7" s="23">
        <f t="shared" ref="E7:E14" si="3">PRODUCT(B7*C7)</f>
        <v>0</v>
      </c>
      <c r="F7" s="23">
        <f t="shared" ref="F7:F40" si="4">PRODUCT(E7*18)/118</f>
        <v>0</v>
      </c>
      <c r="G7" s="23">
        <f>PRODUCT(B7*50)</f>
        <v>0</v>
      </c>
      <c r="H7" s="24">
        <f t="shared" ref="H7:H14" si="5">SUM(F7:G7)</f>
        <v>0</v>
      </c>
    </row>
    <row r="8" spans="1:8">
      <c r="A8" s="25" t="s">
        <v>11</v>
      </c>
      <c r="B8" s="26"/>
      <c r="C8" s="27">
        <v>2000</v>
      </c>
      <c r="D8" s="28"/>
      <c r="E8" s="29">
        <f t="shared" si="3"/>
        <v>0</v>
      </c>
      <c r="F8" s="29">
        <f t="shared" si="4"/>
        <v>0</v>
      </c>
      <c r="G8" s="29">
        <f>PRODUCT(B8*50)</f>
        <v>0</v>
      </c>
      <c r="H8" s="30">
        <f t="shared" si="5"/>
        <v>0</v>
      </c>
    </row>
    <row r="9" spans="1:8">
      <c r="A9" s="25" t="s">
        <v>12</v>
      </c>
      <c r="B9" s="26"/>
      <c r="C9" s="27">
        <v>4130</v>
      </c>
      <c r="D9" s="28"/>
      <c r="E9" s="29">
        <f t="shared" si="3"/>
        <v>0</v>
      </c>
      <c r="F9" s="29">
        <f t="shared" si="4"/>
        <v>0</v>
      </c>
      <c r="G9" s="29">
        <f>PRODUCT(B9*30)</f>
        <v>0</v>
      </c>
      <c r="H9" s="30">
        <f t="shared" si="5"/>
        <v>0</v>
      </c>
    </row>
    <row r="10" spans="1:8">
      <c r="A10" s="25" t="s">
        <v>13</v>
      </c>
      <c r="B10" s="26"/>
      <c r="C10" s="27">
        <v>2124</v>
      </c>
      <c r="D10" s="28"/>
      <c r="E10" s="29">
        <f t="shared" si="3"/>
        <v>0</v>
      </c>
      <c r="F10" s="29">
        <f t="shared" si="4"/>
        <v>0</v>
      </c>
      <c r="G10" s="29">
        <f>PRODUCT(B10*30)</f>
        <v>0</v>
      </c>
      <c r="H10" s="30">
        <f t="shared" si="5"/>
        <v>0</v>
      </c>
    </row>
    <row r="11" spans="1:8">
      <c r="A11" s="25" t="s">
        <v>14</v>
      </c>
      <c r="B11" s="26"/>
      <c r="C11" s="27">
        <v>1357</v>
      </c>
      <c r="D11" s="28"/>
      <c r="E11" s="29">
        <f t="shared" si="3"/>
        <v>0</v>
      </c>
      <c r="F11" s="29">
        <f t="shared" si="4"/>
        <v>0</v>
      </c>
      <c r="G11" s="29">
        <f>PRODUCT(B11*20)</f>
        <v>0</v>
      </c>
      <c r="H11" s="30">
        <f t="shared" si="5"/>
        <v>0</v>
      </c>
    </row>
    <row r="12" spans="1:8">
      <c r="A12" s="25" t="s">
        <v>14</v>
      </c>
      <c r="B12" s="26"/>
      <c r="C12" s="27">
        <v>1357</v>
      </c>
      <c r="D12" s="28"/>
      <c r="E12" s="29">
        <f t="shared" si="3"/>
        <v>0</v>
      </c>
      <c r="F12" s="29">
        <f t="shared" si="4"/>
        <v>0</v>
      </c>
      <c r="G12" s="29">
        <f>PRODUCT(B12*20)</f>
        <v>0</v>
      </c>
      <c r="H12" s="30">
        <f t="shared" si="5"/>
        <v>0</v>
      </c>
    </row>
    <row r="13" spans="1:8">
      <c r="A13" s="25" t="s">
        <v>15</v>
      </c>
      <c r="B13" s="26"/>
      <c r="C13" s="27">
        <v>2124</v>
      </c>
      <c r="D13" s="28"/>
      <c r="E13" s="29">
        <f t="shared" si="3"/>
        <v>0</v>
      </c>
      <c r="F13" s="29">
        <f t="shared" si="4"/>
        <v>0</v>
      </c>
      <c r="G13" s="29">
        <f>PRODUCT(B13*30)</f>
        <v>0</v>
      </c>
      <c r="H13" s="30">
        <f t="shared" si="5"/>
        <v>0</v>
      </c>
    </row>
    <row r="14" ht="15.25" spans="1:8">
      <c r="A14" s="31" t="s">
        <v>15</v>
      </c>
      <c r="B14" s="26"/>
      <c r="C14" s="27">
        <v>2124</v>
      </c>
      <c r="D14" s="28"/>
      <c r="E14" s="29">
        <f t="shared" si="3"/>
        <v>0</v>
      </c>
      <c r="F14" s="29">
        <f t="shared" si="4"/>
        <v>0</v>
      </c>
      <c r="G14" s="29">
        <f>PRODUCT(B14*30)</f>
        <v>0</v>
      </c>
      <c r="H14" s="30">
        <f t="shared" si="5"/>
        <v>0</v>
      </c>
    </row>
    <row r="15" ht="22.9" customHeight="1" spans="1:8">
      <c r="A15" s="32" t="s">
        <v>16</v>
      </c>
      <c r="B15" s="33"/>
      <c r="C15" s="33"/>
      <c r="D15" s="33"/>
      <c r="E15" s="33"/>
      <c r="F15" s="33"/>
      <c r="G15" s="33"/>
      <c r="H15" s="34"/>
    </row>
    <row r="16" ht="15.25" spans="1:8">
      <c r="A16" s="35" t="s">
        <v>2</v>
      </c>
      <c r="B16" s="35" t="s">
        <v>3</v>
      </c>
      <c r="C16" s="35" t="s">
        <v>17</v>
      </c>
      <c r="D16" s="35" t="s">
        <v>7</v>
      </c>
      <c r="E16" s="36" t="s">
        <v>5</v>
      </c>
      <c r="F16" s="36" t="s">
        <v>18</v>
      </c>
      <c r="G16" s="36" t="s">
        <v>7</v>
      </c>
      <c r="H16" s="37" t="s">
        <v>19</v>
      </c>
    </row>
    <row r="17" spans="1:9">
      <c r="A17" s="38" t="s">
        <v>20</v>
      </c>
      <c r="B17" s="22">
        <v>320</v>
      </c>
      <c r="C17" s="39">
        <v>2360</v>
      </c>
      <c r="D17" s="39">
        <v>25</v>
      </c>
      <c r="E17" s="23">
        <f>PRODUCT(B17*C17)</f>
        <v>755200</v>
      </c>
      <c r="F17" s="23">
        <f t="shared" ref="F17:F22" si="6">PRODUCT(E17*18)/118</f>
        <v>115200</v>
      </c>
      <c r="G17" s="23">
        <f>PRODUCT(B17*D17)</f>
        <v>8000</v>
      </c>
      <c r="H17" s="24">
        <f>SUM(F17:G17)</f>
        <v>123200</v>
      </c>
    </row>
    <row r="18" spans="1:9">
      <c r="A18" s="40" t="s">
        <v>20</v>
      </c>
      <c r="B18" s="28"/>
      <c r="C18" s="41"/>
      <c r="D18" s="41"/>
      <c r="E18" s="29">
        <f t="shared" ref="E18:E23" si="7">PRODUCT(B18*C18)</f>
        <v>0</v>
      </c>
      <c r="F18" s="29">
        <f t="shared" si="6"/>
        <v>0</v>
      </c>
      <c r="G18" s="29">
        <f t="shared" ref="G18:G23" si="8">PRODUCT(B18*D18)</f>
        <v>0</v>
      </c>
      <c r="H18" s="30">
        <f t="shared" ref="H18:H23" si="9">SUM(F18:G18)</f>
        <v>0</v>
      </c>
    </row>
    <row r="19" spans="1:9">
      <c r="A19" s="25" t="s">
        <v>20</v>
      </c>
      <c r="B19" s="26"/>
      <c r="C19" s="42"/>
      <c r="D19" s="42"/>
      <c r="E19" s="29">
        <f t="shared" si="7"/>
        <v>0</v>
      </c>
      <c r="F19" s="29">
        <f t="shared" si="6"/>
        <v>0</v>
      </c>
      <c r="G19" s="29">
        <f t="shared" si="8"/>
        <v>0</v>
      </c>
      <c r="H19" s="30">
        <f t="shared" si="9"/>
        <v>0</v>
      </c>
    </row>
    <row r="20" spans="1:9">
      <c r="A20" s="25" t="s">
        <v>20</v>
      </c>
      <c r="B20" s="26"/>
      <c r="C20" s="42"/>
      <c r="D20" s="42"/>
      <c r="E20" s="29">
        <f t="shared" si="7"/>
        <v>0</v>
      </c>
      <c r="F20" s="29">
        <f t="shared" si="6"/>
        <v>0</v>
      </c>
      <c r="G20" s="29">
        <f t="shared" si="8"/>
        <v>0</v>
      </c>
      <c r="H20" s="30">
        <f t="shared" si="9"/>
        <v>0</v>
      </c>
    </row>
    <row r="21" spans="1:9">
      <c r="A21" s="25" t="s">
        <v>20</v>
      </c>
      <c r="B21" s="26"/>
      <c r="C21" s="42"/>
      <c r="D21" s="42"/>
      <c r="E21" s="29">
        <f t="shared" si="7"/>
        <v>0</v>
      </c>
      <c r="F21" s="29">
        <f t="shared" si="6"/>
        <v>0</v>
      </c>
      <c r="G21" s="29">
        <f t="shared" si="8"/>
        <v>0</v>
      </c>
      <c r="H21" s="30">
        <f t="shared" si="9"/>
        <v>0</v>
      </c>
    </row>
    <row r="22" ht="15.25" spans="1:9">
      <c r="A22" s="43" t="s">
        <v>20</v>
      </c>
      <c r="B22" s="44"/>
      <c r="C22" s="45"/>
      <c r="D22" s="45"/>
      <c r="E22" s="46">
        <f t="shared" si="7"/>
        <v>0</v>
      </c>
      <c r="F22" s="46">
        <f t="shared" si="6"/>
        <v>0</v>
      </c>
      <c r="G22" s="46">
        <f t="shared" si="8"/>
        <v>0</v>
      </c>
      <c r="H22" s="47">
        <f t="shared" si="9"/>
        <v>0</v>
      </c>
    </row>
    <row r="23" spans="1:9">
      <c r="A23" s="38" t="s">
        <v>20</v>
      </c>
      <c r="B23" s="22"/>
      <c r="C23" s="39"/>
      <c r="D23" s="39"/>
      <c r="E23" s="23">
        <f t="shared" si="7"/>
        <v>0</v>
      </c>
      <c r="F23" s="23">
        <f t="shared" ref="F23:F34" si="10">PRODUCT(E23*18)/118</f>
        <v>0</v>
      </c>
      <c r="G23" s="23">
        <f t="shared" si="8"/>
        <v>0</v>
      </c>
      <c r="H23" s="24">
        <f t="shared" si="9"/>
        <v>0</v>
      </c>
    </row>
    <row r="24" spans="1:9">
      <c r="A24" s="40" t="s">
        <v>20</v>
      </c>
      <c r="B24" s="28"/>
      <c r="C24" s="41"/>
      <c r="D24" s="41"/>
      <c r="E24" s="29">
        <f t="shared" ref="E24:E29" si="11">PRODUCT(B24*C24)</f>
        <v>0</v>
      </c>
      <c r="F24" s="29">
        <f t="shared" si="10"/>
        <v>0</v>
      </c>
      <c r="G24" s="29">
        <f t="shared" ref="G24:G29" si="12">PRODUCT(B24*D24)</f>
        <v>0</v>
      </c>
      <c r="H24" s="30">
        <f t="shared" ref="H24:H29" si="13">SUM(F24:G24)</f>
        <v>0</v>
      </c>
      <c r="I24" s="48"/>
    </row>
    <row r="25" spans="1:9">
      <c r="A25" s="25" t="s">
        <v>20</v>
      </c>
      <c r="B25" s="26"/>
      <c r="C25" s="42"/>
      <c r="D25" s="42"/>
      <c r="E25" s="29">
        <f t="shared" si="11"/>
        <v>0</v>
      </c>
      <c r="F25" s="29">
        <f t="shared" si="10"/>
        <v>0</v>
      </c>
      <c r="G25" s="29">
        <f t="shared" si="12"/>
        <v>0</v>
      </c>
      <c r="H25" s="30">
        <f t="shared" si="13"/>
        <v>0</v>
      </c>
      <c r="I25" s="48"/>
    </row>
    <row r="26" spans="1:9">
      <c r="A26" s="25" t="s">
        <v>20</v>
      </c>
      <c r="B26" s="26"/>
      <c r="C26" s="42"/>
      <c r="D26" s="42"/>
      <c r="E26" s="29">
        <f t="shared" si="11"/>
        <v>0</v>
      </c>
      <c r="F26" s="29">
        <f t="shared" si="10"/>
        <v>0</v>
      </c>
      <c r="G26" s="29">
        <f t="shared" si="12"/>
        <v>0</v>
      </c>
      <c r="H26" s="30">
        <f t="shared" si="13"/>
        <v>0</v>
      </c>
      <c r="I26" s="48"/>
    </row>
    <row r="27" spans="1:9">
      <c r="A27" s="25" t="s">
        <v>20</v>
      </c>
      <c r="B27" s="26"/>
      <c r="C27" s="42"/>
      <c r="D27" s="42"/>
      <c r="E27" s="29">
        <f t="shared" si="11"/>
        <v>0</v>
      </c>
      <c r="F27" s="29">
        <f t="shared" si="10"/>
        <v>0</v>
      </c>
      <c r="G27" s="29">
        <f t="shared" si="12"/>
        <v>0</v>
      </c>
      <c r="H27" s="30">
        <f t="shared" si="13"/>
        <v>0</v>
      </c>
      <c r="I27" s="48"/>
    </row>
    <row r="28" ht="15.25" spans="1:9">
      <c r="A28" s="43" t="s">
        <v>20</v>
      </c>
      <c r="B28" s="44"/>
      <c r="C28" s="45"/>
      <c r="D28" s="45"/>
      <c r="E28" s="46">
        <f t="shared" si="11"/>
        <v>0</v>
      </c>
      <c r="F28" s="46">
        <f t="shared" si="10"/>
        <v>0</v>
      </c>
      <c r="G28" s="46">
        <f t="shared" si="12"/>
        <v>0</v>
      </c>
      <c r="H28" s="47">
        <f t="shared" si="13"/>
        <v>0</v>
      </c>
      <c r="I28" s="48"/>
    </row>
    <row r="29" spans="1:9">
      <c r="A29" s="38" t="s">
        <v>20</v>
      </c>
      <c r="B29" s="22"/>
      <c r="C29" s="39"/>
      <c r="D29" s="39"/>
      <c r="E29" s="23">
        <f t="shared" si="11"/>
        <v>0</v>
      </c>
      <c r="F29" s="23">
        <f t="shared" si="10"/>
        <v>0</v>
      </c>
      <c r="G29" s="23">
        <f t="shared" si="12"/>
        <v>0</v>
      </c>
      <c r="H29" s="24">
        <f t="shared" si="13"/>
        <v>0</v>
      </c>
      <c r="I29" s="48"/>
    </row>
    <row r="30" spans="1:9">
      <c r="A30" s="40" t="s">
        <v>20</v>
      </c>
      <c r="B30" s="28"/>
      <c r="C30" s="41"/>
      <c r="D30" s="41"/>
      <c r="E30" s="29">
        <f t="shared" ref="E30:E35" si="14">PRODUCT(B30*C30)</f>
        <v>0</v>
      </c>
      <c r="F30" s="29">
        <f t="shared" si="10"/>
        <v>0</v>
      </c>
      <c r="G30" s="29">
        <f t="shared" ref="G30:G35" si="15">PRODUCT(B30*D30)</f>
        <v>0</v>
      </c>
      <c r="H30" s="30">
        <f t="shared" ref="H30:H35" si="16">SUM(F30:G30)</f>
        <v>0</v>
      </c>
    </row>
    <row r="31" spans="1:9">
      <c r="A31" s="25" t="s">
        <v>20</v>
      </c>
      <c r="B31" s="26"/>
      <c r="C31" s="42"/>
      <c r="D31" s="42"/>
      <c r="E31" s="29">
        <f t="shared" si="14"/>
        <v>0</v>
      </c>
      <c r="F31" s="29">
        <f t="shared" si="10"/>
        <v>0</v>
      </c>
      <c r="G31" s="29">
        <f t="shared" si="15"/>
        <v>0</v>
      </c>
      <c r="H31" s="30">
        <f t="shared" si="16"/>
        <v>0</v>
      </c>
    </row>
    <row r="32" spans="1:9">
      <c r="A32" s="25" t="s">
        <v>20</v>
      </c>
      <c r="B32" s="26"/>
      <c r="C32" s="42"/>
      <c r="D32" s="42"/>
      <c r="E32" s="29">
        <f t="shared" si="14"/>
        <v>0</v>
      </c>
      <c r="F32" s="29">
        <f t="shared" si="10"/>
        <v>0</v>
      </c>
      <c r="G32" s="29">
        <f t="shared" si="15"/>
        <v>0</v>
      </c>
      <c r="H32" s="30">
        <f t="shared" si="16"/>
        <v>0</v>
      </c>
    </row>
    <row r="33" spans="1:8">
      <c r="A33" s="25" t="s">
        <v>20</v>
      </c>
      <c r="B33" s="26"/>
      <c r="C33" s="42"/>
      <c r="D33" s="42"/>
      <c r="E33" s="29">
        <f t="shared" si="14"/>
        <v>0</v>
      </c>
      <c r="F33" s="29">
        <f t="shared" si="10"/>
        <v>0</v>
      </c>
      <c r="G33" s="29">
        <f t="shared" si="15"/>
        <v>0</v>
      </c>
      <c r="H33" s="30">
        <f t="shared" si="16"/>
        <v>0</v>
      </c>
    </row>
    <row r="34" ht="15.25" spans="1:8">
      <c r="A34" s="43" t="s">
        <v>20</v>
      </c>
      <c r="B34" s="44"/>
      <c r="C34" s="45"/>
      <c r="D34" s="45"/>
      <c r="E34" s="46">
        <f t="shared" si="14"/>
        <v>0</v>
      </c>
      <c r="F34" s="46">
        <f t="shared" si="10"/>
        <v>0</v>
      </c>
      <c r="G34" s="46">
        <f t="shared" si="15"/>
        <v>0</v>
      </c>
      <c r="H34" s="47">
        <f t="shared" si="16"/>
        <v>0</v>
      </c>
    </row>
    <row r="35" spans="1:8">
      <c r="A35" s="38" t="s">
        <v>20</v>
      </c>
      <c r="B35" s="22"/>
      <c r="C35" s="39"/>
      <c r="D35" s="39"/>
      <c r="E35" s="23">
        <f t="shared" si="14"/>
        <v>0</v>
      </c>
      <c r="F35" s="23">
        <f t="shared" si="4"/>
        <v>0</v>
      </c>
      <c r="G35" s="23">
        <f t="shared" si="15"/>
        <v>0</v>
      </c>
      <c r="H35" s="24">
        <f t="shared" si="16"/>
        <v>0</v>
      </c>
    </row>
    <row r="36" spans="1:8">
      <c r="A36" s="40" t="s">
        <v>20</v>
      </c>
      <c r="B36" s="28"/>
      <c r="C36" s="41"/>
      <c r="D36" s="41"/>
      <c r="E36" s="29">
        <f t="shared" ref="E36:E40" si="17">PRODUCT(B36*C36)</f>
        <v>0</v>
      </c>
      <c r="F36" s="29">
        <f t="shared" si="4"/>
        <v>0</v>
      </c>
      <c r="G36" s="29">
        <f t="shared" ref="G36:G40" si="18">PRODUCT(B36*D36)</f>
        <v>0</v>
      </c>
      <c r="H36" s="30">
        <f t="shared" ref="H36:H41" si="19">SUM(F36:G36)</f>
        <v>0</v>
      </c>
    </row>
    <row r="37" spans="1:8">
      <c r="A37" s="25" t="s">
        <v>20</v>
      </c>
      <c r="B37" s="26"/>
      <c r="C37" s="42"/>
      <c r="D37" s="42"/>
      <c r="E37" s="29">
        <f t="shared" si="17"/>
        <v>0</v>
      </c>
      <c r="F37" s="29">
        <f t="shared" si="4"/>
        <v>0</v>
      </c>
      <c r="G37" s="29">
        <f t="shared" si="18"/>
        <v>0</v>
      </c>
      <c r="H37" s="30">
        <f t="shared" si="19"/>
        <v>0</v>
      </c>
    </row>
    <row r="38" spans="1:8">
      <c r="A38" s="25" t="s">
        <v>20</v>
      </c>
      <c r="B38" s="26"/>
      <c r="C38" s="42"/>
      <c r="D38" s="42"/>
      <c r="E38" s="29">
        <f t="shared" si="17"/>
        <v>0</v>
      </c>
      <c r="F38" s="29">
        <f t="shared" si="4"/>
        <v>0</v>
      </c>
      <c r="G38" s="29">
        <f t="shared" si="18"/>
        <v>0</v>
      </c>
      <c r="H38" s="30">
        <f t="shared" si="19"/>
        <v>0</v>
      </c>
    </row>
    <row r="39" spans="1:8">
      <c r="A39" s="25" t="s">
        <v>20</v>
      </c>
      <c r="B39" s="26"/>
      <c r="C39" s="42"/>
      <c r="D39" s="42"/>
      <c r="E39" s="29">
        <f t="shared" si="17"/>
        <v>0</v>
      </c>
      <c r="F39" s="29">
        <f t="shared" si="4"/>
        <v>0</v>
      </c>
      <c r="G39" s="29">
        <f t="shared" si="18"/>
        <v>0</v>
      </c>
      <c r="H39" s="30">
        <f t="shared" si="19"/>
        <v>0</v>
      </c>
    </row>
    <row r="40" ht="15.25" spans="1:8">
      <c r="A40" s="43" t="s">
        <v>20</v>
      </c>
      <c r="B40" s="44"/>
      <c r="C40" s="45"/>
      <c r="D40" s="45"/>
      <c r="E40" s="46">
        <f t="shared" si="17"/>
        <v>0</v>
      </c>
      <c r="F40" s="46">
        <f t="shared" si="4"/>
        <v>0</v>
      </c>
      <c r="G40" s="46">
        <f t="shared" si="18"/>
        <v>0</v>
      </c>
      <c r="H40" s="47">
        <f t="shared" si="19"/>
        <v>0</v>
      </c>
    </row>
    <row r="41" ht="15.25" spans="1:8">
      <c r="A41" s="49" t="s">
        <v>21</v>
      </c>
      <c r="B41" s="50"/>
      <c r="C41" s="51"/>
      <c r="D41" s="51"/>
      <c r="E41" s="52">
        <f>SUM(E6:E40)</f>
        <v>2525200</v>
      </c>
      <c r="F41" s="52">
        <f>SUM(F6:F40)</f>
        <v>385200</v>
      </c>
      <c r="G41" s="52">
        <f>SUM(G6:G40)</f>
        <v>18000</v>
      </c>
      <c r="H41" s="53">
        <f t="shared" si="19"/>
        <v>403200</v>
      </c>
    </row>
    <row r="42" ht="15.25" spans="1:8">
      <c r="A42" s="54" t="s">
        <v>22</v>
      </c>
      <c r="B42" s="55"/>
      <c r="C42" s="56"/>
      <c r="D42" s="57"/>
      <c r="E42" s="58" t="s">
        <v>23</v>
      </c>
      <c r="F42" s="58"/>
      <c r="G42" s="58"/>
      <c r="H42" s="58"/>
    </row>
    <row r="43" spans="1:8">
      <c r="A43" s="54" t="s">
        <v>24</v>
      </c>
      <c r="B43" s="55"/>
      <c r="C43" s="59">
        <v>403200</v>
      </c>
      <c r="D43" s="56" t="s">
        <v>25</v>
      </c>
      <c r="E43" s="60" t="s">
        <v>26</v>
      </c>
      <c r="F43" s="61"/>
      <c r="G43" s="56" t="s">
        <v>27</v>
      </c>
      <c r="H43" s="62" t="s">
        <v>28</v>
      </c>
    </row>
    <row r="44" ht="15.25" spans="1:8">
      <c r="A44" s="54" t="s">
        <v>29</v>
      </c>
      <c r="B44" s="55"/>
      <c r="C44" s="63"/>
      <c r="D44" s="64"/>
      <c r="E44" s="65"/>
      <c r="F44" s="66"/>
      <c r="G44" s="67"/>
      <c r="H44" s="68"/>
    </row>
    <row r="45" ht="15.25" spans="1:8">
      <c r="A45" s="69" t="s">
        <v>30</v>
      </c>
      <c r="B45" s="70"/>
      <c r="C45" s="71"/>
      <c r="D45" s="56"/>
      <c r="E45" s="72"/>
      <c r="F45" s="73"/>
      <c r="G45" s="26"/>
      <c r="H45" s="74"/>
    </row>
    <row r="46" ht="15.25" spans="1:8">
      <c r="A46" s="75" t="s">
        <v>31</v>
      </c>
      <c r="B46" s="76"/>
      <c r="C46" s="77"/>
      <c r="D46" s="62"/>
      <c r="E46" s="78"/>
      <c r="F46" s="79"/>
      <c r="G46" s="26"/>
      <c r="H46" s="74"/>
    </row>
    <row r="47" ht="15.25" spans="1:8">
      <c r="A47" s="75" t="s">
        <v>32</v>
      </c>
      <c r="B47" s="76"/>
      <c r="C47" s="77"/>
      <c r="D47" s="80"/>
      <c r="E47" s="78"/>
      <c r="F47" s="79"/>
      <c r="G47" s="26"/>
      <c r="H47" s="74"/>
    </row>
    <row r="48" ht="15.25" spans="1:8">
      <c r="A48" s="75" t="s">
        <v>33</v>
      </c>
      <c r="B48" s="76"/>
      <c r="C48" s="81">
        <f>SUM(C42:C47)</f>
        <v>403200</v>
      </c>
      <c r="D48" s="82"/>
      <c r="E48" s="83"/>
      <c r="F48" s="84"/>
      <c r="G48" s="85"/>
      <c r="H48" s="86"/>
    </row>
    <row r="49" spans="2:2">
      <c r="B49" s="1" t="s">
        <v>34</v>
      </c>
    </row>
    <row r="50" spans="2:2">
      <c r="B50" s="1" t="s">
        <v>35</v>
      </c>
    </row>
  </sheetData>
  <sheetProtection algorithmName="SHA-512" hashValue="BObGe8pD6lyAsraMUBLvDW7GoEoqtQeyEJBghPPrampZo+fc386M34cLhm86VH+uKsVPqY5rKMi5tNXj/7idmw==" saltValue="Y6IQQ4rxevdmLAyUV9YKmw==" spinCount="100000" sheet="1" insertHyperlinks="0" objects="1" scenarios="1"/>
  <mergeCells count="27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42:B42"/>
    <mergeCell ref="E42:H42"/>
    <mergeCell ref="A43:B43"/>
    <mergeCell ref="E43:F43"/>
    <mergeCell ref="A44:B44"/>
    <mergeCell ref="E44:F44"/>
    <mergeCell ref="A45:B45"/>
    <mergeCell ref="E45:F45"/>
    <mergeCell ref="A46:B46"/>
    <mergeCell ref="E46:F46"/>
    <mergeCell ref="A47:B47"/>
    <mergeCell ref="E47:F47"/>
    <mergeCell ref="A48:B48"/>
    <mergeCell ref="E48:F48"/>
    <mergeCell ref="A1:H2"/>
    <mergeCell ref="A3:H4"/>
  </mergeCells>
  <pageMargins left="0.7" right="0.7" top="0.75" bottom="0.75" header="0.3" footer="0.3"/>
  <pageSetup paperSize="9" fitToWidth="0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2023-07-08T16:04:00Z</dcterms:created>
  <dcterms:modified xsi:type="dcterms:W3CDTF">2026-05-02T11:25:45Z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05250985A9024CE0B37B324B787D3728_13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