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<sst xmlns="http://schemas.openxmlformats.org/spreadsheetml/2006/main" count="44" uniqueCount="33">
  <si>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</si>
  <si>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</si>
  <si>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</si>
  <si>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</si>
  <si>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</si>
  <si>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</si>
  <si>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</si>
  <si>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</si>
  <si>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</si>
  <si>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</si>
  <si>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</si>
  <si>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</si>
  <si>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</si>
  <si>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</si>
  <si>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</si>
  <si>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</si>
  <si>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</si>
  <si>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</si>
  <si>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</si>
  <si>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</si>
  <si>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</si>
  <si>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</si>
  <si>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</si>
  <si>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</si>
  <si>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</si>
  <si>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</si>
  <si>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</si>
  <si>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</si>
  <si>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</si>
  <si>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</si>
  <si>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WEEKLY REPORT FROM 01/05UP TO 10/05/2026</t>
  </si>
  <si>
    <t>MADRIEN</t>
  </si>
  <si>
    <t>MANZI IDRISSE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</si>
</sst>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0" zoomScale="120" zoomScaleNormal="120" workbookViewId="0">
      <selection activeCell="B17" sqref="B17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30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/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31</v>
      </c>
      <c r="B17" s="18">
        <v>600</v>
      </c>
      <c r="C17" s="18">
        <v>2124</v>
      </c>
      <c r="D17" s="18">
        <v>40</v>
      </c>
      <c r="E17" s="11">
        <f>PRODUCT(B17*C17)</f>
        <v>1274400</v>
      </c>
      <c r="F17" s="11">
        <f t="shared" si="4"/>
        <v>194400</v>
      </c>
      <c r="G17" s="11">
        <f>PRODUCT(B17*D17)</f>
        <v>24000</v>
      </c>
      <c r="H17" s="12">
        <f>SUM(F17:G17)</f>
        <v>218400</v>
      </c>
    </row>
    <row r="18" spans="1:9" x14ac:dyDescent="0.25">
      <c r="A18" s="19" t="s">
        <v>27</v>
      </c>
      <c r="B18" s="20">
        <v>250</v>
      </c>
      <c r="C18" s="20">
        <v>1357</v>
      </c>
      <c r="D18" s="20">
        <v>30</v>
      </c>
      <c r="E18" s="11">
        <f t="shared" ref="E18:E22" si="6">PRODUCT(B18*C18)</f>
        <v>339250</v>
      </c>
      <c r="F18" s="11">
        <f t="shared" si="4"/>
        <v>51750</v>
      </c>
      <c r="G18" s="11">
        <f t="shared" ref="G18:G22" si="7">PRODUCT(B18*D18)</f>
        <v>7500</v>
      </c>
      <c r="H18" s="12">
        <f t="shared" ref="H18:H22" si="8">SUM(F18:G18)</f>
        <v>59250</v>
      </c>
    </row>
    <row r="19" spans="1:9" x14ac:dyDescent="0.25">
      <c r="A19" s="21" t="s">
        <v>5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1613650</v>
      </c>
      <c r="F23" s="27">
        <f>SUM(F6:F22)</f>
        <v>246150</v>
      </c>
      <c r="G23" s="27">
        <f>SUM(G6:G22)</f>
        <v>31500</v>
      </c>
      <c r="H23" s="28">
        <f>SUM(F23:G23)</f>
        <v>277650</v>
      </c>
    </row>
    <row r="24" spans="1:9" ht="15.75" thickBot="1" x14ac:dyDescent="0.3">
      <c r="A24" s="57" t="s">
        <v>13</v>
      </c>
      <c r="B24" s="58"/>
      <c r="C24" s="32">
        <v>277650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/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C28" s="1" t="s">
        <v>32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2023-09-17T18:06:28Z</cp:lastPrinted>
  <dcterms:created xsi:type="dcterms:W3CDTF">2023-07-12T14:04:23Z</dcterms:created>
  <dcterms:modified xsi:type="dcterms:W3CDTF">2026-05-18T13:11:05Z</dcterms:modified>
</cp:coreProperties>
</file>