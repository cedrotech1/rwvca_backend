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workbookProtection workbookPassword="E50D" lockStructure="1"/>
  <bookViews>
    <workbookView xWindow="0" yWindow="0" windowWidth="20490" windowHeight="75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1" l="1"/>
  <c r="E6" i="1"/>
  <c r="F6" i="1" s="1"/>
  <c r="H6" i="1" s="1"/>
  <c r="G8" i="1" l="1"/>
  <c r="G22" i="1" l="1"/>
  <c r="E22" i="1"/>
  <c r="F22" i="1" s="1"/>
  <c r="G21" i="1"/>
  <c r="E21" i="1"/>
  <c r="F21" i="1" s="1"/>
  <c r="G20" i="1"/>
  <c r="E20" i="1"/>
  <c r="F20" i="1" s="1"/>
  <c r="G19" i="1"/>
  <c r="E19" i="1"/>
  <c r="F19" i="1" s="1"/>
  <c r="G18" i="1"/>
  <c r="E18" i="1"/>
  <c r="F18" i="1" s="1"/>
  <c r="G17" i="1"/>
  <c r="E17" i="1"/>
  <c r="F17" i="1" s="1"/>
  <c r="E9" i="1"/>
  <c r="G14" i="1"/>
  <c r="E14" i="1"/>
  <c r="F14" i="1" s="1"/>
  <c r="H14" i="1" s="1"/>
  <c r="G13" i="1"/>
  <c r="E13" i="1"/>
  <c r="F13" i="1" l="1"/>
  <c r="H13" i="1" s="1"/>
  <c r="H21" i="1"/>
  <c r="H18" i="1"/>
  <c r="H22" i="1"/>
  <c r="H19" i="1"/>
  <c r="H20" i="1"/>
  <c r="H17" i="1"/>
  <c r="E12" i="1"/>
  <c r="F12" i="1" s="1"/>
  <c r="G12" i="1"/>
  <c r="G11" i="1"/>
  <c r="G7" i="1"/>
  <c r="E7" i="1"/>
  <c r="E8" i="1"/>
  <c r="F8" i="1" s="1"/>
  <c r="G10" i="1"/>
  <c r="F7" i="1" l="1"/>
  <c r="H12" i="1"/>
  <c r="H8" i="1"/>
  <c r="E10" i="1"/>
  <c r="H7" i="1" l="1"/>
  <c r="E11" i="1"/>
  <c r="F11" i="1" s="1"/>
  <c r="E23" i="1" l="1"/>
  <c r="H11" i="1"/>
  <c r="G9" i="1"/>
  <c r="G23" i="1" s="1"/>
  <c r="F9" i="1"/>
  <c r="H9" i="1" l="1"/>
  <c r="F10" i="1"/>
  <c r="F23" i="1" s="1"/>
  <c r="H10" i="1" l="1"/>
  <c r="H23" i="1" l="1"/>
</calcChain>
</file>

<file path=xl/sharedStrings.xml><?xml version="1.0" encoding="utf-8"?>
<sst xmlns="http://schemas.openxmlformats.org/spreadsheetml/2006/main" count="42" uniqueCount="33">
  <si>
    <t>NAME OF TIMBER</t>
  </si>
  <si>
    <t>TOTAL COST</t>
  </si>
  <si>
    <t>TVA</t>
  </si>
  <si>
    <t>MSF</t>
  </si>
  <si>
    <t>TVA+MSF</t>
  </si>
  <si>
    <t xml:space="preserve">OTHER </t>
  </si>
  <si>
    <t>PRICE OF TIMBER</t>
  </si>
  <si>
    <t xml:space="preserve">Other Timber for Difference Price </t>
  </si>
  <si>
    <t>P/U</t>
  </si>
  <si>
    <t>TOTALY</t>
  </si>
  <si>
    <t>VAT</t>
  </si>
  <si>
    <t>VTA+MST</t>
  </si>
  <si>
    <t>Billing Office Name</t>
  </si>
  <si>
    <t>TOTAL RWF PAID ON MOMO PAY</t>
  </si>
  <si>
    <t>NAME</t>
  </si>
  <si>
    <t>Phone</t>
  </si>
  <si>
    <t>RWF</t>
  </si>
  <si>
    <t>TOTAL RWF PAID ON CASH</t>
  </si>
  <si>
    <t>TOTAL RWF DEPPOSITED ON BANK</t>
  </si>
  <si>
    <t>PINUS NINI</t>
  </si>
  <si>
    <t>PINUS NTOYA</t>
  </si>
  <si>
    <t>Customer Without invoice</t>
  </si>
  <si>
    <t xml:space="preserve">AMOUNT NOT INVOICED </t>
  </si>
  <si>
    <t>No OF TIMBER</t>
  </si>
  <si>
    <t>IBIPANDE BYA PINUS</t>
  </si>
  <si>
    <t>MADRIYE NINI</t>
  </si>
  <si>
    <t>MADRIYE NTOYA</t>
  </si>
  <si>
    <t>PLANCHE</t>
  </si>
  <si>
    <t>MADRIYE</t>
  </si>
  <si>
    <t>ICPCs RUSIZI</t>
  </si>
  <si>
    <t>MADRIEN</t>
  </si>
  <si>
    <t>MANZI IDRISSE</t>
  </si>
  <si>
    <t>WEEKLY REPORT FROM 06/04 TO 12/04/2026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</si>
</sst>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74">
    <xf numFmtId="0" fontId="0" fillId="0" borderId="0" xfId="0"/>
    <xf numFmtId="0" fontId="0" fillId="0" borderId="0" xfId="0" applyProtection="1">
      <protection locked="0"/>
    </xf>
    <xf numFmtId="164" fontId="1" fillId="0" borderId="4" xfId="1" applyNumberFormat="1" applyFont="1" applyBorder="1" applyProtection="1">
      <protection locked="0"/>
    </xf>
    <xf numFmtId="164" fontId="1" fillId="0" borderId="7" xfId="1" applyNumberFormat="1" applyFont="1" applyBorder="1" applyProtection="1">
      <protection locked="0"/>
    </xf>
    <xf numFmtId="164" fontId="1" fillId="0" borderId="8" xfId="1" applyNumberFormat="1" applyFont="1" applyBorder="1" applyProtection="1">
      <protection locked="0"/>
    </xf>
    <xf numFmtId="164" fontId="1" fillId="0" borderId="25" xfId="1" applyNumberFormat="1" applyFont="1" applyBorder="1" applyProtection="1">
      <protection locked="0"/>
    </xf>
    <xf numFmtId="164" fontId="0" fillId="0" borderId="26" xfId="1" applyNumberFormat="1" applyFont="1" applyBorder="1" applyProtection="1">
      <protection locked="0"/>
    </xf>
    <xf numFmtId="164" fontId="1" fillId="0" borderId="5" xfId="1" applyNumberFormat="1" applyFont="1" applyBorder="1" applyProtection="1">
      <protection hidden="1"/>
    </xf>
    <xf numFmtId="164" fontId="1" fillId="0" borderId="28" xfId="1" applyNumberFormat="1" applyFont="1" applyBorder="1" applyProtection="1">
      <protection hidden="1"/>
    </xf>
    <xf numFmtId="164" fontId="1" fillId="0" borderId="15" xfId="1" applyNumberFormat="1" applyFont="1" applyBorder="1" applyProtection="1">
      <protection locked="0"/>
    </xf>
    <xf numFmtId="164" fontId="0" fillId="0" borderId="3" xfId="1" applyNumberFormat="1" applyFont="1" applyBorder="1" applyProtection="1">
      <protection locked="0"/>
    </xf>
    <xf numFmtId="164" fontId="1" fillId="0" borderId="1" xfId="1" applyNumberFormat="1" applyFont="1" applyBorder="1" applyProtection="1">
      <protection hidden="1"/>
    </xf>
    <xf numFmtId="164" fontId="1" fillId="0" borderId="10" xfId="1" applyNumberFormat="1" applyFont="1" applyBorder="1" applyProtection="1">
      <protection hidden="1"/>
    </xf>
    <xf numFmtId="164" fontId="0" fillId="0" borderId="15" xfId="1" applyNumberFormat="1" applyFont="1" applyBorder="1" applyProtection="1">
      <protection locked="0"/>
    </xf>
    <xf numFmtId="164" fontId="1" fillId="0" borderId="4" xfId="1" applyNumberFormat="1" applyFont="1" applyBorder="1" applyAlignment="1" applyProtection="1">
      <alignment horizontal="center"/>
      <protection locked="0"/>
    </xf>
    <xf numFmtId="164" fontId="1" fillId="0" borderId="4" xfId="1" applyNumberFormat="1" applyFont="1" applyBorder="1" applyProtection="1">
      <protection hidden="1"/>
    </xf>
    <xf numFmtId="164" fontId="1" fillId="0" borderId="8" xfId="1" applyNumberFormat="1" applyFont="1" applyBorder="1" applyProtection="1">
      <protection hidden="1"/>
    </xf>
    <xf numFmtId="164" fontId="1" fillId="0" borderId="16" xfId="1" applyNumberFormat="1" applyFont="1" applyBorder="1" applyAlignment="1" applyProtection="1">
      <alignment horizontal="left"/>
      <protection locked="0"/>
    </xf>
    <xf numFmtId="164" fontId="0" fillId="0" borderId="5" xfId="1" applyNumberFormat="1" applyFont="1" applyBorder="1" applyAlignment="1" applyProtection="1">
      <alignment horizontal="center"/>
      <protection locked="0"/>
    </xf>
    <xf numFmtId="164" fontId="1" fillId="0" borderId="9" xfId="1" applyNumberFormat="1" applyFont="1" applyBorder="1" applyAlignment="1" applyProtection="1">
      <alignment horizontal="left"/>
      <protection locked="0"/>
    </xf>
    <xf numFmtId="164" fontId="0" fillId="0" borderId="1" xfId="1" applyNumberFormat="1" applyFont="1" applyBorder="1" applyAlignment="1" applyProtection="1">
      <alignment horizontal="center"/>
      <protection locked="0"/>
    </xf>
    <xf numFmtId="164" fontId="1" fillId="0" borderId="9" xfId="1" applyNumberFormat="1" applyFont="1" applyBorder="1" applyAlignment="1" applyProtection="1">
      <protection locked="0"/>
    </xf>
    <xf numFmtId="164" fontId="0" fillId="0" borderId="1" xfId="1" applyNumberFormat="1" applyFont="1" applyBorder="1" applyProtection="1">
      <protection locked="0"/>
    </xf>
    <xf numFmtId="164" fontId="0" fillId="0" borderId="0" xfId="1" applyNumberFormat="1" applyFont="1" applyBorder="1" applyProtection="1">
      <protection locked="0"/>
    </xf>
    <xf numFmtId="0" fontId="0" fillId="0" borderId="13" xfId="0" applyBorder="1" applyProtection="1">
      <protection locked="0"/>
    </xf>
    <xf numFmtId="164" fontId="1" fillId="2" borderId="29" xfId="1" applyNumberFormat="1" applyFont="1" applyFill="1" applyBorder="1" applyAlignment="1" applyProtection="1">
      <alignment vertical="center"/>
      <protection locked="0"/>
    </xf>
    <xf numFmtId="164" fontId="0" fillId="2" borderId="30" xfId="1" applyNumberFormat="1" applyFont="1" applyFill="1" applyBorder="1" applyProtection="1">
      <protection locked="0"/>
    </xf>
    <xf numFmtId="164" fontId="1" fillId="2" borderId="30" xfId="1" applyNumberFormat="1" applyFont="1" applyFill="1" applyBorder="1" applyProtection="1">
      <protection hidden="1"/>
    </xf>
    <xf numFmtId="164" fontId="1" fillId="2" borderId="31" xfId="1" applyNumberFormat="1" applyFont="1" applyFill="1" applyBorder="1" applyProtection="1">
      <protection hidden="1"/>
    </xf>
    <xf numFmtId="164" fontId="0" fillId="0" borderId="8" xfId="1" applyNumberFormat="1" applyFont="1" applyBorder="1" applyAlignment="1" applyProtection="1">
      <protection locked="0"/>
    </xf>
    <xf numFmtId="164" fontId="0" fillId="0" borderId="19" xfId="1" applyNumberFormat="1" applyFont="1" applyBorder="1" applyAlignment="1" applyProtection="1">
      <protection locked="0"/>
    </xf>
    <xf numFmtId="164" fontId="0" fillId="0" borderId="0" xfId="1" applyNumberFormat="1" applyFont="1" applyBorder="1" applyAlignment="1" applyProtection="1">
      <protection locked="0"/>
    </xf>
    <xf numFmtId="164" fontId="0" fillId="0" borderId="4" xfId="1" applyNumberFormat="1" applyFont="1" applyBorder="1" applyAlignment="1" applyProtection="1">
      <protection locked="0"/>
    </xf>
    <xf numFmtId="164" fontId="0" fillId="0" borderId="36" xfId="1" applyNumberFormat="1" applyFont="1" applyBorder="1" applyAlignment="1" applyProtection="1">
      <protection locked="0"/>
    </xf>
    <xf numFmtId="164" fontId="0" fillId="0" borderId="3" xfId="1" applyNumberFormat="1" applyFont="1" applyBorder="1" applyAlignment="1" applyProtection="1">
      <protection locked="0"/>
    </xf>
    <xf numFmtId="164" fontId="0" fillId="0" borderId="38" xfId="1" applyNumberFormat="1" applyFont="1" applyBorder="1" applyAlignment="1" applyProtection="1">
      <protection locked="0"/>
    </xf>
    <xf numFmtId="164" fontId="0" fillId="0" borderId="33" xfId="1" applyNumberFormat="1" applyFont="1" applyBorder="1" applyAlignment="1" applyProtection="1">
      <protection locked="0"/>
    </xf>
    <xf numFmtId="164" fontId="0" fillId="0" borderId="10" xfId="1" applyNumberFormat="1" applyFont="1" applyBorder="1" applyAlignment="1" applyProtection="1">
      <protection locked="0"/>
    </xf>
    <xf numFmtId="0" fontId="0" fillId="0" borderId="14" xfId="0" applyBorder="1" applyProtection="1">
      <protection locked="0"/>
    </xf>
    <xf numFmtId="0" fontId="0" fillId="0" borderId="11" xfId="0" applyBorder="1" applyAlignment="1" applyProtection="1">
      <alignment horizontal="left"/>
      <protection locked="0"/>
    </xf>
    <xf numFmtId="0" fontId="0" fillId="0" borderId="12" xfId="0" applyBorder="1" applyAlignment="1" applyProtection="1">
      <alignment horizontal="left"/>
      <protection locked="0"/>
    </xf>
    <xf numFmtId="164" fontId="0" fillId="0" borderId="0" xfId="1" applyNumberFormat="1" applyFont="1" applyBorder="1" applyAlignment="1" applyProtection="1">
      <alignment horizontal="center"/>
      <protection locked="0"/>
    </xf>
    <xf numFmtId="164" fontId="1" fillId="0" borderId="30" xfId="1" applyNumberFormat="1" applyFont="1" applyBorder="1" applyAlignment="1" applyProtection="1">
      <alignment horizontal="center"/>
      <protection locked="0"/>
    </xf>
    <xf numFmtId="164" fontId="0" fillId="0" borderId="34" xfId="1" applyNumberFormat="1" applyFont="1" applyBorder="1" applyAlignment="1" applyProtection="1">
      <alignment horizontal="center"/>
      <protection locked="0"/>
    </xf>
    <xf numFmtId="164" fontId="0" fillId="0" borderId="35" xfId="1" applyNumberFormat="1" applyFont="1" applyBorder="1" applyAlignment="1" applyProtection="1">
      <alignment horizontal="center"/>
      <protection locked="0"/>
    </xf>
    <xf numFmtId="164" fontId="0" fillId="0" borderId="32" xfId="1" applyNumberFormat="1" applyFont="1" applyBorder="1" applyAlignment="1" applyProtection="1">
      <alignment horizontal="left"/>
      <protection locked="0"/>
    </xf>
    <xf numFmtId="164" fontId="0" fillId="0" borderId="37" xfId="1" applyNumberFormat="1" applyFont="1" applyBorder="1" applyAlignment="1" applyProtection="1">
      <alignment horizontal="left"/>
      <protection locked="0"/>
    </xf>
    <xf numFmtId="164" fontId="0" fillId="0" borderId="9" xfId="1" applyNumberFormat="1" applyFont="1" applyBorder="1" applyAlignment="1" applyProtection="1">
      <alignment horizontal="left"/>
      <protection locked="0"/>
    </xf>
    <xf numFmtId="164" fontId="0" fillId="0" borderId="1" xfId="1" applyNumberFormat="1" applyFont="1" applyBorder="1" applyAlignment="1" applyProtection="1">
      <alignment horizontal="left"/>
      <protection locked="0"/>
    </xf>
    <xf numFmtId="0" fontId="0" fillId="0" borderId="9" xfId="0" applyBorder="1" applyAlignment="1" applyProtection="1">
      <alignment horizontal="left"/>
      <protection locked="0"/>
    </xf>
    <xf numFmtId="0" fontId="0" fillId="0" borderId="1" xfId="0" applyBorder="1" applyAlignment="1" applyProtection="1">
      <alignment horizontal="left"/>
      <protection locked="0"/>
    </xf>
    <xf numFmtId="0" fontId="1" fillId="0" borderId="6" xfId="0" applyFont="1" applyBorder="1" applyAlignment="1" applyProtection="1">
      <alignment horizontal="left"/>
      <protection locked="0"/>
    </xf>
    <xf numFmtId="0" fontId="1" fillId="0" borderId="8" xfId="0" applyFont="1" applyBorder="1" applyAlignment="1" applyProtection="1">
      <alignment horizontal="left"/>
      <protection locked="0"/>
    </xf>
    <xf numFmtId="164" fontId="2" fillId="0" borderId="6" xfId="1" applyNumberFormat="1" applyFont="1" applyBorder="1" applyAlignment="1" applyProtection="1">
      <alignment horizontal="center"/>
      <protection locked="0"/>
    </xf>
    <xf numFmtId="164" fontId="2" fillId="0" borderId="7" xfId="1" applyNumberFormat="1" applyFont="1" applyBorder="1" applyAlignment="1" applyProtection="1">
      <alignment horizontal="center"/>
      <protection locked="0"/>
    </xf>
    <xf numFmtId="164" fontId="2" fillId="0" borderId="8" xfId="1" applyNumberFormat="1" applyFont="1" applyBorder="1" applyAlignment="1" applyProtection="1">
      <alignment horizontal="center"/>
      <protection locked="0"/>
    </xf>
    <xf numFmtId="164" fontId="3" fillId="0" borderId="21" xfId="1" applyNumberFormat="1" applyFont="1" applyBorder="1" applyAlignment="1" applyProtection="1">
      <alignment horizontal="center"/>
      <protection locked="0"/>
    </xf>
    <xf numFmtId="164" fontId="3" fillId="0" borderId="0" xfId="1" applyNumberFormat="1" applyFont="1" applyBorder="1" applyAlignment="1" applyProtection="1">
      <alignment horizontal="center"/>
      <protection locked="0"/>
    </xf>
    <xf numFmtId="164" fontId="3" fillId="0" borderId="22" xfId="1" applyNumberFormat="1" applyFont="1" applyBorder="1" applyAlignment="1" applyProtection="1">
      <alignment horizontal="center"/>
      <protection locked="0"/>
    </xf>
    <xf numFmtId="164" fontId="3" fillId="0" borderId="23" xfId="1" applyNumberFormat="1" applyFont="1" applyBorder="1" applyAlignment="1" applyProtection="1">
      <alignment horizontal="center"/>
      <protection locked="0"/>
    </xf>
    <xf numFmtId="164" fontId="3" fillId="0" borderId="17" xfId="1" applyNumberFormat="1" applyFont="1" applyBorder="1" applyAlignment="1" applyProtection="1">
      <alignment horizontal="center"/>
      <protection locked="0"/>
    </xf>
    <xf numFmtId="164" fontId="3" fillId="0" borderId="24" xfId="1" applyNumberFormat="1" applyFont="1" applyBorder="1" applyAlignment="1" applyProtection="1">
      <alignment horizontal="center"/>
      <protection locked="0"/>
    </xf>
    <xf numFmtId="164" fontId="4" fillId="0" borderId="18" xfId="1" applyNumberFormat="1" applyFont="1" applyBorder="1" applyAlignment="1" applyProtection="1">
      <alignment horizontal="center"/>
      <protection locked="0"/>
    </xf>
    <xf numFmtId="164" fontId="4" fillId="0" borderId="19" xfId="1" applyNumberFormat="1" applyFont="1" applyBorder="1" applyAlignment="1" applyProtection="1">
      <alignment horizontal="center"/>
      <protection locked="0"/>
    </xf>
    <xf numFmtId="164" fontId="4" fillId="0" borderId="20" xfId="1" applyNumberFormat="1" applyFont="1" applyBorder="1" applyAlignment="1" applyProtection="1">
      <alignment horizontal="center"/>
      <protection locked="0"/>
    </xf>
    <xf numFmtId="164" fontId="4" fillId="0" borderId="23" xfId="1" applyNumberFormat="1" applyFont="1" applyBorder="1" applyAlignment="1" applyProtection="1">
      <alignment horizontal="center"/>
      <protection locked="0"/>
    </xf>
    <xf numFmtId="164" fontId="4" fillId="0" borderId="17" xfId="1" applyNumberFormat="1" applyFont="1" applyBorder="1" applyAlignment="1" applyProtection="1">
      <alignment horizontal="center"/>
      <protection locked="0"/>
    </xf>
    <xf numFmtId="164" fontId="4" fillId="0" borderId="24" xfId="1" applyNumberFormat="1" applyFont="1" applyBorder="1" applyAlignment="1" applyProtection="1">
      <alignment horizontal="center"/>
      <protection locked="0"/>
    </xf>
    <xf numFmtId="164" fontId="0" fillId="0" borderId="2" xfId="1" applyNumberFormat="1" applyFont="1" applyBorder="1" applyAlignment="1" applyProtection="1">
      <alignment horizontal="center"/>
      <protection locked="0"/>
    </xf>
    <xf numFmtId="164" fontId="0" fillId="0" borderId="3" xfId="1" applyNumberFormat="1" applyFont="1" applyBorder="1" applyAlignment="1" applyProtection="1">
      <alignment horizontal="center"/>
      <protection locked="0"/>
    </xf>
    <xf numFmtId="164" fontId="0" fillId="0" borderId="27" xfId="1" applyNumberFormat="1" applyFont="1" applyBorder="1" applyAlignment="1" applyProtection="1">
      <alignment horizontal="center"/>
      <protection locked="0"/>
    </xf>
    <xf numFmtId="164" fontId="0" fillId="0" borderId="26" xfId="1" applyNumberFormat="1" applyFont="1" applyBorder="1" applyAlignment="1" applyProtection="1">
      <alignment horizontal="center"/>
      <protection locked="0"/>
    </xf>
    <xf numFmtId="164" fontId="1" fillId="0" borderId="6" xfId="1" applyNumberFormat="1" applyFont="1" applyBorder="1" applyAlignment="1" applyProtection="1">
      <alignment horizontal="center"/>
      <protection locked="0"/>
    </xf>
    <xf numFmtId="164" fontId="1" fillId="0" borderId="8" xfId="1" applyNumberFormat="1" applyFont="1" applyBorder="1" applyAlignment="1" applyProtection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tabSelected="1" topLeftCell="A12" zoomScale="120" zoomScaleNormal="120" workbookViewId="0">
      <selection activeCell="C24" sqref="C24"/>
    </sheetView>
  </sheetViews>
  <sheetFormatPr defaultColWidth="8.85546875" defaultRowHeight="15" x14ac:dyDescent="0.25"/>
  <cols>
    <col min="1" max="1" width="21.85546875" style="1" customWidth="1"/>
    <col min="2" max="2" width="14.85546875" style="1" customWidth="1"/>
    <col min="3" max="3" width="14.5703125" style="1" customWidth="1"/>
    <col min="4" max="4" width="7.42578125" style="1" customWidth="1"/>
    <col min="5" max="5" width="17.42578125" style="1" customWidth="1"/>
    <col min="6" max="6" width="12.85546875" style="1" customWidth="1"/>
    <col min="7" max="7" width="12.5703125" style="1" customWidth="1"/>
    <col min="8" max="8" width="14.28515625" style="1" customWidth="1"/>
    <col min="9" max="16384" width="8.85546875" style="1"/>
  </cols>
  <sheetData>
    <row r="1" spans="1:8" ht="10.35" customHeight="1" x14ac:dyDescent="0.25">
      <c r="A1" s="62" t="s">
        <v>29</v>
      </c>
      <c r="B1" s="63"/>
      <c r="C1" s="63"/>
      <c r="D1" s="63"/>
      <c r="E1" s="63"/>
      <c r="F1" s="63"/>
      <c r="G1" s="63"/>
      <c r="H1" s="64"/>
    </row>
    <row r="2" spans="1:8" ht="12.6" customHeight="1" thickBot="1" x14ac:dyDescent="0.3">
      <c r="A2" s="65"/>
      <c r="B2" s="66"/>
      <c r="C2" s="66"/>
      <c r="D2" s="66"/>
      <c r="E2" s="66"/>
      <c r="F2" s="66"/>
      <c r="G2" s="66"/>
      <c r="H2" s="67"/>
    </row>
    <row r="3" spans="1:8" ht="13.35" customHeight="1" x14ac:dyDescent="0.25">
      <c r="A3" s="56" t="s">
        <v>32</v>
      </c>
      <c r="B3" s="57"/>
      <c r="C3" s="57"/>
      <c r="D3" s="57"/>
      <c r="E3" s="57"/>
      <c r="F3" s="57"/>
      <c r="G3" s="57"/>
      <c r="H3" s="58"/>
    </row>
    <row r="4" spans="1:8" ht="15.75" thickBot="1" x14ac:dyDescent="0.3">
      <c r="A4" s="59"/>
      <c r="B4" s="60"/>
      <c r="C4" s="60"/>
      <c r="D4" s="60"/>
      <c r="E4" s="60"/>
      <c r="F4" s="60"/>
      <c r="G4" s="60"/>
      <c r="H4" s="61"/>
    </row>
    <row r="5" spans="1:8" ht="15.75" thickBot="1" x14ac:dyDescent="0.3">
      <c r="A5" s="2" t="s">
        <v>0</v>
      </c>
      <c r="B5" s="2" t="s">
        <v>23</v>
      </c>
      <c r="C5" s="72" t="s">
        <v>6</v>
      </c>
      <c r="D5" s="73"/>
      <c r="E5" s="2" t="s">
        <v>1</v>
      </c>
      <c r="F5" s="3" t="s">
        <v>2</v>
      </c>
      <c r="G5" s="2" t="s">
        <v>3</v>
      </c>
      <c r="H5" s="4" t="s">
        <v>4</v>
      </c>
    </row>
    <row r="6" spans="1:8" x14ac:dyDescent="0.25">
      <c r="A6" s="5" t="s">
        <v>19</v>
      </c>
      <c r="B6" s="6"/>
      <c r="C6" s="70"/>
      <c r="D6" s="71"/>
      <c r="E6" s="7">
        <f t="shared" ref="E6" si="0">PRODUCT(B6*C6)</f>
        <v>0</v>
      </c>
      <c r="F6" s="7">
        <f t="shared" ref="F6" si="1">PRODUCT(E6*18)/118</f>
        <v>0</v>
      </c>
      <c r="G6" s="7">
        <f>PRODUCT(B6*50)</f>
        <v>0</v>
      </c>
      <c r="H6" s="8">
        <f t="shared" ref="H6" si="2">SUM(F6:G6)</f>
        <v>0</v>
      </c>
    </row>
    <row r="7" spans="1:8" x14ac:dyDescent="0.25">
      <c r="A7" s="5" t="s">
        <v>20</v>
      </c>
      <c r="B7" s="6"/>
      <c r="C7" s="70"/>
      <c r="D7" s="71"/>
      <c r="E7" s="7">
        <f t="shared" ref="E7:E14" si="3">PRODUCT(B7*C7)</f>
        <v>0</v>
      </c>
      <c r="F7" s="7">
        <f t="shared" ref="F7:F22" si="4">PRODUCT(E7*18)/118</f>
        <v>0</v>
      </c>
      <c r="G7" s="7">
        <f>PRODUCT(B7*50)</f>
        <v>0</v>
      </c>
      <c r="H7" s="8">
        <f t="shared" ref="H7:H14" si="5">SUM(F7:G7)</f>
        <v>0</v>
      </c>
    </row>
    <row r="8" spans="1:8" x14ac:dyDescent="0.25">
      <c r="A8" s="9" t="s">
        <v>24</v>
      </c>
      <c r="B8" s="10"/>
      <c r="C8" s="68"/>
      <c r="D8" s="69"/>
      <c r="E8" s="11">
        <f t="shared" si="3"/>
        <v>0</v>
      </c>
      <c r="F8" s="11">
        <f t="shared" si="4"/>
        <v>0</v>
      </c>
      <c r="G8" s="11">
        <f>PRODUCT(B8*50)</f>
        <v>0</v>
      </c>
      <c r="H8" s="12">
        <f t="shared" si="5"/>
        <v>0</v>
      </c>
    </row>
    <row r="9" spans="1:8" x14ac:dyDescent="0.25">
      <c r="A9" s="9" t="s">
        <v>25</v>
      </c>
      <c r="B9" s="10"/>
      <c r="C9" s="68"/>
      <c r="D9" s="69"/>
      <c r="E9" s="11">
        <f t="shared" si="3"/>
        <v>0</v>
      </c>
      <c r="F9" s="11">
        <f t="shared" si="4"/>
        <v>0</v>
      </c>
      <c r="G9" s="11">
        <f>PRODUCT(B9*30)</f>
        <v>0</v>
      </c>
      <c r="H9" s="12">
        <f t="shared" si="5"/>
        <v>0</v>
      </c>
    </row>
    <row r="10" spans="1:8" x14ac:dyDescent="0.25">
      <c r="A10" s="9" t="s">
        <v>26</v>
      </c>
      <c r="B10" s="10"/>
      <c r="C10" s="68"/>
      <c r="D10" s="69"/>
      <c r="E10" s="11">
        <f t="shared" si="3"/>
        <v>0</v>
      </c>
      <c r="F10" s="11">
        <f t="shared" si="4"/>
        <v>0</v>
      </c>
      <c r="G10" s="11">
        <f>PRODUCT(B10*30)</f>
        <v>0</v>
      </c>
      <c r="H10" s="12">
        <f t="shared" si="5"/>
        <v>0</v>
      </c>
    </row>
    <row r="11" spans="1:8" x14ac:dyDescent="0.25">
      <c r="A11" s="9" t="s">
        <v>27</v>
      </c>
      <c r="B11" s="10"/>
      <c r="C11" s="68"/>
      <c r="D11" s="69"/>
      <c r="E11" s="11">
        <f t="shared" si="3"/>
        <v>0</v>
      </c>
      <c r="F11" s="11">
        <f t="shared" si="4"/>
        <v>0</v>
      </c>
      <c r="G11" s="11">
        <f>PRODUCT(B11*20)</f>
        <v>0</v>
      </c>
      <c r="H11" s="12">
        <f t="shared" si="5"/>
        <v>0</v>
      </c>
    </row>
    <row r="12" spans="1:8" x14ac:dyDescent="0.25">
      <c r="A12" s="9" t="s">
        <v>27</v>
      </c>
      <c r="B12" s="10"/>
      <c r="C12" s="68"/>
      <c r="D12" s="69"/>
      <c r="E12" s="11">
        <f t="shared" si="3"/>
        <v>0</v>
      </c>
      <c r="F12" s="11">
        <f>PRODUCT(E12*18)/118</f>
        <v>0</v>
      </c>
      <c r="G12" s="11">
        <f>PRODUCT(B12*20)</f>
        <v>0</v>
      </c>
      <c r="H12" s="12">
        <f t="shared" si="5"/>
        <v>0</v>
      </c>
    </row>
    <row r="13" spans="1:8" x14ac:dyDescent="0.25">
      <c r="A13" s="9" t="s">
        <v>28</v>
      </c>
      <c r="B13" s="10"/>
      <c r="C13" s="68"/>
      <c r="D13" s="69"/>
      <c r="E13" s="11">
        <f t="shared" si="3"/>
        <v>0</v>
      </c>
      <c r="F13" s="11">
        <f t="shared" si="4"/>
        <v>0</v>
      </c>
      <c r="G13" s="11">
        <f>PRODUCT(B13*30)</f>
        <v>0</v>
      </c>
      <c r="H13" s="12">
        <f t="shared" si="5"/>
        <v>0</v>
      </c>
    </row>
    <row r="14" spans="1:8" ht="15.75" thickBot="1" x14ac:dyDescent="0.3">
      <c r="A14" s="13" t="s">
        <v>28</v>
      </c>
      <c r="B14" s="10"/>
      <c r="C14" s="68"/>
      <c r="D14" s="69"/>
      <c r="E14" s="11">
        <f t="shared" si="3"/>
        <v>0</v>
      </c>
      <c r="F14" s="11">
        <f t="shared" si="4"/>
        <v>0</v>
      </c>
      <c r="G14" s="11">
        <f>PRODUCT(B14*30)</f>
        <v>0</v>
      </c>
      <c r="H14" s="12">
        <f t="shared" si="5"/>
        <v>0</v>
      </c>
    </row>
    <row r="15" spans="1:8" ht="22.7" customHeight="1" thickBot="1" x14ac:dyDescent="0.45">
      <c r="A15" s="53" t="s">
        <v>7</v>
      </c>
      <c r="B15" s="54"/>
      <c r="C15" s="54"/>
      <c r="D15" s="54"/>
      <c r="E15" s="54"/>
      <c r="F15" s="54"/>
      <c r="G15" s="54"/>
      <c r="H15" s="55"/>
    </row>
    <row r="16" spans="1:8" ht="15.75" thickBot="1" x14ac:dyDescent="0.3">
      <c r="A16" s="14" t="s">
        <v>0</v>
      </c>
      <c r="B16" s="14" t="s">
        <v>23</v>
      </c>
      <c r="C16" s="14" t="s">
        <v>8</v>
      </c>
      <c r="D16" s="14" t="s">
        <v>3</v>
      </c>
      <c r="E16" s="15" t="s">
        <v>1</v>
      </c>
      <c r="F16" s="15" t="s">
        <v>10</v>
      </c>
      <c r="G16" s="15" t="s">
        <v>3</v>
      </c>
      <c r="H16" s="16" t="s">
        <v>11</v>
      </c>
    </row>
    <row r="17" spans="1:9" x14ac:dyDescent="0.25">
      <c r="A17" s="17" t="s">
        <v>30</v>
      </c>
      <c r="B17" s="18">
        <v>1000</v>
      </c>
      <c r="C17" s="18">
        <v>2124</v>
      </c>
      <c r="D17" s="18">
        <v>40</v>
      </c>
      <c r="E17" s="11">
        <f>PRODUCT(B17*C17)</f>
        <v>2124000</v>
      </c>
      <c r="F17" s="11">
        <f t="shared" si="4"/>
        <v>324000</v>
      </c>
      <c r="G17" s="11">
        <f>PRODUCT(B17*D17)</f>
        <v>40000</v>
      </c>
      <c r="H17" s="12">
        <f>SUM(F17:G17)</f>
        <v>364000</v>
      </c>
    </row>
    <row r="18" spans="1:9" x14ac:dyDescent="0.25">
      <c r="A18" s="19" t="s">
        <v>27</v>
      </c>
      <c r="B18" s="20">
        <v>800</v>
      </c>
      <c r="C18" s="20">
        <v>1357</v>
      </c>
      <c r="D18" s="20">
        <v>40</v>
      </c>
      <c r="E18" s="11">
        <f t="shared" ref="E18:E22" si="6">PRODUCT(B18*C18)</f>
        <v>1085600</v>
      </c>
      <c r="F18" s="11">
        <f t="shared" si="4"/>
        <v>165600</v>
      </c>
      <c r="G18" s="11">
        <f t="shared" ref="G18:G22" si="7">PRODUCT(B18*D18)</f>
        <v>32000</v>
      </c>
      <c r="H18" s="12">
        <f t="shared" ref="H18:H22" si="8">SUM(F18:G18)</f>
        <v>197600</v>
      </c>
    </row>
    <row r="19" spans="1:9" x14ac:dyDescent="0.25">
      <c r="A19" s="21"/>
      <c r="B19" s="22"/>
      <c r="C19" s="22"/>
      <c r="D19" s="22"/>
      <c r="E19" s="11">
        <f t="shared" si="6"/>
        <v>0</v>
      </c>
      <c r="F19" s="11">
        <f t="shared" si="4"/>
        <v>0</v>
      </c>
      <c r="G19" s="11">
        <f t="shared" si="7"/>
        <v>0</v>
      </c>
      <c r="H19" s="12">
        <f t="shared" si="8"/>
        <v>0</v>
      </c>
    </row>
    <row r="20" spans="1:9" x14ac:dyDescent="0.25">
      <c r="A20" s="21"/>
      <c r="B20" s="22"/>
      <c r="C20" s="22"/>
      <c r="D20" s="22"/>
      <c r="E20" s="11">
        <f t="shared" si="6"/>
        <v>0</v>
      </c>
      <c r="F20" s="11">
        <f t="shared" si="4"/>
        <v>0</v>
      </c>
      <c r="G20" s="11">
        <f t="shared" si="7"/>
        <v>0</v>
      </c>
      <c r="H20" s="12">
        <f t="shared" si="8"/>
        <v>0</v>
      </c>
    </row>
    <row r="21" spans="1:9" x14ac:dyDescent="0.25">
      <c r="A21" s="21" t="s">
        <v>5</v>
      </c>
      <c r="B21" s="22"/>
      <c r="C21" s="22"/>
      <c r="D21" s="22"/>
      <c r="E21" s="11">
        <f t="shared" si="6"/>
        <v>0</v>
      </c>
      <c r="F21" s="11">
        <f t="shared" si="4"/>
        <v>0</v>
      </c>
      <c r="G21" s="11">
        <f t="shared" si="7"/>
        <v>0</v>
      </c>
      <c r="H21" s="12">
        <f t="shared" si="8"/>
        <v>0</v>
      </c>
    </row>
    <row r="22" spans="1:9" x14ac:dyDescent="0.25">
      <c r="A22" s="21" t="s">
        <v>5</v>
      </c>
      <c r="B22" s="22"/>
      <c r="C22" s="22"/>
      <c r="D22" s="22"/>
      <c r="E22" s="11">
        <f t="shared" si="6"/>
        <v>0</v>
      </c>
      <c r="F22" s="11">
        <f t="shared" si="4"/>
        <v>0</v>
      </c>
      <c r="G22" s="11">
        <f t="shared" si="7"/>
        <v>0</v>
      </c>
      <c r="H22" s="12">
        <f t="shared" si="8"/>
        <v>0</v>
      </c>
    </row>
    <row r="23" spans="1:9" ht="15.75" thickBot="1" x14ac:dyDescent="0.3">
      <c r="A23" s="25" t="s">
        <v>9</v>
      </c>
      <c r="B23" s="26"/>
      <c r="C23" s="26"/>
      <c r="D23" s="26"/>
      <c r="E23" s="27">
        <f>SUM(E6:E22)</f>
        <v>3209600</v>
      </c>
      <c r="F23" s="27">
        <f>SUM(F6:F22)</f>
        <v>489600</v>
      </c>
      <c r="G23" s="27">
        <f>SUM(G6:G22)</f>
        <v>72000</v>
      </c>
      <c r="H23" s="28">
        <f>SUM(F23:G23)</f>
        <v>561600</v>
      </c>
    </row>
    <row r="24" spans="1:9" ht="15.75" thickBot="1" x14ac:dyDescent="0.3">
      <c r="A24" s="51" t="s">
        <v>13</v>
      </c>
      <c r="B24" s="52"/>
      <c r="C24" s="32">
        <v>561600</v>
      </c>
      <c r="D24" s="30"/>
      <c r="E24" s="42" t="s">
        <v>21</v>
      </c>
      <c r="F24" s="42"/>
      <c r="G24" s="42"/>
      <c r="H24" s="42"/>
      <c r="I24" s="31"/>
    </row>
    <row r="25" spans="1:9" ht="15.75" thickBot="1" x14ac:dyDescent="0.3">
      <c r="A25" s="51" t="s">
        <v>17</v>
      </c>
      <c r="B25" s="52"/>
      <c r="C25" s="33"/>
      <c r="D25" s="41"/>
      <c r="E25" s="43" t="s">
        <v>14</v>
      </c>
      <c r="F25" s="44"/>
      <c r="G25" s="32" t="s">
        <v>15</v>
      </c>
      <c r="H25" s="29" t="s">
        <v>16</v>
      </c>
      <c r="I25" s="31"/>
    </row>
    <row r="26" spans="1:9" ht="15.75" thickBot="1" x14ac:dyDescent="0.3">
      <c r="A26" s="51" t="s">
        <v>22</v>
      </c>
      <c r="B26" s="52"/>
      <c r="C26" s="32"/>
      <c r="D26" s="41"/>
      <c r="E26" s="45"/>
      <c r="F26" s="46"/>
      <c r="G26" s="35"/>
      <c r="H26" s="36"/>
      <c r="I26" s="31"/>
    </row>
    <row r="27" spans="1:9" ht="15.75" thickBot="1" x14ac:dyDescent="0.3">
      <c r="A27" s="51" t="s">
        <v>18</v>
      </c>
      <c r="B27" s="52"/>
      <c r="C27" s="32"/>
      <c r="D27" s="41"/>
      <c r="E27" s="47"/>
      <c r="F27" s="48"/>
      <c r="G27" s="34"/>
      <c r="H27" s="37"/>
      <c r="I27" s="31"/>
    </row>
    <row r="28" spans="1:9" x14ac:dyDescent="0.25">
      <c r="B28" s="23" t="s">
        <v>12</v>
      </c>
      <c r="C28" s="1" t="s">
        <v>31</v>
      </c>
      <c r="D28" s="41"/>
      <c r="E28" s="49"/>
      <c r="F28" s="50"/>
      <c r="G28" s="34"/>
      <c r="H28" s="37"/>
      <c r="I28" s="31"/>
    </row>
    <row r="29" spans="1:9" x14ac:dyDescent="0.25">
      <c r="D29" s="41"/>
      <c r="E29" s="49"/>
      <c r="F29" s="50"/>
      <c r="G29" s="34"/>
      <c r="H29" s="37"/>
      <c r="I29" s="31"/>
    </row>
    <row r="30" spans="1:9" ht="15.75" thickBot="1" x14ac:dyDescent="0.3">
      <c r="E30" s="39"/>
      <c r="F30" s="40"/>
      <c r="G30" s="38"/>
      <c r="H30" s="24"/>
    </row>
  </sheetData>
  <sheetProtection algorithmName="SHA-512" hashValue="sDOG+eN1Q4cD+oekDQYUshyw3vX+oa596T5/hA66JIOMWOmYQQYj++OoBzTpl1FC+FhjJ51wmtcjgr8VYC/azQ==" saltValue="7mo9gd1JOkzEe8Gv5k0mYA==" spinCount="100000" sheet="1" objects="1" scenarios="1" insertHyperlinks="0"/>
  <mergeCells count="25">
    <mergeCell ref="A3:H4"/>
    <mergeCell ref="A1:H2"/>
    <mergeCell ref="C14:D14"/>
    <mergeCell ref="C13:D13"/>
    <mergeCell ref="C12:D12"/>
    <mergeCell ref="C11:D11"/>
    <mergeCell ref="C10:D10"/>
    <mergeCell ref="C9:D9"/>
    <mergeCell ref="C8:D8"/>
    <mergeCell ref="C7:D7"/>
    <mergeCell ref="C5:D5"/>
    <mergeCell ref="C6:D6"/>
    <mergeCell ref="A24:B24"/>
    <mergeCell ref="A25:B25"/>
    <mergeCell ref="A26:B26"/>
    <mergeCell ref="A27:B27"/>
    <mergeCell ref="A15:H15"/>
    <mergeCell ref="E30:F30"/>
    <mergeCell ref="D25:D29"/>
    <mergeCell ref="E24:H24"/>
    <mergeCell ref="E25:F25"/>
    <mergeCell ref="E26:F26"/>
    <mergeCell ref="E27:F27"/>
    <mergeCell ref="E28:F28"/>
    <mergeCell ref="E29:F29"/>
  </mergeCells>
  <pageMargins left="0.7" right="0.7" top="0.75" bottom="0.75" header="0.3" footer="0.3"/>
  <pageSetup scale="11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HP</cp:lastModifiedBy>
  <cp:lastPrinted>2023-09-17T18:06:28Z</cp:lastPrinted>
  <dcterms:created xsi:type="dcterms:W3CDTF">2023-07-12T14:04:23Z</dcterms:created>
  <dcterms:modified xsi:type="dcterms:W3CDTF">2026-04-14T07:01:10Z</dcterms:modified>
</cp:coreProperties>
</file>