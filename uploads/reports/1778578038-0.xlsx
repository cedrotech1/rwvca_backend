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1" i="5" l="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<sst xmlns="http://schemas.openxmlformats.org/spreadsheetml/2006/main" count="1734" uniqueCount="90">
  <si>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</si>
  <si>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</si>
  <si>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</si>
  <si>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</si>
  <si>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</si>
  <si>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</si>
  <si>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</si>
  <si>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</si>
  <si>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</si>
  <si>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</si>
  <si>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</si>
  <si>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</si>
  <si>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</si>
  <si>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</si>
  <si>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</si>
  <si>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</si>
  <si>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</si>
  <si>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</si>
  <si>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</si>
  <si>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</si>
  <si>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</si>
  <si>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</si>
  <si>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</si>
  <si>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</si>
  <si>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</si>
  <si>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</si>
  <si>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</si>
  <si>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</si>
  <si>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</si>
  <si>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</si>
  <si>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</si>
  <si>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</si>
  <si>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</si>
  <si>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</si>
  <si>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</si>
  <si>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</si>
  <si>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</si>
  <si>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</si>
  <si>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</si>
  <si>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</si>
  <si>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</si>
  <si>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</si>
  <si>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</si>
  <si>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</si>
  <si>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</si>
  <si>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</si>
  <si>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</si>
  <si>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</si>
  <si>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</si>
  <si>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</si>
  <si>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</si>
  <si>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</si>
  <si>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</si>
  <si>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</si>
  <si>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</si>
  <si>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</si>
  <si>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</si>
  <si>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</si>
  <si>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</si>
  <si>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</si>
  <si>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</si>
  <si>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</si>
  <si>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</si>
  <si>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</si>
  <si>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</si>
  <si>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</si>
  <si>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</si>
  <si>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</si>
  <si>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</si>
  <si>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</si>
  <si>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</si>
  <si>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</si>
  <si>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</si>
  <si>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</si>
  <si>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</si>
  <si>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</si>
  <si>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</si>
  <si>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</si>
  <si>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</si>
  <si>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</si>
  <si>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</si>
  <si>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</si>
  <si>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</si>
  <si>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</si>
  <si>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</si>
  <si>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</si>
  <si>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</si>
  <si>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</si>
  <si>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</si>
  <si>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01-10/5/2026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</si>
</sst>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7" t="s">
        <v>37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82"/>
      <c r="M1" s="82"/>
      <c r="N1" s="82"/>
    </row>
    <row r="2" spans="1:15" ht="31" customHeight="1">
      <c r="A2" s="119" t="s">
        <v>36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82"/>
      <c r="M2" s="82"/>
      <c r="N2" s="82"/>
    </row>
    <row r="3" spans="1:15" ht="15" customHeight="1" thickBo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3118680</v>
      </c>
      <c r="C8" s="48">
        <f>BISHENYI!G37</f>
        <v>255490</v>
      </c>
      <c r="D8" s="48">
        <f>BISHENYI!C43</f>
        <v>0</v>
      </c>
      <c r="E8" s="48">
        <f>BISHENYI!C44</f>
        <v>0</v>
      </c>
      <c r="F8" s="50">
        <f t="shared" si="0"/>
        <v>3374170</v>
      </c>
      <c r="G8" s="47">
        <f>BISHENYI!C41</f>
        <v>0</v>
      </c>
      <c r="H8" s="48">
        <f>BISHENYI!C39</f>
        <v>3374170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3118680</v>
      </c>
      <c r="C29" s="70">
        <f t="shared" si="1"/>
        <v>255490</v>
      </c>
      <c r="D29" s="71">
        <f t="shared" si="1"/>
        <v>0</v>
      </c>
      <c r="E29" s="70">
        <f t="shared" si="1"/>
        <v>0</v>
      </c>
      <c r="F29" s="70">
        <f>SUM(F5:F28)</f>
        <v>3374170</v>
      </c>
      <c r="G29" s="71">
        <f>SUM(G5:G28)</f>
        <v>0</v>
      </c>
      <c r="H29" s="71">
        <f>SUM(H5:H28)</f>
        <v>3374170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6"/>
      <c r="B30" s="156"/>
      <c r="C30" s="156"/>
      <c r="D30" s="157"/>
      <c r="E30" s="147" t="s">
        <v>11</v>
      </c>
      <c r="F30" s="148"/>
      <c r="G30" s="148"/>
      <c r="H30" s="148"/>
      <c r="I30" s="149"/>
      <c r="J30" s="121"/>
      <c r="K30" s="122"/>
      <c r="L30" s="82"/>
    </row>
    <row r="31" spans="1:15" ht="19" thickBot="1">
      <c r="A31" s="144" t="s">
        <v>9</v>
      </c>
      <c r="B31" s="145"/>
      <c r="C31" s="145"/>
      <c r="D31" s="145"/>
      <c r="E31" s="150"/>
      <c r="F31" s="151"/>
      <c r="G31" s="151"/>
      <c r="H31" s="151"/>
      <c r="I31" s="152"/>
      <c r="J31" s="123"/>
      <c r="K31" s="124"/>
      <c r="L31" s="82"/>
    </row>
    <row r="32" spans="1:15" ht="15" thickBot="1">
      <c r="A32" s="140" t="s">
        <v>12</v>
      </c>
      <c r="B32" s="141"/>
      <c r="C32" s="158">
        <f>SUM(B29+C29)</f>
        <v>3374170</v>
      </c>
      <c r="D32" s="159"/>
      <c r="E32" s="150"/>
      <c r="F32" s="151"/>
      <c r="G32" s="151"/>
      <c r="H32" s="151"/>
      <c r="I32" s="152"/>
      <c r="J32" s="123"/>
      <c r="K32" s="124"/>
      <c r="L32" s="82"/>
    </row>
    <row r="33" spans="1:12" ht="15" thickBot="1">
      <c r="A33" s="140" t="s">
        <v>13</v>
      </c>
      <c r="B33" s="141"/>
      <c r="C33" s="136">
        <f>SUM(F29,G29)</f>
        <v>3374170</v>
      </c>
      <c r="D33" s="146"/>
      <c r="E33" s="150"/>
      <c r="F33" s="151"/>
      <c r="G33" s="151"/>
      <c r="H33" s="151"/>
      <c r="I33" s="152"/>
      <c r="J33" s="123"/>
      <c r="K33" s="124"/>
      <c r="L33" s="82"/>
    </row>
    <row r="34" spans="1:12" ht="15" thickBot="1">
      <c r="A34" s="138" t="s">
        <v>81</v>
      </c>
      <c r="B34" s="139"/>
      <c r="C34" s="136">
        <f>SUM(H29,J29,I29+G29)</f>
        <v>3374170</v>
      </c>
      <c r="D34" s="137"/>
      <c r="E34" s="150"/>
      <c r="F34" s="151"/>
      <c r="G34" s="151"/>
      <c r="H34" s="151"/>
      <c r="I34" s="152"/>
      <c r="J34" s="123"/>
      <c r="K34" s="124"/>
      <c r="L34" s="82"/>
    </row>
    <row r="35" spans="1:12" ht="15" thickBot="1">
      <c r="A35" s="140" t="s">
        <v>10</v>
      </c>
      <c r="B35" s="141"/>
      <c r="C35" s="136">
        <f>SUM(D29:E29)</f>
        <v>0</v>
      </c>
      <c r="D35" s="137"/>
      <c r="E35" s="153"/>
      <c r="F35" s="154"/>
      <c r="G35" s="154"/>
      <c r="H35" s="154"/>
      <c r="I35" s="155"/>
      <c r="J35" s="123"/>
      <c r="K35" s="124"/>
      <c r="L35" s="82"/>
    </row>
    <row r="36" spans="1:12" ht="15" thickBot="1">
      <c r="A36" s="140" t="s">
        <v>83</v>
      </c>
      <c r="B36" s="141"/>
      <c r="C36" s="136">
        <f>SUM(H29+I29+J29+C35)</f>
        <v>3374170</v>
      </c>
      <c r="D36" s="137"/>
      <c r="E36" s="127" t="s">
        <v>35</v>
      </c>
      <c r="F36" s="128"/>
      <c r="G36" s="128"/>
      <c r="H36" s="128"/>
      <c r="I36" s="129"/>
      <c r="J36" s="123"/>
      <c r="K36" s="124"/>
      <c r="L36" s="82"/>
    </row>
    <row r="37" spans="1:12" ht="15" thickBot="1">
      <c r="A37" s="142" t="s">
        <v>14</v>
      </c>
      <c r="B37" s="143"/>
      <c r="C37" s="136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3374170</v>
      </c>
      <c r="D37" s="137"/>
      <c r="E37" s="130"/>
      <c r="F37" s="131"/>
      <c r="G37" s="131"/>
      <c r="H37" s="131"/>
      <c r="I37" s="132"/>
      <c r="J37" s="123"/>
      <c r="K37" s="124"/>
      <c r="L37" s="82"/>
    </row>
    <row r="38" spans="1:12" ht="26.5" thickBot="1">
      <c r="A38" s="133" t="s">
        <v>15</v>
      </c>
      <c r="B38" s="134"/>
      <c r="C38" s="134"/>
      <c r="D38" s="134"/>
      <c r="E38" s="134"/>
      <c r="F38" s="134"/>
      <c r="G38" s="134"/>
      <c r="H38" s="134"/>
      <c r="I38" s="135"/>
      <c r="J38" s="125"/>
      <c r="K38" s="12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35" workbookViewId="0">
      <selection activeCell="C42" sqref="C42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>
        <v>100</v>
      </c>
      <c r="C7" s="222">
        <v>7670</v>
      </c>
      <c r="D7" s="223"/>
      <c r="E7" s="10">
        <f t="shared" si="0"/>
        <v>767000</v>
      </c>
      <c r="F7" s="10">
        <f t="shared" si="1"/>
        <v>117000</v>
      </c>
      <c r="G7" s="10">
        <f>PRODUCT(B7*50)</f>
        <v>5000</v>
      </c>
      <c r="H7" s="99">
        <f t="shared" si="2"/>
        <v>122000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7883</v>
      </c>
      <c r="C11" s="199">
        <v>2360</v>
      </c>
      <c r="D11" s="200"/>
      <c r="E11" s="12">
        <f t="shared" si="0"/>
        <v>18603880</v>
      </c>
      <c r="F11" s="12">
        <f t="shared" si="1"/>
        <v>2837880</v>
      </c>
      <c r="G11" s="12">
        <f>PRODUCT(B11*30)</f>
        <v>236490</v>
      </c>
      <c r="H11" s="100">
        <f t="shared" si="2"/>
        <v>3074370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700</v>
      </c>
      <c r="C13" s="199">
        <v>1534</v>
      </c>
      <c r="D13" s="200"/>
      <c r="E13" s="12">
        <f t="shared" si="0"/>
        <v>1073800</v>
      </c>
      <c r="F13" s="12">
        <f t="shared" si="1"/>
        <v>163800</v>
      </c>
      <c r="G13" s="12">
        <f>PRODUCT(B13*20)</f>
        <v>14000</v>
      </c>
      <c r="H13" s="100">
        <f t="shared" si="2"/>
        <v>177800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>
        <v>2000</v>
      </c>
      <c r="D18" s="27">
        <v>50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20444680</v>
      </c>
      <c r="F37" s="24">
        <f>SUM(F5:F36)</f>
        <v>3118680</v>
      </c>
      <c r="G37" s="24">
        <f t="shared" ref="G37:H37" si="10">SUM(G5:G36)</f>
        <v>255490</v>
      </c>
      <c r="H37" s="24">
        <f t="shared" si="10"/>
        <v>3374170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3374170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3374170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7883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100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700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8683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7883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100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700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8683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2026-05-11T18:39:54Z</dcterms:modified>
</cp:coreProperties>
</file>