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C71A3FE-FBEA-490D-BFD5-4B316B5015CD}" xr6:coauthVersionLast="47" xr6:coauthVersionMax="47" xr10:uidLastSave="{00000000-0000-0000-0000-000000000000}"/>
  <bookViews>
    <workbookView xWindow="-110" yWindow="-110" windowWidth="19420" windowHeight="10300" tabRatio="965" firstSheet="12" activeTab="17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7" l="1"/>
  <c r="E54" i="26"/>
  <c r="E54" i="25"/>
  <c r="E54" i="24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F11" i="18"/>
  <c r="E11" i="18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H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H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H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H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H7" i="17" s="1"/>
  <c r="G6" i="17"/>
  <c r="E6" i="17"/>
  <c r="G28" i="16"/>
  <c r="E28" i="16"/>
  <c r="F28" i="16" s="1"/>
  <c r="G27" i="16"/>
  <c r="E27" i="16"/>
  <c r="F27" i="16" s="1"/>
  <c r="G26" i="16"/>
  <c r="E26" i="16"/>
  <c r="F26" i="16" s="1"/>
  <c r="H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F20" i="16"/>
  <c r="E20" i="16"/>
  <c r="G19" i="16"/>
  <c r="E19" i="16"/>
  <c r="F19" i="16" s="1"/>
  <c r="H19" i="16" s="1"/>
  <c r="G18" i="16"/>
  <c r="E18" i="16"/>
  <c r="F18" i="16" s="1"/>
  <c r="G17" i="16"/>
  <c r="E17" i="16"/>
  <c r="F17" i="16" s="1"/>
  <c r="H17" i="16" s="1"/>
  <c r="G14" i="16"/>
  <c r="E14" i="16"/>
  <c r="F14" i="16" s="1"/>
  <c r="G13" i="16"/>
  <c r="E13" i="16"/>
  <c r="F13" i="16" s="1"/>
  <c r="H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H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G19" i="13"/>
  <c r="F19" i="13"/>
  <c r="E19" i="13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H6" i="13" s="1"/>
  <c r="G14" i="12"/>
  <c r="E14" i="12"/>
  <c r="F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H9" i="10" s="1"/>
  <c r="G8" i="10"/>
  <c r="E8" i="10"/>
  <c r="F8" i="10" s="1"/>
  <c r="G7" i="10"/>
  <c r="E7" i="10"/>
  <c r="F7" i="10" s="1"/>
  <c r="G6" i="10"/>
  <c r="E6" i="10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F6" i="9"/>
  <c r="E6" i="9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19" i="15" l="1"/>
  <c r="H13" i="15"/>
  <c r="H11" i="5"/>
  <c r="H17" i="5"/>
  <c r="H21" i="5"/>
  <c r="H25" i="5"/>
  <c r="H10" i="19"/>
  <c r="H14" i="19"/>
  <c r="H20" i="19"/>
  <c r="H24" i="19"/>
  <c r="H28" i="19"/>
  <c r="H9" i="6"/>
  <c r="H13" i="6"/>
  <c r="H19" i="6"/>
  <c r="H23" i="6"/>
  <c r="H27" i="6"/>
  <c r="G37" i="12"/>
  <c r="H8" i="14"/>
  <c r="H12" i="14"/>
  <c r="H18" i="14"/>
  <c r="H22" i="14"/>
  <c r="H26" i="14"/>
  <c r="H7" i="15"/>
  <c r="H11" i="15"/>
  <c r="H17" i="15"/>
  <c r="H21" i="15"/>
  <c r="H25" i="15"/>
  <c r="H23" i="16"/>
  <c r="H20" i="13"/>
  <c r="H14" i="16"/>
  <c r="G37" i="8"/>
  <c r="H28" i="16"/>
  <c r="H12" i="18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10" i="12"/>
  <c r="H14" i="12"/>
  <c r="H9" i="13"/>
  <c r="H13" i="22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C15" i="1" s="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C11" i="1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C16" i="1"/>
  <c r="E62" i="12"/>
  <c r="E54" i="15"/>
  <c r="G29" i="15"/>
  <c r="C19" i="1" s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C13" i="1"/>
  <c r="H10" i="10"/>
  <c r="H10" i="15"/>
  <c r="E54" i="18"/>
  <c r="E29" i="17"/>
  <c r="H10" i="14"/>
  <c r="F29" i="18"/>
  <c r="F6" i="17"/>
  <c r="F29" i="16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9" l="1"/>
  <c r="H37" i="11"/>
  <c r="H6" i="12"/>
  <c r="H37" i="12" s="1"/>
  <c r="F37" i="12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B16" i="1"/>
  <c r="F16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C5" i="1" s="1"/>
  <c r="F10" i="2"/>
  <c r="E37" i="2"/>
  <c r="H8" i="2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<sst xmlns="http://schemas.openxmlformats.org/spreadsheetml/2006/main" count="1779" uniqueCount="85">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</sst>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1">
    <xf numFmtId="0" fontId="0" fillId="0" borderId="0" xfId="0"/>
    <xf numFmtId="164" fontId="3" fillId="0" borderId="6" xfId="1" applyNumberFormat="1" applyFont="1" applyBorder="1" applyProtection="1">
      <protection locked="0"/>
    </xf>
    <xf numFmtId="164" fontId="3" fillId="0" borderId="9" xfId="1" applyNumberFormat="1" applyFont="1" applyFill="1" applyBorder="1" applyProtection="1">
      <protection locked="0"/>
    </xf>
    <xf numFmtId="164" fontId="3" fillId="0" borderId="7" xfId="1" applyNumberFormat="1" applyFont="1" applyBorder="1" applyProtection="1">
      <protection locked="0"/>
    </xf>
    <xf numFmtId="164" fontId="3" fillId="0" borderId="10" xfId="1" applyNumberFormat="1" applyFont="1" applyFill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11" fillId="0" borderId="30" xfId="1" applyNumberFormat="1" applyFont="1" applyBorder="1" applyProtection="1">
      <protection hidden="1"/>
    </xf>
    <xf numFmtId="164" fontId="11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locked="0"/>
    </xf>
    <xf numFmtId="164" fontId="11" fillId="0" borderId="34" xfId="1" applyNumberFormat="1" applyFont="1" applyBorder="1" applyProtection="1">
      <protection hidden="1"/>
    </xf>
    <xf numFmtId="164" fontId="11" fillId="0" borderId="35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11" fillId="0" borderId="1" xfId="1" applyNumberFormat="1" applyFont="1" applyBorder="1" applyAlignment="1" applyProtection="1">
      <alignment horizontal="center"/>
      <protection locked="0"/>
    </xf>
    <xf numFmtId="164" fontId="11" fillId="0" borderId="1" xfId="1" applyNumberFormat="1" applyFont="1" applyBorder="1" applyProtection="1">
      <protection hidden="1"/>
    </xf>
    <xf numFmtId="164" fontId="11" fillId="0" borderId="5" xfId="1" applyNumberFormat="1" applyFont="1" applyBorder="1" applyProtection="1">
      <protection hidden="1"/>
    </xf>
    <xf numFmtId="164" fontId="11" fillId="4" borderId="23" xfId="1" applyNumberFormat="1" applyFont="1" applyFill="1" applyBorder="1" applyProtection="1">
      <protection hidden="1"/>
    </xf>
    <xf numFmtId="164" fontId="11" fillId="0" borderId="6" xfId="1" applyNumberFormat="1" applyFont="1" applyBorder="1" applyProtection="1">
      <protection hidden="1"/>
    </xf>
    <xf numFmtId="164" fontId="11" fillId="0" borderId="7" xfId="1" applyNumberFormat="1" applyFont="1" applyBorder="1" applyProtection="1">
      <protection hidden="1"/>
    </xf>
    <xf numFmtId="164" fontId="11" fillId="0" borderId="8" xfId="1" applyNumberFormat="1" applyFont="1" applyBorder="1" applyProtection="1">
      <protection hidden="1"/>
    </xf>
    <xf numFmtId="164" fontId="11" fillId="0" borderId="9" xfId="1" applyNumberFormat="1" applyFont="1" applyBorder="1" applyProtection="1">
      <protection hidden="1"/>
    </xf>
    <xf numFmtId="164" fontId="11" fillId="0" borderId="10" xfId="1" applyNumberFormat="1" applyFont="1" applyBorder="1" applyProtection="1">
      <protection hidden="1"/>
    </xf>
    <xf numFmtId="164" fontId="11" fillId="4" borderId="36" xfId="1" applyNumberFormat="1" applyFont="1" applyFill="1" applyBorder="1" applyProtection="1">
      <protection hidden="1"/>
    </xf>
    <xf numFmtId="164" fontId="11" fillId="0" borderId="37" xfId="1" applyNumberFormat="1" applyFont="1" applyBorder="1" applyProtection="1">
      <protection hidden="1"/>
    </xf>
    <xf numFmtId="164" fontId="11" fillId="4" borderId="2" xfId="1" applyNumberFormat="1" applyFont="1" applyFill="1" applyBorder="1" applyAlignment="1" applyProtection="1">
      <alignment vertical="center"/>
      <protection locked="0"/>
    </xf>
    <xf numFmtId="164" fontId="8" fillId="4" borderId="38" xfId="1" applyNumberFormat="1" applyFont="1" applyFill="1" applyBorder="1" applyProtection="1">
      <protection locked="0"/>
    </xf>
    <xf numFmtId="164" fontId="11" fillId="4" borderId="39" xfId="1" applyNumberFormat="1" applyFont="1" applyFill="1" applyBorder="1" applyProtection="1">
      <protection hidden="1"/>
    </xf>
    <xf numFmtId="164" fontId="11" fillId="4" borderId="1" xfId="1" applyNumberFormat="1" applyFont="1" applyFill="1" applyBorder="1" applyProtection="1">
      <protection hidden="1"/>
    </xf>
    <xf numFmtId="164" fontId="11" fillId="0" borderId="40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4" fontId="18" fillId="0" borderId="7" xfId="1" applyNumberFormat="1" applyFont="1" applyBorder="1" applyProtection="1">
      <protection locked="0"/>
    </xf>
    <xf numFmtId="164" fontId="11" fillId="5" borderId="1" xfId="1" applyNumberFormat="1" applyFont="1" applyFill="1" applyBorder="1" applyProtection="1">
      <protection locked="0"/>
    </xf>
    <xf numFmtId="164" fontId="11" fillId="5" borderId="27" xfId="1" applyNumberFormat="1" applyFont="1" applyFill="1" applyBorder="1" applyProtection="1">
      <protection locked="0"/>
    </xf>
    <xf numFmtId="164" fontId="11" fillId="5" borderId="7" xfId="1" applyNumberFormat="1" applyFont="1" applyFill="1" applyBorder="1" applyProtection="1">
      <protection locked="0"/>
    </xf>
    <xf numFmtId="164" fontId="13" fillId="5" borderId="7" xfId="1" applyNumberFormat="1" applyFont="1" applyFill="1" applyBorder="1" applyProtection="1">
      <protection locked="0"/>
    </xf>
    <xf numFmtId="164" fontId="18" fillId="5" borderId="7" xfId="1" applyNumberFormat="1" applyFont="1" applyFill="1" applyBorder="1" applyProtection="1">
      <protection locked="0"/>
    </xf>
    <xf numFmtId="164" fontId="11" fillId="3" borderId="1" xfId="1" applyNumberFormat="1" applyFont="1" applyFill="1" applyBorder="1" applyProtection="1">
      <protection locked="0"/>
    </xf>
    <xf numFmtId="164" fontId="11" fillId="3" borderId="4" xfId="1" applyNumberFormat="1" applyFont="1" applyFill="1" applyBorder="1" applyProtection="1">
      <protection locked="0"/>
    </xf>
    <xf numFmtId="164" fontId="11" fillId="3" borderId="5" xfId="1" applyNumberFormat="1" applyFont="1" applyFill="1" applyBorder="1" applyProtection="1">
      <protection locked="0"/>
    </xf>
    <xf numFmtId="164" fontId="11" fillId="4" borderId="1" xfId="1" applyNumberFormat="1" applyFont="1" applyFill="1" applyBorder="1" applyAlignment="1" applyProtection="1">
      <alignment horizontal="center"/>
      <protection locked="0"/>
    </xf>
    <xf numFmtId="164" fontId="13" fillId="4" borderId="41" xfId="1" applyNumberFormat="1" applyFont="1" applyFill="1" applyBorder="1" applyAlignment="1" applyProtection="1">
      <alignment horizontal="left"/>
      <protection locked="0"/>
    </xf>
    <xf numFmtId="164" fontId="13" fillId="4" borderId="42" xfId="1" applyNumberFormat="1" applyFont="1" applyFill="1" applyBorder="1" applyAlignment="1" applyProtection="1">
      <alignment horizontal="left"/>
      <protection locked="0"/>
    </xf>
    <xf numFmtId="164" fontId="13" fillId="4" borderId="42" xfId="1" applyNumberFormat="1" applyFont="1" applyFill="1" applyBorder="1" applyProtection="1">
      <protection locked="0"/>
    </xf>
    <xf numFmtId="164" fontId="11" fillId="4" borderId="42" xfId="1" applyNumberFormat="1" applyFont="1" applyFill="1" applyBorder="1" applyProtection="1">
      <protection locked="0"/>
    </xf>
    <xf numFmtId="164" fontId="11" fillId="4" borderId="43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3" fillId="4" borderId="7" xfId="1" applyNumberFormat="1" applyFont="1" applyFill="1" applyBorder="1" applyProtection="1">
      <protection locked="0"/>
    </xf>
    <xf numFmtId="164" fontId="18" fillId="4" borderId="7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18" fillId="0" borderId="28" xfId="1" applyNumberFormat="1" applyFont="1" applyBorder="1" applyProtection="1">
      <protection locked="0"/>
    </xf>
    <xf numFmtId="164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11" fillId="0" borderId="1" xfId="1" applyNumberFormat="1" applyFont="1" applyBorder="1" applyProtection="1">
      <protection locked="0"/>
    </xf>
    <xf numFmtId="164" fontId="11" fillId="0" borderId="5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42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3" fillId="4" borderId="1" xfId="1" applyNumberFormat="1" applyFont="1" applyFill="1" applyBorder="1" applyProtection="1">
      <protection locked="0"/>
    </xf>
    <xf numFmtId="164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4" fontId="13" fillId="4" borderId="11" xfId="1" applyNumberFormat="1" applyFont="1" applyFill="1" applyBorder="1" applyProtection="1">
      <protection locked="0"/>
    </xf>
    <xf numFmtId="164" fontId="13" fillId="4" borderId="20" xfId="1" applyNumberFormat="1" applyFont="1" applyFill="1" applyBorder="1" applyProtection="1">
      <protection locked="0"/>
    </xf>
    <xf numFmtId="164" fontId="8" fillId="0" borderId="34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8" fillId="3" borderId="5" xfId="1" applyNumberFormat="1" applyFont="1" applyFill="1" applyBorder="1" applyProtection="1">
      <protection locked="0"/>
    </xf>
    <xf numFmtId="164" fontId="18" fillId="3" borderId="51" xfId="1" applyNumberFormat="1" applyFont="1" applyFill="1" applyBorder="1" applyProtection="1">
      <protection locked="0"/>
    </xf>
    <xf numFmtId="164" fontId="8" fillId="0" borderId="31" xfId="1" applyNumberFormat="1" applyFont="1" applyBorder="1" applyProtection="1">
      <protection locked="0"/>
    </xf>
    <xf numFmtId="164" fontId="8" fillId="0" borderId="18" xfId="0" applyNumberFormat="1" applyFont="1" applyBorder="1" applyProtection="1">
      <protection hidden="1"/>
    </xf>
    <xf numFmtId="164" fontId="13" fillId="3" borderId="1" xfId="1" applyNumberFormat="1" applyFont="1" applyFill="1" applyBorder="1" applyProtection="1">
      <protection locked="0"/>
    </xf>
    <xf numFmtId="164" fontId="11" fillId="3" borderId="5" xfId="1" applyNumberFormat="1" applyFont="1" applyFill="1" applyBorder="1" applyProtection="1">
      <protection hidden="1"/>
    </xf>
    <xf numFmtId="164" fontId="0" fillId="0" borderId="27" xfId="1" applyNumberFormat="1" applyFont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5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locked="0"/>
    </xf>
    <xf numFmtId="164" fontId="3" fillId="4" borderId="42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0" fillId="4" borderId="45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4" xfId="1" applyNumberFormat="1" applyFont="1" applyFill="1" applyBorder="1" applyProtection="1">
      <protection hidden="1"/>
    </xf>
    <xf numFmtId="164" fontId="29" fillId="2" borderId="12" xfId="1" applyNumberFormat="1" applyFont="1" applyFill="1" applyBorder="1" applyProtection="1">
      <protection locked="0"/>
    </xf>
    <xf numFmtId="164" fontId="0" fillId="4" borderId="44" xfId="1" applyNumberFormat="1" applyFont="1" applyFill="1" applyBorder="1" applyAlignment="1" applyProtection="1">
      <alignment horizontal="center"/>
      <protection locked="0"/>
    </xf>
    <xf numFmtId="164" fontId="0" fillId="0" borderId="52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164" fontId="0" fillId="0" borderId="20" xfId="0" applyNumberFormat="1" applyBorder="1" applyAlignment="1" applyProtection="1">
      <alignment horizontal="center"/>
      <protection hidden="1"/>
    </xf>
    <xf numFmtId="164" fontId="0" fillId="0" borderId="4" xfId="0" applyNumberFormat="1" applyBorder="1" applyAlignment="1" applyProtection="1">
      <alignment horizontal="center"/>
      <protection hidden="1"/>
    </xf>
    <xf numFmtId="164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4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12" fillId="3" borderId="20" xfId="1" applyNumberFormat="1" applyFont="1" applyFill="1" applyBorder="1" applyAlignment="1" applyProtection="1">
      <alignment horizontal="center"/>
      <protection locked="0"/>
    </xf>
    <xf numFmtId="164" fontId="12" fillId="3" borderId="4" xfId="1" applyNumberFormat="1" applyFont="1" applyFill="1" applyBorder="1" applyAlignment="1" applyProtection="1">
      <alignment horizontal="center"/>
      <protection locked="0"/>
    </xf>
    <xf numFmtId="164" fontId="12" fillId="3" borderId="5" xfId="1" applyNumberFormat="1" applyFont="1" applyFill="1" applyBorder="1" applyAlignment="1" applyProtection="1">
      <alignment horizontal="center"/>
      <protection locked="0"/>
    </xf>
    <xf numFmtId="164" fontId="19" fillId="4" borderId="20" xfId="1" applyNumberFormat="1" applyFont="1" applyFill="1" applyBorder="1" applyAlignment="1" applyProtection="1">
      <alignment horizontal="center"/>
      <protection locked="0"/>
    </xf>
    <xf numFmtId="164" fontId="19" fillId="4" borderId="4" xfId="1" applyNumberFormat="1" applyFont="1" applyFill="1" applyBorder="1" applyAlignment="1" applyProtection="1">
      <alignment horizontal="center"/>
      <protection locked="0"/>
    </xf>
    <xf numFmtId="164" fontId="19" fillId="4" borderId="5" xfId="1" applyNumberFormat="1" applyFont="1" applyFill="1" applyBorder="1" applyAlignment="1" applyProtection="1">
      <alignment horizontal="center"/>
      <protection locked="0"/>
    </xf>
    <xf numFmtId="164" fontId="13" fillId="3" borderId="49" xfId="1" applyNumberFormat="1" applyFont="1" applyFill="1" applyBorder="1" applyAlignment="1" applyProtection="1">
      <alignment horizontal="center" vertical="center"/>
      <protection locked="0"/>
    </xf>
    <xf numFmtId="164" fontId="11" fillId="3" borderId="50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4" fontId="8" fillId="0" borderId="34" xfId="1" applyNumberFormat="1" applyFont="1" applyBorder="1" applyAlignment="1" applyProtection="1">
      <alignment horizontal="center"/>
      <protection locked="0"/>
    </xf>
    <xf numFmtId="164" fontId="8" fillId="0" borderId="34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4" fontId="15" fillId="0" borderId="11" xfId="1" applyNumberFormat="1" applyFont="1" applyBorder="1" applyAlignment="1" applyProtection="1">
      <alignment horizontal="center"/>
      <protection locked="0"/>
    </xf>
    <xf numFmtId="164" fontId="15" fillId="0" borderId="12" xfId="1" applyNumberFormat="1" applyFont="1" applyBorder="1" applyAlignment="1" applyProtection="1">
      <alignment horizontal="center"/>
      <protection locked="0"/>
    </xf>
    <xf numFmtId="164" fontId="15" fillId="0" borderId="13" xfId="1" applyNumberFormat="1" applyFont="1" applyBorder="1" applyAlignment="1" applyProtection="1">
      <alignment horizontal="center"/>
      <protection locked="0"/>
    </xf>
    <xf numFmtId="164" fontId="15" fillId="0" borderId="16" xfId="1" applyNumberFormat="1" applyFont="1" applyBorder="1" applyAlignment="1" applyProtection="1">
      <alignment horizontal="center"/>
      <protection locked="0"/>
    </xf>
    <xf numFmtId="164" fontId="15" fillId="0" borderId="17" xfId="1" applyNumberFormat="1" applyFont="1" applyBorder="1" applyAlignment="1" applyProtection="1">
      <alignment horizontal="center"/>
      <protection locked="0"/>
    </xf>
    <xf numFmtId="164" fontId="15" fillId="0" borderId="18" xfId="1" applyNumberFormat="1" applyFont="1" applyBorder="1" applyAlignment="1" applyProtection="1">
      <alignment horizontal="center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4" fontId="9" fillId="5" borderId="11" xfId="1" applyNumberFormat="1" applyFont="1" applyFill="1" applyBorder="1" applyAlignment="1" applyProtection="1">
      <alignment horizontal="center"/>
      <protection locked="0"/>
    </xf>
    <xf numFmtId="164" fontId="9" fillId="5" borderId="12" xfId="1" applyNumberFormat="1" applyFont="1" applyFill="1" applyBorder="1" applyAlignment="1" applyProtection="1">
      <alignment horizontal="center"/>
      <protection locked="0"/>
    </xf>
    <xf numFmtId="164" fontId="9" fillId="5" borderId="13" xfId="1" applyNumberFormat="1" applyFont="1" applyFill="1" applyBorder="1" applyAlignment="1" applyProtection="1">
      <alignment horizontal="center"/>
      <protection locked="0"/>
    </xf>
    <xf numFmtId="164" fontId="9" fillId="5" borderId="16" xfId="1" applyNumberFormat="1" applyFont="1" applyFill="1" applyBorder="1" applyAlignment="1" applyProtection="1">
      <alignment horizontal="center"/>
      <protection locked="0"/>
    </xf>
    <xf numFmtId="164" fontId="9" fillId="5" borderId="17" xfId="1" applyNumberFormat="1" applyFont="1" applyFill="1" applyBorder="1" applyAlignment="1" applyProtection="1">
      <alignment horizontal="center"/>
      <protection locked="0"/>
    </xf>
    <xf numFmtId="164" fontId="9" fillId="5" borderId="18" xfId="1" applyNumberFormat="1" applyFont="1" applyFill="1" applyBorder="1" applyAlignment="1" applyProtection="1">
      <alignment horizontal="center"/>
      <protection locked="0"/>
    </xf>
    <xf numFmtId="164" fontId="10" fillId="5" borderId="14" xfId="1" applyNumberFormat="1" applyFont="1" applyFill="1" applyBorder="1" applyAlignment="1" applyProtection="1">
      <alignment horizontal="center"/>
      <protection locked="0"/>
    </xf>
    <xf numFmtId="164" fontId="10" fillId="5" borderId="0" xfId="1" applyNumberFormat="1" applyFont="1" applyFill="1" applyAlignment="1" applyProtection="1">
      <alignment horizontal="center"/>
      <protection locked="0"/>
    </xf>
    <xf numFmtId="164" fontId="10" fillId="5" borderId="15" xfId="1" applyNumberFormat="1" applyFont="1" applyFill="1" applyBorder="1" applyAlignment="1" applyProtection="1">
      <alignment horizontal="center"/>
      <protection locked="0"/>
    </xf>
    <xf numFmtId="164" fontId="10" fillId="5" borderId="16" xfId="1" applyNumberFormat="1" applyFont="1" applyFill="1" applyBorder="1" applyAlignment="1" applyProtection="1">
      <alignment horizontal="center"/>
      <protection locked="0"/>
    </xf>
    <xf numFmtId="164" fontId="10" fillId="5" borderId="17" xfId="1" applyNumberFormat="1" applyFont="1" applyFill="1" applyBorder="1" applyAlignment="1" applyProtection="1">
      <alignment horizontal="center"/>
      <protection locked="0"/>
    </xf>
    <xf numFmtId="164" fontId="10" fillId="5" borderId="18" xfId="1" applyNumberFormat="1" applyFont="1" applyFill="1" applyBorder="1" applyAlignment="1" applyProtection="1">
      <alignment horizontal="center"/>
      <protection locked="0"/>
    </xf>
    <xf numFmtId="164" fontId="11" fillId="3" borderId="20" xfId="1" applyNumberFormat="1" applyFont="1" applyFill="1" applyBorder="1" applyAlignment="1" applyProtection="1">
      <alignment horizontal="center"/>
      <protection locked="0"/>
    </xf>
    <xf numFmtId="164" fontId="11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left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7" fillId="4" borderId="14" xfId="1" applyNumberFormat="1" applyFont="1" applyFill="1" applyBorder="1" applyAlignment="1" applyProtection="1">
      <alignment horizontal="center"/>
      <protection locked="0"/>
    </xf>
    <xf numFmtId="164" fontId="27" fillId="4" borderId="0" xfId="1" applyNumberFormat="1" applyFont="1" applyFill="1" applyBorder="1" applyAlignment="1" applyProtection="1">
      <alignment horizontal="center"/>
      <protection locked="0"/>
    </xf>
    <xf numFmtId="164" fontId="28" fillId="4" borderId="14" xfId="1" applyNumberFormat="1" applyFont="1" applyFill="1" applyBorder="1" applyAlignment="1" applyProtection="1">
      <alignment horizontal="center" vertical="center"/>
      <protection locked="0"/>
    </xf>
    <xf numFmtId="164" fontId="28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19" fillId="5" borderId="11" xfId="1" applyNumberFormat="1" applyFont="1" applyFill="1" applyBorder="1" applyAlignment="1" applyProtection="1">
      <alignment horizontal="center"/>
      <protection locked="0"/>
    </xf>
    <xf numFmtId="164" fontId="16" fillId="5" borderId="14" xfId="1" applyNumberFormat="1" applyFont="1" applyFill="1" applyBorder="1" applyAlignment="1" applyProtection="1">
      <alignment horizontal="center"/>
      <protection locked="0"/>
    </xf>
    <xf numFmtId="164" fontId="18" fillId="0" borderId="33" xfId="1" applyNumberFormat="1" applyFont="1" applyBorder="1" applyAlignment="1" applyProtection="1">
      <alignment horizontal="center"/>
      <protection locked="0"/>
    </xf>
    <xf numFmtId="164" fontId="26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4" fontId="21" fillId="4" borderId="20" xfId="1" applyNumberFormat="1" applyFont="1" applyFill="1" applyBorder="1" applyAlignment="1" applyProtection="1">
      <alignment horizontal="center"/>
      <protection hidden="1"/>
    </xf>
    <xf numFmtId="164" fontId="21" fillId="4" borderId="4" xfId="1" applyNumberFormat="1" applyFont="1" applyFill="1" applyBorder="1" applyAlignment="1" applyProtection="1">
      <alignment horizontal="center"/>
      <protection hidden="1"/>
    </xf>
    <xf numFmtId="164" fontId="21" fillId="4" borderId="5" xfId="1" applyNumberFormat="1" applyFont="1" applyFill="1" applyBorder="1" applyAlignment="1" applyProtection="1">
      <alignment horizontal="center"/>
      <protection hidden="1"/>
    </xf>
    <xf numFmtId="164" fontId="19" fillId="4" borderId="16" xfId="1" applyNumberFormat="1" applyFont="1" applyFill="1" applyBorder="1" applyAlignment="1" applyProtection="1">
      <alignment horizontal="center"/>
      <protection locked="0"/>
    </xf>
    <xf numFmtId="164" fontId="19" fillId="4" borderId="17" xfId="1" applyNumberFormat="1" applyFont="1" applyFill="1" applyBorder="1" applyAlignment="1" applyProtection="1">
      <alignment horizontal="center"/>
      <protection locked="0"/>
    </xf>
    <xf numFmtId="164" fontId="19" fillId="4" borderId="18" xfId="1" applyNumberFormat="1" applyFont="1" applyFill="1" applyBorder="1" applyAlignment="1" applyProtection="1">
      <alignment horizontal="center"/>
      <protection locked="0"/>
    </xf>
    <xf numFmtId="164" fontId="19" fillId="6" borderId="11" xfId="1" applyNumberFormat="1" applyFont="1" applyFill="1" applyBorder="1" applyAlignment="1" applyProtection="1">
      <alignment horizontal="center"/>
      <protection locked="0"/>
    </xf>
    <xf numFmtId="164" fontId="9" fillId="6" borderId="12" xfId="1" applyNumberFormat="1" applyFont="1" applyFill="1" applyBorder="1" applyAlignment="1" applyProtection="1">
      <alignment horizontal="center"/>
      <protection locked="0"/>
    </xf>
    <xf numFmtId="164" fontId="9" fillId="6" borderId="13" xfId="1" applyNumberFormat="1" applyFont="1" applyFill="1" applyBorder="1" applyAlignment="1" applyProtection="1">
      <alignment horizontal="center"/>
      <protection locked="0"/>
    </xf>
    <xf numFmtId="164" fontId="9" fillId="6" borderId="16" xfId="1" applyNumberFormat="1" applyFont="1" applyFill="1" applyBorder="1" applyAlignment="1" applyProtection="1">
      <alignment horizontal="center"/>
      <protection locked="0"/>
    </xf>
    <xf numFmtId="164" fontId="9" fillId="6" borderId="17" xfId="1" applyNumberFormat="1" applyFont="1" applyFill="1" applyBorder="1" applyAlignment="1" applyProtection="1">
      <alignment horizontal="center"/>
      <protection locked="0"/>
    </xf>
    <xf numFmtId="164" fontId="9" fillId="6" borderId="18" xfId="1" applyNumberFormat="1" applyFont="1" applyFill="1" applyBorder="1" applyAlignment="1" applyProtection="1">
      <alignment horizontal="center"/>
      <protection locked="0"/>
    </xf>
    <xf numFmtId="164" fontId="16" fillId="6" borderId="14" xfId="1" applyNumberFormat="1" applyFont="1" applyFill="1" applyBorder="1" applyAlignment="1" applyProtection="1">
      <alignment horizontal="center"/>
      <protection locked="0"/>
    </xf>
    <xf numFmtId="164" fontId="10" fillId="6" borderId="0" xfId="1" applyNumberFormat="1" applyFont="1" applyFill="1" applyAlignment="1" applyProtection="1">
      <alignment horizontal="center"/>
      <protection locked="0"/>
    </xf>
    <xf numFmtId="164" fontId="10" fillId="6" borderId="15" xfId="1" applyNumberFormat="1" applyFont="1" applyFill="1" applyBorder="1" applyAlignment="1" applyProtection="1">
      <alignment horizontal="center"/>
      <protection locked="0"/>
    </xf>
    <xf numFmtId="164" fontId="10" fillId="6" borderId="16" xfId="1" applyNumberFormat="1" applyFont="1" applyFill="1" applyBorder="1" applyAlignment="1" applyProtection="1">
      <alignment horizontal="center"/>
      <protection locked="0"/>
    </xf>
    <xf numFmtId="164" fontId="10" fillId="6" borderId="17" xfId="1" applyNumberFormat="1" applyFont="1" applyFill="1" applyBorder="1" applyAlignment="1" applyProtection="1">
      <alignment horizontal="center"/>
      <protection locked="0"/>
    </xf>
    <xf numFmtId="164" fontId="10" fillId="6" borderId="18" xfId="1" applyNumberFormat="1" applyFont="1" applyFill="1" applyBorder="1" applyAlignment="1" applyProtection="1">
      <alignment horizontal="center"/>
      <protection locked="0"/>
    </xf>
    <xf numFmtId="164" fontId="20" fillId="0" borderId="20" xfId="1" applyNumberFormat="1" applyFont="1" applyBorder="1" applyAlignment="1" applyProtection="1">
      <alignment horizontal="center"/>
      <protection hidden="1"/>
    </xf>
    <xf numFmtId="164" fontId="20" fillId="0" borderId="4" xfId="1" applyNumberFormat="1" applyFont="1" applyBorder="1" applyAlignment="1" applyProtection="1">
      <alignment horizontal="center"/>
      <protection hidden="1"/>
    </xf>
    <xf numFmtId="164" fontId="20" fillId="0" borderId="5" xfId="1" applyNumberFormat="1" applyFont="1" applyBorder="1" applyAlignment="1" applyProtection="1">
      <alignment horizontal="center"/>
      <protection hidden="1"/>
    </xf>
    <xf numFmtId="164" fontId="8" fillId="0" borderId="4" xfId="0" applyNumberFormat="1" applyFont="1" applyBorder="1" applyAlignment="1" applyProtection="1">
      <alignment horizontal="center"/>
      <protection hidden="1"/>
    </xf>
    <xf numFmtId="164" fontId="8" fillId="0" borderId="5" xfId="0" applyNumberFormat="1" applyFont="1" applyBorder="1" applyAlignment="1" applyProtection="1">
      <alignment horizontal="center"/>
      <protection hidden="1"/>
    </xf>
    <xf numFmtId="164" fontId="13" fillId="3" borderId="50" xfId="1" applyNumberFormat="1" applyFont="1" applyFill="1" applyBorder="1" applyAlignment="1" applyProtection="1">
      <alignment horizontal="center" vertical="center"/>
      <protection locked="0"/>
    </xf>
    <xf numFmtId="164" fontId="8" fillId="3" borderId="20" xfId="1" applyNumberFormat="1" applyFont="1" applyFill="1" applyBorder="1" applyAlignment="1" applyProtection="1">
      <alignment horizontal="center"/>
      <protection locked="0"/>
    </xf>
    <xf numFmtId="164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4" fontId="8" fillId="0" borderId="53" xfId="1" applyNumberFormat="1" applyFont="1" applyBorder="1" applyAlignment="1" applyProtection="1">
      <alignment horizontal="center"/>
      <protection locked="0"/>
    </xf>
    <xf numFmtId="164" fontId="8" fillId="0" borderId="54" xfId="1" applyNumberFormat="1" applyFont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4" fontId="0" fillId="0" borderId="2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4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4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4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4" fontId="22" fillId="4" borderId="20" xfId="1" applyNumberFormat="1" applyFont="1" applyFill="1" applyBorder="1" applyAlignment="1" applyProtection="1">
      <alignment horizontal="center"/>
      <protection locked="0"/>
    </xf>
    <xf numFmtId="164" fontId="22" fillId="4" borderId="4" xfId="1" applyNumberFormat="1" applyFont="1" applyFill="1" applyBorder="1" applyAlignment="1" applyProtection="1">
      <alignment horizontal="center"/>
      <protection locked="0"/>
    </xf>
    <xf numFmtId="164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00" t="s">
        <v>38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115"/>
      <c r="M1" s="115"/>
      <c r="N1" s="115"/>
    </row>
    <row r="2" spans="1:15" ht="31" customHeight="1">
      <c r="A2" s="202" t="s">
        <v>37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115"/>
      <c r="M2" s="115"/>
      <c r="N2" s="115"/>
    </row>
    <row r="3" spans="1:15" ht="15" customHeight="1" thickBot="1">
      <c r="A3" s="202"/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0</v>
      </c>
      <c r="C16" s="68">
        <f>KARONGI!G37</f>
        <v>0</v>
      </c>
      <c r="D16" s="4"/>
      <c r="E16" s="3"/>
      <c r="F16" s="70">
        <f t="shared" si="0"/>
        <v>0</v>
      </c>
      <c r="G16" s="67">
        <f>KARONGI!C41</f>
        <v>0</v>
      </c>
      <c r="H16" s="68">
        <f>KARONGI!C39</f>
        <v>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2042370</v>
      </c>
      <c r="C19" s="68">
        <f>KAYONZA!G29</f>
        <v>300020</v>
      </c>
      <c r="D19" s="4"/>
      <c r="E19" s="3"/>
      <c r="F19" s="70">
        <f t="shared" si="0"/>
        <v>2342390</v>
      </c>
      <c r="G19" s="67">
        <f>KAYONZA!C33</f>
        <v>0</v>
      </c>
      <c r="H19" s="68">
        <f>KAYONZA!C31</f>
        <v>2342390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9709992</v>
      </c>
      <c r="C29" s="102">
        <f t="shared" si="1"/>
        <v>995720</v>
      </c>
      <c r="D29" s="103">
        <f t="shared" si="1"/>
        <v>0</v>
      </c>
      <c r="E29" s="102">
        <f t="shared" si="1"/>
        <v>0</v>
      </c>
      <c r="F29" s="102">
        <f>SUM(F5:F28)</f>
        <v>10705712</v>
      </c>
      <c r="G29" s="103">
        <f>SUM(G5:G28)</f>
        <v>0</v>
      </c>
      <c r="H29" s="103">
        <f>SUM(H5:H28)</f>
        <v>10705712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94"/>
      <c r="B30" s="194"/>
      <c r="C30" s="194"/>
      <c r="D30" s="195"/>
      <c r="E30" s="228" t="s">
        <v>12</v>
      </c>
      <c r="F30" s="229"/>
      <c r="G30" s="229"/>
      <c r="H30" s="229"/>
      <c r="I30" s="230"/>
      <c r="J30" s="204"/>
      <c r="K30" s="205"/>
      <c r="L30" s="115"/>
    </row>
    <row r="31" spans="1:15" ht="19" thickBot="1">
      <c r="A31" s="225" t="s">
        <v>9</v>
      </c>
      <c r="B31" s="226"/>
      <c r="C31" s="226"/>
      <c r="D31" s="226"/>
      <c r="E31" s="231"/>
      <c r="F31" s="232"/>
      <c r="G31" s="232"/>
      <c r="H31" s="232"/>
      <c r="I31" s="233"/>
      <c r="J31" s="206"/>
      <c r="K31" s="207"/>
      <c r="L31" s="115"/>
    </row>
    <row r="32" spans="1:15" ht="15" thickBot="1">
      <c r="A32" s="196" t="s">
        <v>13</v>
      </c>
      <c r="B32" s="197"/>
      <c r="C32" s="198">
        <f>SUM(B29:C29)</f>
        <v>10705712</v>
      </c>
      <c r="D32" s="199"/>
      <c r="E32" s="231"/>
      <c r="F32" s="232"/>
      <c r="G32" s="232"/>
      <c r="H32" s="232"/>
      <c r="I32" s="233"/>
      <c r="J32" s="206"/>
      <c r="K32" s="207"/>
      <c r="L32" s="115"/>
    </row>
    <row r="33" spans="1:12" ht="15" thickBot="1">
      <c r="A33" s="196" t="s">
        <v>14</v>
      </c>
      <c r="B33" s="197"/>
      <c r="C33" s="219">
        <f>SUM(F29,G29)</f>
        <v>10705712</v>
      </c>
      <c r="D33" s="227"/>
      <c r="E33" s="231"/>
      <c r="F33" s="232"/>
      <c r="G33" s="232"/>
      <c r="H33" s="232"/>
      <c r="I33" s="233"/>
      <c r="J33" s="206"/>
      <c r="K33" s="207"/>
      <c r="L33" s="115"/>
    </row>
    <row r="34" spans="1:12" ht="15" thickBot="1">
      <c r="A34" s="221" t="s">
        <v>83</v>
      </c>
      <c r="B34" s="222"/>
      <c r="C34" s="219">
        <f>SUM(H29,J29,I29)</f>
        <v>10705712</v>
      </c>
      <c r="D34" s="220"/>
      <c r="E34" s="231"/>
      <c r="F34" s="232"/>
      <c r="G34" s="232"/>
      <c r="H34" s="232"/>
      <c r="I34" s="233"/>
      <c r="J34" s="206"/>
      <c r="K34" s="207"/>
      <c r="L34" s="115"/>
    </row>
    <row r="35" spans="1:12" ht="15" thickBot="1">
      <c r="A35" s="196" t="s">
        <v>11</v>
      </c>
      <c r="B35" s="197"/>
      <c r="C35" s="219">
        <f>SUM(D29:E29)</f>
        <v>0</v>
      </c>
      <c r="D35" s="220"/>
      <c r="E35" s="234"/>
      <c r="F35" s="235"/>
      <c r="G35" s="235"/>
      <c r="H35" s="235"/>
      <c r="I35" s="236"/>
      <c r="J35" s="206"/>
      <c r="K35" s="207"/>
      <c r="L35" s="115"/>
    </row>
    <row r="36" spans="1:12" ht="15" thickBot="1">
      <c r="A36" s="196" t="s">
        <v>10</v>
      </c>
      <c r="B36" s="197"/>
      <c r="C36" s="219">
        <f t="shared" ref="C36" si="2">SUM(C33,C35)</f>
        <v>10705712</v>
      </c>
      <c r="D36" s="220"/>
      <c r="E36" s="210" t="s">
        <v>36</v>
      </c>
      <c r="F36" s="211"/>
      <c r="G36" s="211"/>
      <c r="H36" s="211"/>
      <c r="I36" s="212"/>
      <c r="J36" s="206"/>
      <c r="K36" s="207"/>
      <c r="L36" s="115"/>
    </row>
    <row r="37" spans="1:12" ht="15" thickBot="1">
      <c r="A37" s="223" t="s">
        <v>15</v>
      </c>
      <c r="B37" s="224"/>
      <c r="C37" s="219">
        <f>SUM(C34:C35)</f>
        <v>10705712</v>
      </c>
      <c r="D37" s="220"/>
      <c r="E37" s="213"/>
      <c r="F37" s="214"/>
      <c r="G37" s="214"/>
      <c r="H37" s="214"/>
      <c r="I37" s="215"/>
      <c r="J37" s="206"/>
      <c r="K37" s="207"/>
      <c r="L37" s="115"/>
    </row>
    <row r="38" spans="1:12" ht="26.5" thickBot="1">
      <c r="A38" s="216" t="s">
        <v>16</v>
      </c>
      <c r="B38" s="217"/>
      <c r="C38" s="217"/>
      <c r="D38" s="217"/>
      <c r="E38" s="217"/>
      <c r="F38" s="217"/>
      <c r="G38" s="217"/>
      <c r="H38" s="217"/>
      <c r="I38" s="218"/>
      <c r="J38" s="208"/>
      <c r="K38" s="209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C10" sqref="C10:D10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37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238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9"/>
      <c r="D7" s="190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4"/>
      <c r="D8" s="145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4"/>
      <c r="D9" s="145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39"/>
      <c r="D10" s="145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4"/>
      <c r="D11" s="145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4"/>
      <c r="D12" s="145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4"/>
      <c r="D13" s="145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4"/>
      <c r="D14" s="145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0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241" t="s">
        <v>65</v>
      </c>
      <c r="C44" s="242"/>
      <c r="D44" s="243"/>
      <c r="E44" s="126">
        <f>SUM(B17:B18)</f>
        <v>0</v>
      </c>
      <c r="F44" s="130"/>
      <c r="G44" s="130"/>
      <c r="H44" s="131"/>
    </row>
    <row r="45" spans="1:8" ht="19" thickBot="1">
      <c r="B45" s="241" t="s">
        <v>66</v>
      </c>
      <c r="C45" s="242"/>
      <c r="D45" s="243"/>
      <c r="E45" s="126">
        <f>SUM(B19:B20)</f>
        <v>0</v>
      </c>
      <c r="F45" s="130"/>
      <c r="G45" s="130"/>
      <c r="H45" s="131"/>
    </row>
    <row r="46" spans="1:8" ht="19" thickBot="1">
      <c r="B46" s="241" t="s">
        <v>58</v>
      </c>
      <c r="C46" s="242"/>
      <c r="D46" s="243"/>
      <c r="E46" s="126">
        <f>B21</f>
        <v>0</v>
      </c>
      <c r="F46" s="127"/>
      <c r="G46" s="127"/>
      <c r="H46" s="128"/>
    </row>
    <row r="47" spans="1:8" ht="19" thickBot="1">
      <c r="B47" s="241" t="s">
        <v>58</v>
      </c>
      <c r="C47" s="242"/>
      <c r="D47" s="243"/>
      <c r="E47" s="126">
        <f t="shared" ref="E47:E53" si="0">B22</f>
        <v>0</v>
      </c>
      <c r="F47" s="127"/>
      <c r="G47" s="127"/>
      <c r="H47" s="128"/>
    </row>
    <row r="48" spans="1:8" ht="19" thickBot="1">
      <c r="B48" s="241" t="s">
        <v>58</v>
      </c>
      <c r="C48" s="242"/>
      <c r="D48" s="243"/>
      <c r="E48" s="126">
        <f t="shared" si="0"/>
        <v>0</v>
      </c>
      <c r="F48" s="127"/>
      <c r="G48" s="127"/>
      <c r="H48" s="128"/>
    </row>
    <row r="49" spans="2:8" ht="19" thickBot="1">
      <c r="B49" s="241" t="s">
        <v>58</v>
      </c>
      <c r="C49" s="242"/>
      <c r="D49" s="243"/>
      <c r="E49" s="126">
        <f t="shared" si="0"/>
        <v>0</v>
      </c>
      <c r="F49" s="127"/>
      <c r="G49" s="127"/>
      <c r="H49" s="128"/>
    </row>
    <row r="50" spans="2:8" ht="19" thickBot="1">
      <c r="B50" s="241" t="s">
        <v>58</v>
      </c>
      <c r="C50" s="242"/>
      <c r="D50" s="243"/>
      <c r="E50" s="126">
        <f t="shared" si="0"/>
        <v>0</v>
      </c>
      <c r="F50" s="127"/>
      <c r="G50" s="127"/>
      <c r="H50" s="128"/>
    </row>
    <row r="51" spans="2:8" ht="19" thickBot="1">
      <c r="B51" s="241" t="s">
        <v>58</v>
      </c>
      <c r="C51" s="242"/>
      <c r="D51" s="243"/>
      <c r="E51" s="126">
        <f t="shared" si="0"/>
        <v>0</v>
      </c>
      <c r="F51" s="127"/>
      <c r="G51" s="127"/>
      <c r="H51" s="128"/>
    </row>
    <row r="52" spans="2:8" ht="19" thickBot="1">
      <c r="B52" s="241" t="s">
        <v>58</v>
      </c>
      <c r="C52" s="242"/>
      <c r="D52" s="243"/>
      <c r="E52" s="126">
        <f t="shared" si="0"/>
        <v>0</v>
      </c>
      <c r="F52" s="127"/>
      <c r="G52" s="127"/>
      <c r="H52" s="128"/>
    </row>
    <row r="53" spans="2:8" ht="19" thickBot="1">
      <c r="B53" s="241" t="s">
        <v>58</v>
      </c>
      <c r="C53" s="242"/>
      <c r="D53" s="243"/>
      <c r="E53" s="126">
        <f t="shared" si="0"/>
        <v>0</v>
      </c>
      <c r="F53" s="127"/>
      <c r="G53" s="127"/>
      <c r="H53" s="128"/>
    </row>
    <row r="54" spans="2:8" ht="21.5" thickBot="1">
      <c r="B54" s="241" t="s">
        <v>67</v>
      </c>
      <c r="C54" s="242"/>
      <c r="D54" s="243"/>
      <c r="E54" s="244">
        <f>SUM(E41:H53)</f>
        <v>0</v>
      </c>
      <c r="F54" s="245"/>
      <c r="G54" s="245"/>
      <c r="H54" s="246"/>
    </row>
    <row r="55" spans="2:8" ht="19" thickBot="1">
      <c r="B55" s="241"/>
      <c r="C55" s="242"/>
      <c r="D55" s="243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37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238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9"/>
      <c r="D7" s="190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4"/>
      <c r="D8" s="145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4"/>
      <c r="D9" s="145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39"/>
      <c r="D10" s="145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4"/>
      <c r="D11" s="145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4"/>
      <c r="D12" s="145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4"/>
      <c r="D13" s="145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4"/>
      <c r="D14" s="145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0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241" t="s">
        <v>65</v>
      </c>
      <c r="C44" s="242"/>
      <c r="D44" s="243"/>
      <c r="E44" s="126">
        <f>SUM(B17:B18)</f>
        <v>0</v>
      </c>
      <c r="F44" s="130"/>
      <c r="G44" s="130"/>
      <c r="H44" s="131"/>
    </row>
    <row r="45" spans="1:8" ht="19" thickBot="1">
      <c r="B45" s="241" t="s">
        <v>66</v>
      </c>
      <c r="C45" s="242"/>
      <c r="D45" s="243"/>
      <c r="E45" s="126">
        <f>SUM(B19:B20)</f>
        <v>0</v>
      </c>
      <c r="F45" s="130"/>
      <c r="G45" s="130"/>
      <c r="H45" s="131"/>
    </row>
    <row r="46" spans="1:8" ht="19" thickBot="1">
      <c r="B46" s="241" t="s">
        <v>58</v>
      </c>
      <c r="C46" s="242"/>
      <c r="D46" s="243"/>
      <c r="E46" s="126">
        <f>B21</f>
        <v>0</v>
      </c>
      <c r="F46" s="127"/>
      <c r="G46" s="127"/>
      <c r="H46" s="128"/>
    </row>
    <row r="47" spans="1:8" ht="19" thickBot="1">
      <c r="B47" s="241" t="s">
        <v>58</v>
      </c>
      <c r="C47" s="242"/>
      <c r="D47" s="243"/>
      <c r="E47" s="126">
        <f t="shared" ref="E47:E53" si="0">B22</f>
        <v>0</v>
      </c>
      <c r="F47" s="127"/>
      <c r="G47" s="127"/>
      <c r="H47" s="128"/>
    </row>
    <row r="48" spans="1:8" ht="19" thickBot="1">
      <c r="B48" s="241" t="s">
        <v>58</v>
      </c>
      <c r="C48" s="242"/>
      <c r="D48" s="243"/>
      <c r="E48" s="126">
        <f t="shared" si="0"/>
        <v>0</v>
      </c>
      <c r="F48" s="127"/>
      <c r="G48" s="127"/>
      <c r="H48" s="128"/>
    </row>
    <row r="49" spans="2:8" ht="19" thickBot="1">
      <c r="B49" s="241" t="s">
        <v>58</v>
      </c>
      <c r="C49" s="242"/>
      <c r="D49" s="243"/>
      <c r="E49" s="126">
        <f t="shared" si="0"/>
        <v>0</v>
      </c>
      <c r="F49" s="127"/>
      <c r="G49" s="127"/>
      <c r="H49" s="128"/>
    </row>
    <row r="50" spans="2:8" ht="19" thickBot="1">
      <c r="B50" s="241" t="s">
        <v>58</v>
      </c>
      <c r="C50" s="242"/>
      <c r="D50" s="243"/>
      <c r="E50" s="126">
        <f t="shared" si="0"/>
        <v>0</v>
      </c>
      <c r="F50" s="127"/>
      <c r="G50" s="127"/>
      <c r="H50" s="128"/>
    </row>
    <row r="51" spans="2:8" ht="19" thickBot="1">
      <c r="B51" s="241" t="s">
        <v>58</v>
      </c>
      <c r="C51" s="242"/>
      <c r="D51" s="243"/>
      <c r="E51" s="126">
        <f t="shared" si="0"/>
        <v>0</v>
      </c>
      <c r="F51" s="127"/>
      <c r="G51" s="127"/>
      <c r="H51" s="128"/>
    </row>
    <row r="52" spans="2:8" ht="19" thickBot="1">
      <c r="B52" s="241" t="s">
        <v>58</v>
      </c>
      <c r="C52" s="242"/>
      <c r="D52" s="243"/>
      <c r="E52" s="126">
        <f t="shared" si="0"/>
        <v>0</v>
      </c>
      <c r="F52" s="127"/>
      <c r="G52" s="127"/>
      <c r="H52" s="128"/>
    </row>
    <row r="53" spans="2:8" ht="19" thickBot="1">
      <c r="B53" s="241" t="s">
        <v>58</v>
      </c>
      <c r="C53" s="242"/>
      <c r="D53" s="243"/>
      <c r="E53" s="126">
        <f t="shared" si="0"/>
        <v>0</v>
      </c>
      <c r="F53" s="127"/>
      <c r="G53" s="127"/>
      <c r="H53" s="128"/>
    </row>
    <row r="54" spans="2:8" ht="21.5" thickBot="1">
      <c r="B54" s="241" t="s">
        <v>67</v>
      </c>
      <c r="C54" s="242"/>
      <c r="D54" s="243"/>
      <c r="E54" s="244">
        <f>SUM(E41:H53)</f>
        <v>0</v>
      </c>
      <c r="F54" s="245"/>
      <c r="G54" s="245"/>
      <c r="H54" s="246"/>
    </row>
    <row r="55" spans="2:8" ht="19" thickBot="1">
      <c r="B55" s="241"/>
      <c r="C55" s="242"/>
      <c r="D55" s="243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37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238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9"/>
      <c r="D7" s="190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4"/>
      <c r="D8" s="145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4"/>
      <c r="D9" s="145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39"/>
      <c r="D10" s="145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4"/>
      <c r="D11" s="145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4"/>
      <c r="D12" s="145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4"/>
      <c r="D13" s="145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4"/>
      <c r="D14" s="145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0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241" t="s">
        <v>65</v>
      </c>
      <c r="C44" s="242"/>
      <c r="D44" s="243"/>
      <c r="E44" s="126">
        <f>SUM(B17:B18)</f>
        <v>0</v>
      </c>
      <c r="F44" s="130"/>
      <c r="G44" s="130"/>
      <c r="H44" s="131"/>
    </row>
    <row r="45" spans="1:8" ht="19" thickBot="1">
      <c r="B45" s="241" t="s">
        <v>66</v>
      </c>
      <c r="C45" s="242"/>
      <c r="D45" s="243"/>
      <c r="E45" s="126">
        <f>SUM(B19:B20)</f>
        <v>0</v>
      </c>
      <c r="F45" s="130"/>
      <c r="G45" s="130"/>
      <c r="H45" s="131"/>
    </row>
    <row r="46" spans="1:8" ht="19" thickBot="1">
      <c r="B46" s="241" t="s">
        <v>58</v>
      </c>
      <c r="C46" s="242"/>
      <c r="D46" s="243"/>
      <c r="E46" s="126">
        <f>B21</f>
        <v>0</v>
      </c>
      <c r="F46" s="127"/>
      <c r="G46" s="127"/>
      <c r="H46" s="128"/>
    </row>
    <row r="47" spans="1:8" ht="19" thickBot="1">
      <c r="B47" s="241" t="s">
        <v>58</v>
      </c>
      <c r="C47" s="242"/>
      <c r="D47" s="243"/>
      <c r="E47" s="126">
        <f t="shared" ref="E47:E53" si="0">B22</f>
        <v>0</v>
      </c>
      <c r="F47" s="127"/>
      <c r="G47" s="127"/>
      <c r="H47" s="128"/>
    </row>
    <row r="48" spans="1:8" ht="19" thickBot="1">
      <c r="B48" s="241" t="s">
        <v>58</v>
      </c>
      <c r="C48" s="242"/>
      <c r="D48" s="243"/>
      <c r="E48" s="126">
        <f t="shared" si="0"/>
        <v>0</v>
      </c>
      <c r="F48" s="127"/>
      <c r="G48" s="127"/>
      <c r="H48" s="128"/>
    </row>
    <row r="49" spans="2:8" ht="19" thickBot="1">
      <c r="B49" s="241" t="s">
        <v>58</v>
      </c>
      <c r="C49" s="242"/>
      <c r="D49" s="243"/>
      <c r="E49" s="126">
        <f t="shared" si="0"/>
        <v>0</v>
      </c>
      <c r="F49" s="127"/>
      <c r="G49" s="127"/>
      <c r="H49" s="128"/>
    </row>
    <row r="50" spans="2:8" ht="19" thickBot="1">
      <c r="B50" s="241" t="s">
        <v>58</v>
      </c>
      <c r="C50" s="242"/>
      <c r="D50" s="243"/>
      <c r="E50" s="126">
        <f t="shared" si="0"/>
        <v>0</v>
      </c>
      <c r="F50" s="127"/>
      <c r="G50" s="127"/>
      <c r="H50" s="128"/>
    </row>
    <row r="51" spans="2:8" ht="19" thickBot="1">
      <c r="B51" s="241" t="s">
        <v>58</v>
      </c>
      <c r="C51" s="242"/>
      <c r="D51" s="243"/>
      <c r="E51" s="126">
        <f t="shared" si="0"/>
        <v>0</v>
      </c>
      <c r="F51" s="127"/>
      <c r="G51" s="127"/>
      <c r="H51" s="128"/>
    </row>
    <row r="52" spans="2:8" ht="19" thickBot="1">
      <c r="B52" s="241" t="s">
        <v>58</v>
      </c>
      <c r="C52" s="242"/>
      <c r="D52" s="243"/>
      <c r="E52" s="126">
        <f t="shared" si="0"/>
        <v>0</v>
      </c>
      <c r="F52" s="127"/>
      <c r="G52" s="127"/>
      <c r="H52" s="128"/>
    </row>
    <row r="53" spans="2:8" ht="19" thickBot="1">
      <c r="B53" s="241" t="s">
        <v>58</v>
      </c>
      <c r="C53" s="242"/>
      <c r="D53" s="243"/>
      <c r="E53" s="126">
        <f t="shared" si="0"/>
        <v>0</v>
      </c>
      <c r="F53" s="127"/>
      <c r="G53" s="127"/>
      <c r="H53" s="128"/>
    </row>
    <row r="54" spans="2:8" ht="21.5" thickBot="1">
      <c r="B54" s="241" t="s">
        <v>67</v>
      </c>
      <c r="C54" s="242"/>
      <c r="D54" s="243"/>
      <c r="E54" s="244">
        <f>SUM(E41:H53)</f>
        <v>0</v>
      </c>
      <c r="F54" s="245"/>
      <c r="G54" s="245"/>
      <c r="H54" s="246"/>
    </row>
    <row r="55" spans="2:8" ht="19" thickBot="1">
      <c r="B55" s="241"/>
      <c r="C55" s="242"/>
      <c r="D55" s="243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37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238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9"/>
      <c r="D7" s="190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4"/>
      <c r="D8" s="145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4"/>
      <c r="D9" s="145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39"/>
      <c r="D10" s="145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4"/>
      <c r="D11" s="145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4"/>
      <c r="D12" s="145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4"/>
      <c r="D13" s="145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4"/>
      <c r="D14" s="145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0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241" t="s">
        <v>65</v>
      </c>
      <c r="C44" s="242"/>
      <c r="D44" s="243"/>
      <c r="E44" s="126">
        <f>SUM(B17:B18)</f>
        <v>0</v>
      </c>
      <c r="F44" s="130"/>
      <c r="G44" s="130"/>
      <c r="H44" s="131"/>
    </row>
    <row r="45" spans="1:8" ht="19" thickBot="1">
      <c r="B45" s="241" t="s">
        <v>66</v>
      </c>
      <c r="C45" s="242"/>
      <c r="D45" s="243"/>
      <c r="E45" s="126">
        <f>SUM(B19:B20)</f>
        <v>0</v>
      </c>
      <c r="F45" s="130"/>
      <c r="G45" s="130"/>
      <c r="H45" s="131"/>
    </row>
    <row r="46" spans="1:8" ht="19" thickBot="1">
      <c r="B46" s="241" t="s">
        <v>58</v>
      </c>
      <c r="C46" s="242"/>
      <c r="D46" s="243"/>
      <c r="E46" s="126">
        <f>B21</f>
        <v>0</v>
      </c>
      <c r="F46" s="127"/>
      <c r="G46" s="127"/>
      <c r="H46" s="128"/>
    </row>
    <row r="47" spans="1:8" ht="19" thickBot="1">
      <c r="B47" s="241" t="s">
        <v>58</v>
      </c>
      <c r="C47" s="242"/>
      <c r="D47" s="243"/>
      <c r="E47" s="126">
        <f t="shared" ref="E47:E53" si="0">B22</f>
        <v>0</v>
      </c>
      <c r="F47" s="127"/>
      <c r="G47" s="127"/>
      <c r="H47" s="128"/>
    </row>
    <row r="48" spans="1:8" ht="19" thickBot="1">
      <c r="B48" s="241" t="s">
        <v>58</v>
      </c>
      <c r="C48" s="242"/>
      <c r="D48" s="243"/>
      <c r="E48" s="126">
        <f t="shared" si="0"/>
        <v>0</v>
      </c>
      <c r="F48" s="127"/>
      <c r="G48" s="127"/>
      <c r="H48" s="128"/>
    </row>
    <row r="49" spans="2:8" ht="19" thickBot="1">
      <c r="B49" s="241" t="s">
        <v>58</v>
      </c>
      <c r="C49" s="242"/>
      <c r="D49" s="243"/>
      <c r="E49" s="126">
        <f t="shared" si="0"/>
        <v>0</v>
      </c>
      <c r="F49" s="127"/>
      <c r="G49" s="127"/>
      <c r="H49" s="128"/>
    </row>
    <row r="50" spans="2:8" ht="19" thickBot="1">
      <c r="B50" s="241" t="s">
        <v>58</v>
      </c>
      <c r="C50" s="242"/>
      <c r="D50" s="243"/>
      <c r="E50" s="126">
        <f t="shared" si="0"/>
        <v>0</v>
      </c>
      <c r="F50" s="127"/>
      <c r="G50" s="127"/>
      <c r="H50" s="128"/>
    </row>
    <row r="51" spans="2:8" ht="19" thickBot="1">
      <c r="B51" s="241" t="s">
        <v>58</v>
      </c>
      <c r="C51" s="242"/>
      <c r="D51" s="243"/>
      <c r="E51" s="126">
        <f t="shared" si="0"/>
        <v>0</v>
      </c>
      <c r="F51" s="127"/>
      <c r="G51" s="127"/>
      <c r="H51" s="128"/>
    </row>
    <row r="52" spans="2:8" ht="19" thickBot="1">
      <c r="B52" s="241" t="s">
        <v>58</v>
      </c>
      <c r="C52" s="242"/>
      <c r="D52" s="243"/>
      <c r="E52" s="126">
        <f t="shared" si="0"/>
        <v>0</v>
      </c>
      <c r="F52" s="127"/>
      <c r="G52" s="127"/>
      <c r="H52" s="128"/>
    </row>
    <row r="53" spans="2:8" ht="19" thickBot="1">
      <c r="B53" s="241" t="s">
        <v>58</v>
      </c>
      <c r="C53" s="242"/>
      <c r="D53" s="243"/>
      <c r="E53" s="126">
        <f t="shared" si="0"/>
        <v>0</v>
      </c>
      <c r="F53" s="127"/>
      <c r="G53" s="127"/>
      <c r="H53" s="128"/>
    </row>
    <row r="54" spans="2:8" ht="21.5" thickBot="1">
      <c r="B54" s="241" t="s">
        <v>67</v>
      </c>
      <c r="C54" s="242"/>
      <c r="D54" s="243"/>
      <c r="E54" s="244">
        <f>SUM(E41:H53)</f>
        <v>0</v>
      </c>
      <c r="F54" s="245"/>
      <c r="G54" s="245"/>
      <c r="H54" s="246"/>
    </row>
    <row r="55" spans="2:8" ht="19" thickBot="1">
      <c r="B55" s="241"/>
      <c r="C55" s="242"/>
      <c r="D55" s="243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9" t="s">
        <v>57</v>
      </c>
      <c r="B1" s="260"/>
      <c r="C1" s="260"/>
      <c r="D1" s="260"/>
      <c r="E1" s="260"/>
      <c r="F1" s="260"/>
      <c r="G1" s="260"/>
      <c r="H1" s="261"/>
    </row>
    <row r="2" spans="1:8" ht="15" thickBot="1">
      <c r="A2" s="262"/>
      <c r="B2" s="263"/>
      <c r="C2" s="263"/>
      <c r="D2" s="263"/>
      <c r="E2" s="263"/>
      <c r="F2" s="263"/>
      <c r="G2" s="263"/>
      <c r="H2" s="264"/>
    </row>
    <row r="3" spans="1:8">
      <c r="A3" s="265" t="s">
        <v>39</v>
      </c>
      <c r="B3" s="266"/>
      <c r="C3" s="266"/>
      <c r="D3" s="266"/>
      <c r="E3" s="266"/>
      <c r="F3" s="266"/>
      <c r="G3" s="266"/>
      <c r="H3" s="267"/>
    </row>
    <row r="4" spans="1:8" ht="15" thickBot="1">
      <c r="A4" s="268"/>
      <c r="B4" s="269"/>
      <c r="C4" s="269"/>
      <c r="D4" s="269"/>
      <c r="E4" s="269"/>
      <c r="F4" s="269"/>
      <c r="G4" s="269"/>
      <c r="H4" s="270"/>
    </row>
    <row r="5" spans="1:8" ht="15" thickBot="1">
      <c r="A5" s="93" t="s">
        <v>40</v>
      </c>
      <c r="B5" s="93" t="s">
        <v>41</v>
      </c>
      <c r="C5" s="187" t="s">
        <v>42</v>
      </c>
      <c r="D5" s="188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2" t="s">
        <v>81</v>
      </c>
      <c r="B38" s="153"/>
      <c r="C38" s="90" t="s">
        <v>75</v>
      </c>
      <c r="D38" s="79"/>
      <c r="E38" s="154" t="s">
        <v>73</v>
      </c>
      <c r="F38" s="155"/>
      <c r="G38" s="88" t="s">
        <v>74</v>
      </c>
      <c r="H38" s="89" t="s">
        <v>75</v>
      </c>
    </row>
    <row r="39" spans="1:8" ht="15" thickBot="1">
      <c r="A39" s="156" t="s">
        <v>71</v>
      </c>
      <c r="B39" s="157"/>
      <c r="C39" s="80"/>
      <c r="D39" s="84"/>
      <c r="E39" s="158"/>
      <c r="F39" s="158"/>
      <c r="G39" s="87"/>
      <c r="H39" s="91"/>
    </row>
    <row r="40" spans="1:8" ht="15" thickBot="1">
      <c r="A40" s="159" t="s">
        <v>72</v>
      </c>
      <c r="B40" s="160"/>
      <c r="C40" s="71"/>
      <c r="D40" s="85"/>
      <c r="E40" s="161"/>
      <c r="F40" s="161"/>
      <c r="G40" s="86"/>
      <c r="H40" s="74"/>
    </row>
    <row r="41" spans="1:8" ht="15" thickBot="1">
      <c r="A41" s="159" t="s">
        <v>76</v>
      </c>
      <c r="B41" s="160"/>
      <c r="C41" s="72"/>
      <c r="D41" s="84"/>
      <c r="E41" s="162"/>
      <c r="F41" s="162"/>
      <c r="G41" s="86"/>
      <c r="H41" s="74"/>
    </row>
    <row r="42" spans="1:8" ht="15" thickBot="1">
      <c r="A42" s="173" t="s">
        <v>77</v>
      </c>
      <c r="B42" s="174"/>
      <c r="C42" s="73"/>
      <c r="D42" s="81"/>
      <c r="E42" s="193"/>
      <c r="F42" s="162"/>
      <c r="G42" s="15"/>
      <c r="H42" s="74"/>
    </row>
    <row r="43" spans="1:8" ht="15" thickBot="1">
      <c r="A43" s="163" t="s">
        <v>78</v>
      </c>
      <c r="B43" s="164"/>
      <c r="C43" s="75"/>
      <c r="D43" s="81"/>
      <c r="E43" s="191"/>
      <c r="F43" s="192"/>
      <c r="G43" s="15"/>
      <c r="H43" s="74"/>
    </row>
    <row r="44" spans="1:8" ht="15" thickBot="1">
      <c r="A44" s="163" t="s">
        <v>79</v>
      </c>
      <c r="B44" s="164"/>
      <c r="C44" s="76"/>
      <c r="D44" s="82"/>
      <c r="E44" s="191"/>
      <c r="F44" s="192"/>
      <c r="G44" s="15"/>
      <c r="H44" s="74"/>
    </row>
    <row r="45" spans="1:8" ht="15" thickBot="1">
      <c r="A45" s="163" t="s">
        <v>80</v>
      </c>
      <c r="B45" s="164"/>
      <c r="C45" s="92">
        <f>SUM(C39:C44)</f>
        <v>0</v>
      </c>
      <c r="D45" s="83"/>
      <c r="E45" s="165"/>
      <c r="F45" s="166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56" t="s">
        <v>60</v>
      </c>
      <c r="C48" s="257"/>
      <c r="D48" s="258"/>
      <c r="E48" s="256" t="s">
        <v>61</v>
      </c>
      <c r="F48" s="257"/>
      <c r="G48" s="257"/>
      <c r="H48" s="258"/>
    </row>
    <row r="49" spans="1:8" ht="22" customHeight="1" thickBot="1">
      <c r="A49" s="39"/>
      <c r="B49" s="135" t="s">
        <v>63</v>
      </c>
      <c r="C49" s="136"/>
      <c r="D49" s="137"/>
      <c r="E49" s="138">
        <f>SUM(B9:B12)</f>
        <v>0</v>
      </c>
      <c r="F49" s="139"/>
      <c r="G49" s="139"/>
      <c r="H49" s="140"/>
    </row>
    <row r="50" spans="1:8" ht="22.5" customHeight="1" thickBot="1">
      <c r="A50" s="39"/>
      <c r="B50" s="135" t="s">
        <v>48</v>
      </c>
      <c r="C50" s="136"/>
      <c r="D50" s="137"/>
      <c r="E50" s="138">
        <f>SUM(B6:B8)</f>
        <v>0</v>
      </c>
      <c r="F50" s="139"/>
      <c r="G50" s="139"/>
      <c r="H50" s="140"/>
    </row>
    <row r="51" spans="1:8" ht="24.5" customHeight="1" thickBot="1">
      <c r="A51" s="39"/>
      <c r="B51" s="135" t="s">
        <v>64</v>
      </c>
      <c r="C51" s="136"/>
      <c r="D51" s="137"/>
      <c r="E51" s="141">
        <f>SUM(B13:B14)</f>
        <v>0</v>
      </c>
      <c r="F51" s="142"/>
      <c r="G51" s="142"/>
      <c r="H51" s="143"/>
    </row>
    <row r="52" spans="1:8" ht="22" customHeight="1" thickBot="1">
      <c r="B52" s="241" t="s">
        <v>65</v>
      </c>
      <c r="C52" s="242"/>
      <c r="D52" s="243"/>
      <c r="E52" s="126">
        <f>SUM(B17:B18)</f>
        <v>0</v>
      </c>
      <c r="F52" s="130"/>
      <c r="G52" s="130"/>
      <c r="H52" s="131"/>
    </row>
    <row r="53" spans="1:8" ht="22" customHeight="1" thickBot="1">
      <c r="B53" s="241" t="s">
        <v>66</v>
      </c>
      <c r="C53" s="242"/>
      <c r="D53" s="243"/>
      <c r="E53" s="126">
        <f>SUM(B19:B20)</f>
        <v>0</v>
      </c>
      <c r="F53" s="130"/>
      <c r="G53" s="130"/>
      <c r="H53" s="131"/>
    </row>
    <row r="54" spans="1:8" ht="22" customHeight="1" thickBot="1">
      <c r="B54" s="241" t="s">
        <v>58</v>
      </c>
      <c r="C54" s="242"/>
      <c r="D54" s="243"/>
      <c r="E54" s="126">
        <f>B29</f>
        <v>0</v>
      </c>
      <c r="F54" s="127"/>
      <c r="G54" s="127"/>
      <c r="H54" s="128"/>
    </row>
    <row r="55" spans="1:8" ht="22" customHeight="1" thickBot="1">
      <c r="B55" s="241" t="s">
        <v>58</v>
      </c>
      <c r="C55" s="242"/>
      <c r="D55" s="243"/>
      <c r="E55" s="126">
        <f t="shared" ref="E55:E61" si="3">B30</f>
        <v>0</v>
      </c>
      <c r="F55" s="127"/>
      <c r="G55" s="127"/>
      <c r="H55" s="128"/>
    </row>
    <row r="56" spans="1:8" ht="22" customHeight="1" thickBot="1">
      <c r="B56" s="241" t="s">
        <v>58</v>
      </c>
      <c r="C56" s="242"/>
      <c r="D56" s="243"/>
      <c r="E56" s="126">
        <f t="shared" si="3"/>
        <v>0</v>
      </c>
      <c r="F56" s="127"/>
      <c r="G56" s="127"/>
      <c r="H56" s="128"/>
    </row>
    <row r="57" spans="1:8" ht="22" customHeight="1" thickBot="1">
      <c r="B57" s="241" t="s">
        <v>58</v>
      </c>
      <c r="C57" s="242"/>
      <c r="D57" s="243"/>
      <c r="E57" s="126">
        <f t="shared" si="3"/>
        <v>0</v>
      </c>
      <c r="F57" s="127"/>
      <c r="G57" s="127"/>
      <c r="H57" s="128"/>
    </row>
    <row r="58" spans="1:8" ht="24.5" customHeight="1" thickBot="1">
      <c r="B58" s="241" t="s">
        <v>58</v>
      </c>
      <c r="C58" s="242"/>
      <c r="D58" s="243"/>
      <c r="E58" s="126">
        <f t="shared" si="3"/>
        <v>0</v>
      </c>
      <c r="F58" s="127"/>
      <c r="G58" s="127"/>
      <c r="H58" s="128"/>
    </row>
    <row r="59" spans="1:8" ht="25" customHeight="1" thickBot="1">
      <c r="B59" s="241" t="s">
        <v>58</v>
      </c>
      <c r="C59" s="242"/>
      <c r="D59" s="243"/>
      <c r="E59" s="126">
        <f t="shared" si="3"/>
        <v>0</v>
      </c>
      <c r="F59" s="127"/>
      <c r="G59" s="127"/>
      <c r="H59" s="128"/>
    </row>
    <row r="60" spans="1:8" ht="19" thickBot="1">
      <c r="B60" s="241" t="s">
        <v>58</v>
      </c>
      <c r="C60" s="242"/>
      <c r="D60" s="243"/>
      <c r="E60" s="126">
        <f t="shared" si="3"/>
        <v>0</v>
      </c>
      <c r="F60" s="127"/>
      <c r="G60" s="127"/>
      <c r="H60" s="128"/>
    </row>
    <row r="61" spans="1:8" ht="19" thickBot="1">
      <c r="B61" s="241" t="s">
        <v>58</v>
      </c>
      <c r="C61" s="242"/>
      <c r="D61" s="243"/>
      <c r="E61" s="126">
        <f t="shared" si="3"/>
        <v>0</v>
      </c>
      <c r="F61" s="127"/>
      <c r="G61" s="127"/>
      <c r="H61" s="128"/>
    </row>
    <row r="62" spans="1:8" ht="29" thickBot="1">
      <c r="B62" s="250" t="s">
        <v>67</v>
      </c>
      <c r="C62" s="251"/>
      <c r="D62" s="252"/>
      <c r="E62" s="253">
        <f>SUM(E49:H61)</f>
        <v>0</v>
      </c>
      <c r="F62" s="254"/>
      <c r="G62" s="254"/>
      <c r="H62" s="255"/>
    </row>
    <row r="63" spans="1:8" ht="19" thickBot="1">
      <c r="B63" s="241"/>
      <c r="C63" s="242"/>
      <c r="D63" s="243"/>
      <c r="E63" s="247"/>
      <c r="F63" s="248"/>
      <c r="G63" s="248"/>
      <c r="H63" s="24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>
        <v>7670</v>
      </c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>
        <v>2124</v>
      </c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f>SUM(C31:C36)</f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1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1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1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1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1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1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10"/>
        <v>0</v>
      </c>
      <c r="F53" s="127"/>
      <c r="G53" s="127"/>
      <c r="H53" s="128"/>
    </row>
    <row r="54" spans="2:8" ht="19" thickBot="1">
      <c r="B54" s="123" t="s">
        <v>67</v>
      </c>
      <c r="C54" s="124"/>
      <c r="D54" s="125"/>
      <c r="E54" s="129">
        <f>SUM(E41:H53)</f>
        <v>0</v>
      </c>
      <c r="F54" s="130"/>
      <c r="G54" s="130"/>
      <c r="H54" s="131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37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238" t="s">
        <v>69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>
        <v>15000</v>
      </c>
      <c r="D6" s="190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>
        <v>9000</v>
      </c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44">
        <v>7670</v>
      </c>
      <c r="D8" s="145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44">
        <v>4130</v>
      </c>
      <c r="D9" s="145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44">
        <v>2124</v>
      </c>
      <c r="D10" s="145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44">
        <v>3540</v>
      </c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>
        <v>2006</v>
      </c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44">
        <v>1357</v>
      </c>
      <c r="D13" s="145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2" t="s">
        <v>81</v>
      </c>
      <c r="B38" s="153"/>
      <c r="C38" s="90" t="s">
        <v>75</v>
      </c>
      <c r="D38" s="79"/>
      <c r="E38" s="154" t="s">
        <v>73</v>
      </c>
      <c r="F38" s="155"/>
      <c r="G38" s="88" t="s">
        <v>74</v>
      </c>
      <c r="H38" s="89" t="s">
        <v>75</v>
      </c>
    </row>
    <row r="39" spans="1:8" ht="15" thickBot="1">
      <c r="A39" s="156" t="s">
        <v>71</v>
      </c>
      <c r="B39" s="157"/>
      <c r="C39" s="80">
        <v>8363322</v>
      </c>
      <c r="D39" s="84"/>
      <c r="E39" s="158"/>
      <c r="F39" s="158"/>
      <c r="G39" s="87"/>
      <c r="H39" s="91"/>
    </row>
    <row r="40" spans="1:8" ht="15" thickBot="1">
      <c r="A40" s="159" t="s">
        <v>72</v>
      </c>
      <c r="B40" s="160"/>
      <c r="C40" s="71"/>
      <c r="D40" s="85"/>
      <c r="E40" s="161"/>
      <c r="F40" s="161"/>
      <c r="G40" s="86"/>
      <c r="H40" s="74"/>
    </row>
    <row r="41" spans="1:8" ht="15" thickBot="1">
      <c r="A41" s="159" t="s">
        <v>76</v>
      </c>
      <c r="B41" s="160"/>
      <c r="C41" s="72"/>
      <c r="D41" s="84"/>
      <c r="E41" s="162"/>
      <c r="F41" s="162"/>
      <c r="G41" s="86"/>
      <c r="H41" s="74"/>
    </row>
    <row r="42" spans="1:8" ht="15" thickBot="1">
      <c r="A42" s="173" t="s">
        <v>77</v>
      </c>
      <c r="B42" s="174"/>
      <c r="C42" s="73"/>
      <c r="D42" s="81"/>
      <c r="E42" s="193"/>
      <c r="F42" s="162"/>
      <c r="G42" s="15"/>
      <c r="H42" s="74"/>
    </row>
    <row r="43" spans="1:8" ht="15" thickBot="1">
      <c r="A43" s="163" t="s">
        <v>78</v>
      </c>
      <c r="B43" s="164"/>
      <c r="C43" s="75"/>
      <c r="D43" s="81"/>
      <c r="E43" s="191"/>
      <c r="F43" s="192"/>
      <c r="G43" s="15"/>
      <c r="H43" s="74"/>
    </row>
    <row r="44" spans="1:8" ht="15" thickBot="1">
      <c r="A44" s="163" t="s">
        <v>79</v>
      </c>
      <c r="B44" s="164"/>
      <c r="C44" s="76"/>
      <c r="D44" s="82"/>
      <c r="E44" s="191"/>
      <c r="F44" s="192"/>
      <c r="G44" s="15"/>
      <c r="H44" s="74"/>
    </row>
    <row r="45" spans="1:8" ht="15" thickBot="1">
      <c r="A45" s="163" t="s">
        <v>80</v>
      </c>
      <c r="B45" s="164"/>
      <c r="C45" s="92">
        <f>SUM(C39:C44)</f>
        <v>8363322</v>
      </c>
      <c r="D45" s="83"/>
      <c r="E45" s="165"/>
      <c r="F45" s="166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49" t="s">
        <v>60</v>
      </c>
      <c r="C48" s="150"/>
      <c r="D48" s="151"/>
      <c r="E48" s="149" t="s">
        <v>61</v>
      </c>
      <c r="F48" s="150"/>
      <c r="G48" s="150"/>
      <c r="H48" s="151"/>
    </row>
    <row r="49" spans="1:8" ht="19" thickBot="1">
      <c r="A49" s="39"/>
      <c r="B49" s="135" t="s">
        <v>63</v>
      </c>
      <c r="C49" s="136"/>
      <c r="D49" s="137"/>
      <c r="E49" s="138">
        <f>SUM(B9:B12)</f>
        <v>20252</v>
      </c>
      <c r="F49" s="139"/>
      <c r="G49" s="139"/>
      <c r="H49" s="140"/>
    </row>
    <row r="50" spans="1:8" ht="19" thickBot="1">
      <c r="A50" s="39"/>
      <c r="B50" s="135" t="s">
        <v>48</v>
      </c>
      <c r="C50" s="136"/>
      <c r="D50" s="137"/>
      <c r="E50" s="138">
        <f>SUM(B6:B8)</f>
        <v>250</v>
      </c>
      <c r="F50" s="139"/>
      <c r="G50" s="139"/>
      <c r="H50" s="140"/>
    </row>
    <row r="51" spans="1:8" ht="19" thickBot="1">
      <c r="A51" s="39"/>
      <c r="B51" s="135" t="s">
        <v>64</v>
      </c>
      <c r="C51" s="136"/>
      <c r="D51" s="137"/>
      <c r="E51" s="141">
        <f>SUM(B13:B14)</f>
        <v>3782</v>
      </c>
      <c r="F51" s="142"/>
      <c r="G51" s="142"/>
      <c r="H51" s="143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24" thickBot="1">
      <c r="B62" s="123" t="s">
        <v>67</v>
      </c>
      <c r="C62" s="124"/>
      <c r="D62" s="125"/>
      <c r="E62" s="271">
        <f>SUM(E49:H61)</f>
        <v>24284</v>
      </c>
      <c r="F62" s="272"/>
      <c r="G62" s="272"/>
      <c r="H62" s="273"/>
    </row>
    <row r="63" spans="1:8" ht="19" thickBot="1">
      <c r="B63" s="123"/>
      <c r="C63" s="124"/>
      <c r="D63" s="125"/>
      <c r="E63" s="132"/>
      <c r="F63" s="133"/>
      <c r="G63" s="133"/>
      <c r="H63" s="134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30" sqref="A30:H39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1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1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1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1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1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1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10"/>
        <v>0</v>
      </c>
      <c r="F53" s="127"/>
      <c r="G53" s="127"/>
      <c r="H53" s="128"/>
    </row>
    <row r="54" spans="2:8" ht="19" thickBot="1">
      <c r="B54" s="123" t="s">
        <v>67</v>
      </c>
      <c r="C54" s="124"/>
      <c r="D54" s="125"/>
      <c r="E54" s="129">
        <f>SUM(E41:H53)</f>
        <v>0</v>
      </c>
      <c r="F54" s="130"/>
      <c r="G54" s="130"/>
      <c r="H54" s="131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1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1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1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1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1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1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10"/>
        <v>0</v>
      </c>
      <c r="F53" s="127"/>
      <c r="G53" s="127"/>
      <c r="H53" s="128"/>
    </row>
    <row r="54" spans="2:8" ht="19" thickBot="1">
      <c r="B54" s="123" t="s">
        <v>67</v>
      </c>
      <c r="C54" s="124"/>
      <c r="D54" s="125"/>
      <c r="E54" s="129">
        <f>SUM(E41:H53)</f>
        <v>0</v>
      </c>
      <c r="F54" s="130"/>
      <c r="G54" s="130"/>
      <c r="H54" s="131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>
        <v>2124</v>
      </c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>
        <v>1357</v>
      </c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1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1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1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1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1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1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10"/>
        <v>0</v>
      </c>
      <c r="F53" s="127"/>
      <c r="G53" s="127"/>
      <c r="H53" s="128"/>
    </row>
    <row r="54" spans="2:8" ht="19" thickBot="1">
      <c r="B54" s="123" t="s">
        <v>67</v>
      </c>
      <c r="C54" s="124"/>
      <c r="D54" s="125"/>
      <c r="E54" s="129">
        <f>SUM(E41:H53)</f>
        <v>0</v>
      </c>
      <c r="F54" s="130"/>
      <c r="G54" s="130"/>
      <c r="H54" s="131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>
        <v>2124</v>
      </c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1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1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1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1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1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1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10"/>
        <v>0</v>
      </c>
      <c r="F53" s="127"/>
      <c r="G53" s="127"/>
      <c r="H53" s="128"/>
    </row>
    <row r="54" spans="2:8" ht="19" thickBot="1">
      <c r="B54" s="123" t="s">
        <v>67</v>
      </c>
      <c r="C54" s="124"/>
      <c r="D54" s="125"/>
      <c r="E54" s="129">
        <f>SUM(E41:H53)</f>
        <v>0</v>
      </c>
      <c r="F54" s="130"/>
      <c r="G54" s="130"/>
      <c r="H54" s="131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>
        <v>2124</v>
      </c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2" t="s">
        <v>81</v>
      </c>
      <c r="B38" s="153"/>
      <c r="C38" s="90" t="s">
        <v>75</v>
      </c>
      <c r="D38" s="79"/>
      <c r="E38" s="154" t="s">
        <v>73</v>
      </c>
      <c r="F38" s="155"/>
      <c r="G38" s="88" t="s">
        <v>74</v>
      </c>
      <c r="H38" s="89" t="s">
        <v>75</v>
      </c>
    </row>
    <row r="39" spans="1:8" ht="15" thickBot="1">
      <c r="A39" s="156" t="s">
        <v>71</v>
      </c>
      <c r="B39" s="157"/>
      <c r="C39" s="80"/>
      <c r="D39" s="84"/>
      <c r="E39" s="158"/>
      <c r="F39" s="158"/>
      <c r="G39" s="87"/>
      <c r="H39" s="91"/>
    </row>
    <row r="40" spans="1:8" ht="15" thickBot="1">
      <c r="A40" s="159" t="s">
        <v>72</v>
      </c>
      <c r="B40" s="160"/>
      <c r="C40" s="71"/>
      <c r="D40" s="85"/>
      <c r="E40" s="161"/>
      <c r="F40" s="161"/>
      <c r="G40" s="86"/>
      <c r="H40" s="74"/>
    </row>
    <row r="41" spans="1:8" ht="15" thickBot="1">
      <c r="A41" s="159" t="s">
        <v>76</v>
      </c>
      <c r="B41" s="160"/>
      <c r="C41" s="72"/>
      <c r="D41" s="84"/>
      <c r="E41" s="162"/>
      <c r="F41" s="162"/>
      <c r="G41" s="86"/>
      <c r="H41" s="74"/>
    </row>
    <row r="42" spans="1:8" ht="15" thickBot="1">
      <c r="A42" s="173" t="s">
        <v>77</v>
      </c>
      <c r="B42" s="174"/>
      <c r="C42" s="73"/>
      <c r="D42" s="81"/>
      <c r="E42" s="193"/>
      <c r="F42" s="162"/>
      <c r="G42" s="15"/>
      <c r="H42" s="74"/>
    </row>
    <row r="43" spans="1:8" ht="15" thickBot="1">
      <c r="A43" s="163" t="s">
        <v>78</v>
      </c>
      <c r="B43" s="164"/>
      <c r="C43" s="75"/>
      <c r="D43" s="81"/>
      <c r="E43" s="191"/>
      <c r="F43" s="192"/>
      <c r="G43" s="15"/>
      <c r="H43" s="74"/>
    </row>
    <row r="44" spans="1:8" ht="15" thickBot="1">
      <c r="A44" s="163" t="s">
        <v>79</v>
      </c>
      <c r="B44" s="164"/>
      <c r="C44" s="76"/>
      <c r="D44" s="82"/>
      <c r="E44" s="191"/>
      <c r="F44" s="192"/>
      <c r="G44" s="15"/>
      <c r="H44" s="74"/>
    </row>
    <row r="45" spans="1:8" ht="15" thickBot="1">
      <c r="A45" s="163" t="s">
        <v>80</v>
      </c>
      <c r="B45" s="164"/>
      <c r="C45" s="92">
        <v>0</v>
      </c>
      <c r="D45" s="83"/>
      <c r="E45" s="165"/>
      <c r="F45" s="166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49" t="s">
        <v>60</v>
      </c>
      <c r="C48" s="150"/>
      <c r="D48" s="151"/>
      <c r="E48" s="149" t="s">
        <v>61</v>
      </c>
      <c r="F48" s="150"/>
      <c r="G48" s="150"/>
      <c r="H48" s="151"/>
    </row>
    <row r="49" spans="1:8" ht="19" thickBot="1">
      <c r="A49" s="39"/>
      <c r="B49" s="135" t="s">
        <v>63</v>
      </c>
      <c r="C49" s="136"/>
      <c r="D49" s="137"/>
      <c r="E49" s="138">
        <f>SUM(B9:B12)</f>
        <v>0</v>
      </c>
      <c r="F49" s="139"/>
      <c r="G49" s="139"/>
      <c r="H49" s="140"/>
    </row>
    <row r="50" spans="1:8" ht="19" thickBot="1">
      <c r="A50" s="39"/>
      <c r="B50" s="135" t="s">
        <v>48</v>
      </c>
      <c r="C50" s="136"/>
      <c r="D50" s="137"/>
      <c r="E50" s="138">
        <f>SUM(B6:B8)</f>
        <v>0</v>
      </c>
      <c r="F50" s="139"/>
      <c r="G50" s="139"/>
      <c r="H50" s="140"/>
    </row>
    <row r="51" spans="1:8" ht="19" thickBot="1">
      <c r="A51" s="39"/>
      <c r="B51" s="135" t="s">
        <v>64</v>
      </c>
      <c r="C51" s="136"/>
      <c r="D51" s="137"/>
      <c r="E51" s="141">
        <f>SUM(B13:B14)</f>
        <v>0</v>
      </c>
      <c r="F51" s="142"/>
      <c r="G51" s="142"/>
      <c r="H51" s="143"/>
    </row>
    <row r="52" spans="1:8" ht="19" thickBot="1">
      <c r="B52" s="241" t="s">
        <v>65</v>
      </c>
      <c r="C52" s="242"/>
      <c r="D52" s="243"/>
      <c r="E52" s="126">
        <f>SUM(B17:B18)</f>
        <v>0</v>
      </c>
      <c r="F52" s="130"/>
      <c r="G52" s="130"/>
      <c r="H52" s="131"/>
    </row>
    <row r="53" spans="1:8" ht="19" thickBot="1">
      <c r="B53" s="241" t="s">
        <v>66</v>
      </c>
      <c r="C53" s="242"/>
      <c r="D53" s="243"/>
      <c r="E53" s="126">
        <f>SUM(B19:B20)</f>
        <v>0</v>
      </c>
      <c r="F53" s="130"/>
      <c r="G53" s="130"/>
      <c r="H53" s="131"/>
    </row>
    <row r="54" spans="1:8" ht="19" thickBot="1">
      <c r="B54" s="241" t="s">
        <v>58</v>
      </c>
      <c r="C54" s="242"/>
      <c r="D54" s="243"/>
      <c r="E54" s="126">
        <f>B29</f>
        <v>0</v>
      </c>
      <c r="F54" s="127"/>
      <c r="G54" s="127"/>
      <c r="H54" s="128"/>
    </row>
    <row r="55" spans="1:8" ht="19" thickBot="1">
      <c r="B55" s="241" t="s">
        <v>58</v>
      </c>
      <c r="C55" s="242"/>
      <c r="D55" s="243"/>
      <c r="E55" s="126">
        <f t="shared" ref="E55:E61" si="3">B30</f>
        <v>0</v>
      </c>
      <c r="F55" s="127"/>
      <c r="G55" s="127"/>
      <c r="H55" s="128"/>
    </row>
    <row r="56" spans="1:8" ht="19" thickBot="1">
      <c r="B56" s="241" t="s">
        <v>58</v>
      </c>
      <c r="C56" s="242"/>
      <c r="D56" s="243"/>
      <c r="E56" s="126">
        <f t="shared" si="3"/>
        <v>0</v>
      </c>
      <c r="F56" s="127"/>
      <c r="G56" s="127"/>
      <c r="H56" s="128"/>
    </row>
    <row r="57" spans="1:8" ht="19" thickBot="1">
      <c r="B57" s="241" t="s">
        <v>58</v>
      </c>
      <c r="C57" s="242"/>
      <c r="D57" s="243"/>
      <c r="E57" s="126">
        <f t="shared" si="3"/>
        <v>0</v>
      </c>
      <c r="F57" s="127"/>
      <c r="G57" s="127"/>
      <c r="H57" s="128"/>
    </row>
    <row r="58" spans="1:8" ht="19" thickBot="1">
      <c r="B58" s="241" t="s">
        <v>58</v>
      </c>
      <c r="C58" s="242"/>
      <c r="D58" s="243"/>
      <c r="E58" s="126">
        <f t="shared" si="3"/>
        <v>0</v>
      </c>
      <c r="F58" s="127"/>
      <c r="G58" s="127"/>
      <c r="H58" s="128"/>
    </row>
    <row r="59" spans="1:8" ht="19" thickBot="1">
      <c r="B59" s="241" t="s">
        <v>58</v>
      </c>
      <c r="C59" s="242"/>
      <c r="D59" s="243"/>
      <c r="E59" s="126">
        <f t="shared" si="3"/>
        <v>0</v>
      </c>
      <c r="F59" s="127"/>
      <c r="G59" s="127"/>
      <c r="H59" s="128"/>
    </row>
    <row r="60" spans="1:8" ht="19" thickBot="1">
      <c r="B60" s="241" t="s">
        <v>58</v>
      </c>
      <c r="C60" s="242"/>
      <c r="D60" s="243"/>
      <c r="E60" s="126">
        <f t="shared" si="3"/>
        <v>0</v>
      </c>
      <c r="F60" s="127"/>
      <c r="G60" s="127"/>
      <c r="H60" s="128"/>
    </row>
    <row r="61" spans="1:8" ht="19" thickBot="1">
      <c r="B61" s="241" t="s">
        <v>58</v>
      </c>
      <c r="C61" s="242"/>
      <c r="D61" s="243"/>
      <c r="E61" s="126">
        <f t="shared" si="3"/>
        <v>0</v>
      </c>
      <c r="F61" s="127"/>
      <c r="G61" s="127"/>
      <c r="H61" s="128"/>
    </row>
    <row r="62" spans="1:8" ht="19" thickBot="1">
      <c r="B62" s="241" t="s">
        <v>67</v>
      </c>
      <c r="C62" s="242"/>
      <c r="D62" s="243"/>
      <c r="E62" s="129">
        <f>SUM(E49:H61)</f>
        <v>0</v>
      </c>
      <c r="F62" s="130"/>
      <c r="G62" s="130"/>
      <c r="H62" s="131"/>
    </row>
    <row r="63" spans="1:8" ht="19" thickBot="1">
      <c r="B63" s="241"/>
      <c r="C63" s="242"/>
      <c r="D63" s="243"/>
      <c r="E63" s="247"/>
      <c r="F63" s="248"/>
      <c r="G63" s="248"/>
      <c r="H63" s="24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>
        <v>1357</v>
      </c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2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59" t="s">
        <v>72</v>
      </c>
      <c r="B40" s="160"/>
      <c r="C40" s="71"/>
      <c r="D40" s="85"/>
      <c r="E40" s="144"/>
      <c r="F40" s="145"/>
      <c r="G40" s="86"/>
      <c r="H40" s="74"/>
    </row>
    <row r="41" spans="1:8" ht="15" thickBot="1">
      <c r="A41" s="159" t="s">
        <v>76</v>
      </c>
      <c r="B41" s="160"/>
      <c r="C41" s="72"/>
      <c r="D41" s="84"/>
      <c r="E41" s="283"/>
      <c r="F41" s="193"/>
      <c r="G41" s="86"/>
      <c r="H41" s="74"/>
    </row>
    <row r="42" spans="1:8" ht="15" thickBot="1">
      <c r="A42" s="159" t="s">
        <v>77</v>
      </c>
      <c r="B42" s="160"/>
      <c r="C42" s="73"/>
      <c r="D42" s="81"/>
      <c r="E42" s="284"/>
      <c r="F42" s="193"/>
      <c r="G42" s="15"/>
      <c r="H42" s="74"/>
    </row>
    <row r="43" spans="1:8" ht="15" thickBot="1">
      <c r="A43" s="159" t="s">
        <v>78</v>
      </c>
      <c r="B43" s="160"/>
      <c r="C43" s="75"/>
      <c r="D43" s="81"/>
      <c r="E43" s="285"/>
      <c r="F43" s="191"/>
      <c r="G43" s="15"/>
      <c r="H43" s="74"/>
    </row>
    <row r="44" spans="1:8" ht="15" thickBot="1">
      <c r="A44" s="159" t="s">
        <v>79</v>
      </c>
      <c r="B44" s="160"/>
      <c r="C44" s="76"/>
      <c r="D44" s="82"/>
      <c r="E44" s="285"/>
      <c r="F44" s="191"/>
      <c r="G44" s="15"/>
      <c r="H44" s="74"/>
    </row>
    <row r="45" spans="1:8" ht="15" thickBot="1">
      <c r="A45" s="159" t="s">
        <v>80</v>
      </c>
      <c r="B45" s="160"/>
      <c r="C45" s="92">
        <v>0</v>
      </c>
      <c r="D45" s="83"/>
      <c r="E45" s="286"/>
      <c r="F45" s="165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49" t="s">
        <v>60</v>
      </c>
      <c r="C48" s="150"/>
      <c r="D48" s="151"/>
      <c r="E48" s="149" t="s">
        <v>61</v>
      </c>
      <c r="F48" s="150"/>
      <c r="G48" s="150"/>
      <c r="H48" s="151"/>
    </row>
    <row r="49" spans="1:8" ht="19" thickBot="1">
      <c r="A49" s="39"/>
      <c r="B49" s="135" t="s">
        <v>63</v>
      </c>
      <c r="C49" s="136"/>
      <c r="D49" s="137"/>
      <c r="E49" s="138">
        <f>SUM(B9:B12)</f>
        <v>0</v>
      </c>
      <c r="F49" s="274"/>
      <c r="G49" s="274"/>
      <c r="H49" s="275"/>
    </row>
    <row r="50" spans="1:8" ht="19" thickBot="1">
      <c r="A50" s="39"/>
      <c r="B50" s="135" t="s">
        <v>48</v>
      </c>
      <c r="C50" s="136"/>
      <c r="D50" s="137"/>
      <c r="E50" s="138">
        <f>SUM(B6:B8)</f>
        <v>0</v>
      </c>
      <c r="F50" s="274"/>
      <c r="G50" s="274"/>
      <c r="H50" s="275"/>
    </row>
    <row r="51" spans="1:8" ht="19" thickBot="1">
      <c r="A51" s="39"/>
      <c r="B51" s="135" t="s">
        <v>64</v>
      </c>
      <c r="C51" s="136"/>
      <c r="D51" s="137"/>
      <c r="E51" s="138">
        <f>SUM(B13:B14)</f>
        <v>0</v>
      </c>
      <c r="F51" s="274"/>
      <c r="G51" s="274"/>
      <c r="H51" s="275"/>
    </row>
    <row r="52" spans="1:8" ht="19" thickBot="1">
      <c r="A52" s="62"/>
      <c r="B52" s="241" t="s">
        <v>65</v>
      </c>
      <c r="C52" s="242"/>
      <c r="D52" s="243"/>
      <c r="E52" s="126">
        <f>SUM(B17:B18)</f>
        <v>0</v>
      </c>
      <c r="F52" s="127"/>
      <c r="G52" s="127"/>
      <c r="H52" s="128"/>
    </row>
    <row r="53" spans="1:8" ht="19" thickBot="1">
      <c r="A53" s="62"/>
      <c r="B53" s="241" t="s">
        <v>66</v>
      </c>
      <c r="C53" s="242"/>
      <c r="D53" s="243"/>
      <c r="E53" s="126">
        <f>SUM(B19:B20)</f>
        <v>0</v>
      </c>
      <c r="F53" s="127"/>
      <c r="G53" s="127"/>
      <c r="H53" s="128"/>
    </row>
    <row r="54" spans="1:8" ht="19" thickBot="1">
      <c r="A54" s="62"/>
      <c r="B54" s="241" t="s">
        <v>58</v>
      </c>
      <c r="C54" s="242"/>
      <c r="D54" s="243"/>
      <c r="E54" s="126">
        <f>B29</f>
        <v>0</v>
      </c>
      <c r="F54" s="127"/>
      <c r="G54" s="127"/>
      <c r="H54" s="128"/>
    </row>
    <row r="55" spans="1:8" ht="19" thickBot="1">
      <c r="A55" s="62"/>
      <c r="B55" s="241" t="s">
        <v>58</v>
      </c>
      <c r="C55" s="242"/>
      <c r="D55" s="243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241" t="s">
        <v>58</v>
      </c>
      <c r="C56" s="242"/>
      <c r="D56" s="243"/>
      <c r="E56" s="126">
        <f t="shared" si="4"/>
        <v>0</v>
      </c>
      <c r="F56" s="127"/>
      <c r="G56" s="127"/>
      <c r="H56" s="128"/>
    </row>
    <row r="57" spans="1:8" ht="19" thickBot="1">
      <c r="A57" s="62"/>
      <c r="B57" s="241" t="s">
        <v>58</v>
      </c>
      <c r="C57" s="242"/>
      <c r="D57" s="243"/>
      <c r="E57" s="126">
        <f t="shared" si="4"/>
        <v>0</v>
      </c>
      <c r="F57" s="127"/>
      <c r="G57" s="127"/>
      <c r="H57" s="128"/>
    </row>
    <row r="58" spans="1:8" ht="19" thickBot="1">
      <c r="A58" s="62"/>
      <c r="B58" s="241" t="s">
        <v>58</v>
      </c>
      <c r="C58" s="242"/>
      <c r="D58" s="243"/>
      <c r="E58" s="126">
        <f t="shared" si="4"/>
        <v>0</v>
      </c>
      <c r="F58" s="127"/>
      <c r="G58" s="127"/>
      <c r="H58" s="128"/>
    </row>
    <row r="59" spans="1:8" ht="19" thickBot="1">
      <c r="A59" s="62"/>
      <c r="B59" s="241" t="s">
        <v>58</v>
      </c>
      <c r="C59" s="242"/>
      <c r="D59" s="243"/>
      <c r="E59" s="126">
        <f t="shared" si="4"/>
        <v>0</v>
      </c>
      <c r="F59" s="127"/>
      <c r="G59" s="127"/>
      <c r="H59" s="128"/>
    </row>
    <row r="60" spans="1:8" ht="19" thickBot="1">
      <c r="A60" s="62"/>
      <c r="B60" s="241" t="s">
        <v>58</v>
      </c>
      <c r="C60" s="242"/>
      <c r="D60" s="243"/>
      <c r="E60" s="126">
        <f t="shared" si="4"/>
        <v>0</v>
      </c>
      <c r="F60" s="127"/>
      <c r="G60" s="127"/>
      <c r="H60" s="128"/>
    </row>
    <row r="61" spans="1:8" ht="19" thickBot="1">
      <c r="A61" s="62"/>
      <c r="B61" s="241" t="s">
        <v>58</v>
      </c>
      <c r="C61" s="242"/>
      <c r="D61" s="243"/>
      <c r="E61" s="126">
        <f t="shared" si="4"/>
        <v>0</v>
      </c>
      <c r="F61" s="127"/>
      <c r="G61" s="127"/>
      <c r="H61" s="128"/>
    </row>
    <row r="62" spans="1:8" ht="19" thickBot="1">
      <c r="A62" s="62"/>
      <c r="B62" s="241" t="s">
        <v>67</v>
      </c>
      <c r="C62" s="242"/>
      <c r="D62" s="243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132"/>
      <c r="F63" s="133"/>
      <c r="G63" s="133"/>
      <c r="H63" s="134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2" t="s">
        <v>81</v>
      </c>
      <c r="B38" s="153"/>
      <c r="C38" s="90" t="s">
        <v>75</v>
      </c>
      <c r="D38" s="79"/>
      <c r="E38" s="154" t="s">
        <v>73</v>
      </c>
      <c r="F38" s="155"/>
      <c r="G38" s="88" t="s">
        <v>74</v>
      </c>
      <c r="H38" s="89" t="s">
        <v>75</v>
      </c>
    </row>
    <row r="39" spans="1:8" ht="15" thickBot="1">
      <c r="A39" s="156" t="s">
        <v>71</v>
      </c>
      <c r="B39" s="157"/>
      <c r="C39" s="80"/>
      <c r="D39" s="84"/>
      <c r="E39" s="158"/>
      <c r="F39" s="158"/>
      <c r="G39" s="87"/>
      <c r="H39" s="91"/>
    </row>
    <row r="40" spans="1:8" ht="15" thickBot="1">
      <c r="A40" s="159" t="s">
        <v>72</v>
      </c>
      <c r="B40" s="160"/>
      <c r="C40" s="71"/>
      <c r="D40" s="85"/>
      <c r="E40" s="161"/>
      <c r="F40" s="161"/>
      <c r="G40" s="86"/>
      <c r="H40" s="74"/>
    </row>
    <row r="41" spans="1:8" ht="15" thickBot="1">
      <c r="A41" s="159" t="s">
        <v>76</v>
      </c>
      <c r="B41" s="160"/>
      <c r="C41" s="72"/>
      <c r="D41" s="84"/>
      <c r="E41" s="162"/>
      <c r="F41" s="162"/>
      <c r="G41" s="86"/>
      <c r="H41" s="74"/>
    </row>
    <row r="42" spans="1:8" ht="15" thickBot="1">
      <c r="A42" s="173" t="s">
        <v>77</v>
      </c>
      <c r="B42" s="174"/>
      <c r="C42" s="73"/>
      <c r="D42" s="81"/>
      <c r="E42" s="193"/>
      <c r="F42" s="162"/>
      <c r="G42" s="15"/>
      <c r="H42" s="74"/>
    </row>
    <row r="43" spans="1:8" ht="15" thickBot="1">
      <c r="A43" s="163" t="s">
        <v>78</v>
      </c>
      <c r="B43" s="164"/>
      <c r="C43" s="75"/>
      <c r="D43" s="81"/>
      <c r="E43" s="191"/>
      <c r="F43" s="192"/>
      <c r="G43" s="15"/>
      <c r="H43" s="74"/>
    </row>
    <row r="44" spans="1:8" ht="15" thickBot="1">
      <c r="A44" s="163" t="s">
        <v>79</v>
      </c>
      <c r="B44" s="164"/>
      <c r="C44" s="76"/>
      <c r="D44" s="82"/>
      <c r="E44" s="191"/>
      <c r="F44" s="192"/>
      <c r="G44" s="15"/>
      <c r="H44" s="74"/>
    </row>
    <row r="45" spans="1:8" ht="15" thickBot="1">
      <c r="A45" s="163" t="s">
        <v>80</v>
      </c>
      <c r="B45" s="164"/>
      <c r="C45" s="92">
        <v>0</v>
      </c>
      <c r="D45" s="83"/>
      <c r="E45" s="165"/>
      <c r="F45" s="166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49" t="s">
        <v>60</v>
      </c>
      <c r="C48" s="150"/>
      <c r="D48" s="151"/>
      <c r="E48" s="149" t="s">
        <v>61</v>
      </c>
      <c r="F48" s="150"/>
      <c r="G48" s="150"/>
      <c r="H48" s="151"/>
    </row>
    <row r="49" spans="1:8" ht="19" thickBot="1">
      <c r="A49" s="39"/>
      <c r="B49" s="135" t="s">
        <v>63</v>
      </c>
      <c r="C49" s="136"/>
      <c r="D49" s="137"/>
      <c r="E49" s="138">
        <f>SUM(B9:B12)</f>
        <v>0</v>
      </c>
      <c r="F49" s="139"/>
      <c r="G49" s="139"/>
      <c r="H49" s="140"/>
    </row>
    <row r="50" spans="1:8" ht="19" thickBot="1">
      <c r="A50" s="39"/>
      <c r="B50" s="135" t="s">
        <v>48</v>
      </c>
      <c r="C50" s="136"/>
      <c r="D50" s="137"/>
      <c r="E50" s="138">
        <f>SUM(B6:B8)</f>
        <v>0</v>
      </c>
      <c r="F50" s="139"/>
      <c r="G50" s="139"/>
      <c r="H50" s="140"/>
    </row>
    <row r="51" spans="1:8" ht="19" thickBot="1">
      <c r="A51" s="39"/>
      <c r="B51" s="135" t="s">
        <v>64</v>
      </c>
      <c r="C51" s="136"/>
      <c r="D51" s="137"/>
      <c r="E51" s="141">
        <f>SUM(B13:B14)</f>
        <v>0</v>
      </c>
      <c r="F51" s="142"/>
      <c r="G51" s="142"/>
      <c r="H51" s="143"/>
    </row>
    <row r="52" spans="1:8" ht="19" thickBot="1">
      <c r="A52" s="62"/>
      <c r="B52" s="241" t="s">
        <v>65</v>
      </c>
      <c r="C52" s="242"/>
      <c r="D52" s="243"/>
      <c r="E52" s="126">
        <f>SUM(B17:B18)</f>
        <v>0</v>
      </c>
      <c r="F52" s="130"/>
      <c r="G52" s="130"/>
      <c r="H52" s="131"/>
    </row>
    <row r="53" spans="1:8" ht="19" thickBot="1">
      <c r="A53" s="62"/>
      <c r="B53" s="241" t="s">
        <v>66</v>
      </c>
      <c r="C53" s="242"/>
      <c r="D53" s="243"/>
      <c r="E53" s="126">
        <f>SUM(B19:B20)</f>
        <v>0</v>
      </c>
      <c r="F53" s="130"/>
      <c r="G53" s="130"/>
      <c r="H53" s="131"/>
    </row>
    <row r="54" spans="1:8" ht="19" thickBot="1">
      <c r="A54" s="62"/>
      <c r="B54" s="241" t="s">
        <v>58</v>
      </c>
      <c r="C54" s="242"/>
      <c r="D54" s="243"/>
      <c r="E54" s="126">
        <f>B29</f>
        <v>0</v>
      </c>
      <c r="F54" s="127"/>
      <c r="G54" s="127"/>
      <c r="H54" s="128"/>
    </row>
    <row r="55" spans="1:8" ht="19" thickBot="1">
      <c r="A55" s="62"/>
      <c r="B55" s="241" t="s">
        <v>58</v>
      </c>
      <c r="C55" s="242"/>
      <c r="D55" s="243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241" t="s">
        <v>58</v>
      </c>
      <c r="C56" s="242"/>
      <c r="D56" s="243"/>
      <c r="E56" s="126">
        <f t="shared" si="4"/>
        <v>0</v>
      </c>
      <c r="F56" s="127"/>
      <c r="G56" s="127"/>
      <c r="H56" s="128"/>
    </row>
    <row r="57" spans="1:8" ht="19" thickBot="1">
      <c r="A57" s="62"/>
      <c r="B57" s="241" t="s">
        <v>58</v>
      </c>
      <c r="C57" s="242"/>
      <c r="D57" s="243"/>
      <c r="E57" s="126">
        <f t="shared" si="4"/>
        <v>0</v>
      </c>
      <c r="F57" s="127"/>
      <c r="G57" s="127"/>
      <c r="H57" s="128"/>
    </row>
    <row r="58" spans="1:8" ht="19" thickBot="1">
      <c r="A58" s="62"/>
      <c r="B58" s="241" t="s">
        <v>58</v>
      </c>
      <c r="C58" s="242"/>
      <c r="D58" s="243"/>
      <c r="E58" s="126">
        <f t="shared" si="4"/>
        <v>0</v>
      </c>
      <c r="F58" s="127"/>
      <c r="G58" s="127"/>
      <c r="H58" s="128"/>
    </row>
    <row r="59" spans="1:8" ht="19" thickBot="1">
      <c r="A59" s="62"/>
      <c r="B59" s="241" t="s">
        <v>58</v>
      </c>
      <c r="C59" s="242"/>
      <c r="D59" s="243"/>
      <c r="E59" s="126">
        <f t="shared" si="4"/>
        <v>0</v>
      </c>
      <c r="F59" s="127"/>
      <c r="G59" s="127"/>
      <c r="H59" s="128"/>
    </row>
    <row r="60" spans="1:8" ht="19" thickBot="1">
      <c r="A60" s="62"/>
      <c r="B60" s="241" t="s">
        <v>58</v>
      </c>
      <c r="C60" s="242"/>
      <c r="D60" s="243"/>
      <c r="E60" s="126">
        <f t="shared" si="4"/>
        <v>0</v>
      </c>
      <c r="F60" s="127"/>
      <c r="G60" s="127"/>
      <c r="H60" s="128"/>
    </row>
    <row r="61" spans="1:8" ht="19" thickBot="1">
      <c r="A61" s="62"/>
      <c r="B61" s="241" t="s">
        <v>58</v>
      </c>
      <c r="C61" s="242"/>
      <c r="D61" s="243"/>
      <c r="E61" s="126">
        <f t="shared" si="4"/>
        <v>0</v>
      </c>
      <c r="F61" s="127"/>
      <c r="G61" s="127"/>
      <c r="H61" s="128"/>
    </row>
    <row r="62" spans="1:8" ht="19" thickBot="1">
      <c r="A62" s="62"/>
      <c r="B62" s="241" t="s">
        <v>67</v>
      </c>
      <c r="C62" s="242"/>
      <c r="D62" s="243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132"/>
      <c r="F63" s="133"/>
      <c r="G63" s="133"/>
      <c r="H63" s="134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37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238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2" t="s">
        <v>81</v>
      </c>
      <c r="B38" s="153"/>
      <c r="C38" s="90" t="s">
        <v>75</v>
      </c>
      <c r="D38" s="79"/>
      <c r="E38" s="154" t="s">
        <v>73</v>
      </c>
      <c r="F38" s="155"/>
      <c r="G38" s="88" t="s">
        <v>74</v>
      </c>
      <c r="H38" s="89" t="s">
        <v>75</v>
      </c>
    </row>
    <row r="39" spans="1:8" ht="14.5" customHeight="1" thickBot="1">
      <c r="A39" s="156" t="s">
        <v>71</v>
      </c>
      <c r="B39" s="157"/>
      <c r="C39" s="80"/>
      <c r="D39" s="84"/>
      <c r="E39" s="158"/>
      <c r="F39" s="158"/>
      <c r="G39" s="87"/>
      <c r="H39" s="91"/>
    </row>
    <row r="40" spans="1:8" ht="15" customHeight="1" thickBot="1">
      <c r="A40" s="159" t="s">
        <v>72</v>
      </c>
      <c r="B40" s="160"/>
      <c r="C40" s="71"/>
      <c r="D40" s="85"/>
      <c r="E40" s="161"/>
      <c r="F40" s="161"/>
      <c r="G40" s="86"/>
      <c r="H40" s="74"/>
    </row>
    <row r="41" spans="1:8" ht="15" thickBot="1">
      <c r="A41" s="159" t="s">
        <v>76</v>
      </c>
      <c r="B41" s="160"/>
      <c r="C41" s="72"/>
      <c r="D41" s="84"/>
      <c r="E41" s="162"/>
      <c r="F41" s="162"/>
      <c r="G41" s="86"/>
      <c r="H41" s="74"/>
    </row>
    <row r="42" spans="1:8" ht="15" thickBot="1">
      <c r="A42" s="173" t="s">
        <v>77</v>
      </c>
      <c r="B42" s="174"/>
      <c r="C42" s="73"/>
      <c r="D42" s="81"/>
      <c r="E42" s="193"/>
      <c r="F42" s="162"/>
      <c r="G42" s="15"/>
      <c r="H42" s="74"/>
    </row>
    <row r="43" spans="1:8" ht="15" thickBot="1">
      <c r="A43" s="163" t="s">
        <v>78</v>
      </c>
      <c r="B43" s="164"/>
      <c r="C43" s="75"/>
      <c r="D43" s="81"/>
      <c r="E43" s="191"/>
      <c r="F43" s="192"/>
      <c r="G43" s="15"/>
      <c r="H43" s="74"/>
    </row>
    <row r="44" spans="1:8" ht="15" thickBot="1">
      <c r="A44" s="163" t="s">
        <v>79</v>
      </c>
      <c r="B44" s="164"/>
      <c r="C44" s="76"/>
      <c r="D44" s="82"/>
      <c r="E44" s="191"/>
      <c r="F44" s="192"/>
      <c r="G44" s="15"/>
      <c r="H44" s="74"/>
    </row>
    <row r="45" spans="1:8" ht="15" thickBot="1">
      <c r="A45" s="163" t="s">
        <v>80</v>
      </c>
      <c r="B45" s="164"/>
      <c r="C45" s="92">
        <v>0</v>
      </c>
      <c r="D45" s="83"/>
      <c r="E45" s="165"/>
      <c r="F45" s="166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49" t="s">
        <v>60</v>
      </c>
      <c r="C48" s="150"/>
      <c r="D48" s="151"/>
      <c r="E48" s="149" t="s">
        <v>61</v>
      </c>
      <c r="F48" s="150"/>
      <c r="G48" s="150"/>
      <c r="H48" s="151"/>
    </row>
    <row r="49" spans="1:8" ht="19" thickBot="1">
      <c r="A49" s="39"/>
      <c r="B49" s="135" t="s">
        <v>63</v>
      </c>
      <c r="C49" s="136"/>
      <c r="D49" s="137"/>
      <c r="E49" s="138">
        <f>SUM(B9:B12)</f>
        <v>0</v>
      </c>
      <c r="F49" s="139"/>
      <c r="G49" s="139"/>
      <c r="H49" s="140"/>
    </row>
    <row r="50" spans="1:8" ht="19" thickBot="1">
      <c r="A50" s="39"/>
      <c r="B50" s="135" t="s">
        <v>48</v>
      </c>
      <c r="C50" s="136"/>
      <c r="D50" s="137"/>
      <c r="E50" s="138">
        <f>SUM(B6:B8)</f>
        <v>0</v>
      </c>
      <c r="F50" s="139"/>
      <c r="G50" s="139"/>
      <c r="H50" s="140"/>
    </row>
    <row r="51" spans="1:8" ht="19" thickBot="1">
      <c r="A51" s="39"/>
      <c r="B51" s="135" t="s">
        <v>64</v>
      </c>
      <c r="C51" s="136"/>
      <c r="D51" s="137"/>
      <c r="E51" s="141">
        <f>SUM(B13:B14)</f>
        <v>0</v>
      </c>
      <c r="F51" s="142"/>
      <c r="G51" s="142"/>
      <c r="H51" s="143"/>
    </row>
    <row r="52" spans="1:8" ht="19" thickBot="1">
      <c r="B52" s="241" t="s">
        <v>65</v>
      </c>
      <c r="C52" s="242"/>
      <c r="D52" s="243"/>
      <c r="E52" s="126">
        <f>SUM(B17:B18)</f>
        <v>0</v>
      </c>
      <c r="F52" s="130"/>
      <c r="G52" s="130"/>
      <c r="H52" s="131"/>
    </row>
    <row r="53" spans="1:8" ht="19" thickBot="1">
      <c r="B53" s="241" t="s">
        <v>66</v>
      </c>
      <c r="C53" s="242"/>
      <c r="D53" s="243"/>
      <c r="E53" s="126">
        <f>SUM(B19:B20)</f>
        <v>0</v>
      </c>
      <c r="F53" s="130"/>
      <c r="G53" s="130"/>
      <c r="H53" s="131"/>
    </row>
    <row r="54" spans="1:8" ht="19" thickBot="1">
      <c r="B54" s="241" t="s">
        <v>58</v>
      </c>
      <c r="C54" s="242"/>
      <c r="D54" s="243"/>
      <c r="E54" s="126">
        <f>B29</f>
        <v>0</v>
      </c>
      <c r="F54" s="127"/>
      <c r="G54" s="127"/>
      <c r="H54" s="128"/>
    </row>
    <row r="55" spans="1:8" ht="19" thickBot="1">
      <c r="B55" s="241" t="s">
        <v>58</v>
      </c>
      <c r="C55" s="242"/>
      <c r="D55" s="243"/>
      <c r="E55" s="126">
        <f t="shared" ref="E55:E61" si="4">B30</f>
        <v>0</v>
      </c>
      <c r="F55" s="127"/>
      <c r="G55" s="127"/>
      <c r="H55" s="128"/>
    </row>
    <row r="56" spans="1:8" ht="19" thickBot="1">
      <c r="B56" s="241" t="s">
        <v>58</v>
      </c>
      <c r="C56" s="242"/>
      <c r="D56" s="243"/>
      <c r="E56" s="126">
        <f t="shared" si="4"/>
        <v>0</v>
      </c>
      <c r="F56" s="127"/>
      <c r="G56" s="127"/>
      <c r="H56" s="128"/>
    </row>
    <row r="57" spans="1:8" ht="19" thickBot="1">
      <c r="B57" s="241" t="s">
        <v>58</v>
      </c>
      <c r="C57" s="242"/>
      <c r="D57" s="243"/>
      <c r="E57" s="126">
        <f t="shared" si="4"/>
        <v>0</v>
      </c>
      <c r="F57" s="127"/>
      <c r="G57" s="127"/>
      <c r="H57" s="128"/>
    </row>
    <row r="58" spans="1:8" ht="19" thickBot="1">
      <c r="B58" s="241" t="s">
        <v>58</v>
      </c>
      <c r="C58" s="242"/>
      <c r="D58" s="243"/>
      <c r="E58" s="126">
        <f t="shared" si="4"/>
        <v>0</v>
      </c>
      <c r="F58" s="127"/>
      <c r="G58" s="127"/>
      <c r="H58" s="128"/>
    </row>
    <row r="59" spans="1:8" ht="19" thickBot="1">
      <c r="B59" s="241" t="s">
        <v>58</v>
      </c>
      <c r="C59" s="242"/>
      <c r="D59" s="243"/>
      <c r="E59" s="126">
        <f t="shared" si="4"/>
        <v>0</v>
      </c>
      <c r="F59" s="127"/>
      <c r="G59" s="127"/>
      <c r="H59" s="128"/>
    </row>
    <row r="60" spans="1:8" ht="19" thickBot="1">
      <c r="B60" s="241" t="s">
        <v>58</v>
      </c>
      <c r="C60" s="242"/>
      <c r="D60" s="243"/>
      <c r="E60" s="126">
        <f t="shared" si="4"/>
        <v>0</v>
      </c>
      <c r="F60" s="127"/>
      <c r="G60" s="127"/>
      <c r="H60" s="128"/>
    </row>
    <row r="61" spans="1:8" ht="19" thickBot="1">
      <c r="B61" s="241" t="s">
        <v>58</v>
      </c>
      <c r="C61" s="242"/>
      <c r="D61" s="243"/>
      <c r="E61" s="126">
        <f t="shared" si="4"/>
        <v>0</v>
      </c>
      <c r="F61" s="127"/>
      <c r="G61" s="127"/>
      <c r="H61" s="128"/>
    </row>
    <row r="62" spans="1:8" ht="19" thickBot="1">
      <c r="B62" s="241" t="s">
        <v>67</v>
      </c>
      <c r="C62" s="242"/>
      <c r="D62" s="243"/>
      <c r="E62" s="129">
        <f>SUM(E49:H61)</f>
        <v>0</v>
      </c>
      <c r="F62" s="130"/>
      <c r="G62" s="130"/>
      <c r="H62" s="131"/>
    </row>
    <row r="63" spans="1:8" ht="19" thickBot="1">
      <c r="B63" s="241"/>
      <c r="C63" s="242"/>
      <c r="D63" s="243"/>
      <c r="E63" s="247"/>
      <c r="F63" s="248"/>
      <c r="G63" s="248"/>
      <c r="H63" s="24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2" t="s">
        <v>81</v>
      </c>
      <c r="B38" s="153"/>
      <c r="C38" s="90" t="s">
        <v>75</v>
      </c>
      <c r="D38" s="79"/>
      <c r="E38" s="154" t="s">
        <v>73</v>
      </c>
      <c r="F38" s="155"/>
      <c r="G38" s="88" t="s">
        <v>74</v>
      </c>
      <c r="H38" s="89" t="s">
        <v>75</v>
      </c>
    </row>
    <row r="39" spans="1:8" ht="14.5" customHeight="1" thickBot="1">
      <c r="A39" s="156" t="s">
        <v>71</v>
      </c>
      <c r="B39" s="157"/>
      <c r="C39" s="80"/>
      <c r="D39" s="84"/>
      <c r="E39" s="158"/>
      <c r="F39" s="158"/>
      <c r="G39" s="87"/>
      <c r="H39" s="91"/>
    </row>
    <row r="40" spans="1:8" ht="15" customHeight="1" thickBot="1">
      <c r="A40" s="159" t="s">
        <v>72</v>
      </c>
      <c r="B40" s="160"/>
      <c r="C40" s="71"/>
      <c r="D40" s="85"/>
      <c r="E40" s="161"/>
      <c r="F40" s="161"/>
      <c r="G40" s="86"/>
      <c r="H40" s="74"/>
    </row>
    <row r="41" spans="1:8" ht="15" thickBot="1">
      <c r="A41" s="159" t="s">
        <v>76</v>
      </c>
      <c r="B41" s="160"/>
      <c r="C41" s="72"/>
      <c r="D41" s="84"/>
      <c r="E41" s="162"/>
      <c r="F41" s="162"/>
      <c r="G41" s="86"/>
      <c r="H41" s="74"/>
    </row>
    <row r="42" spans="1:8" ht="15" thickBot="1">
      <c r="A42" s="173" t="s">
        <v>77</v>
      </c>
      <c r="B42" s="174"/>
      <c r="C42" s="73"/>
      <c r="D42" s="81"/>
      <c r="E42" s="193"/>
      <c r="F42" s="162"/>
      <c r="G42" s="15"/>
      <c r="H42" s="74"/>
    </row>
    <row r="43" spans="1:8" ht="15" thickBot="1">
      <c r="A43" s="163" t="s">
        <v>78</v>
      </c>
      <c r="B43" s="164"/>
      <c r="C43" s="75"/>
      <c r="D43" s="81"/>
      <c r="E43" s="191"/>
      <c r="F43" s="192"/>
      <c r="G43" s="15"/>
      <c r="H43" s="74"/>
    </row>
    <row r="44" spans="1:8" ht="15" thickBot="1">
      <c r="A44" s="163" t="s">
        <v>79</v>
      </c>
      <c r="B44" s="164"/>
      <c r="C44" s="76"/>
      <c r="D44" s="82"/>
      <c r="E44" s="191"/>
      <c r="F44" s="192"/>
      <c r="G44" s="15"/>
      <c r="H44" s="74"/>
    </row>
    <row r="45" spans="1:8" ht="15" thickBot="1">
      <c r="A45" s="163" t="s">
        <v>80</v>
      </c>
      <c r="B45" s="164"/>
      <c r="C45" s="92">
        <v>0</v>
      </c>
      <c r="D45" s="83"/>
      <c r="E45" s="165"/>
      <c r="F45" s="166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49" t="s">
        <v>60</v>
      </c>
      <c r="C48" s="150"/>
      <c r="D48" s="151"/>
      <c r="E48" s="149" t="s">
        <v>61</v>
      </c>
      <c r="F48" s="150"/>
      <c r="G48" s="150"/>
      <c r="H48" s="151"/>
    </row>
    <row r="49" spans="1:8" ht="19" thickBot="1">
      <c r="A49" s="39"/>
      <c r="B49" s="135" t="s">
        <v>63</v>
      </c>
      <c r="C49" s="136"/>
      <c r="D49" s="137"/>
      <c r="E49" s="138">
        <f>SUM(B11:B14)</f>
        <v>0</v>
      </c>
      <c r="F49" s="274"/>
      <c r="G49" s="274"/>
      <c r="H49" s="275"/>
    </row>
    <row r="50" spans="1:8" ht="19" thickBot="1">
      <c r="A50" s="62"/>
      <c r="B50" s="135" t="s">
        <v>48</v>
      </c>
      <c r="C50" s="136"/>
      <c r="D50" s="137"/>
      <c r="E50" s="138">
        <f>SUM(B8:B10)</f>
        <v>0</v>
      </c>
      <c r="F50" s="274"/>
      <c r="G50" s="274"/>
      <c r="H50" s="275"/>
    </row>
    <row r="51" spans="1:8" ht="19" thickBot="1">
      <c r="A51" s="62"/>
      <c r="B51" s="135" t="s">
        <v>64</v>
      </c>
      <c r="C51" s="136"/>
      <c r="D51" s="137"/>
      <c r="E51" s="138">
        <f>SUM(B15:B16)</f>
        <v>0</v>
      </c>
      <c r="F51" s="274"/>
      <c r="G51" s="274"/>
      <c r="H51" s="275"/>
    </row>
    <row r="52" spans="1:8" ht="19" thickBot="1">
      <c r="A52" s="62"/>
      <c r="B52" s="241" t="s">
        <v>65</v>
      </c>
      <c r="C52" s="242"/>
      <c r="D52" s="243"/>
      <c r="E52" s="126">
        <f>SUM(B19:B20)</f>
        <v>0</v>
      </c>
      <c r="F52" s="127"/>
      <c r="G52" s="127"/>
      <c r="H52" s="128"/>
    </row>
    <row r="53" spans="1:8" ht="19" thickBot="1">
      <c r="A53" s="62"/>
      <c r="B53" s="241" t="s">
        <v>66</v>
      </c>
      <c r="C53" s="242"/>
      <c r="D53" s="243"/>
      <c r="E53" s="126">
        <f>SUM(B29:B30)</f>
        <v>0</v>
      </c>
      <c r="F53" s="127"/>
      <c r="G53" s="127"/>
      <c r="H53" s="128"/>
    </row>
    <row r="54" spans="1:8" ht="19" thickBot="1">
      <c r="A54" s="62"/>
      <c r="B54" s="241" t="s">
        <v>58</v>
      </c>
      <c r="C54" s="242"/>
      <c r="D54" s="243"/>
      <c r="E54" s="126">
        <f t="shared" ref="E54:E60" si="4">B31</f>
        <v>0</v>
      </c>
      <c r="F54" s="127"/>
      <c r="G54" s="127"/>
      <c r="H54" s="128"/>
    </row>
    <row r="55" spans="1:8" ht="19" thickBot="1">
      <c r="A55" s="62"/>
      <c r="B55" s="241" t="s">
        <v>58</v>
      </c>
      <c r="C55" s="242"/>
      <c r="D55" s="243"/>
      <c r="E55" s="126">
        <f t="shared" si="4"/>
        <v>0</v>
      </c>
      <c r="F55" s="127"/>
      <c r="G55" s="127"/>
      <c r="H55" s="128"/>
    </row>
    <row r="56" spans="1:8" ht="19" thickBot="1">
      <c r="A56" s="62"/>
      <c r="B56" s="241" t="s">
        <v>58</v>
      </c>
      <c r="C56" s="242"/>
      <c r="D56" s="243"/>
      <c r="E56" s="126">
        <f t="shared" si="4"/>
        <v>0</v>
      </c>
      <c r="F56" s="127"/>
      <c r="G56" s="127"/>
      <c r="H56" s="128"/>
    </row>
    <row r="57" spans="1:8" ht="19" thickBot="1">
      <c r="A57" s="62"/>
      <c r="B57" s="241" t="s">
        <v>58</v>
      </c>
      <c r="C57" s="242"/>
      <c r="D57" s="243"/>
      <c r="E57" s="126">
        <f t="shared" si="4"/>
        <v>0</v>
      </c>
      <c r="F57" s="127"/>
      <c r="G57" s="127"/>
      <c r="H57" s="128"/>
    </row>
    <row r="58" spans="1:8" ht="19" thickBot="1">
      <c r="A58" s="62"/>
      <c r="B58" s="241" t="s">
        <v>58</v>
      </c>
      <c r="C58" s="242"/>
      <c r="D58" s="243"/>
      <c r="E58" s="126">
        <f t="shared" si="4"/>
        <v>0</v>
      </c>
      <c r="F58" s="127"/>
      <c r="G58" s="127"/>
      <c r="H58" s="128"/>
    </row>
    <row r="59" spans="1:8" ht="19" thickBot="1">
      <c r="A59" s="62"/>
      <c r="B59" s="241" t="s">
        <v>58</v>
      </c>
      <c r="C59" s="242"/>
      <c r="D59" s="243"/>
      <c r="E59" s="126">
        <f t="shared" si="4"/>
        <v>0</v>
      </c>
      <c r="F59" s="127"/>
      <c r="G59" s="127"/>
      <c r="H59" s="128"/>
    </row>
    <row r="60" spans="1:8" ht="19" thickBot="1">
      <c r="A60" s="62"/>
      <c r="B60" s="241" t="s">
        <v>58</v>
      </c>
      <c r="C60" s="242"/>
      <c r="D60" s="243"/>
      <c r="E60" s="126">
        <f t="shared" si="4"/>
        <v>0</v>
      </c>
      <c r="F60" s="127"/>
      <c r="G60" s="127"/>
      <c r="H60" s="128"/>
    </row>
    <row r="61" spans="1:8" ht="19" thickBot="1">
      <c r="A61" s="62"/>
      <c r="B61" s="241" t="s">
        <v>58</v>
      </c>
      <c r="C61" s="242"/>
      <c r="D61" s="243"/>
      <c r="E61" s="126">
        <f t="shared" ref="E61" si="5">B45</f>
        <v>0</v>
      </c>
      <c r="F61" s="127"/>
      <c r="G61" s="127"/>
      <c r="H61" s="128"/>
    </row>
    <row r="62" spans="1:8" ht="19" thickBot="1">
      <c r="A62" s="62"/>
      <c r="B62" s="241" t="s">
        <v>67</v>
      </c>
      <c r="C62" s="242"/>
      <c r="D62" s="243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132"/>
      <c r="F63" s="133"/>
      <c r="G63" s="133"/>
      <c r="H63" s="134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abSelected="1" workbookViewId="0">
      <selection activeCell="B9" sqref="B9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84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170</v>
      </c>
      <c r="C7" s="189">
        <v>5900</v>
      </c>
      <c r="D7" s="190"/>
      <c r="E7" s="13">
        <f t="shared" si="0"/>
        <v>1003000</v>
      </c>
      <c r="F7" s="13">
        <f t="shared" si="1"/>
        <v>153000</v>
      </c>
      <c r="G7" s="13">
        <f>PRODUCT(B7*50)</f>
        <v>8500</v>
      </c>
      <c r="H7" s="14">
        <f t="shared" si="2"/>
        <v>161500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>
        <v>5480</v>
      </c>
      <c r="C11" s="144">
        <v>2124</v>
      </c>
      <c r="D11" s="145"/>
      <c r="E11" s="16">
        <f t="shared" si="0"/>
        <v>11639520</v>
      </c>
      <c r="F11" s="16">
        <f t="shared" si="1"/>
        <v>1775520</v>
      </c>
      <c r="G11" s="16">
        <f>PRODUCT(B11*30)</f>
        <v>164400</v>
      </c>
      <c r="H11" s="17">
        <f t="shared" si="2"/>
        <v>1939920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550</v>
      </c>
      <c r="C13" s="144">
        <v>1357</v>
      </c>
      <c r="D13" s="145"/>
      <c r="E13" s="16">
        <f t="shared" si="0"/>
        <v>746350</v>
      </c>
      <c r="F13" s="16">
        <f t="shared" si="1"/>
        <v>113850</v>
      </c>
      <c r="G13" s="16">
        <f>PRODUCT(B13*20)</f>
        <v>11000</v>
      </c>
      <c r="H13" s="17">
        <f t="shared" si="2"/>
        <v>124850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>
        <v>100</v>
      </c>
      <c r="C17" s="35"/>
      <c r="D17" s="35">
        <v>170</v>
      </c>
      <c r="E17" s="26">
        <f>PRODUCT(B17*C17)</f>
        <v>0</v>
      </c>
      <c r="F17" s="23">
        <f t="shared" ref="F17:F22" si="3">PRODUCT(E17*18)/118</f>
        <v>0</v>
      </c>
      <c r="G17" s="23">
        <f>PRODUCT(B17*D17)</f>
        <v>17000</v>
      </c>
      <c r="H17" s="23">
        <f>SUM(F17:G17)</f>
        <v>17000</v>
      </c>
    </row>
    <row r="18" spans="1:8">
      <c r="A18" s="51" t="s">
        <v>65</v>
      </c>
      <c r="B18" s="36">
        <v>280</v>
      </c>
      <c r="C18" s="36"/>
      <c r="D18" s="36">
        <v>354</v>
      </c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99120</v>
      </c>
      <c r="H18" s="24">
        <f t="shared" ref="H18:H22" si="6">SUM(F18:G18)</f>
        <v>99120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13388870</v>
      </c>
      <c r="F29" s="33">
        <f>SUM(F6:F28)</f>
        <v>2042370</v>
      </c>
      <c r="G29" s="28">
        <f>SUM(G6:G28)</f>
        <v>300020</v>
      </c>
      <c r="H29" s="22">
        <f>SUM(F29:G29)</f>
        <v>2342390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4.5" customHeight="1" thickBot="1">
      <c r="A31" s="156" t="s">
        <v>71</v>
      </c>
      <c r="B31" s="157"/>
      <c r="C31" s="80">
        <v>2342390</v>
      </c>
      <c r="D31" s="84"/>
      <c r="E31" s="158"/>
      <c r="F31" s="158"/>
      <c r="G31" s="87"/>
      <c r="H31" s="91"/>
    </row>
    <row r="32" spans="1:8" ht="15" customHeight="1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5480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170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550</v>
      </c>
      <c r="F43" s="142"/>
      <c r="G43" s="142"/>
      <c r="H43" s="143"/>
    </row>
    <row r="44" spans="1:8" ht="19" thickBot="1">
      <c r="B44" s="123" t="s">
        <v>65</v>
      </c>
      <c r="C44" s="124"/>
      <c r="D44" s="125"/>
      <c r="E44" s="126">
        <f>SUM(B17:B18)</f>
        <v>380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1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1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1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1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1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1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10"/>
        <v>0</v>
      </c>
      <c r="F53" s="127"/>
      <c r="G53" s="127"/>
      <c r="H53" s="128"/>
    </row>
    <row r="54" spans="2:8" ht="19" thickBot="1">
      <c r="B54" s="123" t="s">
        <v>67</v>
      </c>
      <c r="C54" s="124"/>
      <c r="D54" s="125"/>
      <c r="E54" s="129">
        <f>SUM(E41:H53)</f>
        <v>6580</v>
      </c>
      <c r="F54" s="130"/>
      <c r="G54" s="130"/>
      <c r="H54" s="131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opLeftCell="A28" workbookViewId="0">
      <selection activeCell="D33" sqref="D33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2" t="s">
        <v>81</v>
      </c>
      <c r="B38" s="153"/>
      <c r="C38" s="90" t="s">
        <v>75</v>
      </c>
      <c r="D38" s="79"/>
      <c r="E38" s="154" t="s">
        <v>73</v>
      </c>
      <c r="F38" s="155"/>
      <c r="G38" s="88" t="s">
        <v>74</v>
      </c>
      <c r="H38" s="89" t="s">
        <v>75</v>
      </c>
    </row>
    <row r="39" spans="1:8" ht="14.5" customHeight="1" thickBot="1">
      <c r="A39" s="156" t="s">
        <v>71</v>
      </c>
      <c r="B39" s="157"/>
      <c r="C39" s="80"/>
      <c r="D39" s="84"/>
      <c r="E39" s="158"/>
      <c r="F39" s="158"/>
      <c r="G39" s="87"/>
      <c r="H39" s="91"/>
    </row>
    <row r="40" spans="1:8" ht="15" customHeight="1" thickBot="1">
      <c r="A40" s="159" t="s">
        <v>72</v>
      </c>
      <c r="B40" s="160"/>
      <c r="C40" s="71"/>
      <c r="D40" s="85"/>
      <c r="E40" s="161"/>
      <c r="F40" s="161"/>
      <c r="G40" s="86"/>
      <c r="H40" s="74"/>
    </row>
    <row r="41" spans="1:8" ht="15" thickBot="1">
      <c r="A41" s="159" t="s">
        <v>76</v>
      </c>
      <c r="B41" s="160"/>
      <c r="C41" s="72"/>
      <c r="D41" s="84"/>
      <c r="E41" s="162"/>
      <c r="F41" s="162"/>
      <c r="G41" s="86"/>
      <c r="H41" s="74"/>
    </row>
    <row r="42" spans="1:8" ht="15" thickBot="1">
      <c r="A42" s="173" t="s">
        <v>77</v>
      </c>
      <c r="B42" s="174"/>
      <c r="C42" s="73"/>
      <c r="D42" s="81"/>
      <c r="E42" s="193"/>
      <c r="F42" s="162"/>
      <c r="G42" s="15"/>
      <c r="H42" s="74"/>
    </row>
    <row r="43" spans="1:8" ht="15" thickBot="1">
      <c r="A43" s="163" t="s">
        <v>78</v>
      </c>
      <c r="B43" s="164"/>
      <c r="C43" s="75"/>
      <c r="D43" s="81"/>
      <c r="E43" s="191"/>
      <c r="F43" s="192"/>
      <c r="G43" s="15"/>
      <c r="H43" s="74"/>
    </row>
    <row r="44" spans="1:8" ht="15" thickBot="1">
      <c r="A44" s="163" t="s">
        <v>79</v>
      </c>
      <c r="B44" s="164"/>
      <c r="C44" s="76"/>
      <c r="D44" s="82"/>
      <c r="E44" s="191"/>
      <c r="F44" s="192"/>
      <c r="G44" s="15"/>
      <c r="H44" s="74"/>
    </row>
    <row r="45" spans="1:8" ht="15" thickBot="1">
      <c r="A45" s="163" t="s">
        <v>80</v>
      </c>
      <c r="B45" s="164"/>
      <c r="C45" s="92">
        <v>0</v>
      </c>
      <c r="D45" s="83"/>
      <c r="E45" s="165"/>
      <c r="F45" s="166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49" t="s">
        <v>60</v>
      </c>
      <c r="C48" s="150"/>
      <c r="D48" s="151"/>
      <c r="E48" s="149" t="s">
        <v>61</v>
      </c>
      <c r="F48" s="150"/>
      <c r="G48" s="150"/>
      <c r="H48" s="151"/>
    </row>
    <row r="49" spans="1:8" ht="19" thickBot="1">
      <c r="A49" s="39"/>
      <c r="B49" s="135" t="s">
        <v>63</v>
      </c>
      <c r="C49" s="136"/>
      <c r="D49" s="137"/>
      <c r="E49" s="138">
        <f>SUM(B9:B12)</f>
        <v>0</v>
      </c>
      <c r="F49" s="139"/>
      <c r="G49" s="139"/>
      <c r="H49" s="140"/>
    </row>
    <row r="50" spans="1:8" ht="19" thickBot="1">
      <c r="A50" s="39"/>
      <c r="B50" s="135" t="s">
        <v>48</v>
      </c>
      <c r="C50" s="136"/>
      <c r="D50" s="137"/>
      <c r="E50" s="138">
        <f>SUM(B6:B8)</f>
        <v>0</v>
      </c>
      <c r="F50" s="139"/>
      <c r="G50" s="139"/>
      <c r="H50" s="140"/>
    </row>
    <row r="51" spans="1:8" ht="19" thickBot="1">
      <c r="A51" s="39"/>
      <c r="B51" s="135" t="s">
        <v>64</v>
      </c>
      <c r="C51" s="136"/>
      <c r="D51" s="137"/>
      <c r="E51" s="141">
        <f>SUM(B13:B14)</f>
        <v>0</v>
      </c>
      <c r="F51" s="142"/>
      <c r="G51" s="142"/>
      <c r="H51" s="143"/>
    </row>
    <row r="52" spans="1:8" ht="19" thickBot="1">
      <c r="A52" s="62"/>
      <c r="B52" s="241" t="s">
        <v>65</v>
      </c>
      <c r="C52" s="242"/>
      <c r="D52" s="243"/>
      <c r="E52" s="126">
        <f>SUM(B17:B18)</f>
        <v>0</v>
      </c>
      <c r="F52" s="130"/>
      <c r="G52" s="130"/>
      <c r="H52" s="131"/>
    </row>
    <row r="53" spans="1:8" ht="19" thickBot="1">
      <c r="A53" s="62"/>
      <c r="B53" s="241" t="s">
        <v>66</v>
      </c>
      <c r="C53" s="242"/>
      <c r="D53" s="243"/>
      <c r="E53" s="126">
        <f>SUM(B19:B20)</f>
        <v>0</v>
      </c>
      <c r="F53" s="130"/>
      <c r="G53" s="130"/>
      <c r="H53" s="131"/>
    </row>
    <row r="54" spans="1:8" ht="19" thickBot="1">
      <c r="A54" s="62"/>
      <c r="B54" s="241" t="s">
        <v>58</v>
      </c>
      <c r="C54" s="242"/>
      <c r="D54" s="243"/>
      <c r="E54" s="126">
        <f>B29</f>
        <v>0</v>
      </c>
      <c r="F54" s="127"/>
      <c r="G54" s="127"/>
      <c r="H54" s="128"/>
    </row>
    <row r="55" spans="1:8" ht="19" thickBot="1">
      <c r="A55" s="62"/>
      <c r="B55" s="241" t="s">
        <v>58</v>
      </c>
      <c r="C55" s="242"/>
      <c r="D55" s="243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241" t="s">
        <v>58</v>
      </c>
      <c r="C56" s="242"/>
      <c r="D56" s="243"/>
      <c r="E56" s="126">
        <f t="shared" si="4"/>
        <v>0</v>
      </c>
      <c r="F56" s="127"/>
      <c r="G56" s="127"/>
      <c r="H56" s="128"/>
    </row>
    <row r="57" spans="1:8" ht="19" thickBot="1">
      <c r="A57" s="62"/>
      <c r="B57" s="241" t="s">
        <v>58</v>
      </c>
      <c r="C57" s="242"/>
      <c r="D57" s="243"/>
      <c r="E57" s="126">
        <f t="shared" si="4"/>
        <v>0</v>
      </c>
      <c r="F57" s="127"/>
      <c r="G57" s="127"/>
      <c r="H57" s="128"/>
    </row>
    <row r="58" spans="1:8" ht="19" thickBot="1">
      <c r="A58" s="62"/>
      <c r="B58" s="241" t="s">
        <v>58</v>
      </c>
      <c r="C58" s="242"/>
      <c r="D58" s="243"/>
      <c r="E58" s="126">
        <f t="shared" si="4"/>
        <v>0</v>
      </c>
      <c r="F58" s="127"/>
      <c r="G58" s="127"/>
      <c r="H58" s="128"/>
    </row>
    <row r="59" spans="1:8" ht="19" thickBot="1">
      <c r="A59" s="62"/>
      <c r="B59" s="241" t="s">
        <v>58</v>
      </c>
      <c r="C59" s="242"/>
      <c r="D59" s="243"/>
      <c r="E59" s="126">
        <f t="shared" si="4"/>
        <v>0</v>
      </c>
      <c r="F59" s="127"/>
      <c r="G59" s="127"/>
      <c r="H59" s="128"/>
    </row>
    <row r="60" spans="1:8" ht="19" thickBot="1">
      <c r="A60" s="62"/>
      <c r="B60" s="241" t="s">
        <v>58</v>
      </c>
      <c r="C60" s="242"/>
      <c r="D60" s="243"/>
      <c r="E60" s="126">
        <f t="shared" si="4"/>
        <v>0</v>
      </c>
      <c r="F60" s="127"/>
      <c r="G60" s="127"/>
      <c r="H60" s="128"/>
    </row>
    <row r="61" spans="1:8" ht="19" thickBot="1">
      <c r="A61" s="62"/>
      <c r="B61" s="241" t="s">
        <v>58</v>
      </c>
      <c r="C61" s="242"/>
      <c r="D61" s="243"/>
      <c r="E61" s="126">
        <f t="shared" si="4"/>
        <v>0</v>
      </c>
      <c r="F61" s="127"/>
      <c r="G61" s="127"/>
      <c r="H61" s="128"/>
    </row>
    <row r="62" spans="1:8" ht="19" thickBot="1">
      <c r="A62" s="62"/>
      <c r="B62" s="241" t="s">
        <v>67</v>
      </c>
      <c r="C62" s="242"/>
      <c r="D62" s="243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132"/>
      <c r="F63" s="133"/>
      <c r="G63" s="133"/>
      <c r="H63" s="134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4.5" customHeight="1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customHeight="1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1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1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1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1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1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1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10"/>
        <v>0</v>
      </c>
      <c r="F53" s="127"/>
      <c r="G53" s="127"/>
      <c r="H53" s="128"/>
    </row>
    <row r="54" spans="2:8" ht="19" thickBot="1">
      <c r="B54" s="123" t="s">
        <v>67</v>
      </c>
      <c r="C54" s="124"/>
      <c r="D54" s="125"/>
      <c r="E54" s="129">
        <f>SUM(E41:H53)</f>
        <v>0</v>
      </c>
      <c r="F54" s="130"/>
      <c r="G54" s="130"/>
      <c r="H54" s="131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4.5" customHeight="1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customHeight="1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290">
        <f>SUM(B9:B12)</f>
        <v>0</v>
      </c>
      <c r="F41" s="291"/>
      <c r="G41" s="291"/>
      <c r="H41" s="292"/>
    </row>
    <row r="42" spans="1:8" ht="19" thickBot="1">
      <c r="A42" s="39"/>
      <c r="B42" s="135" t="s">
        <v>48</v>
      </c>
      <c r="C42" s="136"/>
      <c r="D42" s="137"/>
      <c r="E42" s="290">
        <f>SUM(B6:B8)</f>
        <v>0</v>
      </c>
      <c r="F42" s="291"/>
      <c r="G42" s="291"/>
      <c r="H42" s="292"/>
    </row>
    <row r="43" spans="1:8" ht="19" thickBot="1">
      <c r="A43" s="39"/>
      <c r="B43" s="135" t="s">
        <v>64</v>
      </c>
      <c r="C43" s="136"/>
      <c r="D43" s="137"/>
      <c r="E43" s="293">
        <f>SUM(B13:B14)</f>
        <v>0</v>
      </c>
      <c r="F43" s="294"/>
      <c r="G43" s="294"/>
      <c r="H43" s="295"/>
    </row>
    <row r="44" spans="1:8" ht="19" thickBot="1">
      <c r="B44" s="123" t="s">
        <v>65</v>
      </c>
      <c r="C44" s="124"/>
      <c r="D44" s="125"/>
      <c r="E44" s="287">
        <f>SUM(B17:B18)</f>
        <v>0</v>
      </c>
      <c r="F44" s="133"/>
      <c r="G44" s="133"/>
      <c r="H44" s="134"/>
    </row>
    <row r="45" spans="1:8" ht="19" thickBot="1">
      <c r="B45" s="123" t="s">
        <v>66</v>
      </c>
      <c r="C45" s="124"/>
      <c r="D45" s="125"/>
      <c r="E45" s="287">
        <f>SUM(B19:B20)</f>
        <v>0</v>
      </c>
      <c r="F45" s="133"/>
      <c r="G45" s="133"/>
      <c r="H45" s="134"/>
    </row>
    <row r="46" spans="1:8" ht="19" thickBot="1">
      <c r="B46" s="123" t="s">
        <v>58</v>
      </c>
      <c r="C46" s="124"/>
      <c r="D46" s="125"/>
      <c r="E46" s="287">
        <f>B21</f>
        <v>0</v>
      </c>
      <c r="F46" s="288"/>
      <c r="G46" s="288"/>
      <c r="H46" s="289"/>
    </row>
    <row r="47" spans="1:8" ht="19" thickBot="1">
      <c r="B47" s="123" t="s">
        <v>58</v>
      </c>
      <c r="C47" s="124"/>
      <c r="D47" s="125"/>
      <c r="E47" s="287">
        <f t="shared" ref="E47:E53" si="10">B22</f>
        <v>0</v>
      </c>
      <c r="F47" s="288"/>
      <c r="G47" s="288"/>
      <c r="H47" s="289"/>
    </row>
    <row r="48" spans="1:8" ht="19" thickBot="1">
      <c r="B48" s="123" t="s">
        <v>58</v>
      </c>
      <c r="C48" s="124"/>
      <c r="D48" s="125"/>
      <c r="E48" s="287">
        <f t="shared" si="10"/>
        <v>0</v>
      </c>
      <c r="F48" s="288"/>
      <c r="G48" s="288"/>
      <c r="H48" s="289"/>
    </row>
    <row r="49" spans="2:8" ht="19" thickBot="1">
      <c r="B49" s="123" t="s">
        <v>58</v>
      </c>
      <c r="C49" s="124"/>
      <c r="D49" s="125"/>
      <c r="E49" s="287">
        <f t="shared" si="10"/>
        <v>0</v>
      </c>
      <c r="F49" s="288"/>
      <c r="G49" s="288"/>
      <c r="H49" s="289"/>
    </row>
    <row r="50" spans="2:8" ht="19" thickBot="1">
      <c r="B50" s="123" t="s">
        <v>58</v>
      </c>
      <c r="C50" s="124"/>
      <c r="D50" s="125"/>
      <c r="E50" s="287">
        <f t="shared" si="10"/>
        <v>0</v>
      </c>
      <c r="F50" s="288"/>
      <c r="G50" s="288"/>
      <c r="H50" s="289"/>
    </row>
    <row r="51" spans="2:8" ht="19" thickBot="1">
      <c r="B51" s="123" t="s">
        <v>58</v>
      </c>
      <c r="C51" s="124"/>
      <c r="D51" s="125"/>
      <c r="E51" s="287">
        <f t="shared" si="10"/>
        <v>0</v>
      </c>
      <c r="F51" s="288"/>
      <c r="G51" s="288"/>
      <c r="H51" s="289"/>
    </row>
    <row r="52" spans="2:8" ht="19" thickBot="1">
      <c r="B52" s="123" t="s">
        <v>58</v>
      </c>
      <c r="C52" s="124"/>
      <c r="D52" s="125"/>
      <c r="E52" s="287">
        <f t="shared" si="10"/>
        <v>0</v>
      </c>
      <c r="F52" s="288"/>
      <c r="G52" s="288"/>
      <c r="H52" s="289"/>
    </row>
    <row r="53" spans="2:8" ht="19" thickBot="1">
      <c r="B53" s="123" t="s">
        <v>58</v>
      </c>
      <c r="C53" s="124"/>
      <c r="D53" s="125"/>
      <c r="E53" s="287">
        <f t="shared" si="10"/>
        <v>0</v>
      </c>
      <c r="F53" s="288"/>
      <c r="G53" s="288"/>
      <c r="H53" s="289"/>
    </row>
    <row r="54" spans="2:8" ht="19" thickBot="1">
      <c r="B54" s="123" t="s">
        <v>67</v>
      </c>
      <c r="C54" s="124"/>
      <c r="D54" s="125"/>
      <c r="E54" s="132">
        <f>SUM(E41:H53)</f>
        <v>0</v>
      </c>
      <c r="F54" s="133"/>
      <c r="G54" s="133"/>
      <c r="H54" s="134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4.5" customHeight="1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customHeight="1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1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1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1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1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1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1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10"/>
        <v>0</v>
      </c>
      <c r="F53" s="127"/>
      <c r="G53" s="127"/>
      <c r="H53" s="128"/>
    </row>
    <row r="54" spans="2:8" ht="19" thickBot="1">
      <c r="B54" s="123" t="s">
        <v>67</v>
      </c>
      <c r="C54" s="124"/>
      <c r="D54" s="125"/>
      <c r="E54" s="129">
        <f>SUM(E41:H53)</f>
        <v>0</v>
      </c>
      <c r="F54" s="130"/>
      <c r="G54" s="130"/>
      <c r="H54" s="131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4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4.5" customHeight="1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customHeight="1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1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1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1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1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1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1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10"/>
        <v>0</v>
      </c>
      <c r="F53" s="127"/>
      <c r="G53" s="127"/>
      <c r="H53" s="128"/>
    </row>
    <row r="54" spans="2:8" ht="19" thickBot="1">
      <c r="B54" s="123" t="s">
        <v>67</v>
      </c>
      <c r="C54" s="124"/>
      <c r="D54" s="125"/>
      <c r="E54" s="129">
        <f>SUM(E41:H53)</f>
        <v>0</v>
      </c>
      <c r="F54" s="130"/>
      <c r="G54" s="130"/>
      <c r="H54" s="131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5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181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9"/>
      <c r="D7" s="190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4"/>
      <c r="D8" s="145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4"/>
      <c r="D9" s="145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39"/>
      <c r="D10" s="145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4"/>
      <c r="D11" s="145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4"/>
      <c r="D12" s="145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4"/>
      <c r="D13" s="145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4"/>
      <c r="D14" s="145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6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290">
        <f>SUM(B9:B12)</f>
        <v>0</v>
      </c>
      <c r="F41" s="291"/>
      <c r="G41" s="291"/>
      <c r="H41" s="292"/>
    </row>
    <row r="42" spans="1:8" ht="19" thickBot="1">
      <c r="A42" s="39"/>
      <c r="B42" s="135" t="s">
        <v>48</v>
      </c>
      <c r="C42" s="136"/>
      <c r="D42" s="137"/>
      <c r="E42" s="290">
        <f>SUM(B6:B8)</f>
        <v>0</v>
      </c>
      <c r="F42" s="291"/>
      <c r="G42" s="291"/>
      <c r="H42" s="292"/>
    </row>
    <row r="43" spans="1:8" ht="19" thickBot="1">
      <c r="A43" s="39"/>
      <c r="B43" s="135" t="s">
        <v>64</v>
      </c>
      <c r="C43" s="136"/>
      <c r="D43" s="137"/>
      <c r="E43" s="293">
        <f>SUM(B13:B14)</f>
        <v>0</v>
      </c>
      <c r="F43" s="294"/>
      <c r="G43" s="294"/>
      <c r="H43" s="295"/>
    </row>
    <row r="44" spans="1:8" ht="19" thickBot="1">
      <c r="B44" s="123" t="s">
        <v>65</v>
      </c>
      <c r="C44" s="124"/>
      <c r="D44" s="125"/>
      <c r="E44" s="287">
        <f>SUM(B17:B18)</f>
        <v>0</v>
      </c>
      <c r="F44" s="133"/>
      <c r="G44" s="133"/>
      <c r="H44" s="134"/>
    </row>
    <row r="45" spans="1:8" ht="19" thickBot="1">
      <c r="B45" s="123" t="s">
        <v>66</v>
      </c>
      <c r="C45" s="124"/>
      <c r="D45" s="125"/>
      <c r="E45" s="287">
        <f>SUM(B19:B20)</f>
        <v>0</v>
      </c>
      <c r="F45" s="133"/>
      <c r="G45" s="133"/>
      <c r="H45" s="134"/>
    </row>
    <row r="46" spans="1:8" ht="19" thickBot="1">
      <c r="B46" s="123" t="s">
        <v>58</v>
      </c>
      <c r="C46" s="124"/>
      <c r="D46" s="125"/>
      <c r="E46" s="287">
        <f>B21</f>
        <v>0</v>
      </c>
      <c r="F46" s="288"/>
      <c r="G46" s="288"/>
      <c r="H46" s="289"/>
    </row>
    <row r="47" spans="1:8" ht="19" thickBot="1">
      <c r="B47" s="123" t="s">
        <v>58</v>
      </c>
      <c r="C47" s="124"/>
      <c r="D47" s="125"/>
      <c r="E47" s="287">
        <f t="shared" ref="E47:E53" si="10">B22</f>
        <v>0</v>
      </c>
      <c r="F47" s="288"/>
      <c r="G47" s="288"/>
      <c r="H47" s="289"/>
    </row>
    <row r="48" spans="1:8" ht="19" thickBot="1">
      <c r="B48" s="123" t="s">
        <v>58</v>
      </c>
      <c r="C48" s="124"/>
      <c r="D48" s="125"/>
      <c r="E48" s="287">
        <f t="shared" si="10"/>
        <v>0</v>
      </c>
      <c r="F48" s="288"/>
      <c r="G48" s="288"/>
      <c r="H48" s="289"/>
    </row>
    <row r="49" spans="2:8" ht="19" thickBot="1">
      <c r="B49" s="123" t="s">
        <v>58</v>
      </c>
      <c r="C49" s="124"/>
      <c r="D49" s="125"/>
      <c r="E49" s="287">
        <f t="shared" si="10"/>
        <v>0</v>
      </c>
      <c r="F49" s="288"/>
      <c r="G49" s="288"/>
      <c r="H49" s="289"/>
    </row>
    <row r="50" spans="2:8" ht="19" thickBot="1">
      <c r="B50" s="123" t="s">
        <v>58</v>
      </c>
      <c r="C50" s="124"/>
      <c r="D50" s="125"/>
      <c r="E50" s="287">
        <f t="shared" si="10"/>
        <v>0</v>
      </c>
      <c r="F50" s="288"/>
      <c r="G50" s="288"/>
      <c r="H50" s="289"/>
    </row>
    <row r="51" spans="2:8" ht="19" thickBot="1">
      <c r="B51" s="123" t="s">
        <v>58</v>
      </c>
      <c r="C51" s="124"/>
      <c r="D51" s="125"/>
      <c r="E51" s="287">
        <f t="shared" si="10"/>
        <v>0</v>
      </c>
      <c r="F51" s="288"/>
      <c r="G51" s="288"/>
      <c r="H51" s="289"/>
    </row>
    <row r="52" spans="2:8" ht="19" thickBot="1">
      <c r="B52" s="123" t="s">
        <v>58</v>
      </c>
      <c r="C52" s="124"/>
      <c r="D52" s="125"/>
      <c r="E52" s="287">
        <f t="shared" si="10"/>
        <v>0</v>
      </c>
      <c r="F52" s="288"/>
      <c r="G52" s="288"/>
      <c r="H52" s="289"/>
    </row>
    <row r="53" spans="2:8" ht="19" thickBot="1">
      <c r="B53" s="123" t="s">
        <v>58</v>
      </c>
      <c r="C53" s="124"/>
      <c r="D53" s="125"/>
      <c r="E53" s="287">
        <f t="shared" si="10"/>
        <v>0</v>
      </c>
      <c r="F53" s="288"/>
      <c r="G53" s="288"/>
      <c r="H53" s="289"/>
    </row>
    <row r="54" spans="2:8" ht="19" thickBot="1">
      <c r="B54" s="123" t="s">
        <v>67</v>
      </c>
      <c r="C54" s="124"/>
      <c r="D54" s="125"/>
      <c r="E54" s="132">
        <f>SUM(E41:H53)</f>
        <v>0</v>
      </c>
      <c r="F54" s="133"/>
      <c r="G54" s="133"/>
      <c r="H54" s="134"/>
    </row>
    <row r="55" spans="2:8" ht="19" thickBot="1">
      <c r="B55" s="123"/>
      <c r="C55" s="124"/>
      <c r="D55" s="125"/>
      <c r="E55" s="132"/>
      <c r="F55" s="133"/>
      <c r="G55" s="133"/>
      <c r="H55" s="134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37" t="s">
        <v>57</v>
      </c>
      <c r="B1" s="176"/>
      <c r="C1" s="176"/>
      <c r="D1" s="176"/>
      <c r="E1" s="176"/>
      <c r="F1" s="176"/>
      <c r="G1" s="176"/>
      <c r="H1" s="177"/>
    </row>
    <row r="2" spans="1:8" ht="15" thickBot="1">
      <c r="A2" s="178"/>
      <c r="B2" s="179"/>
      <c r="C2" s="179"/>
      <c r="D2" s="179"/>
      <c r="E2" s="179"/>
      <c r="F2" s="179"/>
      <c r="G2" s="179"/>
      <c r="H2" s="180"/>
    </row>
    <row r="3" spans="1:8">
      <c r="A3" s="238" t="s">
        <v>39</v>
      </c>
      <c r="B3" s="182"/>
      <c r="C3" s="182"/>
      <c r="D3" s="182"/>
      <c r="E3" s="182"/>
      <c r="F3" s="182"/>
      <c r="G3" s="182"/>
      <c r="H3" s="183"/>
    </row>
    <row r="4" spans="1:8" ht="15" thickBot="1">
      <c r="A4" s="184"/>
      <c r="B4" s="185"/>
      <c r="C4" s="185"/>
      <c r="D4" s="185"/>
      <c r="E4" s="185"/>
      <c r="F4" s="185"/>
      <c r="G4" s="185"/>
      <c r="H4" s="186"/>
    </row>
    <row r="5" spans="1:8" ht="15" thickBot="1">
      <c r="A5" s="41" t="s">
        <v>40</v>
      </c>
      <c r="B5" s="46" t="s">
        <v>41</v>
      </c>
      <c r="C5" s="187" t="s">
        <v>42</v>
      </c>
      <c r="D5" s="188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9"/>
      <c r="D6" s="190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9"/>
      <c r="D7" s="190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4"/>
      <c r="D8" s="145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4"/>
      <c r="D9" s="145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39"/>
      <c r="D10" s="145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4"/>
      <c r="D11" s="145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4"/>
      <c r="D12" s="145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4"/>
      <c r="D13" s="145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4"/>
      <c r="D14" s="145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0" t="s">
        <v>51</v>
      </c>
      <c r="B15" s="147"/>
      <c r="C15" s="147"/>
      <c r="D15" s="147"/>
      <c r="E15" s="147"/>
      <c r="F15" s="147"/>
      <c r="G15" s="147"/>
      <c r="H15" s="148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2" t="s">
        <v>81</v>
      </c>
      <c r="B30" s="153"/>
      <c r="C30" s="90" t="s">
        <v>75</v>
      </c>
      <c r="D30" s="79"/>
      <c r="E30" s="154" t="s">
        <v>73</v>
      </c>
      <c r="F30" s="155"/>
      <c r="G30" s="88" t="s">
        <v>74</v>
      </c>
      <c r="H30" s="89" t="s">
        <v>75</v>
      </c>
    </row>
    <row r="31" spans="1:8" ht="15" thickBot="1">
      <c r="A31" s="156" t="s">
        <v>71</v>
      </c>
      <c r="B31" s="157"/>
      <c r="C31" s="80"/>
      <c r="D31" s="84"/>
      <c r="E31" s="158"/>
      <c r="F31" s="158"/>
      <c r="G31" s="87"/>
      <c r="H31" s="91"/>
    </row>
    <row r="32" spans="1:8" ht="15" thickBot="1">
      <c r="A32" s="159" t="s">
        <v>72</v>
      </c>
      <c r="B32" s="160"/>
      <c r="C32" s="71"/>
      <c r="D32" s="85"/>
      <c r="E32" s="161"/>
      <c r="F32" s="161"/>
      <c r="G32" s="86"/>
      <c r="H32" s="74"/>
    </row>
    <row r="33" spans="1:8" ht="15" thickBot="1">
      <c r="A33" s="159" t="s">
        <v>76</v>
      </c>
      <c r="B33" s="160"/>
      <c r="C33" s="72"/>
      <c r="D33" s="84"/>
      <c r="E33" s="162"/>
      <c r="F33" s="162"/>
      <c r="G33" s="86"/>
      <c r="H33" s="74"/>
    </row>
    <row r="34" spans="1:8" ht="15" thickBot="1">
      <c r="A34" s="173" t="s">
        <v>77</v>
      </c>
      <c r="B34" s="174"/>
      <c r="C34" s="73"/>
      <c r="D34" s="81"/>
      <c r="E34" s="193"/>
      <c r="F34" s="162"/>
      <c r="G34" s="15"/>
      <c r="H34" s="74"/>
    </row>
    <row r="35" spans="1:8" ht="15" thickBot="1">
      <c r="A35" s="163" t="s">
        <v>78</v>
      </c>
      <c r="B35" s="164"/>
      <c r="C35" s="75"/>
      <c r="D35" s="81"/>
      <c r="E35" s="191"/>
      <c r="F35" s="192"/>
      <c r="G35" s="15"/>
      <c r="H35" s="74"/>
    </row>
    <row r="36" spans="1:8" ht="15" thickBot="1">
      <c r="A36" s="163" t="s">
        <v>79</v>
      </c>
      <c r="B36" s="164"/>
      <c r="C36" s="76"/>
      <c r="D36" s="82"/>
      <c r="E36" s="191"/>
      <c r="F36" s="192"/>
      <c r="G36" s="15"/>
      <c r="H36" s="74"/>
    </row>
    <row r="37" spans="1:8" ht="15" thickBot="1">
      <c r="A37" s="163" t="s">
        <v>80</v>
      </c>
      <c r="B37" s="164"/>
      <c r="C37" s="92">
        <v>0</v>
      </c>
      <c r="D37" s="83"/>
      <c r="E37" s="165"/>
      <c r="F37" s="166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49" t="s">
        <v>60</v>
      </c>
      <c r="C40" s="150"/>
      <c r="D40" s="151"/>
      <c r="E40" s="149" t="s">
        <v>61</v>
      </c>
      <c r="F40" s="150"/>
      <c r="G40" s="150"/>
      <c r="H40" s="151"/>
    </row>
    <row r="41" spans="1:8" ht="19" thickBot="1">
      <c r="A41" s="39"/>
      <c r="B41" s="135" t="s">
        <v>63</v>
      </c>
      <c r="C41" s="136"/>
      <c r="D41" s="137"/>
      <c r="E41" s="138">
        <f>SUM(B9:B12)</f>
        <v>0</v>
      </c>
      <c r="F41" s="139"/>
      <c r="G41" s="139"/>
      <c r="H41" s="140"/>
    </row>
    <row r="42" spans="1:8" ht="19" thickBot="1">
      <c r="A42" s="39"/>
      <c r="B42" s="135" t="s">
        <v>48</v>
      </c>
      <c r="C42" s="136"/>
      <c r="D42" s="137"/>
      <c r="E42" s="138">
        <f>SUM(B6:B8)</f>
        <v>0</v>
      </c>
      <c r="F42" s="139"/>
      <c r="G42" s="139"/>
      <c r="H42" s="140"/>
    </row>
    <row r="43" spans="1:8" ht="19" thickBot="1">
      <c r="A43" s="39"/>
      <c r="B43" s="135" t="s">
        <v>64</v>
      </c>
      <c r="C43" s="136"/>
      <c r="D43" s="137"/>
      <c r="E43" s="141">
        <f>SUM(B13:B14)</f>
        <v>0</v>
      </c>
      <c r="F43" s="142"/>
      <c r="G43" s="142"/>
      <c r="H43" s="143"/>
    </row>
    <row r="44" spans="1:8" ht="19" thickBot="1">
      <c r="B44" s="241" t="s">
        <v>65</v>
      </c>
      <c r="C44" s="242"/>
      <c r="D44" s="243"/>
      <c r="E44" s="126">
        <f>SUM(B17:B18)</f>
        <v>0</v>
      </c>
      <c r="F44" s="130"/>
      <c r="G44" s="130"/>
      <c r="H44" s="131"/>
    </row>
    <row r="45" spans="1:8" ht="19" thickBot="1">
      <c r="B45" s="241" t="s">
        <v>66</v>
      </c>
      <c r="C45" s="242"/>
      <c r="D45" s="243"/>
      <c r="E45" s="126">
        <f>SUM(B19:B20)</f>
        <v>0</v>
      </c>
      <c r="F45" s="130"/>
      <c r="G45" s="130"/>
      <c r="H45" s="131"/>
    </row>
    <row r="46" spans="1:8" ht="19" thickBot="1">
      <c r="B46" s="241" t="s">
        <v>58</v>
      </c>
      <c r="C46" s="242"/>
      <c r="D46" s="243"/>
      <c r="E46" s="126">
        <f>B21</f>
        <v>0</v>
      </c>
      <c r="F46" s="127"/>
      <c r="G46" s="127"/>
      <c r="H46" s="128"/>
    </row>
    <row r="47" spans="1:8" ht="19" thickBot="1">
      <c r="B47" s="241" t="s">
        <v>58</v>
      </c>
      <c r="C47" s="242"/>
      <c r="D47" s="243"/>
      <c r="E47" s="126">
        <f t="shared" ref="E47:E53" si="0">B22</f>
        <v>0</v>
      </c>
      <c r="F47" s="127"/>
      <c r="G47" s="127"/>
      <c r="H47" s="128"/>
    </row>
    <row r="48" spans="1:8" ht="19" thickBot="1">
      <c r="B48" s="241" t="s">
        <v>58</v>
      </c>
      <c r="C48" s="242"/>
      <c r="D48" s="243"/>
      <c r="E48" s="126">
        <f t="shared" si="0"/>
        <v>0</v>
      </c>
      <c r="F48" s="127"/>
      <c r="G48" s="127"/>
      <c r="H48" s="128"/>
    </row>
    <row r="49" spans="2:8" ht="19" thickBot="1">
      <c r="B49" s="241" t="s">
        <v>58</v>
      </c>
      <c r="C49" s="242"/>
      <c r="D49" s="243"/>
      <c r="E49" s="126">
        <f t="shared" si="0"/>
        <v>0</v>
      </c>
      <c r="F49" s="127"/>
      <c r="G49" s="127"/>
      <c r="H49" s="128"/>
    </row>
    <row r="50" spans="2:8" ht="19" thickBot="1">
      <c r="B50" s="241" t="s">
        <v>58</v>
      </c>
      <c r="C50" s="242"/>
      <c r="D50" s="243"/>
      <c r="E50" s="126">
        <f t="shared" si="0"/>
        <v>0</v>
      </c>
      <c r="F50" s="127"/>
      <c r="G50" s="127"/>
      <c r="H50" s="128"/>
    </row>
    <row r="51" spans="2:8" ht="19" thickBot="1">
      <c r="B51" s="241" t="s">
        <v>58</v>
      </c>
      <c r="C51" s="242"/>
      <c r="D51" s="243"/>
      <c r="E51" s="126">
        <f t="shared" si="0"/>
        <v>0</v>
      </c>
      <c r="F51" s="127"/>
      <c r="G51" s="127"/>
      <c r="H51" s="128"/>
    </row>
    <row r="52" spans="2:8" ht="19" thickBot="1">
      <c r="B52" s="241" t="s">
        <v>58</v>
      </c>
      <c r="C52" s="242"/>
      <c r="D52" s="243"/>
      <c r="E52" s="126">
        <f t="shared" si="0"/>
        <v>0</v>
      </c>
      <c r="F52" s="127"/>
      <c r="G52" s="127"/>
      <c r="H52" s="128"/>
    </row>
    <row r="53" spans="2:8" ht="19" thickBot="1">
      <c r="B53" s="241" t="s">
        <v>58</v>
      </c>
      <c r="C53" s="242"/>
      <c r="D53" s="243"/>
      <c r="E53" s="126">
        <f t="shared" si="0"/>
        <v>0</v>
      </c>
      <c r="F53" s="127"/>
      <c r="G53" s="127"/>
      <c r="H53" s="128"/>
    </row>
    <row r="54" spans="2:8" ht="21.5" thickBot="1">
      <c r="B54" s="241" t="s">
        <v>67</v>
      </c>
      <c r="C54" s="242"/>
      <c r="D54" s="243"/>
      <c r="E54" s="244">
        <f>SUM(E41:H53)</f>
        <v>0</v>
      </c>
      <c r="F54" s="245"/>
      <c r="G54" s="245"/>
      <c r="H54" s="246"/>
    </row>
    <row r="55" spans="2:8" ht="19" thickBot="1">
      <c r="B55" s="241"/>
      <c r="C55" s="242"/>
      <c r="D55" s="243"/>
      <c r="E55" s="247"/>
      <c r="F55" s="248"/>
      <c r="G55" s="248"/>
      <c r="H55" s="24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25732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420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4332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380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30864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NYIRAMUGISHA Esther</cp:lastModifiedBy>
  <cp:lastPrinted>2026-04-30T11:42:16Z</cp:lastPrinted>
  <dcterms:created xsi:type="dcterms:W3CDTF">2023-12-29T10:10:15Z</dcterms:created>
  <dcterms:modified xsi:type="dcterms:W3CDTF">2026-06-01T07:20:06Z</dcterms:modified>
</cp:coreProperties>
</file>