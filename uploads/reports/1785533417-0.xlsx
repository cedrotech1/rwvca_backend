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DAI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<sst xmlns="http://schemas.openxmlformats.org/spreadsheetml/2006/main" count="1779" uniqueCount="85">
  <si>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</si>
  <si>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</si>
  <si>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</si>
  <si>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</si>
  <si>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</si>
  <si>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</si>
  <si>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</si>
  <si>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</si>
  <si>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</si>
  <si>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</si>
  <si>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</si>
  <si>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</si>
  <si>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</si>
  <si>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</si>
  <si>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</si>
  <si>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</si>
  <si>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</si>
  <si>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</si>
  <si>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</si>
  <si>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</si>
  <si>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</si>
  <si>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</si>
  <si>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</si>
  <si>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</si>
  <si>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</si>
  <si>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</si>
  <si>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</si>
  <si>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</si>
  <si>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</si>
  <si>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</si>
  <si>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</si>
  <si>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</si>
  <si>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</si>
  <si>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</si>
  <si>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</si>
  <si>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</si>
  <si>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</si>
  <si>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</si>
  <si>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</si>
  <si>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</si>
  <si>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</si>
  <si>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</si>
  <si>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</si>
  <si>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</si>
  <si>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</si>
  <si>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</si>
  <si>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</si>
  <si>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</si>
  <si>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</si>
  <si>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</si>
  <si>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</si>
  <si>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</si>
  <si>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</si>
  <si>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</si>
  <si>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</si>
  <si>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</si>
  <si>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</si>
  <si>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</si>
  <si>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</si>
  <si>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</si>
  <si>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</si>
  <si>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</si>
  <si>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</si>
  <si>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</si>
  <si>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</si>
  <si>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</si>
  <si>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</si>
  <si>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</si>
  <si>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</si>
  <si>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</si>
  <si>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</si>
  <si>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</si>
  <si>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</si>
  <si>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</si>
  <si>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</si>
  <si>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</si>
  <si>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</si>
  <si>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</si>
  <si>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</si>
  <si>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</si>
  <si>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</si>
  <si>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</si>
  <si>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</si>
  <si>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</si>
  <si>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31\ 07\2026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</si>
</sst>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9" t="s">
        <v>38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15"/>
      <c r="M1" s="115"/>
      <c r="N1" s="115"/>
    </row>
    <row r="2" spans="1:15" ht="31" customHeight="1">
      <c r="A2" s="131" t="s">
        <v>37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15"/>
      <c r="M2" s="115"/>
      <c r="N2" s="115"/>
    </row>
    <row r="3" spans="1:15" ht="15" customHeight="1" thickBot="1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390048.40677966102</v>
      </c>
      <c r="C16" s="68">
        <f>KARONGI!G37</f>
        <v>84830</v>
      </c>
      <c r="D16" s="4"/>
      <c r="E16" s="3"/>
      <c r="F16" s="70">
        <f t="shared" si="0"/>
        <v>474878.40677966102</v>
      </c>
      <c r="G16" s="67">
        <f>KARONGI!C41</f>
        <v>0</v>
      </c>
      <c r="H16" s="68">
        <f>KARONGI!C39</f>
        <v>474878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8057670.4067796608</v>
      </c>
      <c r="C29" s="102">
        <f t="shared" si="1"/>
        <v>780530</v>
      </c>
      <c r="D29" s="103">
        <f t="shared" si="1"/>
        <v>0</v>
      </c>
      <c r="E29" s="102">
        <f t="shared" si="1"/>
        <v>0</v>
      </c>
      <c r="F29" s="102">
        <f>SUM(F5:F28)</f>
        <v>8838200.4067796618</v>
      </c>
      <c r="G29" s="103">
        <f>SUM(G5:G28)</f>
        <v>0</v>
      </c>
      <c r="H29" s="103">
        <f>SUM(H5:H28)</f>
        <v>8838200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23"/>
      <c r="B30" s="123"/>
      <c r="C30" s="123"/>
      <c r="D30" s="124"/>
      <c r="E30" s="157" t="s">
        <v>12</v>
      </c>
      <c r="F30" s="158"/>
      <c r="G30" s="158"/>
      <c r="H30" s="158"/>
      <c r="I30" s="159"/>
      <c r="J30" s="133"/>
      <c r="K30" s="134"/>
      <c r="L30" s="115"/>
    </row>
    <row r="31" spans="1:15" ht="19" thickBot="1">
      <c r="A31" s="154" t="s">
        <v>9</v>
      </c>
      <c r="B31" s="155"/>
      <c r="C31" s="155"/>
      <c r="D31" s="155"/>
      <c r="E31" s="160"/>
      <c r="F31" s="161"/>
      <c r="G31" s="161"/>
      <c r="H31" s="161"/>
      <c r="I31" s="162"/>
      <c r="J31" s="135"/>
      <c r="K31" s="136"/>
      <c r="L31" s="115"/>
    </row>
    <row r="32" spans="1:15" ht="15" thickBot="1">
      <c r="A32" s="125" t="s">
        <v>13</v>
      </c>
      <c r="B32" s="126"/>
      <c r="C32" s="127">
        <f>SUM(B29:C29)</f>
        <v>8838200.4067796618</v>
      </c>
      <c r="D32" s="128"/>
      <c r="E32" s="160"/>
      <c r="F32" s="161"/>
      <c r="G32" s="161"/>
      <c r="H32" s="161"/>
      <c r="I32" s="162"/>
      <c r="J32" s="135"/>
      <c r="K32" s="136"/>
      <c r="L32" s="115"/>
    </row>
    <row r="33" spans="1:12" ht="15" thickBot="1">
      <c r="A33" s="125" t="s">
        <v>14</v>
      </c>
      <c r="B33" s="126"/>
      <c r="C33" s="148">
        <f>SUM(F29,G29)</f>
        <v>8838200.4067796618</v>
      </c>
      <c r="D33" s="156"/>
      <c r="E33" s="160"/>
      <c r="F33" s="161"/>
      <c r="G33" s="161"/>
      <c r="H33" s="161"/>
      <c r="I33" s="162"/>
      <c r="J33" s="135"/>
      <c r="K33" s="136"/>
      <c r="L33" s="115"/>
    </row>
    <row r="34" spans="1:12" ht="15" thickBot="1">
      <c r="A34" s="150" t="s">
        <v>83</v>
      </c>
      <c r="B34" s="151"/>
      <c r="C34" s="148">
        <f>SUM(H29,J29,I29)</f>
        <v>8838200</v>
      </c>
      <c r="D34" s="149"/>
      <c r="E34" s="160"/>
      <c r="F34" s="161"/>
      <c r="G34" s="161"/>
      <c r="H34" s="161"/>
      <c r="I34" s="162"/>
      <c r="J34" s="135"/>
      <c r="K34" s="136"/>
      <c r="L34" s="115"/>
    </row>
    <row r="35" spans="1:12" ht="15" thickBot="1">
      <c r="A35" s="125" t="s">
        <v>11</v>
      </c>
      <c r="B35" s="126"/>
      <c r="C35" s="148">
        <f>SUM(D29:E29)</f>
        <v>0</v>
      </c>
      <c r="D35" s="149"/>
      <c r="E35" s="163"/>
      <c r="F35" s="164"/>
      <c r="G35" s="164"/>
      <c r="H35" s="164"/>
      <c r="I35" s="165"/>
      <c r="J35" s="135"/>
      <c r="K35" s="136"/>
      <c r="L35" s="115"/>
    </row>
    <row r="36" spans="1:12" ht="15" thickBot="1">
      <c r="A36" s="125" t="s">
        <v>10</v>
      </c>
      <c r="B36" s="126"/>
      <c r="C36" s="148">
        <f t="shared" ref="C36" si="2">SUM(C33,C35)</f>
        <v>8838200.4067796618</v>
      </c>
      <c r="D36" s="149"/>
      <c r="E36" s="139" t="s">
        <v>36</v>
      </c>
      <c r="F36" s="140"/>
      <c r="G36" s="140"/>
      <c r="H36" s="140"/>
      <c r="I36" s="141"/>
      <c r="J36" s="135"/>
      <c r="K36" s="136"/>
      <c r="L36" s="115"/>
    </row>
    <row r="37" spans="1:12" ht="15" thickBot="1">
      <c r="A37" s="152" t="s">
        <v>15</v>
      </c>
      <c r="B37" s="153"/>
      <c r="C37" s="148">
        <f>SUM(C34:C35)</f>
        <v>8838200</v>
      </c>
      <c r="D37" s="149"/>
      <c r="E37" s="142"/>
      <c r="F37" s="143"/>
      <c r="G37" s="143"/>
      <c r="H37" s="143"/>
      <c r="I37" s="144"/>
      <c r="J37" s="135"/>
      <c r="K37" s="136"/>
      <c r="L37" s="115"/>
    </row>
    <row r="38" spans="1:12" ht="26.5" thickBot="1">
      <c r="A38" s="145" t="s">
        <v>16</v>
      </c>
      <c r="B38" s="146"/>
      <c r="C38" s="146"/>
      <c r="D38" s="146"/>
      <c r="E38" s="146"/>
      <c r="F38" s="146"/>
      <c r="G38" s="146"/>
      <c r="H38" s="146"/>
      <c r="I38" s="147"/>
      <c r="J38" s="137"/>
      <c r="K38" s="138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18" workbookViewId="0">
      <selection activeCell="E40" sqref="E40:F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1599</v>
      </c>
      <c r="C8" s="166">
        <v>1416</v>
      </c>
      <c r="D8" s="167"/>
      <c r="E8" s="16">
        <f t="shared" si="0"/>
        <v>2264184</v>
      </c>
      <c r="F8" s="16">
        <f t="shared" si="1"/>
        <v>345384</v>
      </c>
      <c r="G8" s="16">
        <f>PRODUCT(B8*50)</f>
        <v>79950</v>
      </c>
      <c r="H8" s="17">
        <f t="shared" si="2"/>
        <v>425334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244</v>
      </c>
      <c r="C13" s="166">
        <v>1200</v>
      </c>
      <c r="D13" s="167"/>
      <c r="E13" s="16">
        <f t="shared" si="0"/>
        <v>292800</v>
      </c>
      <c r="F13" s="16">
        <f t="shared" si="1"/>
        <v>44664.406779661018</v>
      </c>
      <c r="G13" s="16">
        <f>PRODUCT(B13*20)</f>
        <v>4880</v>
      </c>
      <c r="H13" s="17">
        <f t="shared" si="2"/>
        <v>49544.406779661018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2556984</v>
      </c>
      <c r="F37" s="32">
        <f>SUM(F5:F36)</f>
        <v>390048.40677966102</v>
      </c>
      <c r="G37" s="32">
        <f t="shared" ref="G37:H37" si="3">SUM(G5:G36)</f>
        <v>84830</v>
      </c>
      <c r="H37" s="32">
        <f t="shared" si="3"/>
        <v>474878.40677966102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474878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1599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244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1843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20252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1849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4026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26127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2026-07-31T21:18:50Z</dcterms:modified>
</cp:coreProperties>
</file>