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8175" firstSheet="1" activeTab="7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E22" i="24"/>
  <c r="F22" i="24" s="1"/>
  <c r="H22" i="24" s="1"/>
  <c r="H21" i="24"/>
  <c r="G21" i="24"/>
  <c r="E21" i="24"/>
  <c r="F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H17" i="24" s="1"/>
  <c r="G14" i="24"/>
  <c r="E14" i="24"/>
  <c r="F14" i="24" s="1"/>
  <c r="H14" i="24" s="1"/>
  <c r="G13" i="24"/>
  <c r="H13" i="24" s="1"/>
  <c r="E13" i="24"/>
  <c r="F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53" i="23"/>
  <c r="E52" i="23"/>
  <c r="E51" i="23"/>
  <c r="E50" i="23"/>
  <c r="E49" i="23"/>
  <c r="E48" i="23"/>
  <c r="E47" i="23"/>
  <c r="E46" i="23"/>
  <c r="E54" i="23" s="1"/>
  <c r="E45" i="23"/>
  <c r="E44" i="23"/>
  <c r="E43" i="23"/>
  <c r="E42" i="23"/>
  <c r="E41" i="23"/>
  <c r="G28" i="23"/>
  <c r="E28" i="23"/>
  <c r="F28" i="23" s="1"/>
  <c r="H28" i="23" s="1"/>
  <c r="G27" i="23"/>
  <c r="F27" i="23"/>
  <c r="H27" i="23" s="1"/>
  <c r="E27" i="23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F23" i="23"/>
  <c r="H23" i="23" s="1"/>
  <c r="E23" i="23"/>
  <c r="G22" i="23"/>
  <c r="E22" i="23"/>
  <c r="F22" i="23" s="1"/>
  <c r="H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H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H11" i="23" s="1"/>
  <c r="G10" i="23"/>
  <c r="E10" i="23"/>
  <c r="F10" i="23" s="1"/>
  <c r="H10" i="23" s="1"/>
  <c r="G9" i="23"/>
  <c r="F9" i="23"/>
  <c r="H9" i="23" s="1"/>
  <c r="E9" i="23"/>
  <c r="G8" i="23"/>
  <c r="E8" i="23"/>
  <c r="F8" i="23" s="1"/>
  <c r="H8" i="23" s="1"/>
  <c r="G7" i="23"/>
  <c r="F7" i="23"/>
  <c r="H7" i="23" s="1"/>
  <c r="E7" i="23"/>
  <c r="G6" i="23"/>
  <c r="G29" i="23" s="1"/>
  <c r="E6" i="23"/>
  <c r="F6" i="23" s="1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E27" i="22"/>
  <c r="F27" i="22" s="1"/>
  <c r="H27" i="22" s="1"/>
  <c r="G26" i="22"/>
  <c r="E26" i="22"/>
  <c r="F26" i="22" s="1"/>
  <c r="H26" i="22" s="1"/>
  <c r="G25" i="22"/>
  <c r="E25" i="22"/>
  <c r="F25" i="22" s="1"/>
  <c r="H25" i="22" s="1"/>
  <c r="G24" i="22"/>
  <c r="E24" i="22"/>
  <c r="F24" i="22" s="1"/>
  <c r="H24" i="22" s="1"/>
  <c r="G23" i="22"/>
  <c r="E23" i="22"/>
  <c r="F23" i="22" s="1"/>
  <c r="H23" i="22" s="1"/>
  <c r="H22" i="22"/>
  <c r="G22" i="22"/>
  <c r="E22" i="22"/>
  <c r="F22" i="22" s="1"/>
  <c r="G21" i="22"/>
  <c r="E21" i="22"/>
  <c r="F21" i="22" s="1"/>
  <c r="H21" i="22" s="1"/>
  <c r="H20" i="22"/>
  <c r="G20" i="22"/>
  <c r="E20" i="22"/>
  <c r="F20" i="22" s="1"/>
  <c r="G19" i="22"/>
  <c r="E19" i="22"/>
  <c r="F19" i="22" s="1"/>
  <c r="H19" i="22" s="1"/>
  <c r="G18" i="22"/>
  <c r="E18" i="22"/>
  <c r="F18" i="22" s="1"/>
  <c r="H18" i="22" s="1"/>
  <c r="G17" i="22"/>
  <c r="E17" i="22"/>
  <c r="F17" i="22" s="1"/>
  <c r="H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H12" i="22" s="1"/>
  <c r="G11" i="22"/>
  <c r="E11" i="22"/>
  <c r="F11" i="22" s="1"/>
  <c r="H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H8" i="22" s="1"/>
  <c r="G7" i="22"/>
  <c r="E7" i="22"/>
  <c r="F7" i="22" s="1"/>
  <c r="H7" i="22" s="1"/>
  <c r="G6" i="22"/>
  <c r="E6" i="22"/>
  <c r="E29" i="22" s="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E27" i="21"/>
  <c r="F27" i="21" s="1"/>
  <c r="H27" i="21" s="1"/>
  <c r="G26" i="21"/>
  <c r="E26" i="21"/>
  <c r="F26" i="21" s="1"/>
  <c r="H26" i="21" s="1"/>
  <c r="G25" i="21"/>
  <c r="E25" i="21"/>
  <c r="F25" i="21" s="1"/>
  <c r="H25" i="21" s="1"/>
  <c r="G24" i="21"/>
  <c r="E24" i="21"/>
  <c r="F24" i="21" s="1"/>
  <c r="H24" i="21" s="1"/>
  <c r="G23" i="21"/>
  <c r="E23" i="21"/>
  <c r="F23" i="21" s="1"/>
  <c r="H23" i="21" s="1"/>
  <c r="G22" i="21"/>
  <c r="F22" i="21"/>
  <c r="H22" i="21" s="1"/>
  <c r="E22" i="21"/>
  <c r="G21" i="21"/>
  <c r="E21" i="21"/>
  <c r="F21" i="21" s="1"/>
  <c r="H21" i="21" s="1"/>
  <c r="G20" i="21"/>
  <c r="F20" i="21"/>
  <c r="H20" i="21" s="1"/>
  <c r="E20" i="21"/>
  <c r="G19" i="21"/>
  <c r="E19" i="21"/>
  <c r="F19" i="21" s="1"/>
  <c r="H19" i="21" s="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E13" i="21"/>
  <c r="F13" i="21" s="1"/>
  <c r="H13" i="21" s="1"/>
  <c r="G12" i="21"/>
  <c r="E12" i="21"/>
  <c r="F12" i="21" s="1"/>
  <c r="H12" i="21" s="1"/>
  <c r="G11" i="21"/>
  <c r="E11" i="21"/>
  <c r="F11" i="21" s="1"/>
  <c r="H11" i="21" s="1"/>
  <c r="G10" i="21"/>
  <c r="E10" i="21"/>
  <c r="F10" i="21" s="1"/>
  <c r="G9" i="21"/>
  <c r="E9" i="21"/>
  <c r="F9" i="21" s="1"/>
  <c r="H9" i="21" s="1"/>
  <c r="G8" i="21"/>
  <c r="E8" i="21"/>
  <c r="F8" i="21" s="1"/>
  <c r="H8" i="21" s="1"/>
  <c r="G7" i="21"/>
  <c r="E7" i="21"/>
  <c r="F7" i="21" s="1"/>
  <c r="G6" i="2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G27" i="20"/>
  <c r="H27" i="20" s="1"/>
  <c r="E27" i="20"/>
  <c r="F27" i="20" s="1"/>
  <c r="G26" i="20"/>
  <c r="E26" i="20"/>
  <c r="F26" i="20" s="1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G22" i="20"/>
  <c r="E22" i="20"/>
  <c r="F22" i="20" s="1"/>
  <c r="H22" i="20" s="1"/>
  <c r="G21" i="20"/>
  <c r="E21" i="20"/>
  <c r="F21" i="20" s="1"/>
  <c r="H21" i="20" s="1"/>
  <c r="G20" i="20"/>
  <c r="E20" i="20"/>
  <c r="F20" i="20" s="1"/>
  <c r="H20" i="20" s="1"/>
  <c r="G19" i="20"/>
  <c r="E19" i="20"/>
  <c r="F19" i="20" s="1"/>
  <c r="H19" i="20" s="1"/>
  <c r="G18" i="20"/>
  <c r="E18" i="20"/>
  <c r="F18" i="20" s="1"/>
  <c r="H18" i="20" s="1"/>
  <c r="H17" i="20"/>
  <c r="G17" i="20"/>
  <c r="E17" i="20"/>
  <c r="F17" i="20" s="1"/>
  <c r="G14" i="20"/>
  <c r="E14" i="20"/>
  <c r="F14" i="20" s="1"/>
  <c r="H13" i="20"/>
  <c r="G13" i="20"/>
  <c r="E13" i="20"/>
  <c r="F13" i="20" s="1"/>
  <c r="G12" i="20"/>
  <c r="E12" i="20"/>
  <c r="F12" i="20" s="1"/>
  <c r="H11" i="20"/>
  <c r="G11" i="20"/>
  <c r="E11" i="20"/>
  <c r="F11" i="20" s="1"/>
  <c r="G10" i="20"/>
  <c r="E10" i="20"/>
  <c r="F10" i="20" s="1"/>
  <c r="G9" i="20"/>
  <c r="H9" i="20" s="1"/>
  <c r="E9" i="20"/>
  <c r="F9" i="20" s="1"/>
  <c r="G8" i="20"/>
  <c r="E8" i="20"/>
  <c r="F8" i="20" s="1"/>
  <c r="G7" i="20"/>
  <c r="E7" i="20"/>
  <c r="F7" i="20" s="1"/>
  <c r="H7" i="20" s="1"/>
  <c r="G6" i="20"/>
  <c r="E6" i="20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G14" i="19"/>
  <c r="E14" i="19"/>
  <c r="F14" i="19" s="1"/>
  <c r="G13" i="19"/>
  <c r="F13" i="19"/>
  <c r="H13" i="19" s="1"/>
  <c r="E13" i="19"/>
  <c r="G12" i="19"/>
  <c r="G37" i="19" s="1"/>
  <c r="C16" i="1" s="1"/>
  <c r="E12" i="19"/>
  <c r="F12" i="19" s="1"/>
  <c r="H12" i="19" s="1"/>
  <c r="G11" i="19"/>
  <c r="F11" i="19"/>
  <c r="H11" i="19" s="1"/>
  <c r="E11" i="19"/>
  <c r="G10" i="19"/>
  <c r="E10" i="19"/>
  <c r="F10" i="19" s="1"/>
  <c r="H10" i="19" s="1"/>
  <c r="G9" i="19"/>
  <c r="E9" i="19"/>
  <c r="F9" i="19" s="1"/>
  <c r="H9" i="19" s="1"/>
  <c r="G8" i="19"/>
  <c r="E8" i="19"/>
  <c r="F8" i="19" s="1"/>
  <c r="H8" i="19" s="1"/>
  <c r="G7" i="19"/>
  <c r="E7" i="19"/>
  <c r="F7" i="19" s="1"/>
  <c r="H7" i="19" s="1"/>
  <c r="G6" i="19"/>
  <c r="E6" i="19"/>
  <c r="F6" i="19" s="1"/>
  <c r="H6" i="19" s="1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G28" i="18"/>
  <c r="H28" i="18" s="1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H21" i="18" s="1"/>
  <c r="G20" i="18"/>
  <c r="E20" i="18"/>
  <c r="F20" i="18" s="1"/>
  <c r="H20" i="18" s="1"/>
  <c r="G19" i="18"/>
  <c r="E19" i="18"/>
  <c r="F19" i="18" s="1"/>
  <c r="H19" i="18" s="1"/>
  <c r="H18" i="18"/>
  <c r="G18" i="18"/>
  <c r="E18" i="18"/>
  <c r="F18" i="18" s="1"/>
  <c r="G17" i="18"/>
  <c r="E17" i="18"/>
  <c r="F17" i="18" s="1"/>
  <c r="H17" i="18" s="1"/>
  <c r="H14" i="18"/>
  <c r="G14" i="18"/>
  <c r="E14" i="18"/>
  <c r="F14" i="18" s="1"/>
  <c r="G13" i="18"/>
  <c r="E13" i="18"/>
  <c r="F13" i="18" s="1"/>
  <c r="H12" i="18"/>
  <c r="G12" i="18"/>
  <c r="E12" i="18"/>
  <c r="F12" i="18" s="1"/>
  <c r="G11" i="18"/>
  <c r="E11" i="18"/>
  <c r="F11" i="18" s="1"/>
  <c r="G10" i="18"/>
  <c r="H10" i="18" s="1"/>
  <c r="E10" i="18"/>
  <c r="F10" i="18" s="1"/>
  <c r="G9" i="18"/>
  <c r="E9" i="18"/>
  <c r="F9" i="18" s="1"/>
  <c r="G8" i="18"/>
  <c r="H8" i="18" s="1"/>
  <c r="E8" i="18"/>
  <c r="F8" i="18" s="1"/>
  <c r="G7" i="18"/>
  <c r="E7" i="18"/>
  <c r="F7" i="18" s="1"/>
  <c r="H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37" i="17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H10" i="17" s="1"/>
  <c r="G9" i="17"/>
  <c r="E9" i="17"/>
  <c r="F9" i="17" s="1"/>
  <c r="G8" i="17"/>
  <c r="E8" i="17"/>
  <c r="F8" i="17" s="1"/>
  <c r="H8" i="17" s="1"/>
  <c r="G7" i="17"/>
  <c r="E7" i="17"/>
  <c r="F7" i="17" s="1"/>
  <c r="G6" i="17"/>
  <c r="G37" i="17" s="1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14" i="16"/>
  <c r="E14" i="16"/>
  <c r="F14" i="16" s="1"/>
  <c r="G13" i="16"/>
  <c r="E13" i="16"/>
  <c r="F13" i="16" s="1"/>
  <c r="H13" i="16" s="1"/>
  <c r="G12" i="16"/>
  <c r="E12" i="16"/>
  <c r="F12" i="16" s="1"/>
  <c r="H12" i="16" s="1"/>
  <c r="G11" i="16"/>
  <c r="H11" i="16" s="1"/>
  <c r="E11" i="16"/>
  <c r="F11" i="16" s="1"/>
  <c r="G10" i="16"/>
  <c r="E10" i="16"/>
  <c r="F10" i="16" s="1"/>
  <c r="H10" i="16" s="1"/>
  <c r="G9" i="16"/>
  <c r="E9" i="16"/>
  <c r="F9" i="16" s="1"/>
  <c r="H9" i="16" s="1"/>
  <c r="G8" i="16"/>
  <c r="E8" i="16"/>
  <c r="F8" i="16" s="1"/>
  <c r="H8" i="16" s="1"/>
  <c r="G7" i="16"/>
  <c r="F7" i="16"/>
  <c r="H7" i="16" s="1"/>
  <c r="E7" i="16"/>
  <c r="G6" i="16"/>
  <c r="H6" i="16" s="1"/>
  <c r="E6" i="16"/>
  <c r="F6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H10" i="15" s="1"/>
  <c r="G9" i="15"/>
  <c r="F9" i="15"/>
  <c r="H9" i="15" s="1"/>
  <c r="E9" i="15"/>
  <c r="G8" i="15"/>
  <c r="E8" i="15"/>
  <c r="F8" i="15" s="1"/>
  <c r="H8" i="15" s="1"/>
  <c r="H7" i="15"/>
  <c r="G7" i="15"/>
  <c r="F7" i="15"/>
  <c r="E7" i="15"/>
  <c r="G6" i="15"/>
  <c r="G37" i="15" s="1"/>
  <c r="E6" i="15"/>
  <c r="E37" i="15" s="1"/>
  <c r="E61" i="14"/>
  <c r="E60" i="14"/>
  <c r="E59" i="14"/>
  <c r="E58" i="14"/>
  <c r="E57" i="14"/>
  <c r="E56" i="14"/>
  <c r="E55" i="14"/>
  <c r="E54" i="14"/>
  <c r="E53" i="14"/>
  <c r="E52" i="14"/>
  <c r="E62" i="14" s="1"/>
  <c r="E51" i="14"/>
  <c r="E50" i="14"/>
  <c r="E49" i="14"/>
  <c r="G14" i="14"/>
  <c r="E14" i="14"/>
  <c r="F14" i="14" s="1"/>
  <c r="H14" i="14" s="1"/>
  <c r="G13" i="14"/>
  <c r="F13" i="14"/>
  <c r="H13" i="14" s="1"/>
  <c r="E13" i="14"/>
  <c r="G12" i="14"/>
  <c r="E12" i="14"/>
  <c r="F12" i="14" s="1"/>
  <c r="H12" i="14" s="1"/>
  <c r="G11" i="14"/>
  <c r="F11" i="14"/>
  <c r="H11" i="14" s="1"/>
  <c r="E11" i="14"/>
  <c r="H10" i="14"/>
  <c r="G10" i="14"/>
  <c r="E10" i="14"/>
  <c r="F10" i="14" s="1"/>
  <c r="G9" i="14"/>
  <c r="F9" i="14"/>
  <c r="H9" i="14" s="1"/>
  <c r="E9" i="14"/>
  <c r="H8" i="14"/>
  <c r="G8" i="14"/>
  <c r="E8" i="14"/>
  <c r="F8" i="14" s="1"/>
  <c r="G7" i="14"/>
  <c r="F7" i="14"/>
  <c r="H7" i="14" s="1"/>
  <c r="E7" i="14"/>
  <c r="G6" i="14"/>
  <c r="G37" i="14" s="1"/>
  <c r="E6" i="14"/>
  <c r="F6" i="14" s="1"/>
  <c r="F37" i="14" s="1"/>
  <c r="B12" i="1" s="1"/>
  <c r="F12" i="1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G14" i="13"/>
  <c r="F14" i="13"/>
  <c r="H14" i="13" s="1"/>
  <c r="E14" i="13"/>
  <c r="G13" i="13"/>
  <c r="E13" i="13"/>
  <c r="F13" i="13" s="1"/>
  <c r="H13" i="13" s="1"/>
  <c r="G12" i="13"/>
  <c r="F12" i="13"/>
  <c r="H12" i="13" s="1"/>
  <c r="E12" i="13"/>
  <c r="G11" i="13"/>
  <c r="E11" i="13"/>
  <c r="F11" i="13" s="1"/>
  <c r="H11" i="13" s="1"/>
  <c r="H10" i="13"/>
  <c r="G10" i="13"/>
  <c r="F10" i="13"/>
  <c r="E10" i="13"/>
  <c r="G9" i="13"/>
  <c r="E9" i="13"/>
  <c r="F9" i="13" s="1"/>
  <c r="H9" i="13" s="1"/>
  <c r="H8" i="13"/>
  <c r="G8" i="13"/>
  <c r="F8" i="13"/>
  <c r="E8" i="13"/>
  <c r="G7" i="13"/>
  <c r="G37" i="13" s="1"/>
  <c r="E7" i="13"/>
  <c r="F7" i="13" s="1"/>
  <c r="H7" i="13" s="1"/>
  <c r="G6" i="13"/>
  <c r="F6" i="13"/>
  <c r="F37" i="13" s="1"/>
  <c r="E6" i="13"/>
  <c r="E37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54" i="12" s="1"/>
  <c r="G28" i="12"/>
  <c r="F28" i="12"/>
  <c r="H28" i="12" s="1"/>
  <c r="E28" i="12"/>
  <c r="G27" i="12"/>
  <c r="E27" i="12"/>
  <c r="F27" i="12" s="1"/>
  <c r="H27" i="12" s="1"/>
  <c r="G26" i="12"/>
  <c r="F26" i="12"/>
  <c r="H26" i="12" s="1"/>
  <c r="E26" i="12"/>
  <c r="H25" i="12"/>
  <c r="G25" i="12"/>
  <c r="E25" i="12"/>
  <c r="F25" i="12" s="1"/>
  <c r="G24" i="12"/>
  <c r="F24" i="12"/>
  <c r="H24" i="12" s="1"/>
  <c r="E24" i="12"/>
  <c r="H23" i="12"/>
  <c r="G23" i="12"/>
  <c r="E23" i="12"/>
  <c r="F23" i="12" s="1"/>
  <c r="G22" i="12"/>
  <c r="F22" i="12"/>
  <c r="H22" i="12" s="1"/>
  <c r="E22" i="12"/>
  <c r="G21" i="12"/>
  <c r="E21" i="12"/>
  <c r="F21" i="12" s="1"/>
  <c r="H21" i="12" s="1"/>
  <c r="G20" i="12"/>
  <c r="F20" i="12"/>
  <c r="H20" i="12" s="1"/>
  <c r="E20" i="12"/>
  <c r="G19" i="12"/>
  <c r="E19" i="12"/>
  <c r="F19" i="12" s="1"/>
  <c r="H19" i="12" s="1"/>
  <c r="G18" i="12"/>
  <c r="F18" i="12"/>
  <c r="H18" i="12" s="1"/>
  <c r="E18" i="12"/>
  <c r="H17" i="12"/>
  <c r="G17" i="12"/>
  <c r="E17" i="12"/>
  <c r="F17" i="12" s="1"/>
  <c r="G14" i="12"/>
  <c r="F14" i="12"/>
  <c r="H14" i="12" s="1"/>
  <c r="E14" i="12"/>
  <c r="H13" i="12"/>
  <c r="G13" i="12"/>
  <c r="E13" i="12"/>
  <c r="F13" i="12" s="1"/>
  <c r="G12" i="12"/>
  <c r="F12" i="12"/>
  <c r="H12" i="12" s="1"/>
  <c r="E12" i="12"/>
  <c r="G11" i="12"/>
  <c r="E11" i="12"/>
  <c r="F11" i="12" s="1"/>
  <c r="H11" i="12" s="1"/>
  <c r="G10" i="12"/>
  <c r="F10" i="12"/>
  <c r="H10" i="12" s="1"/>
  <c r="E10" i="12"/>
  <c r="G9" i="12"/>
  <c r="E9" i="12"/>
  <c r="F9" i="12" s="1"/>
  <c r="H9" i="12" s="1"/>
  <c r="G8" i="12"/>
  <c r="F8" i="12"/>
  <c r="H8" i="12" s="1"/>
  <c r="E8" i="12"/>
  <c r="H7" i="12"/>
  <c r="G7" i="12"/>
  <c r="E7" i="12"/>
  <c r="F7" i="12" s="1"/>
  <c r="G6" i="12"/>
  <c r="G29" i="12" s="1"/>
  <c r="F6" i="12"/>
  <c r="E6" i="12"/>
  <c r="E29" i="12" s="1"/>
  <c r="E53" i="11"/>
  <c r="E52" i="11"/>
  <c r="E51" i="11"/>
  <c r="E50" i="11"/>
  <c r="E49" i="11"/>
  <c r="E48" i="11"/>
  <c r="E47" i="11"/>
  <c r="E46" i="11"/>
  <c r="E54" i="11" s="1"/>
  <c r="E45" i="11"/>
  <c r="E44" i="11"/>
  <c r="E43" i="11"/>
  <c r="E42" i="11"/>
  <c r="E41" i="11"/>
  <c r="G28" i="11"/>
  <c r="E28" i="11"/>
  <c r="F28" i="11" s="1"/>
  <c r="H28" i="11" s="1"/>
  <c r="H27" i="11"/>
  <c r="G27" i="11"/>
  <c r="F27" i="11"/>
  <c r="E27" i="11"/>
  <c r="G26" i="11"/>
  <c r="E26" i="11"/>
  <c r="F26" i="11" s="1"/>
  <c r="H26" i="11" s="1"/>
  <c r="H25" i="11"/>
  <c r="G25" i="11"/>
  <c r="F25" i="11"/>
  <c r="E25" i="11"/>
  <c r="G24" i="11"/>
  <c r="E24" i="11"/>
  <c r="F24" i="11" s="1"/>
  <c r="H24" i="11" s="1"/>
  <c r="G23" i="11"/>
  <c r="F23" i="11"/>
  <c r="H23" i="11" s="1"/>
  <c r="E23" i="11"/>
  <c r="G22" i="11"/>
  <c r="E22" i="11"/>
  <c r="F22" i="11" s="1"/>
  <c r="H22" i="11" s="1"/>
  <c r="G21" i="11"/>
  <c r="F21" i="11"/>
  <c r="H21" i="11" s="1"/>
  <c r="E21" i="11"/>
  <c r="G20" i="11"/>
  <c r="E20" i="11"/>
  <c r="F20" i="11" s="1"/>
  <c r="H20" i="11" s="1"/>
  <c r="H19" i="11"/>
  <c r="G19" i="11"/>
  <c r="F19" i="11"/>
  <c r="E19" i="11"/>
  <c r="G18" i="11"/>
  <c r="E18" i="11"/>
  <c r="F18" i="11" s="1"/>
  <c r="H18" i="11" s="1"/>
  <c r="H17" i="11"/>
  <c r="G17" i="11"/>
  <c r="F17" i="11"/>
  <c r="E17" i="11"/>
  <c r="G14" i="11"/>
  <c r="E14" i="11"/>
  <c r="F14" i="11" s="1"/>
  <c r="H14" i="11" s="1"/>
  <c r="G13" i="11"/>
  <c r="F13" i="11"/>
  <c r="H13" i="11" s="1"/>
  <c r="E13" i="11"/>
  <c r="G12" i="11"/>
  <c r="E12" i="11"/>
  <c r="F12" i="11" s="1"/>
  <c r="H12" i="11" s="1"/>
  <c r="G11" i="11"/>
  <c r="F11" i="11"/>
  <c r="H11" i="11" s="1"/>
  <c r="E11" i="11"/>
  <c r="G10" i="11"/>
  <c r="E10" i="11"/>
  <c r="F10" i="11" s="1"/>
  <c r="H10" i="11" s="1"/>
  <c r="H9" i="11"/>
  <c r="G9" i="11"/>
  <c r="F9" i="11"/>
  <c r="E9" i="11"/>
  <c r="G8" i="11"/>
  <c r="E8" i="11"/>
  <c r="F8" i="11" s="1"/>
  <c r="H8" i="11" s="1"/>
  <c r="H7" i="11"/>
  <c r="G7" i="11"/>
  <c r="F7" i="11"/>
  <c r="E7" i="11"/>
  <c r="G6" i="11"/>
  <c r="G29" i="11" s="1"/>
  <c r="E6" i="11"/>
  <c r="E29" i="11" s="1"/>
  <c r="E53" i="10"/>
  <c r="E52" i="10"/>
  <c r="E51" i="10"/>
  <c r="E50" i="10"/>
  <c r="E49" i="10"/>
  <c r="E48" i="10"/>
  <c r="E47" i="10"/>
  <c r="E46" i="10"/>
  <c r="E45" i="10"/>
  <c r="E44" i="10"/>
  <c r="E54" i="10" s="1"/>
  <c r="E43" i="10"/>
  <c r="E42" i="10"/>
  <c r="E41" i="10"/>
  <c r="G28" i="10"/>
  <c r="E28" i="10"/>
  <c r="F28" i="10" s="1"/>
  <c r="H28" i="10" s="1"/>
  <c r="G27" i="10"/>
  <c r="F27" i="10"/>
  <c r="H27" i="10" s="1"/>
  <c r="E27" i="10"/>
  <c r="H26" i="10"/>
  <c r="G26" i="10"/>
  <c r="E26" i="10"/>
  <c r="F26" i="10" s="1"/>
  <c r="G25" i="10"/>
  <c r="F25" i="10"/>
  <c r="H25" i="10" s="1"/>
  <c r="E25" i="10"/>
  <c r="H24" i="10"/>
  <c r="G24" i="10"/>
  <c r="E24" i="10"/>
  <c r="F24" i="10" s="1"/>
  <c r="G23" i="10"/>
  <c r="F23" i="10"/>
  <c r="H23" i="10" s="1"/>
  <c r="E23" i="10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F19" i="10"/>
  <c r="H19" i="10" s="1"/>
  <c r="E19" i="10"/>
  <c r="H18" i="10"/>
  <c r="G18" i="10"/>
  <c r="E18" i="10"/>
  <c r="F18" i="10" s="1"/>
  <c r="G17" i="10"/>
  <c r="F17" i="10"/>
  <c r="H17" i="10" s="1"/>
  <c r="E17" i="10"/>
  <c r="H14" i="10"/>
  <c r="G14" i="10"/>
  <c r="E14" i="10"/>
  <c r="F14" i="10" s="1"/>
  <c r="G13" i="10"/>
  <c r="F13" i="10"/>
  <c r="H13" i="10" s="1"/>
  <c r="E13" i="10"/>
  <c r="G12" i="10"/>
  <c r="E12" i="10"/>
  <c r="F12" i="10" s="1"/>
  <c r="H12" i="10" s="1"/>
  <c r="G11" i="10"/>
  <c r="F11" i="10"/>
  <c r="H11" i="10" s="1"/>
  <c r="E11" i="10"/>
  <c r="G10" i="10"/>
  <c r="E10" i="10"/>
  <c r="F10" i="10" s="1"/>
  <c r="H10" i="10" s="1"/>
  <c r="G9" i="10"/>
  <c r="F9" i="10"/>
  <c r="H9" i="10" s="1"/>
  <c r="E9" i="10"/>
  <c r="H8" i="10"/>
  <c r="G8" i="10"/>
  <c r="E8" i="10"/>
  <c r="F8" i="10" s="1"/>
  <c r="G7" i="10"/>
  <c r="F7" i="10"/>
  <c r="H7" i="10" s="1"/>
  <c r="E7" i="10"/>
  <c r="G6" i="10"/>
  <c r="E6" i="10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G28" i="9"/>
  <c r="E28" i="9"/>
  <c r="F28" i="9" s="1"/>
  <c r="H28" i="9" s="1"/>
  <c r="G27" i="9"/>
  <c r="E27" i="9"/>
  <c r="F27" i="9" s="1"/>
  <c r="H27" i="9" s="1"/>
  <c r="H26" i="9"/>
  <c r="G26" i="9"/>
  <c r="F26" i="9"/>
  <c r="E26" i="9"/>
  <c r="G25" i="9"/>
  <c r="E25" i="9"/>
  <c r="F25" i="9" s="1"/>
  <c r="H25" i="9" s="1"/>
  <c r="G24" i="9"/>
  <c r="F24" i="9"/>
  <c r="H24" i="9" s="1"/>
  <c r="E24" i="9"/>
  <c r="G23" i="9"/>
  <c r="E23" i="9"/>
  <c r="F23" i="9" s="1"/>
  <c r="G22" i="9"/>
  <c r="E22" i="9"/>
  <c r="F22" i="9" s="1"/>
  <c r="H22" i="9" s="1"/>
  <c r="G21" i="9"/>
  <c r="E21" i="9"/>
  <c r="F21" i="9" s="1"/>
  <c r="G20" i="9"/>
  <c r="E20" i="9"/>
  <c r="F20" i="9" s="1"/>
  <c r="H20" i="9" s="1"/>
  <c r="G19" i="9"/>
  <c r="E19" i="9"/>
  <c r="F19" i="9" s="1"/>
  <c r="H19" i="9" s="1"/>
  <c r="H18" i="9"/>
  <c r="G18" i="9"/>
  <c r="F18" i="9"/>
  <c r="E18" i="9"/>
  <c r="G17" i="9"/>
  <c r="E17" i="9"/>
  <c r="F17" i="9" s="1"/>
  <c r="H17" i="9" s="1"/>
  <c r="G14" i="9"/>
  <c r="F14" i="9"/>
  <c r="H14" i="9" s="1"/>
  <c r="E14" i="9"/>
  <c r="G13" i="9"/>
  <c r="E13" i="9"/>
  <c r="F13" i="9" s="1"/>
  <c r="G12" i="9"/>
  <c r="E12" i="9"/>
  <c r="F12" i="9" s="1"/>
  <c r="H12" i="9" s="1"/>
  <c r="G11" i="9"/>
  <c r="G29" i="9" s="1"/>
  <c r="C6" i="1" s="1"/>
  <c r="E11" i="9"/>
  <c r="F11" i="9" s="1"/>
  <c r="G10" i="9"/>
  <c r="E10" i="9"/>
  <c r="F10" i="9" s="1"/>
  <c r="H10" i="9" s="1"/>
  <c r="G9" i="9"/>
  <c r="E9" i="9"/>
  <c r="F9" i="9" s="1"/>
  <c r="H9" i="9" s="1"/>
  <c r="H8" i="9"/>
  <c r="G8" i="9"/>
  <c r="F8" i="9"/>
  <c r="E8" i="9"/>
  <c r="G7" i="9"/>
  <c r="E7" i="9"/>
  <c r="F7" i="9" s="1"/>
  <c r="H7" i="9" s="1"/>
  <c r="G6" i="9"/>
  <c r="F6" i="9"/>
  <c r="E6" i="9"/>
  <c r="E29" i="9" s="1"/>
  <c r="E61" i="8"/>
  <c r="E60" i="8"/>
  <c r="E59" i="8"/>
  <c r="E58" i="8"/>
  <c r="E57" i="8"/>
  <c r="E56" i="8"/>
  <c r="E55" i="8"/>
  <c r="E54" i="8"/>
  <c r="E52" i="8"/>
  <c r="E51" i="8"/>
  <c r="E50" i="8"/>
  <c r="E49" i="8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54" i="7" s="1"/>
  <c r="E41" i="7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H25" i="7" s="1"/>
  <c r="E25" i="7"/>
  <c r="F25" i="7" s="1"/>
  <c r="G24" i="7"/>
  <c r="F24" i="7"/>
  <c r="H24" i="7" s="1"/>
  <c r="E24" i="7"/>
  <c r="G23" i="7"/>
  <c r="H23" i="7" s="1"/>
  <c r="E23" i="7"/>
  <c r="F23" i="7" s="1"/>
  <c r="G22" i="7"/>
  <c r="E22" i="7"/>
  <c r="F22" i="7" s="1"/>
  <c r="H22" i="7" s="1"/>
  <c r="H21" i="7"/>
  <c r="G21" i="7"/>
  <c r="E21" i="7"/>
  <c r="F21" i="7" s="1"/>
  <c r="G20" i="7"/>
  <c r="E20" i="7"/>
  <c r="F20" i="7" s="1"/>
  <c r="H20" i="7" s="1"/>
  <c r="G19" i="7"/>
  <c r="E19" i="7"/>
  <c r="F19" i="7" s="1"/>
  <c r="H19" i="7" s="1"/>
  <c r="G18" i="7"/>
  <c r="F18" i="7"/>
  <c r="H18" i="7" s="1"/>
  <c r="E18" i="7"/>
  <c r="G17" i="7"/>
  <c r="E17" i="7"/>
  <c r="F17" i="7" s="1"/>
  <c r="H17" i="7" s="1"/>
  <c r="G14" i="7"/>
  <c r="F14" i="7"/>
  <c r="H14" i="7" s="1"/>
  <c r="E14" i="7"/>
  <c r="G13" i="7"/>
  <c r="E13" i="7"/>
  <c r="F13" i="7" s="1"/>
  <c r="H13" i="7" s="1"/>
  <c r="G12" i="7"/>
  <c r="F12" i="7"/>
  <c r="H12" i="7" s="1"/>
  <c r="E12" i="7"/>
  <c r="G11" i="7"/>
  <c r="E11" i="7"/>
  <c r="F11" i="7" s="1"/>
  <c r="H11" i="7" s="1"/>
  <c r="G10" i="7"/>
  <c r="F10" i="7"/>
  <c r="H10" i="7" s="1"/>
  <c r="E10" i="7"/>
  <c r="G9" i="7"/>
  <c r="E9" i="7"/>
  <c r="F9" i="7" s="1"/>
  <c r="H9" i="7" s="1"/>
  <c r="G8" i="7"/>
  <c r="F8" i="7"/>
  <c r="H8" i="7" s="1"/>
  <c r="E8" i="7"/>
  <c r="G7" i="7"/>
  <c r="E7" i="7"/>
  <c r="F7" i="7" s="1"/>
  <c r="H7" i="7" s="1"/>
  <c r="G6" i="7"/>
  <c r="G29" i="7" s="1"/>
  <c r="C8" i="1" s="1"/>
  <c r="F6" i="7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E13" i="6"/>
  <c r="F13" i="6" s="1"/>
  <c r="H13" i="6" s="1"/>
  <c r="G12" i="6"/>
  <c r="E12" i="6"/>
  <c r="F12" i="6" s="1"/>
  <c r="H12" i="6" s="1"/>
  <c r="G11" i="6"/>
  <c r="E11" i="6"/>
  <c r="F11" i="6" s="1"/>
  <c r="H11" i="6" s="1"/>
  <c r="G10" i="6"/>
  <c r="E10" i="6"/>
  <c r="F10" i="6" s="1"/>
  <c r="H10" i="6" s="1"/>
  <c r="G9" i="6"/>
  <c r="E9" i="6"/>
  <c r="F9" i="6" s="1"/>
  <c r="H9" i="6" s="1"/>
  <c r="G8" i="6"/>
  <c r="E8" i="6"/>
  <c r="F8" i="6" s="1"/>
  <c r="H8" i="6" s="1"/>
  <c r="G7" i="6"/>
  <c r="G37" i="6" s="1"/>
  <c r="C5" i="1" s="1"/>
  <c r="E7" i="6"/>
  <c r="F7" i="6" s="1"/>
  <c r="H7" i="6" s="1"/>
  <c r="G6" i="6"/>
  <c r="E6" i="6"/>
  <c r="E37" i="6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54" i="4" s="1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E29" i="1"/>
  <c r="D29" i="1"/>
  <c r="C35" i="1" s="1"/>
  <c r="F28" i="1"/>
  <c r="F27" i="1"/>
  <c r="F26" i="1"/>
  <c r="F25" i="1"/>
  <c r="J24" i="1"/>
  <c r="I24" i="1"/>
  <c r="H24" i="1"/>
  <c r="G24" i="1"/>
  <c r="F24" i="1"/>
  <c r="C24" i="1"/>
  <c r="B24" i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C13" i="1"/>
  <c r="J12" i="1"/>
  <c r="I12" i="1"/>
  <c r="H12" i="1"/>
  <c r="G12" i="1"/>
  <c r="C12" i="1"/>
  <c r="J11" i="1"/>
  <c r="I11" i="1"/>
  <c r="H11" i="1"/>
  <c r="G11" i="1"/>
  <c r="C11" i="1"/>
  <c r="B11" i="1"/>
  <c r="F11" i="1" s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H5" i="1"/>
  <c r="G5" i="1"/>
  <c r="I29" i="1" l="1"/>
  <c r="H14" i="8"/>
  <c r="H12" i="8"/>
  <c r="G29" i="1"/>
  <c r="H7" i="8"/>
  <c r="H11" i="8"/>
  <c r="H13" i="8"/>
  <c r="H8" i="8"/>
  <c r="H10" i="8"/>
  <c r="H29" i="1"/>
  <c r="C34" i="1" s="1"/>
  <c r="C37" i="1" s="1"/>
  <c r="H9" i="8"/>
  <c r="G37" i="8"/>
  <c r="C7" i="1" s="1"/>
  <c r="E37" i="8"/>
  <c r="F6" i="10"/>
  <c r="E29" i="10"/>
  <c r="H6" i="17"/>
  <c r="F37" i="17"/>
  <c r="B15" i="1" s="1"/>
  <c r="F15" i="1" s="1"/>
  <c r="G29" i="21"/>
  <c r="C18" i="1" s="1"/>
  <c r="H11" i="9"/>
  <c r="H21" i="9"/>
  <c r="G29" i="10"/>
  <c r="C10" i="1" s="1"/>
  <c r="G37" i="16"/>
  <c r="C14" i="1" s="1"/>
  <c r="G29" i="18"/>
  <c r="C19" i="1" s="1"/>
  <c r="H6" i="18"/>
  <c r="D6" i="26"/>
  <c r="F29" i="7"/>
  <c r="F29" i="9"/>
  <c r="D15" i="26"/>
  <c r="D16" i="26"/>
  <c r="F6" i="6"/>
  <c r="E54" i="9"/>
  <c r="E62" i="17"/>
  <c r="H24" i="18"/>
  <c r="D7" i="26"/>
  <c r="D8" i="26"/>
  <c r="H6" i="7"/>
  <c r="E62" i="8"/>
  <c r="H6" i="9"/>
  <c r="H6" i="13"/>
  <c r="H37" i="13" s="1"/>
  <c r="H6" i="14"/>
  <c r="H37" i="14" s="1"/>
  <c r="F6" i="20"/>
  <c r="E29" i="20"/>
  <c r="H6" i="23"/>
  <c r="F29" i="23"/>
  <c r="D10" i="26"/>
  <c r="F29" i="12"/>
  <c r="H6" i="12"/>
  <c r="E62" i="13"/>
  <c r="G29" i="20"/>
  <c r="C17" i="1" s="1"/>
  <c r="H23" i="20"/>
  <c r="G29" i="24"/>
  <c r="C22" i="1" s="1"/>
  <c r="F6" i="8"/>
  <c r="F37" i="19"/>
  <c r="B16" i="1" s="1"/>
  <c r="F16" i="1" s="1"/>
  <c r="E29" i="23"/>
  <c r="H13" i="9"/>
  <c r="H23" i="9"/>
  <c r="H37" i="16"/>
  <c r="E62" i="19"/>
  <c r="H10" i="21"/>
  <c r="H19" i="24"/>
  <c r="E37" i="14"/>
  <c r="F37" i="16"/>
  <c r="B14" i="1" s="1"/>
  <c r="F14" i="1" s="1"/>
  <c r="E37" i="16"/>
  <c r="H9" i="17"/>
  <c r="H13" i="18"/>
  <c r="E37" i="19"/>
  <c r="H12" i="20"/>
  <c r="E54" i="20"/>
  <c r="H7" i="21"/>
  <c r="G29" i="22"/>
  <c r="C20" i="1" s="1"/>
  <c r="D9" i="26"/>
  <c r="E54" i="25"/>
  <c r="D11" i="26"/>
  <c r="F6" i="11"/>
  <c r="F6" i="15"/>
  <c r="E62" i="16"/>
  <c r="H7" i="17"/>
  <c r="H11" i="18"/>
  <c r="E29" i="18"/>
  <c r="H10" i="20"/>
  <c r="H28" i="20"/>
  <c r="E54" i="24"/>
  <c r="D12" i="26"/>
  <c r="E54" i="22"/>
  <c r="D5" i="26"/>
  <c r="D13" i="26"/>
  <c r="E54" i="18"/>
  <c r="H14" i="20"/>
  <c r="E29" i="21"/>
  <c r="F29" i="24"/>
  <c r="H6" i="24"/>
  <c r="H14" i="16"/>
  <c r="F29" i="18"/>
  <c r="H9" i="18"/>
  <c r="H27" i="18"/>
  <c r="H14" i="19"/>
  <c r="H37" i="19" s="1"/>
  <c r="H8" i="20"/>
  <c r="H26" i="20"/>
  <c r="F6" i="21"/>
  <c r="D14" i="26"/>
  <c r="E29" i="24"/>
  <c r="D4" i="26"/>
  <c r="F6" i="22"/>
  <c r="C29" i="1" l="1"/>
  <c r="H29" i="7"/>
  <c r="B8" i="1"/>
  <c r="F8" i="1" s="1"/>
  <c r="H29" i="24"/>
  <c r="B22" i="1"/>
  <c r="F22" i="1" s="1"/>
  <c r="H29" i="9"/>
  <c r="B6" i="1"/>
  <c r="F6" i="1" s="1"/>
  <c r="F29" i="20"/>
  <c r="H6" i="20"/>
  <c r="F29" i="22"/>
  <c r="H6" i="22"/>
  <c r="H37" i="17"/>
  <c r="H6" i="11"/>
  <c r="F29" i="11"/>
  <c r="H29" i="18"/>
  <c r="B19" i="1"/>
  <c r="F19" i="1" s="1"/>
  <c r="B9" i="1"/>
  <c r="F9" i="1" s="1"/>
  <c r="H29" i="12"/>
  <c r="F37" i="6"/>
  <c r="B5" i="1" s="1"/>
  <c r="H6" i="6"/>
  <c r="H37" i="6" s="1"/>
  <c r="F29" i="10"/>
  <c r="H6" i="10"/>
  <c r="D17" i="26"/>
  <c r="H6" i="21"/>
  <c r="F29" i="21"/>
  <c r="H6" i="15"/>
  <c r="H37" i="15" s="1"/>
  <c r="F37" i="15"/>
  <c r="B13" i="1" s="1"/>
  <c r="F13" i="1" s="1"/>
  <c r="F37" i="8"/>
  <c r="B7" i="1" s="1"/>
  <c r="F7" i="1" s="1"/>
  <c r="H6" i="8"/>
  <c r="H37" i="8" s="1"/>
  <c r="H29" i="23"/>
  <c r="B21" i="1"/>
  <c r="F21" i="1" s="1"/>
  <c r="H29" i="21" l="1"/>
  <c r="B18" i="1"/>
  <c r="F18" i="1" s="1"/>
  <c r="B17" i="1"/>
  <c r="F17" i="1" s="1"/>
  <c r="H29" i="20"/>
  <c r="F5" i="1"/>
  <c r="H29" i="11"/>
  <c r="B23" i="1"/>
  <c r="F23" i="1" s="1"/>
  <c r="H29" i="10"/>
  <c r="B10" i="1"/>
  <c r="F10" i="1" s="1"/>
  <c r="H29" i="22"/>
  <c r="B20" i="1"/>
  <c r="F20" i="1" s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<sst xmlns="http://schemas.openxmlformats.org/spreadsheetml/2006/main" count="1786" uniqueCount="92">
  <si>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</si>
  <si>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</si>
  <si>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</si>
  <si>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</si>
  <si>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</si>
  <si>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</si>
  <si>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</si>
  <si>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</si>
  <si>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</si>
  <si>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</si>
  <si>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</si>
  <si>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</si>
  <si>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</si>
  <si>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</si>
  <si>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</si>
  <si>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</si>
  <si>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</si>
  <si>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</si>
  <si>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</si>
  <si>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</si>
  <si>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</si>
  <si>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</si>
  <si>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</si>
  <si>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</si>
  <si>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</si>
  <si>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</si>
  <si>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</si>
  <si>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</si>
  <si>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</si>
  <si>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</si>
  <si>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</si>
  <si>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</si>
  <si>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</si>
  <si>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</si>
  <si>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</si>
  <si>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</si>
  <si>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</si>
  <si>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</si>
  <si>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</si>
  <si>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</si>
  <si>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</si>
  <si>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</si>
  <si>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</si>
  <si>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</si>
  <si>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</si>
  <si>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</si>
  <si>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</si>
  <si>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</si>
  <si>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</si>
  <si>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</si>
  <si>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</si>
  <si>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</si>
  <si>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</si>
  <si>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</si>
  <si>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</si>
  <si>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</si>
  <si>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</si>
  <si>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</si>
  <si>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</si>
  <si>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</si>
  <si>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</si>
  <si>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</si>
  <si>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</si>
  <si>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</si>
  <si>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</si>
  <si>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</si>
  <si>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</si>
  <si>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</si>
  <si>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</si>
  <si>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</si>
  <si>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</si>
  <si>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</si>
  <si>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</si>
  <si>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</si>
  <si>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</si>
  <si>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</si>
  <si>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</si>
  <si>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</si>
  <si>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</si>
  <si>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</si>
  <si>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</si>
  <si>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</si>
  <si>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</si>
  <si>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Raporo ya Site ya Kimironko</t>
  </si>
  <si>
    <t>kuva le1/05/2026</t>
  </si>
  <si>
    <t>kugeza le10/05/2026</t>
  </si>
  <si>
    <t>TOTAL COST=23,060,814</t>
  </si>
  <si>
    <t>TVA=3,517,751</t>
  </si>
  <si>
    <t>MSF=308,440</t>
  </si>
  <si>
    <t>TVA+MSF= 3,826,191</t>
  </si>
  <si>
    <t xml:space="preserve"> QUAPTER Report</t>
  </si>
  <si>
    <t>KIMIRONKO Quotaly 2 REPORT   from APRIL, MAY and JUNE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</si>
</sst>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3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0" fontId="14" fillId="0" borderId="0" xfId="0" applyFont="1" applyAlignment="1"/>
    <xf numFmtId="0" fontId="26" fillId="0" borderId="0" xfId="0" applyFont="1"/>
    <xf numFmtId="0" fontId="27" fillId="0" borderId="0" xfId="0" applyFont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0" fontId="2" fillId="0" borderId="58" xfId="0" applyFont="1" applyBorder="1"/>
    <xf numFmtId="0" fontId="14" fillId="0" borderId="46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6" fillId="4" borderId="42" xfId="0" applyNumberFormat="1" applyFont="1" applyFill="1" applyBorder="1" applyAlignment="1">
      <alignment horizontal="center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7" workbookViewId="0">
      <selection activeCell="G20" sqref="G20"/>
    </sheetView>
  </sheetViews>
  <sheetFormatPr defaultColWidth="14.42578125" defaultRowHeight="15" customHeight="1"/>
  <cols>
    <col min="1" max="1" width="22.85546875" customWidth="1"/>
    <col min="2" max="2" width="28.28515625" customWidth="1"/>
    <col min="3" max="3" width="24.42578125" customWidth="1"/>
    <col min="4" max="4" width="16.140625" customWidth="1"/>
    <col min="5" max="5" width="21.7109375" customWidth="1"/>
    <col min="6" max="6" width="20.5703125" customWidth="1"/>
    <col min="7" max="7" width="20.140625" customWidth="1"/>
    <col min="8" max="8" width="17" customWidth="1"/>
    <col min="9" max="9" width="16.85546875" customWidth="1"/>
    <col min="10" max="10" width="14.5703125" customWidth="1"/>
    <col min="11" max="11" width="8.85546875" customWidth="1"/>
    <col min="12" max="12" width="19.85546875" customWidth="1"/>
    <col min="13" max="15" width="8.85546875" customWidth="1"/>
  </cols>
  <sheetData>
    <row r="1" spans="1:15" ht="18" customHeight="1">
      <c r="A1" s="105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7"/>
      <c r="L1" s="1"/>
      <c r="M1" s="1"/>
      <c r="N1" s="1"/>
      <c r="O1" s="1"/>
    </row>
    <row r="2" spans="1:15" ht="30.75" customHeight="1">
      <c r="A2" s="108" t="s">
        <v>1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1"/>
      <c r="M2" s="1"/>
      <c r="N2" s="1"/>
      <c r="O2" s="1"/>
    </row>
    <row r="3" spans="1:15" ht="15" customHeight="1">
      <c r="A3" s="111"/>
      <c r="B3" s="112"/>
      <c r="C3" s="112"/>
      <c r="D3" s="112"/>
      <c r="E3" s="112"/>
      <c r="F3" s="112"/>
      <c r="G3" s="112"/>
      <c r="H3" s="112"/>
      <c r="I3" s="112"/>
      <c r="J3" s="112"/>
      <c r="K3" s="11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40103257.576271184</v>
      </c>
      <c r="C7" s="18">
        <f>KIMIRONKO!G37</f>
        <v>3643050</v>
      </c>
      <c r="D7" s="19"/>
      <c r="E7" s="18"/>
      <c r="F7" s="14">
        <f t="shared" si="0"/>
        <v>43746307.576271184</v>
      </c>
      <c r="G7" s="18">
        <f>KIMIRONKO!C41</f>
        <v>0</v>
      </c>
      <c r="H7" s="18">
        <f>KIMIRONKO!C39</f>
        <v>0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40103257.576271184</v>
      </c>
      <c r="C29" s="33">
        <f t="shared" si="1"/>
        <v>3643050</v>
      </c>
      <c r="D29" s="34">
        <f t="shared" si="1"/>
        <v>0</v>
      </c>
      <c r="E29" s="33">
        <f t="shared" si="1"/>
        <v>0</v>
      </c>
      <c r="F29" s="33">
        <f t="shared" si="1"/>
        <v>43746307.576271184</v>
      </c>
      <c r="G29" s="34">
        <f t="shared" si="1"/>
        <v>0</v>
      </c>
      <c r="H29" s="34">
        <f t="shared" si="1"/>
        <v>0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2"/>
      <c r="B30" s="124"/>
      <c r="C30" s="124"/>
      <c r="D30" s="125"/>
      <c r="E30" s="127" t="s">
        <v>32</v>
      </c>
      <c r="F30" s="121"/>
      <c r="G30" s="121"/>
      <c r="H30" s="121"/>
      <c r="I30" s="115"/>
      <c r="J30" s="114"/>
      <c r="K30" s="115"/>
      <c r="L30" s="1"/>
      <c r="M30" s="1"/>
      <c r="N30" s="1"/>
      <c r="O30" s="1"/>
    </row>
    <row r="31" spans="1:15" ht="18" customHeight="1">
      <c r="A31" s="130" t="s">
        <v>33</v>
      </c>
      <c r="B31" s="124"/>
      <c r="C31" s="124"/>
      <c r="D31" s="131"/>
      <c r="E31" s="116"/>
      <c r="F31" s="128"/>
      <c r="G31" s="128"/>
      <c r="H31" s="128"/>
      <c r="I31" s="117"/>
      <c r="J31" s="116"/>
      <c r="K31" s="117"/>
      <c r="L31" s="1"/>
      <c r="M31" s="1"/>
      <c r="N31" s="1"/>
      <c r="O31" s="1"/>
    </row>
    <row r="32" spans="1:15" ht="18" customHeight="1">
      <c r="A32" s="133" t="s">
        <v>34</v>
      </c>
      <c r="B32" s="125"/>
      <c r="C32" s="129">
        <f>SUM(B29:C29)</f>
        <v>43746307.576271184</v>
      </c>
      <c r="D32" s="121"/>
      <c r="E32" s="116"/>
      <c r="F32" s="128"/>
      <c r="G32" s="128"/>
      <c r="H32" s="128"/>
      <c r="I32" s="117"/>
      <c r="J32" s="116"/>
      <c r="K32" s="117"/>
      <c r="L32" s="1"/>
      <c r="M32" s="1"/>
      <c r="N32" s="1"/>
      <c r="O32" s="1"/>
    </row>
    <row r="33" spans="1:15" ht="18" customHeight="1">
      <c r="A33" s="133" t="s">
        <v>35</v>
      </c>
      <c r="B33" s="125"/>
      <c r="C33" s="126">
        <f>SUM(F29,G29)</f>
        <v>43746307.576271184</v>
      </c>
      <c r="D33" s="124"/>
      <c r="E33" s="116"/>
      <c r="F33" s="128"/>
      <c r="G33" s="128"/>
      <c r="H33" s="128"/>
      <c r="I33" s="117"/>
      <c r="J33" s="116"/>
      <c r="K33" s="117"/>
      <c r="L33" s="1"/>
      <c r="M33" s="1"/>
      <c r="N33" s="1"/>
      <c r="O33" s="1"/>
    </row>
    <row r="34" spans="1:15" ht="18" customHeight="1">
      <c r="A34" s="133" t="s">
        <v>36</v>
      </c>
      <c r="B34" s="125"/>
      <c r="C34" s="126">
        <f>SUM(H29,J29,I29)</f>
        <v>0</v>
      </c>
      <c r="D34" s="125"/>
      <c r="E34" s="116"/>
      <c r="F34" s="128"/>
      <c r="G34" s="128"/>
      <c r="H34" s="128"/>
      <c r="I34" s="117"/>
      <c r="J34" s="116"/>
      <c r="K34" s="117"/>
      <c r="L34" s="1"/>
      <c r="M34" s="1"/>
      <c r="N34" s="1"/>
      <c r="O34" s="1"/>
    </row>
    <row r="35" spans="1:15" ht="18" customHeight="1">
      <c r="A35" s="133" t="s">
        <v>37</v>
      </c>
      <c r="B35" s="125"/>
      <c r="C35" s="126">
        <f>SUM(D29:E29)</f>
        <v>0</v>
      </c>
      <c r="D35" s="125"/>
      <c r="E35" s="118"/>
      <c r="F35" s="122"/>
      <c r="G35" s="122"/>
      <c r="H35" s="122"/>
      <c r="I35" s="119"/>
      <c r="J35" s="116"/>
      <c r="K35" s="117"/>
      <c r="L35" s="1"/>
      <c r="M35" s="1"/>
      <c r="N35" s="1"/>
      <c r="O35" s="1"/>
    </row>
    <row r="36" spans="1:15" ht="18" customHeight="1">
      <c r="A36" s="133" t="s">
        <v>38</v>
      </c>
      <c r="B36" s="125"/>
      <c r="C36" s="126">
        <f>SUM(C33,C35)</f>
        <v>43746307.576271184</v>
      </c>
      <c r="D36" s="125"/>
      <c r="E36" s="120" t="s">
        <v>39</v>
      </c>
      <c r="F36" s="121"/>
      <c r="G36" s="121"/>
      <c r="H36" s="121"/>
      <c r="I36" s="115"/>
      <c r="J36" s="116"/>
      <c r="K36" s="117"/>
      <c r="L36" s="1"/>
      <c r="M36" s="1"/>
      <c r="N36" s="1"/>
      <c r="O36" s="1"/>
    </row>
    <row r="37" spans="1:15" ht="18" customHeight="1">
      <c r="A37" s="134" t="s">
        <v>40</v>
      </c>
      <c r="B37" s="119"/>
      <c r="C37" s="126">
        <f>SUM(C34:C35)</f>
        <v>0</v>
      </c>
      <c r="D37" s="125"/>
      <c r="E37" s="118"/>
      <c r="F37" s="122"/>
      <c r="G37" s="122"/>
      <c r="H37" s="122"/>
      <c r="I37" s="119"/>
      <c r="J37" s="116"/>
      <c r="K37" s="117"/>
      <c r="L37" s="1"/>
      <c r="M37" s="1"/>
      <c r="N37" s="1"/>
      <c r="O37" s="1"/>
    </row>
    <row r="38" spans="1:15" ht="18" customHeight="1">
      <c r="A38" s="123" t="s">
        <v>41</v>
      </c>
      <c r="B38" s="124"/>
      <c r="C38" s="124"/>
      <c r="D38" s="124"/>
      <c r="E38" s="124"/>
      <c r="F38" s="124"/>
      <c r="G38" s="124"/>
      <c r="H38" s="124"/>
      <c r="I38" s="125"/>
      <c r="J38" s="118"/>
      <c r="K38" s="119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C27" sqref="C27"/>
    </sheetView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2578125" defaultRowHeight="15" customHeight="1"/>
  <cols>
    <col min="1" max="1" width="18.85546875" customWidth="1"/>
    <col min="2" max="2" width="15.5703125" customWidth="1"/>
    <col min="3" max="3" width="25" customWidth="1"/>
    <col min="4" max="4" width="15.42578125" customWidth="1"/>
    <col min="5" max="6" width="25.42578125" customWidth="1"/>
    <col min="7" max="7" width="16.5703125" customWidth="1"/>
    <col min="8" max="8" width="34.140625" customWidth="1"/>
    <col min="9" max="11" width="8.7109375" customWidth="1"/>
  </cols>
  <sheetData>
    <row r="1" spans="1:11" ht="14.25" customHeight="1">
      <c r="A1" s="166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67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f>SUM(C39:C44)</f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22.5" customHeight="1">
      <c r="A48" s="98"/>
      <c r="B48" s="163" t="s">
        <v>77</v>
      </c>
      <c r="C48" s="164"/>
      <c r="D48" s="165"/>
      <c r="E48" s="163" t="s">
        <v>78</v>
      </c>
      <c r="F48" s="164"/>
      <c r="G48" s="164"/>
      <c r="H48" s="165"/>
      <c r="I48" s="37"/>
      <c r="J48" s="37"/>
      <c r="K48" s="37"/>
    </row>
    <row r="49" spans="1:11" ht="21.7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22.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24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21.7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21.7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21.7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21.7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21.7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21.7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24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24.7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68" t="s">
        <v>82</v>
      </c>
      <c r="C62" s="124"/>
      <c r="D62" s="125"/>
      <c r="E62" s="169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3" sqref="A3:H4"/>
    </sheetView>
  </sheetViews>
  <sheetFormatPr defaultColWidth="14.42578125" defaultRowHeight="15" customHeight="1"/>
  <cols>
    <col min="1" max="1" width="27.28515625" customWidth="1"/>
    <col min="2" max="2" width="19.42578125" customWidth="1"/>
    <col min="3" max="3" width="13.5703125" customWidth="1"/>
    <col min="4" max="4" width="11.7109375" customWidth="1"/>
    <col min="5" max="5" width="21" customWidth="1"/>
    <col min="6" max="6" width="21.7109375" customWidth="1"/>
    <col min="7" max="7" width="20.57031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>
        <v>7670</v>
      </c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f>SUM(C31:C36)</f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topLeftCell="A19" workbookViewId="0">
      <selection activeCell="A3" sqref="A3:H4"/>
    </sheetView>
  </sheetViews>
  <sheetFormatPr defaultColWidth="14.42578125" defaultRowHeight="15" customHeight="1"/>
  <cols>
    <col min="1" max="1" width="21.140625" customWidth="1"/>
    <col min="2" max="2" width="17.42578125" customWidth="1"/>
    <col min="3" max="3" width="20.28515625" customWidth="1"/>
    <col min="4" max="4" width="14.85546875" customWidth="1"/>
    <col min="5" max="5" width="28.42578125" customWidth="1"/>
    <col min="6" max="6" width="22.140625" customWidth="1"/>
    <col min="7" max="7" width="16.5703125" customWidth="1"/>
    <col min="8" max="8" width="26.5703125" customWidth="1"/>
    <col min="9" max="11" width="8.7109375" customWidth="1"/>
  </cols>
  <sheetData>
    <row r="1" spans="1:11" ht="14.25" customHeight="1">
      <c r="A1" s="157" t="s">
        <v>90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91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>
        <v>150</v>
      </c>
      <c r="C6" s="142">
        <v>12500</v>
      </c>
      <c r="D6" s="143"/>
      <c r="E6" s="44">
        <f t="shared" ref="E6:E14" si="0">PRODUCT(B6*C6)</f>
        <v>1875000</v>
      </c>
      <c r="F6" s="44">
        <f t="shared" ref="F6:F14" si="1">PRODUCT(E6*18)/118</f>
        <v>286016.94915254239</v>
      </c>
      <c r="G6" s="44">
        <f t="shared" ref="G6:G8" si="2">PRODUCT(B6*50)</f>
        <v>7500</v>
      </c>
      <c r="H6" s="45">
        <f t="shared" ref="H6:H14" si="3">SUM(F6:G6)</f>
        <v>293516.94915254239</v>
      </c>
    </row>
    <row r="7" spans="1:11" ht="14.25" customHeight="1">
      <c r="A7" s="42" t="s">
        <v>51</v>
      </c>
      <c r="B7" s="43">
        <v>2892</v>
      </c>
      <c r="C7" s="142">
        <v>3000</v>
      </c>
      <c r="D7" s="143"/>
      <c r="E7" s="44">
        <f t="shared" si="0"/>
        <v>8676000</v>
      </c>
      <c r="F7" s="44">
        <f t="shared" si="1"/>
        <v>1323457.6271186441</v>
      </c>
      <c r="G7" s="44">
        <f t="shared" si="2"/>
        <v>144600</v>
      </c>
      <c r="H7" s="45">
        <f t="shared" si="3"/>
        <v>1468057.6271186441</v>
      </c>
    </row>
    <row r="8" spans="1:11" ht="14.25" customHeight="1">
      <c r="A8" s="46" t="s">
        <v>52</v>
      </c>
      <c r="B8" s="47">
        <v>1345</v>
      </c>
      <c r="C8" s="145">
        <v>7670</v>
      </c>
      <c r="D8" s="140"/>
      <c r="E8" s="48">
        <f t="shared" si="0"/>
        <v>10316150</v>
      </c>
      <c r="F8" s="48">
        <f t="shared" si="1"/>
        <v>1573650</v>
      </c>
      <c r="G8" s="48">
        <f t="shared" si="2"/>
        <v>67250</v>
      </c>
      <c r="H8" s="49">
        <f t="shared" si="3"/>
        <v>1640900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>
        <v>109988</v>
      </c>
      <c r="C10" s="145">
        <v>2124</v>
      </c>
      <c r="D10" s="140"/>
      <c r="E10" s="48">
        <f t="shared" si="0"/>
        <v>233614512</v>
      </c>
      <c r="F10" s="48">
        <f t="shared" si="1"/>
        <v>35636112</v>
      </c>
      <c r="G10" s="48">
        <f t="shared" si="4"/>
        <v>3299640</v>
      </c>
      <c r="H10" s="49">
        <f t="shared" si="3"/>
        <v>38935752</v>
      </c>
    </row>
    <row r="11" spans="1:11" ht="14.25" customHeight="1">
      <c r="A11" s="46" t="s">
        <v>55</v>
      </c>
      <c r="B11" s="47"/>
      <c r="C11" s="145">
        <v>3540</v>
      </c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>
        <v>2006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6203</v>
      </c>
      <c r="C13" s="145">
        <v>1357</v>
      </c>
      <c r="D13" s="140"/>
      <c r="E13" s="48">
        <f t="shared" si="0"/>
        <v>8417471</v>
      </c>
      <c r="F13" s="48">
        <f t="shared" si="1"/>
        <v>1284021</v>
      </c>
      <c r="G13" s="48">
        <f t="shared" ref="G13:G14" si="5">PRODUCT(B13*20)</f>
        <v>124060</v>
      </c>
      <c r="H13" s="49">
        <f t="shared" si="3"/>
        <v>1408081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>SUM(E5:E36)</f>
        <v>262899133</v>
      </c>
      <c r="F37" s="74">
        <f>SUM(F5:F36)</f>
        <v>40103257.576271184</v>
      </c>
      <c r="G37" s="75">
        <f>SUM(G5:G36)</f>
        <v>3643050</v>
      </c>
      <c r="H37" s="76">
        <f>SUM(H5:H36)</f>
        <v>43746307.576271184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/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103" t="s">
        <v>83</v>
      </c>
      <c r="B49" s="136" t="s">
        <v>79</v>
      </c>
      <c r="C49" s="124"/>
      <c r="D49" s="125"/>
      <c r="E49" s="137">
        <f>SUM(B9:B12)</f>
        <v>109988</v>
      </c>
      <c r="F49" s="124"/>
      <c r="G49" s="124"/>
      <c r="H49" s="125"/>
    </row>
    <row r="50" spans="1:8" ht="14.25" customHeight="1">
      <c r="A50" s="98" t="s">
        <v>84</v>
      </c>
      <c r="B50" s="136" t="s">
        <v>52</v>
      </c>
      <c r="C50" s="124"/>
      <c r="D50" s="125"/>
      <c r="E50" s="137">
        <f>SUM(B6:B8)</f>
        <v>4387</v>
      </c>
      <c r="F50" s="124"/>
      <c r="G50" s="124"/>
      <c r="H50" s="125"/>
    </row>
    <row r="51" spans="1:8" ht="14.25" customHeight="1">
      <c r="A51" s="98" t="s">
        <v>85</v>
      </c>
      <c r="B51" s="136" t="s">
        <v>80</v>
      </c>
      <c r="C51" s="124"/>
      <c r="D51" s="125"/>
      <c r="E51" s="159">
        <f>SUM(B13:B14)</f>
        <v>6203</v>
      </c>
      <c r="F51" s="128"/>
      <c r="G51" s="128"/>
      <c r="H51" s="117"/>
    </row>
    <row r="52" spans="1:8" ht="14.25" customHeight="1">
      <c r="A52" s="98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103" t="s">
        <v>86</v>
      </c>
      <c r="B53" s="158" t="s">
        <v>62</v>
      </c>
      <c r="C53" s="124"/>
      <c r="D53" s="125"/>
      <c r="E53" s="126"/>
      <c r="F53" s="124"/>
      <c r="G53" s="124"/>
      <c r="H53" s="125"/>
    </row>
    <row r="54" spans="1:8" ht="14.25" customHeight="1">
      <c r="A54" s="98"/>
      <c r="B54" s="158" t="s">
        <v>81</v>
      </c>
      <c r="C54" s="124"/>
      <c r="D54" s="125"/>
      <c r="E54" s="126">
        <f t="shared" ref="E54:E61" si="6">B29</f>
        <v>0</v>
      </c>
      <c r="F54" s="124"/>
      <c r="G54" s="124"/>
      <c r="H54" s="125"/>
    </row>
    <row r="55" spans="1:8" ht="14.25" customHeight="1">
      <c r="A55" s="103" t="s">
        <v>87</v>
      </c>
      <c r="B55" s="158" t="s">
        <v>81</v>
      </c>
      <c r="C55" s="124"/>
      <c r="D55" s="125"/>
      <c r="E55" s="126">
        <f t="shared" si="6"/>
        <v>0</v>
      </c>
      <c r="F55" s="124"/>
      <c r="G55" s="124"/>
      <c r="H55" s="125"/>
    </row>
    <row r="56" spans="1:8" ht="14.25" customHeight="1">
      <c r="A56" s="98"/>
      <c r="B56" s="158" t="s">
        <v>81</v>
      </c>
      <c r="C56" s="124"/>
      <c r="D56" s="125"/>
      <c r="E56" s="126">
        <f t="shared" si="6"/>
        <v>0</v>
      </c>
      <c r="F56" s="124"/>
      <c r="G56" s="124"/>
      <c r="H56" s="125"/>
    </row>
    <row r="57" spans="1:8" ht="14.25" customHeight="1">
      <c r="A57" s="104" t="s">
        <v>88</v>
      </c>
      <c r="B57" s="158" t="s">
        <v>81</v>
      </c>
      <c r="C57" s="124"/>
      <c r="D57" s="125"/>
      <c r="E57" s="126">
        <f t="shared" si="6"/>
        <v>0</v>
      </c>
      <c r="F57" s="124"/>
      <c r="G57" s="124"/>
      <c r="H57" s="125"/>
    </row>
    <row r="58" spans="1:8" ht="14.25" customHeight="1">
      <c r="A58" s="98"/>
      <c r="B58" s="158" t="s">
        <v>81</v>
      </c>
      <c r="C58" s="124"/>
      <c r="D58" s="125"/>
      <c r="E58" s="126">
        <f t="shared" si="6"/>
        <v>0</v>
      </c>
      <c r="F58" s="124"/>
      <c r="G58" s="124"/>
      <c r="H58" s="125"/>
    </row>
    <row r="59" spans="1:8" ht="14.25" customHeight="1">
      <c r="A59" s="103" t="s">
        <v>89</v>
      </c>
      <c r="B59" s="158" t="s">
        <v>81</v>
      </c>
      <c r="C59" s="124"/>
      <c r="D59" s="125"/>
      <c r="E59" s="126">
        <f t="shared" si="6"/>
        <v>0</v>
      </c>
      <c r="F59" s="124"/>
      <c r="G59" s="124"/>
      <c r="H59" s="125"/>
    </row>
    <row r="60" spans="1:8" ht="14.25" customHeight="1">
      <c r="A60" s="102"/>
      <c r="B60" s="158" t="s">
        <v>81</v>
      </c>
      <c r="C60" s="124"/>
      <c r="D60" s="125"/>
      <c r="E60" s="126">
        <f t="shared" si="6"/>
        <v>0</v>
      </c>
      <c r="F60" s="124"/>
      <c r="G60" s="124"/>
      <c r="H60" s="125"/>
    </row>
    <row r="61" spans="1:8" ht="14.25" customHeight="1">
      <c r="A61" s="102"/>
      <c r="B61" s="158" t="s">
        <v>81</v>
      </c>
      <c r="C61" s="124"/>
      <c r="D61" s="125"/>
      <c r="E61" s="126">
        <f t="shared" si="6"/>
        <v>0</v>
      </c>
      <c r="F61" s="124"/>
      <c r="G61" s="124"/>
      <c r="H61" s="125"/>
    </row>
    <row r="62" spans="1:8" ht="34.5" customHeight="1">
      <c r="A62" s="102"/>
      <c r="B62" s="158" t="s">
        <v>82</v>
      </c>
      <c r="C62" s="124"/>
      <c r="D62" s="125"/>
      <c r="E62" s="170">
        <f>SUM(E49:H61)</f>
        <v>120578</v>
      </c>
      <c r="F62" s="124"/>
      <c r="G62" s="124"/>
      <c r="H62" s="125"/>
    </row>
    <row r="63" spans="1:8" ht="24.6" customHeight="1">
      <c r="A63" s="102"/>
      <c r="B63" s="158"/>
      <c r="C63" s="124"/>
      <c r="D63" s="125"/>
      <c r="E63" s="161"/>
      <c r="F63" s="124"/>
      <c r="G63" s="124"/>
      <c r="H63" s="125"/>
    </row>
    <row r="64" spans="1:8" ht="14.25" customHeight="1">
      <c r="A64" s="102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9.42578125" customWidth="1"/>
    <col min="3" max="3" width="14.85546875" customWidth="1"/>
    <col min="4" max="4" width="9.7109375" customWidth="1"/>
    <col min="5" max="5" width="22.140625" customWidth="1"/>
    <col min="6" max="6" width="23.5703125" customWidth="1"/>
    <col min="7" max="7" width="17.2851562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0.7109375" customWidth="1"/>
    <col min="2" max="2" width="17.85546875" customWidth="1"/>
    <col min="3" max="3" width="12.5703125" customWidth="1"/>
    <col min="4" max="4" width="14.42578125" customWidth="1"/>
    <col min="5" max="5" width="21.5703125" customWidth="1"/>
    <col min="6" max="6" width="19.5703125" customWidth="1"/>
    <col min="7" max="7" width="15.5703125" customWidth="1"/>
    <col min="8" max="8" width="20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3.5703125" customWidth="1"/>
    <col min="2" max="2" width="14.7109375" customWidth="1"/>
    <col min="3" max="3" width="21.5703125" customWidth="1"/>
    <col min="4" max="4" width="11.28515625" customWidth="1"/>
    <col min="5" max="5" width="21.85546875" customWidth="1"/>
    <col min="6" max="6" width="22.42578125" customWidth="1"/>
    <col min="7" max="7" width="17.5703125" customWidth="1"/>
    <col min="8" max="8" width="16.71093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>
        <v>1357</v>
      </c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5703125" customWidth="1"/>
    <col min="2" max="2" width="26.42578125" customWidth="1"/>
    <col min="3" max="3" width="18.85546875" customWidth="1"/>
    <col min="4" max="4" width="12.85546875" customWidth="1"/>
    <col min="5" max="5" width="20.42578125" customWidth="1"/>
    <col min="6" max="6" width="21.5703125" customWidth="1"/>
    <col min="7" max="7" width="14.42578125" customWidth="1"/>
    <col min="8" max="8" width="24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>
        <v>2124</v>
      </c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" customWidth="1"/>
    <col min="2" max="2" width="15.85546875" customWidth="1"/>
    <col min="3" max="3" width="18.5703125" customWidth="1"/>
    <col min="4" max="4" width="11.7109375" customWidth="1"/>
    <col min="5" max="5" width="24.140625" customWidth="1"/>
    <col min="6" max="6" width="18.42578125" customWidth="1"/>
    <col min="7" max="7" width="15.85546875" customWidth="1"/>
    <col min="8" max="8" width="15.71093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>
        <v>2124</v>
      </c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3.140625" customWidth="1"/>
    <col min="2" max="2" width="15.42578125" customWidth="1"/>
    <col min="3" max="3" width="20.28515625" customWidth="1"/>
    <col min="4" max="4" width="16.140625" customWidth="1"/>
    <col min="5" max="5" width="18.28515625" customWidth="1"/>
    <col min="6" max="6" width="15.42578125" customWidth="1"/>
    <col min="7" max="7" width="22.85546875" customWidth="1"/>
    <col min="8" max="8" width="19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>
        <v>1357</v>
      </c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71" t="s">
        <v>69</v>
      </c>
      <c r="B39" s="172"/>
      <c r="C39" s="81"/>
      <c r="D39" s="82"/>
      <c r="E39" s="176"/>
      <c r="F39" s="177"/>
      <c r="G39" s="83"/>
      <c r="H39" s="84"/>
    </row>
    <row r="40" spans="1:11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38" t="s">
        <v>72</v>
      </c>
      <c r="B42" s="125"/>
      <c r="C42" s="90"/>
      <c r="D42" s="74"/>
      <c r="E42" s="174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73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73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75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37">
        <f>SUM(B13:B14)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5703125" customWidth="1"/>
    <col min="2" max="2" width="16.42578125" customWidth="1"/>
    <col min="3" max="3" width="21.42578125" customWidth="1"/>
    <col min="4" max="4" width="12" customWidth="1"/>
    <col min="5" max="5" width="21.85546875" customWidth="1"/>
    <col min="6" max="6" width="17.42578125" customWidth="1"/>
    <col min="7" max="7" width="15.140625" customWidth="1"/>
    <col min="8" max="8" width="21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8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8" ht="14.2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8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8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8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8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8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8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8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8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9.85546875" customWidth="1"/>
    <col min="2" max="2" width="14.42578125" customWidth="1"/>
    <col min="3" max="3" width="20" customWidth="1"/>
    <col min="4" max="4" width="14.140625" customWidth="1"/>
    <col min="5" max="5" width="20.140625" customWidth="1"/>
    <col min="6" max="6" width="15.28515625" customWidth="1"/>
    <col min="7" max="7" width="16.140625" customWidth="1"/>
    <col min="8" max="8" width="19.8554687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  <c r="I39" s="37"/>
      <c r="J39" s="37"/>
      <c r="K39" s="37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  <c r="I40" s="37"/>
      <c r="J40" s="37"/>
      <c r="K40" s="37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  <c r="I41" s="37"/>
      <c r="J41" s="37"/>
      <c r="K41" s="37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  <c r="I42" s="37"/>
      <c r="J42" s="37"/>
      <c r="K42" s="37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  <c r="I43" s="37"/>
      <c r="J43" s="37"/>
      <c r="K43" s="37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  <c r="I44" s="37"/>
      <c r="J44" s="37"/>
      <c r="K44" s="37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  <c r="I45" s="37"/>
      <c r="J45" s="37"/>
      <c r="K45" s="3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  <c r="I46" s="37"/>
      <c r="J46" s="37"/>
      <c r="K46" s="37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  <c r="I47" s="37"/>
      <c r="J47" s="37"/>
      <c r="K47" s="37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  <c r="I48" s="37"/>
      <c r="J48" s="37"/>
      <c r="K48" s="37"/>
    </row>
    <row r="49" spans="1:11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  <c r="I49" s="37"/>
      <c r="J49" s="37"/>
      <c r="K49" s="37"/>
    </row>
    <row r="50" spans="1:11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  <c r="I50" s="37"/>
      <c r="J50" s="37"/>
      <c r="K50" s="37"/>
    </row>
    <row r="51" spans="1:11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  <c r="I51" s="37"/>
      <c r="J51" s="37"/>
      <c r="K51" s="37"/>
    </row>
    <row r="52" spans="1:11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  <c r="I55" s="37"/>
      <c r="J55" s="37"/>
      <c r="K55" s="37"/>
    </row>
    <row r="56" spans="1:11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  <c r="I56" s="37"/>
      <c r="J56" s="37"/>
      <c r="K56" s="37"/>
    </row>
    <row r="57" spans="1:11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  <c r="I57" s="37"/>
      <c r="J57" s="37"/>
      <c r="K57" s="37"/>
    </row>
    <row r="58" spans="1:11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  <c r="I58" s="37"/>
      <c r="J58" s="37"/>
      <c r="K58" s="37"/>
    </row>
    <row r="59" spans="1:11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  <c r="I59" s="37"/>
      <c r="J59" s="37"/>
      <c r="K59" s="37"/>
    </row>
    <row r="60" spans="1:11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  <c r="I60" s="37"/>
      <c r="J60" s="37"/>
      <c r="K60" s="37"/>
    </row>
    <row r="61" spans="1:11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  <c r="I61" s="37"/>
      <c r="J61" s="37"/>
      <c r="K61" s="37"/>
    </row>
    <row r="62" spans="1:11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  <c r="I62" s="37"/>
      <c r="J62" s="37"/>
      <c r="K62" s="37"/>
    </row>
    <row r="63" spans="1:11" ht="14.25" customHeight="1">
      <c r="A63" s="37"/>
      <c r="B63" s="158"/>
      <c r="C63" s="124"/>
      <c r="D63" s="125"/>
      <c r="E63" s="161"/>
      <c r="F63" s="124"/>
      <c r="G63" s="124"/>
      <c r="H63" s="125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18.85546875" customWidth="1"/>
    <col min="2" max="2" width="16.140625" customWidth="1"/>
    <col min="3" max="3" width="20.85546875" customWidth="1"/>
    <col min="4" max="4" width="14.140625" customWidth="1"/>
    <col min="5" max="5" width="18.140625" customWidth="1"/>
    <col min="6" max="6" width="17.7109375" customWidth="1"/>
    <col min="7" max="7" width="13.28515625" customWidth="1"/>
    <col min="8" max="8" width="20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SUM(B11:B14)</f>
        <v>0</v>
      </c>
      <c r="F49" s="124"/>
      <c r="G49" s="124"/>
      <c r="H49" s="125"/>
    </row>
    <row r="50" spans="1:8" ht="14.25" customHeight="1">
      <c r="A50" s="37"/>
      <c r="B50" s="136" t="s">
        <v>52</v>
      </c>
      <c r="C50" s="124"/>
      <c r="D50" s="125"/>
      <c r="E50" s="137">
        <f>SUM(B8:B10)</f>
        <v>0</v>
      </c>
      <c r="F50" s="124"/>
      <c r="G50" s="124"/>
      <c r="H50" s="125"/>
    </row>
    <row r="51" spans="1:8" ht="14.25" customHeight="1">
      <c r="A51" s="37"/>
      <c r="B51" s="136" t="s">
        <v>80</v>
      </c>
      <c r="C51" s="124"/>
      <c r="D51" s="125"/>
      <c r="E51" s="137">
        <f>SUM(B15:B16)</f>
        <v>0</v>
      </c>
      <c r="F51" s="124"/>
      <c r="G51" s="124"/>
      <c r="H51" s="125"/>
    </row>
    <row r="52" spans="1:8" ht="14.25" customHeight="1">
      <c r="A52" s="37"/>
      <c r="B52" s="158" t="s">
        <v>61</v>
      </c>
      <c r="C52" s="124"/>
      <c r="D52" s="125"/>
      <c r="E52" s="126">
        <f>SUM(B19:B20)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SUM(B29:B30)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0" si="7">B31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>B45</f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5703125" customWidth="1"/>
    <col min="2" max="2" width="19.28515625" customWidth="1"/>
    <col min="3" max="3" width="21" customWidth="1"/>
    <col min="4" max="4" width="15" customWidth="1"/>
    <col min="5" max="5" width="19.140625" customWidth="1"/>
    <col min="6" max="6" width="15.85546875" customWidth="1"/>
    <col min="7" max="7" width="17.425781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8.7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8.7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4.5703125" customWidth="1"/>
    <col min="2" max="2" width="15.85546875" customWidth="1"/>
    <col min="3" max="3" width="21.140625" customWidth="1"/>
    <col min="4" max="4" width="18.140625" customWidth="1"/>
    <col min="5" max="5" width="21.140625" customWidth="1"/>
    <col min="6" max="6" width="18.5703125" customWidth="1"/>
    <col min="7" max="7" width="20.140625" customWidth="1"/>
    <col min="8" max="8" width="17.42578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4" t="s">
        <v>65</v>
      </c>
      <c r="B38" s="155"/>
      <c r="C38" s="77" t="s">
        <v>66</v>
      </c>
      <c r="D38" s="78"/>
      <c r="E38" s="156" t="s">
        <v>67</v>
      </c>
      <c r="F38" s="125"/>
      <c r="G38" s="79" t="s">
        <v>68</v>
      </c>
      <c r="H38" s="80" t="s">
        <v>66</v>
      </c>
    </row>
    <row r="39" spans="1:11" ht="14.25" customHeight="1">
      <c r="A39" s="141" t="s">
        <v>69</v>
      </c>
      <c r="B39" s="119"/>
      <c r="C39" s="81"/>
      <c r="D39" s="82"/>
      <c r="E39" s="142"/>
      <c r="F39" s="143"/>
      <c r="G39" s="83"/>
      <c r="H39" s="84"/>
    </row>
    <row r="40" spans="1:11" ht="15" customHeight="1">
      <c r="A40" s="138" t="s">
        <v>70</v>
      </c>
      <c r="B40" s="125"/>
      <c r="C40" s="85"/>
      <c r="D40" s="86"/>
      <c r="E40" s="145"/>
      <c r="F40" s="140"/>
      <c r="G40" s="87"/>
      <c r="H40" s="88"/>
    </row>
    <row r="41" spans="1:11" ht="14.25" customHeight="1">
      <c r="A41" s="138" t="s">
        <v>71</v>
      </c>
      <c r="B41" s="125"/>
      <c r="C41" s="89"/>
      <c r="D41" s="82"/>
      <c r="E41" s="144"/>
      <c r="F41" s="140"/>
      <c r="G41" s="87"/>
      <c r="H41" s="88"/>
    </row>
    <row r="42" spans="1:11" ht="14.25" customHeight="1">
      <c r="A42" s="146" t="s">
        <v>72</v>
      </c>
      <c r="B42" s="115"/>
      <c r="C42" s="90"/>
      <c r="D42" s="74"/>
      <c r="E42" s="147"/>
      <c r="F42" s="140"/>
      <c r="G42" s="47"/>
      <c r="H42" s="88"/>
    </row>
    <row r="43" spans="1:11" ht="14.25" customHeight="1">
      <c r="A43" s="138" t="s">
        <v>73</v>
      </c>
      <c r="B43" s="125"/>
      <c r="C43" s="91"/>
      <c r="D43" s="74"/>
      <c r="E43" s="139"/>
      <c r="F43" s="140"/>
      <c r="G43" s="47"/>
      <c r="H43" s="88"/>
    </row>
    <row r="44" spans="1:11" ht="14.25" customHeight="1">
      <c r="A44" s="138" t="s">
        <v>74</v>
      </c>
      <c r="B44" s="125"/>
      <c r="C44" s="92"/>
      <c r="D44" s="93"/>
      <c r="E44" s="139"/>
      <c r="F44" s="140"/>
      <c r="G44" s="47"/>
      <c r="H44" s="88"/>
    </row>
    <row r="45" spans="1:11" ht="14.25" customHeight="1">
      <c r="A45" s="138" t="s">
        <v>75</v>
      </c>
      <c r="B45" s="125"/>
      <c r="C45" s="94">
        <v>0</v>
      </c>
      <c r="D45" s="95"/>
      <c r="E45" s="148"/>
      <c r="F45" s="149"/>
      <c r="G45" s="96"/>
      <c r="H45" s="97"/>
    </row>
    <row r="46" spans="1:11" ht="14.25" customHeight="1">
      <c r="A46" s="135" t="s">
        <v>76</v>
      </c>
      <c r="B46" s="121"/>
      <c r="C46" s="121"/>
      <c r="D46" s="121"/>
      <c r="E46" s="121"/>
      <c r="F46" s="121"/>
      <c r="G46" s="121"/>
      <c r="H46" s="115"/>
    </row>
    <row r="47" spans="1:11" ht="15" customHeight="1">
      <c r="A47" s="118"/>
      <c r="B47" s="122"/>
      <c r="C47" s="122"/>
      <c r="D47" s="122"/>
      <c r="E47" s="122"/>
      <c r="F47" s="122"/>
      <c r="G47" s="122"/>
      <c r="H47" s="119"/>
    </row>
    <row r="48" spans="1:11" ht="14.25" customHeight="1">
      <c r="A48" s="98"/>
      <c r="B48" s="162" t="s">
        <v>77</v>
      </c>
      <c r="C48" s="124"/>
      <c r="D48" s="125"/>
      <c r="E48" s="162" t="s">
        <v>78</v>
      </c>
      <c r="F48" s="124"/>
      <c r="G48" s="124"/>
      <c r="H48" s="125"/>
    </row>
    <row r="49" spans="1:8" ht="14.25" customHeight="1">
      <c r="A49" s="98"/>
      <c r="B49" s="136" t="s">
        <v>79</v>
      </c>
      <c r="C49" s="124"/>
      <c r="D49" s="125"/>
      <c r="E49" s="137">
        <f>SUM(B9:B12)</f>
        <v>0</v>
      </c>
      <c r="F49" s="124"/>
      <c r="G49" s="124"/>
      <c r="H49" s="125"/>
    </row>
    <row r="50" spans="1:8" ht="14.25" customHeight="1">
      <c r="A50" s="98"/>
      <c r="B50" s="136" t="s">
        <v>52</v>
      </c>
      <c r="C50" s="124"/>
      <c r="D50" s="125"/>
      <c r="E50" s="137">
        <f>SUM(B6:B8)</f>
        <v>0</v>
      </c>
      <c r="F50" s="124"/>
      <c r="G50" s="124"/>
      <c r="H50" s="125"/>
    </row>
    <row r="51" spans="1:8" ht="14.25" customHeight="1">
      <c r="A51" s="98"/>
      <c r="B51" s="136" t="s">
        <v>80</v>
      </c>
      <c r="C51" s="124"/>
      <c r="D51" s="125"/>
      <c r="E51" s="159">
        <f>SUM(B13:B14)</f>
        <v>0</v>
      </c>
      <c r="F51" s="128"/>
      <c r="G51" s="128"/>
      <c r="H51" s="117"/>
    </row>
    <row r="52" spans="1:8" ht="14.25" customHeight="1">
      <c r="A52" s="37"/>
      <c r="B52" s="158" t="s">
        <v>61</v>
      </c>
      <c r="C52" s="124"/>
      <c r="D52" s="125"/>
      <c r="E52" s="126">
        <f>SUM(B17:B18)</f>
        <v>0</v>
      </c>
      <c r="F52" s="124"/>
      <c r="G52" s="124"/>
      <c r="H52" s="125"/>
    </row>
    <row r="53" spans="1:8" ht="14.25" customHeight="1">
      <c r="A53" s="37"/>
      <c r="B53" s="158" t="s">
        <v>62</v>
      </c>
      <c r="C53" s="124"/>
      <c r="D53" s="125"/>
      <c r="E53" s="126">
        <f>SUM(B19:B20)</f>
        <v>0</v>
      </c>
      <c r="F53" s="124"/>
      <c r="G53" s="124"/>
      <c r="H53" s="125"/>
    </row>
    <row r="54" spans="1:8" ht="14.25" customHeight="1">
      <c r="A54" s="37"/>
      <c r="B54" s="158" t="s">
        <v>81</v>
      </c>
      <c r="C54" s="124"/>
      <c r="D54" s="125"/>
      <c r="E54" s="126">
        <f t="shared" ref="E54:E61" si="7">B29</f>
        <v>0</v>
      </c>
      <c r="F54" s="124"/>
      <c r="G54" s="124"/>
      <c r="H54" s="125"/>
    </row>
    <row r="55" spans="1:8" ht="14.25" customHeight="1">
      <c r="A55" s="37"/>
      <c r="B55" s="158" t="s">
        <v>81</v>
      </c>
      <c r="C55" s="124"/>
      <c r="D55" s="125"/>
      <c r="E55" s="126">
        <f t="shared" si="7"/>
        <v>0</v>
      </c>
      <c r="F55" s="124"/>
      <c r="G55" s="124"/>
      <c r="H55" s="125"/>
    </row>
    <row r="56" spans="1:8" ht="14.25" customHeight="1">
      <c r="A56" s="37"/>
      <c r="B56" s="158" t="s">
        <v>81</v>
      </c>
      <c r="C56" s="124"/>
      <c r="D56" s="125"/>
      <c r="E56" s="126">
        <f t="shared" si="7"/>
        <v>0</v>
      </c>
      <c r="F56" s="124"/>
      <c r="G56" s="124"/>
      <c r="H56" s="125"/>
    </row>
    <row r="57" spans="1:8" ht="14.25" customHeight="1">
      <c r="A57" s="37"/>
      <c r="B57" s="158" t="s">
        <v>81</v>
      </c>
      <c r="C57" s="124"/>
      <c r="D57" s="125"/>
      <c r="E57" s="126">
        <f t="shared" si="7"/>
        <v>0</v>
      </c>
      <c r="F57" s="124"/>
      <c r="G57" s="124"/>
      <c r="H57" s="125"/>
    </row>
    <row r="58" spans="1:8" ht="14.25" customHeight="1">
      <c r="A58" s="37"/>
      <c r="B58" s="158" t="s">
        <v>81</v>
      </c>
      <c r="C58" s="124"/>
      <c r="D58" s="125"/>
      <c r="E58" s="126">
        <f t="shared" si="7"/>
        <v>0</v>
      </c>
      <c r="F58" s="124"/>
      <c r="G58" s="124"/>
      <c r="H58" s="125"/>
    </row>
    <row r="59" spans="1:8" ht="14.25" customHeight="1">
      <c r="A59" s="37"/>
      <c r="B59" s="158" t="s">
        <v>81</v>
      </c>
      <c r="C59" s="124"/>
      <c r="D59" s="125"/>
      <c r="E59" s="126">
        <f t="shared" si="7"/>
        <v>0</v>
      </c>
      <c r="F59" s="124"/>
      <c r="G59" s="124"/>
      <c r="H59" s="125"/>
    </row>
    <row r="60" spans="1:8" ht="14.25" customHeight="1">
      <c r="A60" s="37"/>
      <c r="B60" s="158" t="s">
        <v>81</v>
      </c>
      <c r="C60" s="124"/>
      <c r="D60" s="125"/>
      <c r="E60" s="126">
        <f t="shared" si="7"/>
        <v>0</v>
      </c>
      <c r="F60" s="124"/>
      <c r="G60" s="124"/>
      <c r="H60" s="125"/>
    </row>
    <row r="61" spans="1:8" ht="14.25" customHeight="1">
      <c r="A61" s="37"/>
      <c r="B61" s="158" t="s">
        <v>81</v>
      </c>
      <c r="C61" s="124"/>
      <c r="D61" s="125"/>
      <c r="E61" s="126">
        <f t="shared" si="7"/>
        <v>0</v>
      </c>
      <c r="F61" s="124"/>
      <c r="G61" s="124"/>
      <c r="H61" s="125"/>
    </row>
    <row r="62" spans="1:8" ht="14.25" customHeight="1">
      <c r="A62" s="37"/>
      <c r="B62" s="158" t="s">
        <v>82</v>
      </c>
      <c r="C62" s="124"/>
      <c r="D62" s="125"/>
      <c r="E62" s="126">
        <f>SUM(E49:H61)</f>
        <v>0</v>
      </c>
      <c r="F62" s="124"/>
      <c r="G62" s="124"/>
      <c r="H62" s="125"/>
    </row>
    <row r="63" spans="1:8" ht="14.25" customHeight="1">
      <c r="B63" s="158"/>
      <c r="C63" s="124"/>
      <c r="D63" s="125"/>
      <c r="E63" s="161"/>
      <c r="F63" s="124"/>
      <c r="G63" s="124"/>
      <c r="H63" s="125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7109375" customWidth="1"/>
    <col min="2" max="2" width="14.42578125" customWidth="1"/>
    <col min="3" max="3" width="24" customWidth="1"/>
    <col min="4" max="4" width="18.140625" customWidth="1"/>
    <col min="5" max="5" width="20.5703125" customWidth="1"/>
    <col min="6" max="6" width="22.85546875" customWidth="1"/>
    <col min="7" max="7" width="21.140625" customWidth="1"/>
    <col min="8" max="8" width="19.8554687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1" customWidth="1"/>
    <col min="2" max="2" width="18.85546875" customWidth="1"/>
    <col min="3" max="3" width="27.140625" customWidth="1"/>
    <col min="4" max="4" width="20" customWidth="1"/>
    <col min="5" max="5" width="17" customWidth="1"/>
    <col min="6" max="6" width="18.85546875" customWidth="1"/>
    <col min="7" max="7" width="19" customWidth="1"/>
    <col min="8" max="8" width="24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19.85546875" customWidth="1"/>
    <col min="2" max="2" width="15.140625" customWidth="1"/>
    <col min="3" max="3" width="25.140625" customWidth="1"/>
    <col min="4" max="4" width="18.85546875" customWidth="1"/>
    <col min="5" max="5" width="17.85546875" customWidth="1"/>
    <col min="6" max="6" width="18.140625" customWidth="1"/>
    <col min="7" max="7" width="21.7109375" customWidth="1"/>
    <col min="8" max="8" width="22.42578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4.140625" customWidth="1"/>
    <col min="2" max="2" width="18.42578125" customWidth="1"/>
    <col min="3" max="3" width="22.5703125" customWidth="1"/>
    <col min="4" max="4" width="17.42578125" customWidth="1"/>
    <col min="5" max="5" width="21.42578125" customWidth="1"/>
    <col min="6" max="6" width="18.85546875" customWidth="1"/>
    <col min="7" max="7" width="17.7109375" customWidth="1"/>
    <col min="8" max="8" width="22.57031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2578125" defaultRowHeight="15" customHeight="1"/>
  <cols>
    <col min="1" max="1" width="22.42578125" customWidth="1"/>
    <col min="2" max="2" width="17.28515625" customWidth="1"/>
    <col min="3" max="3" width="19.28515625" customWidth="1"/>
    <col min="4" max="4" width="16.5703125" customWidth="1"/>
    <col min="5" max="5" width="22.28515625" customWidth="1"/>
    <col min="6" max="6" width="17.28515625" customWidth="1"/>
    <col min="7" max="7" width="16.28515625" customWidth="1"/>
    <col min="8" max="8" width="23.28515625" customWidth="1"/>
    <col min="9" max="11" width="8.7109375" customWidth="1"/>
  </cols>
  <sheetData>
    <row r="1" spans="1:8" ht="14.25" customHeight="1">
      <c r="A1" s="157" t="s">
        <v>42</v>
      </c>
      <c r="B1" s="121"/>
      <c r="C1" s="121"/>
      <c r="D1" s="121"/>
      <c r="E1" s="121"/>
      <c r="F1" s="121"/>
      <c r="G1" s="121"/>
      <c r="H1" s="115"/>
    </row>
    <row r="2" spans="1:8" ht="14.25" customHeight="1">
      <c r="A2" s="118"/>
      <c r="B2" s="122"/>
      <c r="C2" s="122"/>
      <c r="D2" s="122"/>
      <c r="E2" s="122"/>
      <c r="F2" s="122"/>
      <c r="G2" s="122"/>
      <c r="H2" s="119"/>
    </row>
    <row r="3" spans="1:8" ht="14.25" customHeight="1">
      <c r="A3" s="151" t="s">
        <v>43</v>
      </c>
      <c r="B3" s="109"/>
      <c r="C3" s="109"/>
      <c r="D3" s="109"/>
      <c r="E3" s="109"/>
      <c r="F3" s="109"/>
      <c r="G3" s="109"/>
      <c r="H3" s="152"/>
    </row>
    <row r="4" spans="1:8" ht="14.25" customHeight="1">
      <c r="A4" s="118"/>
      <c r="B4" s="122"/>
      <c r="C4" s="122"/>
      <c r="D4" s="122"/>
      <c r="E4" s="122"/>
      <c r="F4" s="122"/>
      <c r="G4" s="122"/>
      <c r="H4" s="119"/>
    </row>
    <row r="5" spans="1:8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42"/>
      <c r="D6" s="143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42"/>
      <c r="D7" s="143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5"/>
      <c r="D8" s="14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5"/>
      <c r="D9" s="14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5"/>
      <c r="D10" s="14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5"/>
      <c r="D11" s="14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5"/>
      <c r="D12" s="14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5"/>
      <c r="D13" s="14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5"/>
      <c r="D14" s="14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</row>
    <row r="31" spans="1:8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</row>
    <row r="32" spans="1:8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</row>
    <row r="33" spans="1:8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</row>
    <row r="34" spans="1:8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</row>
    <row r="35" spans="1:8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</row>
    <row r="36" spans="1:8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</row>
    <row r="37" spans="1:8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</row>
    <row r="38" spans="1:8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</row>
    <row r="39" spans="1:8" ht="15" customHeight="1">
      <c r="A39" s="118"/>
      <c r="B39" s="122"/>
      <c r="C39" s="122"/>
      <c r="D39" s="122"/>
      <c r="E39" s="122"/>
      <c r="F39" s="122"/>
      <c r="G39" s="122"/>
      <c r="H39" s="119"/>
    </row>
    <row r="40" spans="1:8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</row>
    <row r="41" spans="1:8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</row>
    <row r="42" spans="1:8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</row>
    <row r="43" spans="1:8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</row>
    <row r="44" spans="1:8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</row>
    <row r="45" spans="1:8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</row>
    <row r="46" spans="1:8" ht="14.25" customHeight="1">
      <c r="A46" s="37"/>
      <c r="B46" s="158" t="s">
        <v>81</v>
      </c>
      <c r="C46" s="124"/>
      <c r="D46" s="125"/>
      <c r="E46" s="126">
        <f t="shared" ref="E46:E53" si="11">B21</f>
        <v>0</v>
      </c>
      <c r="F46" s="124"/>
      <c r="G46" s="124"/>
      <c r="H46" s="125"/>
    </row>
    <row r="47" spans="1:8" ht="14.25" customHeight="1">
      <c r="A47" s="37"/>
      <c r="B47" s="158" t="s">
        <v>81</v>
      </c>
      <c r="C47" s="124"/>
      <c r="D47" s="125"/>
      <c r="E47" s="126">
        <f t="shared" si="11"/>
        <v>0</v>
      </c>
      <c r="F47" s="124"/>
      <c r="G47" s="124"/>
      <c r="H47" s="125"/>
    </row>
    <row r="48" spans="1:8" ht="14.25" customHeight="1">
      <c r="A48" s="37"/>
      <c r="B48" s="158" t="s">
        <v>81</v>
      </c>
      <c r="C48" s="124"/>
      <c r="D48" s="125"/>
      <c r="E48" s="126">
        <f t="shared" si="11"/>
        <v>0</v>
      </c>
      <c r="F48" s="124"/>
      <c r="G48" s="124"/>
      <c r="H48" s="125"/>
    </row>
    <row r="49" spans="1:8" ht="14.25" customHeight="1">
      <c r="A49" s="37"/>
      <c r="B49" s="158" t="s">
        <v>81</v>
      </c>
      <c r="C49" s="124"/>
      <c r="D49" s="125"/>
      <c r="E49" s="126">
        <f t="shared" si="11"/>
        <v>0</v>
      </c>
      <c r="F49" s="124"/>
      <c r="G49" s="124"/>
      <c r="H49" s="125"/>
    </row>
    <row r="50" spans="1:8" ht="14.25" customHeight="1">
      <c r="A50" s="37"/>
      <c r="B50" s="158" t="s">
        <v>81</v>
      </c>
      <c r="C50" s="124"/>
      <c r="D50" s="125"/>
      <c r="E50" s="126">
        <f t="shared" si="11"/>
        <v>0</v>
      </c>
      <c r="F50" s="124"/>
      <c r="G50" s="124"/>
      <c r="H50" s="125"/>
    </row>
    <row r="51" spans="1:8" ht="14.25" customHeight="1">
      <c r="A51" s="37"/>
      <c r="B51" s="158" t="s">
        <v>81</v>
      </c>
      <c r="C51" s="124"/>
      <c r="D51" s="125"/>
      <c r="E51" s="126">
        <f t="shared" si="11"/>
        <v>0</v>
      </c>
      <c r="F51" s="124"/>
      <c r="G51" s="124"/>
      <c r="H51" s="125"/>
    </row>
    <row r="52" spans="1:8" ht="14.25" customHeight="1">
      <c r="B52" s="158" t="s">
        <v>81</v>
      </c>
      <c r="C52" s="124"/>
      <c r="D52" s="125"/>
      <c r="E52" s="126">
        <f t="shared" si="11"/>
        <v>0</v>
      </c>
      <c r="F52" s="124"/>
      <c r="G52" s="124"/>
      <c r="H52" s="125"/>
    </row>
    <row r="53" spans="1:8" ht="14.25" customHeight="1">
      <c r="B53" s="158" t="s">
        <v>81</v>
      </c>
      <c r="C53" s="124"/>
      <c r="D53" s="125"/>
      <c r="E53" s="126">
        <f t="shared" si="11"/>
        <v>0</v>
      </c>
      <c r="F53" s="124"/>
      <c r="G53" s="124"/>
      <c r="H53" s="125"/>
    </row>
    <row r="54" spans="1:8" ht="14.25" customHeight="1">
      <c r="B54" s="158" t="s">
        <v>82</v>
      </c>
      <c r="C54" s="124"/>
      <c r="D54" s="125"/>
      <c r="E54" s="126">
        <f>SUM(E41:H53)</f>
        <v>0</v>
      </c>
      <c r="F54" s="124"/>
      <c r="G54" s="124"/>
      <c r="H54" s="125"/>
    </row>
    <row r="55" spans="1:8" ht="14.25" customHeight="1">
      <c r="B55" s="158"/>
      <c r="C55" s="124"/>
      <c r="D55" s="125"/>
      <c r="E55" s="161"/>
      <c r="F55" s="124"/>
      <c r="G55" s="124"/>
      <c r="H55" s="125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2578125" defaultRowHeight="15" customHeight="1"/>
  <cols>
    <col min="1" max="1" width="22.85546875" customWidth="1"/>
    <col min="2" max="2" width="16.140625" customWidth="1"/>
    <col min="3" max="3" width="23.85546875" customWidth="1"/>
    <col min="4" max="4" width="18.28515625" customWidth="1"/>
    <col min="5" max="5" width="16.85546875" customWidth="1"/>
    <col min="6" max="6" width="20.5703125" customWidth="1"/>
    <col min="7" max="7" width="18.85546875" customWidth="1"/>
    <col min="8" max="8" width="24.5703125" customWidth="1"/>
    <col min="9" max="11" width="8.7109375" customWidth="1"/>
  </cols>
  <sheetData>
    <row r="1" spans="1:11" ht="14.25" customHeight="1">
      <c r="A1" s="157" t="s">
        <v>42</v>
      </c>
      <c r="B1" s="121"/>
      <c r="C1" s="121"/>
      <c r="D1" s="121"/>
      <c r="E1" s="121"/>
      <c r="F1" s="121"/>
      <c r="G1" s="121"/>
      <c r="H1" s="115"/>
      <c r="I1" s="37"/>
      <c r="J1" s="37"/>
      <c r="K1" s="37"/>
    </row>
    <row r="2" spans="1:11" ht="14.25" customHeight="1">
      <c r="A2" s="118"/>
      <c r="B2" s="122"/>
      <c r="C2" s="122"/>
      <c r="D2" s="122"/>
      <c r="E2" s="122"/>
      <c r="F2" s="122"/>
      <c r="G2" s="122"/>
      <c r="H2" s="119"/>
      <c r="I2" s="37"/>
      <c r="J2" s="37"/>
      <c r="K2" s="37"/>
    </row>
    <row r="3" spans="1:11" ht="14.25" customHeight="1">
      <c r="A3" s="151" t="s">
        <v>43</v>
      </c>
      <c r="B3" s="109"/>
      <c r="C3" s="109"/>
      <c r="D3" s="109"/>
      <c r="E3" s="109"/>
      <c r="F3" s="109"/>
      <c r="G3" s="109"/>
      <c r="H3" s="152"/>
      <c r="I3" s="37"/>
      <c r="J3" s="37"/>
      <c r="K3" s="37"/>
    </row>
    <row r="4" spans="1:11" ht="14.25" customHeight="1">
      <c r="A4" s="118"/>
      <c r="B4" s="122"/>
      <c r="C4" s="122"/>
      <c r="D4" s="122"/>
      <c r="E4" s="122"/>
      <c r="F4" s="122"/>
      <c r="G4" s="122"/>
      <c r="H4" s="119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53" t="s">
        <v>46</v>
      </c>
      <c r="D5" s="125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42"/>
      <c r="D6" s="143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42"/>
      <c r="D7" s="143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5"/>
      <c r="D8" s="14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5"/>
      <c r="D9" s="14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5"/>
      <c r="D10" s="14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5"/>
      <c r="D11" s="14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5"/>
      <c r="D12" s="14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5"/>
      <c r="D13" s="14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5"/>
      <c r="D14" s="14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50" t="s">
        <v>57</v>
      </c>
      <c r="B15" s="124"/>
      <c r="C15" s="124"/>
      <c r="D15" s="124"/>
      <c r="E15" s="124"/>
      <c r="F15" s="124"/>
      <c r="G15" s="124"/>
      <c r="H15" s="125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4" t="s">
        <v>65</v>
      </c>
      <c r="B30" s="155"/>
      <c r="C30" s="77" t="s">
        <v>66</v>
      </c>
      <c r="D30" s="78"/>
      <c r="E30" s="156" t="s">
        <v>67</v>
      </c>
      <c r="F30" s="125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1" t="s">
        <v>69</v>
      </c>
      <c r="B31" s="119"/>
      <c r="C31" s="81"/>
      <c r="D31" s="82"/>
      <c r="E31" s="142"/>
      <c r="F31" s="143"/>
      <c r="G31" s="83"/>
      <c r="H31" s="84"/>
      <c r="I31" s="37"/>
      <c r="J31" s="37"/>
      <c r="K31" s="37"/>
    </row>
    <row r="32" spans="1:11" ht="14.25" customHeight="1">
      <c r="A32" s="138" t="s">
        <v>70</v>
      </c>
      <c r="B32" s="125"/>
      <c r="C32" s="85"/>
      <c r="D32" s="86"/>
      <c r="E32" s="145"/>
      <c r="F32" s="140"/>
      <c r="G32" s="87"/>
      <c r="H32" s="88"/>
      <c r="I32" s="37"/>
      <c r="J32" s="37"/>
      <c r="K32" s="37"/>
    </row>
    <row r="33" spans="1:11" ht="14.25" customHeight="1">
      <c r="A33" s="138" t="s">
        <v>71</v>
      </c>
      <c r="B33" s="125"/>
      <c r="C33" s="89"/>
      <c r="D33" s="82"/>
      <c r="E33" s="144"/>
      <c r="F33" s="140"/>
      <c r="G33" s="87"/>
      <c r="H33" s="88"/>
      <c r="I33" s="37"/>
      <c r="J33" s="37"/>
      <c r="K33" s="37"/>
    </row>
    <row r="34" spans="1:11" ht="14.25" customHeight="1">
      <c r="A34" s="146" t="s">
        <v>72</v>
      </c>
      <c r="B34" s="115"/>
      <c r="C34" s="90"/>
      <c r="D34" s="74"/>
      <c r="E34" s="147"/>
      <c r="F34" s="140"/>
      <c r="G34" s="47"/>
      <c r="H34" s="88"/>
      <c r="I34" s="37"/>
      <c r="J34" s="37"/>
      <c r="K34" s="37"/>
    </row>
    <row r="35" spans="1:11" ht="14.25" customHeight="1">
      <c r="A35" s="138" t="s">
        <v>73</v>
      </c>
      <c r="B35" s="125"/>
      <c r="C35" s="91"/>
      <c r="D35" s="74"/>
      <c r="E35" s="139"/>
      <c r="F35" s="140"/>
      <c r="G35" s="47"/>
      <c r="H35" s="88"/>
      <c r="I35" s="37"/>
      <c r="J35" s="37"/>
      <c r="K35" s="37"/>
    </row>
    <row r="36" spans="1:11" ht="14.25" customHeight="1">
      <c r="A36" s="138" t="s">
        <v>74</v>
      </c>
      <c r="B36" s="125"/>
      <c r="C36" s="92"/>
      <c r="D36" s="93"/>
      <c r="E36" s="139"/>
      <c r="F36" s="140"/>
      <c r="G36" s="47"/>
      <c r="H36" s="88"/>
      <c r="I36" s="37"/>
      <c r="J36" s="37"/>
      <c r="K36" s="37"/>
    </row>
    <row r="37" spans="1:11" ht="14.25" customHeight="1">
      <c r="A37" s="138" t="s">
        <v>75</v>
      </c>
      <c r="B37" s="125"/>
      <c r="C37" s="94">
        <v>0</v>
      </c>
      <c r="D37" s="95"/>
      <c r="E37" s="148"/>
      <c r="F37" s="149"/>
      <c r="G37" s="96"/>
      <c r="H37" s="97"/>
      <c r="I37" s="37"/>
      <c r="J37" s="37"/>
      <c r="K37" s="37"/>
    </row>
    <row r="38" spans="1:11" ht="14.25" customHeight="1">
      <c r="A38" s="135" t="s">
        <v>76</v>
      </c>
      <c r="B38" s="121"/>
      <c r="C38" s="121"/>
      <c r="D38" s="121"/>
      <c r="E38" s="121"/>
      <c r="F38" s="121"/>
      <c r="G38" s="121"/>
      <c r="H38" s="115"/>
      <c r="I38" s="37"/>
      <c r="J38" s="37"/>
      <c r="K38" s="37"/>
    </row>
    <row r="39" spans="1:11" ht="15" customHeight="1">
      <c r="A39" s="118"/>
      <c r="B39" s="122"/>
      <c r="C39" s="122"/>
      <c r="D39" s="122"/>
      <c r="E39" s="122"/>
      <c r="F39" s="122"/>
      <c r="G39" s="122"/>
      <c r="H39" s="119"/>
      <c r="I39" s="37"/>
      <c r="J39" s="37"/>
      <c r="K39" s="37"/>
    </row>
    <row r="40" spans="1:11" ht="14.25" customHeight="1">
      <c r="A40" s="98"/>
      <c r="B40" s="162" t="s">
        <v>77</v>
      </c>
      <c r="C40" s="124"/>
      <c r="D40" s="125"/>
      <c r="E40" s="162" t="s">
        <v>78</v>
      </c>
      <c r="F40" s="124"/>
      <c r="G40" s="124"/>
      <c r="H40" s="125"/>
      <c r="I40" s="37"/>
      <c r="J40" s="37"/>
      <c r="K40" s="37"/>
    </row>
    <row r="41" spans="1:11" ht="14.25" customHeight="1">
      <c r="A41" s="98"/>
      <c r="B41" s="136" t="s">
        <v>79</v>
      </c>
      <c r="C41" s="124"/>
      <c r="D41" s="125"/>
      <c r="E41" s="137">
        <f>SUM(B9:B12)</f>
        <v>0</v>
      </c>
      <c r="F41" s="124"/>
      <c r="G41" s="124"/>
      <c r="H41" s="125"/>
      <c r="I41" s="37"/>
      <c r="J41" s="37"/>
      <c r="K41" s="37"/>
    </row>
    <row r="42" spans="1:11" ht="14.25" customHeight="1">
      <c r="A42" s="98"/>
      <c r="B42" s="136" t="s">
        <v>52</v>
      </c>
      <c r="C42" s="124"/>
      <c r="D42" s="125"/>
      <c r="E42" s="137">
        <f>SUM(B6:B8)</f>
        <v>0</v>
      </c>
      <c r="F42" s="124"/>
      <c r="G42" s="124"/>
      <c r="H42" s="125"/>
      <c r="I42" s="37"/>
      <c r="J42" s="37"/>
      <c r="K42" s="37"/>
    </row>
    <row r="43" spans="1:11" ht="14.25" customHeight="1">
      <c r="A43" s="98"/>
      <c r="B43" s="136" t="s">
        <v>80</v>
      </c>
      <c r="C43" s="124"/>
      <c r="D43" s="125"/>
      <c r="E43" s="159">
        <f>SUM(B13:B14)</f>
        <v>0</v>
      </c>
      <c r="F43" s="128"/>
      <c r="G43" s="128"/>
      <c r="H43" s="117"/>
      <c r="I43" s="37"/>
      <c r="J43" s="37"/>
      <c r="K43" s="37"/>
    </row>
    <row r="44" spans="1:11" ht="14.25" customHeight="1">
      <c r="A44" s="37"/>
      <c r="B44" s="158" t="s">
        <v>61</v>
      </c>
      <c r="C44" s="124"/>
      <c r="D44" s="125"/>
      <c r="E44" s="126">
        <f>SUM(B17:B18)</f>
        <v>0</v>
      </c>
      <c r="F44" s="124"/>
      <c r="G44" s="124"/>
      <c r="H44" s="125"/>
      <c r="I44" s="37"/>
      <c r="J44" s="37"/>
      <c r="K44" s="37"/>
    </row>
    <row r="45" spans="1:11" ht="14.25" customHeight="1">
      <c r="A45" s="37"/>
      <c r="B45" s="158" t="s">
        <v>62</v>
      </c>
      <c r="C45" s="124"/>
      <c r="D45" s="125"/>
      <c r="E45" s="126">
        <f>SUM(B19:B20)</f>
        <v>0</v>
      </c>
      <c r="F45" s="124"/>
      <c r="G45" s="124"/>
      <c r="H45" s="125"/>
      <c r="I45" s="37"/>
      <c r="J45" s="37"/>
      <c r="K45" s="37"/>
    </row>
    <row r="46" spans="1:11" ht="14.25" customHeight="1">
      <c r="A46" s="37"/>
      <c r="B46" s="158" t="s">
        <v>81</v>
      </c>
      <c r="C46" s="124"/>
      <c r="D46" s="125"/>
      <c r="E46" s="126">
        <f t="shared" ref="E46:E53" si="0">B21</f>
        <v>0</v>
      </c>
      <c r="F46" s="124"/>
      <c r="G46" s="124"/>
      <c r="H46" s="125"/>
      <c r="I46" s="37"/>
      <c r="J46" s="37"/>
      <c r="K46" s="37"/>
    </row>
    <row r="47" spans="1:11" ht="14.25" customHeight="1">
      <c r="A47" s="37"/>
      <c r="B47" s="158" t="s">
        <v>81</v>
      </c>
      <c r="C47" s="124"/>
      <c r="D47" s="125"/>
      <c r="E47" s="126">
        <f t="shared" si="0"/>
        <v>0</v>
      </c>
      <c r="F47" s="124"/>
      <c r="G47" s="124"/>
      <c r="H47" s="125"/>
      <c r="I47" s="37"/>
      <c r="J47" s="37"/>
      <c r="K47" s="37"/>
    </row>
    <row r="48" spans="1:11" ht="14.25" customHeight="1">
      <c r="A48" s="37"/>
      <c r="B48" s="158" t="s">
        <v>81</v>
      </c>
      <c r="C48" s="124"/>
      <c r="D48" s="125"/>
      <c r="E48" s="126">
        <f t="shared" si="0"/>
        <v>0</v>
      </c>
      <c r="F48" s="124"/>
      <c r="G48" s="124"/>
      <c r="H48" s="125"/>
      <c r="I48" s="37"/>
      <c r="J48" s="37"/>
      <c r="K48" s="37"/>
    </row>
    <row r="49" spans="1:11" ht="14.25" customHeight="1">
      <c r="A49" s="37"/>
      <c r="B49" s="158" t="s">
        <v>81</v>
      </c>
      <c r="C49" s="124"/>
      <c r="D49" s="125"/>
      <c r="E49" s="126">
        <f t="shared" si="0"/>
        <v>0</v>
      </c>
      <c r="F49" s="124"/>
      <c r="G49" s="124"/>
      <c r="H49" s="125"/>
      <c r="I49" s="37"/>
      <c r="J49" s="37"/>
      <c r="K49" s="37"/>
    </row>
    <row r="50" spans="1:11" ht="14.25" customHeight="1">
      <c r="A50" s="37"/>
      <c r="B50" s="158" t="s">
        <v>81</v>
      </c>
      <c r="C50" s="124"/>
      <c r="D50" s="125"/>
      <c r="E50" s="126">
        <f t="shared" si="0"/>
        <v>0</v>
      </c>
      <c r="F50" s="124"/>
      <c r="G50" s="124"/>
      <c r="H50" s="125"/>
      <c r="I50" s="37"/>
      <c r="J50" s="37"/>
      <c r="K50" s="37"/>
    </row>
    <row r="51" spans="1:11" ht="14.25" customHeight="1">
      <c r="A51" s="37"/>
      <c r="B51" s="158" t="s">
        <v>81</v>
      </c>
      <c r="C51" s="124"/>
      <c r="D51" s="125"/>
      <c r="E51" s="126">
        <f t="shared" si="0"/>
        <v>0</v>
      </c>
      <c r="F51" s="124"/>
      <c r="G51" s="124"/>
      <c r="H51" s="125"/>
      <c r="I51" s="37"/>
      <c r="J51" s="37"/>
      <c r="K51" s="37"/>
    </row>
    <row r="52" spans="1:11" ht="14.25" customHeight="1">
      <c r="A52" s="37"/>
      <c r="B52" s="158" t="s">
        <v>81</v>
      </c>
      <c r="C52" s="124"/>
      <c r="D52" s="125"/>
      <c r="E52" s="126">
        <f t="shared" si="0"/>
        <v>0</v>
      </c>
      <c r="F52" s="124"/>
      <c r="G52" s="124"/>
      <c r="H52" s="125"/>
      <c r="I52" s="37"/>
      <c r="J52" s="37"/>
      <c r="K52" s="37"/>
    </row>
    <row r="53" spans="1:11" ht="14.25" customHeight="1">
      <c r="A53" s="37"/>
      <c r="B53" s="158" t="s">
        <v>81</v>
      </c>
      <c r="C53" s="124"/>
      <c r="D53" s="125"/>
      <c r="E53" s="126">
        <f t="shared" si="0"/>
        <v>0</v>
      </c>
      <c r="F53" s="124"/>
      <c r="G53" s="124"/>
      <c r="H53" s="125"/>
      <c r="I53" s="37"/>
      <c r="J53" s="37"/>
      <c r="K53" s="37"/>
    </row>
    <row r="54" spans="1:11" ht="14.25" customHeight="1">
      <c r="A54" s="37"/>
      <c r="B54" s="158" t="s">
        <v>82</v>
      </c>
      <c r="C54" s="124"/>
      <c r="D54" s="125"/>
      <c r="E54" s="160">
        <f>SUM(E41:H53)</f>
        <v>0</v>
      </c>
      <c r="F54" s="124"/>
      <c r="G54" s="124"/>
      <c r="H54" s="125"/>
      <c r="I54" s="37"/>
      <c r="J54" s="37"/>
      <c r="K54" s="37"/>
    </row>
    <row r="55" spans="1:11" ht="14.25" customHeight="1">
      <c r="A55" s="37"/>
      <c r="B55" s="158"/>
      <c r="C55" s="124"/>
      <c r="D55" s="125"/>
      <c r="E55" s="161"/>
      <c r="F55" s="124"/>
      <c r="G55" s="124"/>
      <c r="H55" s="125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2578125" defaultRowHeight="15" customHeight="1"/>
  <cols>
    <col min="1" max="2" width="8.7109375" customWidth="1"/>
    <col min="3" max="3" width="53" customWidth="1"/>
    <col min="4" max="6" width="8.7109375" customWidth="1"/>
    <col min="7" max="7" width="47.5703125" customWidth="1"/>
    <col min="8" max="11" width="8.7109375" customWidth="1"/>
  </cols>
  <sheetData>
    <row r="1" spans="1:7" ht="14.25" customHeight="1">
      <c r="A1" s="135" t="s">
        <v>76</v>
      </c>
      <c r="B1" s="121"/>
      <c r="C1" s="121"/>
      <c r="D1" s="121"/>
      <c r="E1" s="121"/>
      <c r="F1" s="121"/>
      <c r="G1" s="115"/>
    </row>
    <row r="2" spans="1:7" ht="14.25" customHeight="1">
      <c r="A2" s="118"/>
      <c r="B2" s="122"/>
      <c r="C2" s="122"/>
      <c r="D2" s="122"/>
      <c r="E2" s="122"/>
      <c r="F2" s="122"/>
      <c r="G2" s="119"/>
    </row>
    <row r="3" spans="1:7" ht="14.25" customHeight="1">
      <c r="A3" s="180" t="s">
        <v>77</v>
      </c>
      <c r="B3" s="124"/>
      <c r="C3" s="125"/>
      <c r="D3" s="180" t="s">
        <v>78</v>
      </c>
      <c r="E3" s="124"/>
      <c r="F3" s="124"/>
      <c r="G3" s="125"/>
    </row>
    <row r="4" spans="1:7" ht="41.25" customHeight="1">
      <c r="A4" s="178" t="s">
        <v>79</v>
      </c>
      <c r="B4" s="124"/>
      <c r="C4" s="125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109988</v>
      </c>
      <c r="E4" s="124"/>
      <c r="F4" s="124"/>
      <c r="G4" s="125"/>
    </row>
    <row r="5" spans="1:7" ht="36.75" customHeight="1">
      <c r="A5" s="178" t="s">
        <v>52</v>
      </c>
      <c r="B5" s="124"/>
      <c r="C5" s="125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4387</v>
      </c>
      <c r="E5" s="124"/>
      <c r="F5" s="124"/>
      <c r="G5" s="125"/>
    </row>
    <row r="6" spans="1:7" ht="39.75" customHeight="1">
      <c r="A6" s="178" t="s">
        <v>56</v>
      </c>
      <c r="B6" s="124"/>
      <c r="C6" s="125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6203</v>
      </c>
      <c r="E6" s="124"/>
      <c r="F6" s="124"/>
      <c r="G6" s="125"/>
    </row>
    <row r="7" spans="1:7" ht="38.25" customHeight="1">
      <c r="A7" s="181" t="s">
        <v>61</v>
      </c>
      <c r="B7" s="124"/>
      <c r="C7" s="125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24"/>
      <c r="F7" s="124"/>
      <c r="G7" s="125"/>
    </row>
    <row r="8" spans="1:7" ht="39.75" customHeight="1">
      <c r="A8" s="181" t="s">
        <v>62</v>
      </c>
      <c r="B8" s="124"/>
      <c r="C8" s="125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4"/>
      <c r="F8" s="124"/>
      <c r="G8" s="125"/>
    </row>
    <row r="9" spans="1:7" ht="38.25" customHeight="1">
      <c r="A9" s="181" t="s">
        <v>81</v>
      </c>
      <c r="B9" s="124"/>
      <c r="C9" s="125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4"/>
      <c r="F9" s="124"/>
      <c r="G9" s="125"/>
    </row>
    <row r="10" spans="1:7" ht="37.5" customHeight="1">
      <c r="A10" s="181" t="s">
        <v>81</v>
      </c>
      <c r="B10" s="124"/>
      <c r="C10" s="125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4"/>
      <c r="F10" s="124"/>
      <c r="G10" s="125"/>
    </row>
    <row r="11" spans="1:7" ht="38.25" customHeight="1">
      <c r="A11" s="181" t="s">
        <v>81</v>
      </c>
      <c r="B11" s="124"/>
      <c r="C11" s="125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4"/>
      <c r="F11" s="124"/>
      <c r="G11" s="125"/>
    </row>
    <row r="12" spans="1:7" ht="36" customHeight="1">
      <c r="A12" s="181" t="s">
        <v>81</v>
      </c>
      <c r="B12" s="124"/>
      <c r="C12" s="125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4"/>
      <c r="F12" s="124"/>
      <c r="G12" s="125"/>
    </row>
    <row r="13" spans="1:7" ht="37.5" customHeight="1">
      <c r="A13" s="181" t="s">
        <v>81</v>
      </c>
      <c r="B13" s="124"/>
      <c r="C13" s="125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4"/>
      <c r="F13" s="124"/>
      <c r="G13" s="125"/>
    </row>
    <row r="14" spans="1:7" ht="14.25" customHeight="1">
      <c r="A14" s="181" t="s">
        <v>81</v>
      </c>
      <c r="B14" s="124"/>
      <c r="C14" s="125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4"/>
      <c r="F14" s="124"/>
      <c r="G14" s="125"/>
    </row>
    <row r="15" spans="1:7" ht="14.25" customHeight="1">
      <c r="A15" s="181" t="s">
        <v>81</v>
      </c>
      <c r="B15" s="124"/>
      <c r="C15" s="125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4"/>
      <c r="F15" s="124"/>
      <c r="G15" s="125"/>
    </row>
    <row r="16" spans="1:7" ht="14.25" customHeight="1">
      <c r="A16" s="181" t="s">
        <v>81</v>
      </c>
      <c r="B16" s="124"/>
      <c r="C16" s="125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4"/>
      <c r="F16" s="124"/>
      <c r="G16" s="125"/>
    </row>
    <row r="17" spans="1:7" ht="14.25" customHeight="1">
      <c r="A17" s="181" t="s">
        <v>82</v>
      </c>
      <c r="B17" s="124"/>
      <c r="C17" s="125"/>
      <c r="D17" s="182">
        <f>SUM(D4:D16)</f>
        <v>120578</v>
      </c>
      <c r="E17" s="124"/>
      <c r="F17" s="124"/>
      <c r="G17" s="125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2023-12-29T10:10:15Z</dcterms:created>
  <dcterms:modified xsi:type="dcterms:W3CDTF">2026-07-27T14:57:56Z</dcterms:modified>
</cp:coreProperties>
</file>