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<sst xmlns="http://schemas.openxmlformats.org/spreadsheetml/2006/main" count="44" uniqueCount="35">
  <si>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</si>
  <si>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</si>
  <si>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</si>
  <si>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</si>
  <si>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</si>
  <si>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</si>
  <si>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</si>
  <si>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</si>
  <si>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</si>
  <si>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</si>
  <si>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</si>
  <si>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</si>
  <si>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</si>
  <si>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</si>
  <si>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</si>
  <si>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</si>
  <si>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</si>
  <si>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</si>
  <si>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</si>
  <si>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</si>
  <si>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</si>
  <si>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</si>
  <si>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</si>
  <si>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</si>
  <si>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</si>
  <si>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</si>
  <si>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</si>
  <si>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</si>
  <si>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</si>
  <si>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</si>
  <si>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RUSIZI WEEKLY REPORT FROM 20/04 TO 26/04/2026</t>
  </si>
  <si>
    <t>MADRIEN</t>
  </si>
  <si>
    <t>CYPRESS</t>
  </si>
  <si>
    <t>M S F</t>
  </si>
  <si>
    <t>MANZI IDRISSE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</si>
</sst>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13" zoomScale="120" zoomScaleNormal="120" workbookViewId="0">
      <selection activeCell="C28" sqref="C28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62" t="s">
        <v>29</v>
      </c>
      <c r="B1" s="63"/>
      <c r="C1" s="63"/>
      <c r="D1" s="63"/>
      <c r="E1" s="63"/>
      <c r="F1" s="63"/>
      <c r="G1" s="63"/>
      <c r="H1" s="64"/>
    </row>
    <row r="2" spans="1:8" ht="12.6" customHeight="1" thickBot="1" x14ac:dyDescent="0.3">
      <c r="A2" s="65"/>
      <c r="B2" s="66"/>
      <c r="C2" s="66"/>
      <c r="D2" s="66"/>
      <c r="E2" s="66"/>
      <c r="F2" s="66"/>
      <c r="G2" s="66"/>
      <c r="H2" s="67"/>
    </row>
    <row r="3" spans="1:8" ht="13.35" customHeight="1" x14ac:dyDescent="0.25">
      <c r="A3" s="56" t="s">
        <v>30</v>
      </c>
      <c r="B3" s="57"/>
      <c r="C3" s="57"/>
      <c r="D3" s="57"/>
      <c r="E3" s="57"/>
      <c r="F3" s="57"/>
      <c r="G3" s="57"/>
      <c r="H3" s="58"/>
    </row>
    <row r="4" spans="1:8" ht="15.75" thickBot="1" x14ac:dyDescent="0.3">
      <c r="A4" s="59"/>
      <c r="B4" s="60"/>
      <c r="C4" s="60"/>
      <c r="D4" s="60"/>
      <c r="E4" s="60"/>
      <c r="F4" s="60"/>
      <c r="G4" s="60"/>
      <c r="H4" s="61"/>
    </row>
    <row r="5" spans="1:8" ht="15.75" thickBot="1" x14ac:dyDescent="0.3">
      <c r="A5" s="2" t="s">
        <v>0</v>
      </c>
      <c r="B5" s="2" t="s">
        <v>23</v>
      </c>
      <c r="C5" s="72" t="s">
        <v>6</v>
      </c>
      <c r="D5" s="73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19</v>
      </c>
      <c r="B6" s="6"/>
      <c r="C6" s="70"/>
      <c r="D6" s="71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20</v>
      </c>
      <c r="B7" s="6"/>
      <c r="C7" s="70"/>
      <c r="D7" s="71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24</v>
      </c>
      <c r="B8" s="10"/>
      <c r="C8" s="68"/>
      <c r="D8" s="69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25</v>
      </c>
      <c r="B9" s="10"/>
      <c r="C9" s="68"/>
      <c r="D9" s="69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26</v>
      </c>
      <c r="B10" s="10"/>
      <c r="C10" s="68"/>
      <c r="D10" s="69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27</v>
      </c>
      <c r="B11" s="10"/>
      <c r="C11" s="68"/>
      <c r="D11" s="69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27</v>
      </c>
      <c r="B12" s="10"/>
      <c r="C12" s="68"/>
      <c r="D12" s="69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28</v>
      </c>
      <c r="B13" s="10"/>
      <c r="C13" s="68"/>
      <c r="D13" s="69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28</v>
      </c>
      <c r="B14" s="10"/>
      <c r="C14" s="68"/>
      <c r="D14" s="69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3" t="s">
        <v>7</v>
      </c>
      <c r="B15" s="54"/>
      <c r="C15" s="54"/>
      <c r="D15" s="54"/>
      <c r="E15" s="54"/>
      <c r="F15" s="54"/>
      <c r="G15" s="54"/>
      <c r="H15" s="55"/>
    </row>
    <row r="16" spans="1:8" ht="15.75" thickBot="1" x14ac:dyDescent="0.3">
      <c r="A16" s="14" t="s">
        <v>0</v>
      </c>
      <c r="B16" s="14" t="s">
        <v>23</v>
      </c>
      <c r="C16" s="14" t="s">
        <v>8</v>
      </c>
      <c r="D16" s="14" t="s">
        <v>3</v>
      </c>
      <c r="E16" s="15" t="s">
        <v>1</v>
      </c>
      <c r="F16" s="15" t="s">
        <v>10</v>
      </c>
      <c r="G16" s="15" t="s">
        <v>3</v>
      </c>
      <c r="H16" s="16" t="s">
        <v>11</v>
      </c>
    </row>
    <row r="17" spans="1:9" x14ac:dyDescent="0.25">
      <c r="A17" s="17" t="s">
        <v>31</v>
      </c>
      <c r="B17" s="18">
        <v>400</v>
      </c>
      <c r="C17" s="18">
        <v>2124</v>
      </c>
      <c r="D17" s="18">
        <v>40</v>
      </c>
      <c r="E17" s="11">
        <f>PRODUCT(B17*C17)</f>
        <v>849600</v>
      </c>
      <c r="F17" s="11">
        <f t="shared" si="4"/>
        <v>129600</v>
      </c>
      <c r="G17" s="11">
        <f>PRODUCT(B17*D17)</f>
        <v>16000</v>
      </c>
      <c r="H17" s="12">
        <f>SUM(F17:G17)</f>
        <v>145600</v>
      </c>
    </row>
    <row r="18" spans="1:9" x14ac:dyDescent="0.25">
      <c r="A18" s="19" t="s">
        <v>19</v>
      </c>
      <c r="B18" s="20">
        <v>70</v>
      </c>
      <c r="C18" s="20">
        <v>8000</v>
      </c>
      <c r="D18" s="20">
        <v>50</v>
      </c>
      <c r="E18" s="11">
        <f t="shared" ref="E18:E22" si="6">PRODUCT(B18*C18)</f>
        <v>560000</v>
      </c>
      <c r="F18" s="11">
        <f t="shared" si="4"/>
        <v>85423.728813559326</v>
      </c>
      <c r="G18" s="11">
        <f t="shared" ref="G18:G22" si="7">PRODUCT(B18*D18)</f>
        <v>3500</v>
      </c>
      <c r="H18" s="12">
        <f t="shared" ref="H18:H22" si="8">SUM(F18:G18)</f>
        <v>88923.728813559326</v>
      </c>
    </row>
    <row r="19" spans="1:9" x14ac:dyDescent="0.25">
      <c r="A19" s="21" t="s">
        <v>32</v>
      </c>
      <c r="B19" s="22">
        <v>285</v>
      </c>
      <c r="C19" s="22">
        <v>1000</v>
      </c>
      <c r="D19" s="22">
        <v>40</v>
      </c>
      <c r="E19" s="11">
        <f t="shared" si="6"/>
        <v>285000</v>
      </c>
      <c r="F19" s="11">
        <f t="shared" si="4"/>
        <v>43474.576271186437</v>
      </c>
      <c r="G19" s="11">
        <f t="shared" si="7"/>
        <v>11400</v>
      </c>
      <c r="H19" s="12">
        <f t="shared" si="8"/>
        <v>54874.576271186437</v>
      </c>
    </row>
    <row r="20" spans="1:9" x14ac:dyDescent="0.25">
      <c r="A20" s="21" t="s">
        <v>33</v>
      </c>
      <c r="B20" s="22">
        <v>357</v>
      </c>
      <c r="C20" s="22"/>
      <c r="D20" s="22">
        <v>100</v>
      </c>
      <c r="E20" s="11">
        <f t="shared" si="6"/>
        <v>0</v>
      </c>
      <c r="F20" s="11">
        <f t="shared" si="4"/>
        <v>0</v>
      </c>
      <c r="G20" s="11">
        <f t="shared" si="7"/>
        <v>35700</v>
      </c>
      <c r="H20" s="12">
        <f t="shared" si="8"/>
        <v>35700</v>
      </c>
    </row>
    <row r="21" spans="1:9" x14ac:dyDescent="0.25">
      <c r="A21" s="21" t="s">
        <v>5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25">
      <c r="A22" s="21" t="s">
        <v>5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ht="15.75" thickBot="1" x14ac:dyDescent="0.3">
      <c r="A23" s="25" t="s">
        <v>9</v>
      </c>
      <c r="B23" s="26"/>
      <c r="C23" s="26"/>
      <c r="D23" s="26"/>
      <c r="E23" s="27">
        <f>SUM(E6:E22)</f>
        <v>1694600</v>
      </c>
      <c r="F23" s="27">
        <f>SUM(F6:F22)</f>
        <v>258498.30508474578</v>
      </c>
      <c r="G23" s="27">
        <f>SUM(G6:G22)</f>
        <v>66600</v>
      </c>
      <c r="H23" s="28">
        <f>SUM(F23:G23)</f>
        <v>325098.30508474575</v>
      </c>
    </row>
    <row r="24" spans="1:9" ht="15.75" thickBot="1" x14ac:dyDescent="0.3">
      <c r="A24" s="51" t="s">
        <v>13</v>
      </c>
      <c r="B24" s="52"/>
      <c r="C24" s="32">
        <v>325098</v>
      </c>
      <c r="D24" s="30"/>
      <c r="E24" s="42" t="s">
        <v>21</v>
      </c>
      <c r="F24" s="42"/>
      <c r="G24" s="42"/>
      <c r="H24" s="42"/>
      <c r="I24" s="31"/>
    </row>
    <row r="25" spans="1:9" ht="15.75" thickBot="1" x14ac:dyDescent="0.3">
      <c r="A25" s="51" t="s">
        <v>17</v>
      </c>
      <c r="B25" s="52"/>
      <c r="C25" s="33"/>
      <c r="D25" s="41"/>
      <c r="E25" s="43" t="s">
        <v>14</v>
      </c>
      <c r="F25" s="44"/>
      <c r="G25" s="32" t="s">
        <v>15</v>
      </c>
      <c r="H25" s="29" t="s">
        <v>16</v>
      </c>
      <c r="I25" s="31"/>
    </row>
    <row r="26" spans="1:9" ht="15.75" thickBot="1" x14ac:dyDescent="0.3">
      <c r="A26" s="51" t="s">
        <v>22</v>
      </c>
      <c r="B26" s="52"/>
      <c r="C26" s="32"/>
      <c r="D26" s="41"/>
      <c r="E26" s="45"/>
      <c r="F26" s="46"/>
      <c r="G26" s="35"/>
      <c r="H26" s="36"/>
      <c r="I26" s="31"/>
    </row>
    <row r="27" spans="1:9" ht="15.75" thickBot="1" x14ac:dyDescent="0.3">
      <c r="A27" s="51" t="s">
        <v>18</v>
      </c>
      <c r="B27" s="52"/>
      <c r="C27" s="32"/>
      <c r="D27" s="41"/>
      <c r="E27" s="47"/>
      <c r="F27" s="48"/>
      <c r="G27" s="34"/>
      <c r="H27" s="37"/>
      <c r="I27" s="31"/>
    </row>
    <row r="28" spans="1:9" x14ac:dyDescent="0.25">
      <c r="B28" s="23" t="s">
        <v>12</v>
      </c>
      <c r="C28" s="1" t="s">
        <v>34</v>
      </c>
      <c r="D28" s="41"/>
      <c r="E28" s="49"/>
      <c r="F28" s="50"/>
      <c r="G28" s="34"/>
      <c r="H28" s="37"/>
      <c r="I28" s="31"/>
    </row>
    <row r="29" spans="1:9" x14ac:dyDescent="0.25">
      <c r="D29" s="41"/>
      <c r="E29" s="49"/>
      <c r="F29" s="50"/>
      <c r="G29" s="34"/>
      <c r="H29" s="37"/>
      <c r="I29" s="31"/>
    </row>
    <row r="30" spans="1:9" ht="15.75" thickBot="1" x14ac:dyDescent="0.3">
      <c r="E30" s="39"/>
      <c r="F30" s="40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  <mergeCell ref="A24:B24"/>
    <mergeCell ref="A25:B25"/>
    <mergeCell ref="A26:B26"/>
    <mergeCell ref="A27:B27"/>
    <mergeCell ref="A15:H15"/>
    <mergeCell ref="E30:F30"/>
    <mergeCell ref="D25:D29"/>
    <mergeCell ref="E24:H24"/>
    <mergeCell ref="E25:F25"/>
    <mergeCell ref="E26:F26"/>
    <mergeCell ref="E27:F27"/>
    <mergeCell ref="E28:F28"/>
    <mergeCell ref="E29:F29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2023-09-17T18:06:28Z</cp:lastPrinted>
  <dcterms:created xsi:type="dcterms:W3CDTF">2023-07-12T14:04:23Z</dcterms:created>
  <dcterms:modified xsi:type="dcterms:W3CDTF">2026-04-28T11:57:00Z</dcterms:modified>
</cp:coreProperties>
</file>