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<sst xmlns="http://schemas.openxmlformats.org/spreadsheetml/2006/main" count="1781" uniqueCount="88">
  <si>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</si>
  <si>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</si>
  <si>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</si>
  <si>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</si>
  <si>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</si>
  <si>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</si>
  <si>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</si>
  <si>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</si>
  <si>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</si>
  <si>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</si>
  <si>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</si>
  <si>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</si>
  <si>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</si>
  <si>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</si>
  <si>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</si>
  <si>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</si>
  <si>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</si>
  <si>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</si>
  <si>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</si>
  <si>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</si>
  <si>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</si>
  <si>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</si>
  <si>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</si>
  <si>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</si>
  <si>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</si>
  <si>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</si>
  <si>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</si>
  <si>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</si>
  <si>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</si>
  <si>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</si>
  <si>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</si>
  <si>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</si>
  <si>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</si>
  <si>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</si>
  <si>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</si>
  <si>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</si>
  <si>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</si>
  <si>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</si>
  <si>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</si>
  <si>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</si>
  <si>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</si>
  <si>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</si>
  <si>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</si>
  <si>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</si>
  <si>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</si>
  <si>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</si>
  <si>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</si>
  <si>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</si>
  <si>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</si>
  <si>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</si>
  <si>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</si>
  <si>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</si>
  <si>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</si>
  <si>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</si>
  <si>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</si>
  <si>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</si>
  <si>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</si>
  <si>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</si>
  <si>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</si>
  <si>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</si>
  <si>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</si>
  <si>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</si>
  <si>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</si>
  <si>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</si>
  <si>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</si>
  <si>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</si>
  <si>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</si>
  <si>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</si>
  <si>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</si>
  <si>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</si>
  <si>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</si>
  <si>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</si>
  <si>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</si>
  <si>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</si>
  <si>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</si>
  <si>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</si>
  <si>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</si>
  <si>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</si>
  <si>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</si>
  <si>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</si>
  <si>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</si>
  <si>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</si>
  <si>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</si>
  <si>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</si>
  <si>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</si>
  <si>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17/04 /2026</t>
  </si>
  <si>
    <t>MUTAMBUKA J PAUL</t>
  </si>
  <si>
    <t>0783251212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</si>
</sst>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217080.15254237287</v>
      </c>
      <c r="C21" s="18">
        <f>KIREHE!G29</f>
        <v>27700</v>
      </c>
      <c r="D21" s="20"/>
      <c r="E21" s="21"/>
      <c r="F21" s="14">
        <f t="shared" si="0"/>
        <v>244780.15254237287</v>
      </c>
      <c r="G21" s="17">
        <f>KIREHE!C33</f>
        <v>0</v>
      </c>
      <c r="H21" s="18">
        <f>KIREHE!C31</f>
        <v>244780.15254237287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217080.15254237287</v>
      </c>
      <c r="C29" s="33">
        <f t="shared" si="1"/>
        <v>27700</v>
      </c>
      <c r="D29" s="34">
        <f t="shared" si="1"/>
        <v>0</v>
      </c>
      <c r="E29" s="33">
        <f t="shared" si="1"/>
        <v>0</v>
      </c>
      <c r="F29" s="33">
        <f t="shared" si="1"/>
        <v>244780.15254237287</v>
      </c>
      <c r="G29" s="34">
        <f t="shared" si="1"/>
        <v>0</v>
      </c>
      <c r="H29" s="34">
        <f t="shared" si="1"/>
        <v>8608102.1525423732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244780.15254237287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244780.15254237287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8608102.1525423732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244780.15254237287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8608102.1525423732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8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f>SUM(C39:C44)</f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07"/>
      <c r="E62" s="170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>
        <v>7670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f>SUM(C31:C36)</f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83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>
        <v>15000</v>
      </c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>
        <v>9000</v>
      </c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>
        <v>7670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>
        <v>4130</v>
      </c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>
        <v>3540</v>
      </c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>
        <v>2006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>
        <v>8363322</v>
      </c>
      <c r="D39" s="82"/>
      <c r="E39" s="143"/>
      <c r="F39" s="144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f>SUM(C39:C44)</f>
        <v>8363322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59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>
        <v>1357</v>
      </c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>
        <v>2124</v>
      </c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>
        <v>2124</v>
      </c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>
        <v>1357</v>
      </c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39" t="s">
        <v>72</v>
      </c>
      <c r="B42" s="107"/>
      <c r="C42" s="90"/>
      <c r="D42" s="74"/>
      <c r="E42" s="175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74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74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76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38">
        <f>SUM(B13:B14)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8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8" ht="14.2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8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8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8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8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8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8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  <c r="I39" s="37"/>
      <c r="J39" s="37"/>
      <c r="K39" s="37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  <c r="I40" s="37"/>
      <c r="J40" s="37"/>
      <c r="K40" s="37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  <c r="I41" s="37"/>
      <c r="J41" s="37"/>
      <c r="K41" s="37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  <c r="I42" s="37"/>
      <c r="J42" s="37"/>
      <c r="K42" s="37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  <c r="I43" s="37"/>
      <c r="J43" s="37"/>
      <c r="K43" s="37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  <c r="I44" s="37"/>
      <c r="J44" s="37"/>
      <c r="K44" s="37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  <c r="I45" s="37"/>
      <c r="J45" s="37"/>
      <c r="K45" s="3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59"/>
      <c r="C63" s="129"/>
      <c r="D63" s="107"/>
      <c r="E63" s="162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SUM(B11:B14)</f>
        <v>0</v>
      </c>
      <c r="F49" s="129"/>
      <c r="G49" s="129"/>
      <c r="H49" s="107"/>
    </row>
    <row r="50" spans="1:8" ht="14.25" customHeight="1">
      <c r="A50" s="37"/>
      <c r="B50" s="137" t="s">
        <v>52</v>
      </c>
      <c r="C50" s="129"/>
      <c r="D50" s="107"/>
      <c r="E50" s="138">
        <f>SUM(B8:B10)</f>
        <v>0</v>
      </c>
      <c r="F50" s="129"/>
      <c r="G50" s="129"/>
      <c r="H50" s="107"/>
    </row>
    <row r="51" spans="1:8" ht="14.25" customHeight="1">
      <c r="A51" s="37"/>
      <c r="B51" s="137" t="s">
        <v>80</v>
      </c>
      <c r="C51" s="129"/>
      <c r="D51" s="107"/>
      <c r="E51" s="138">
        <f>SUM(B15:B16)</f>
        <v>0</v>
      </c>
      <c r="F51" s="129"/>
      <c r="G51" s="129"/>
      <c r="H51" s="107"/>
    </row>
    <row r="52" spans="1:8" ht="14.25" customHeight="1">
      <c r="A52" s="37"/>
      <c r="B52" s="159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8.7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5" t="s">
        <v>65</v>
      </c>
      <c r="B38" s="156"/>
      <c r="C38" s="77" t="s">
        <v>66</v>
      </c>
      <c r="D38" s="78"/>
      <c r="E38" s="157" t="s">
        <v>67</v>
      </c>
      <c r="F38" s="107"/>
      <c r="G38" s="79" t="s">
        <v>68</v>
      </c>
      <c r="H38" s="80" t="s">
        <v>66</v>
      </c>
    </row>
    <row r="39" spans="1:11" ht="14.25" customHeight="1">
      <c r="A39" s="142" t="s">
        <v>69</v>
      </c>
      <c r="B39" s="110"/>
      <c r="C39" s="81"/>
      <c r="D39" s="82"/>
      <c r="E39" s="143"/>
      <c r="F39" s="144"/>
      <c r="G39" s="83"/>
      <c r="H39" s="84"/>
    </row>
    <row r="40" spans="1:11" ht="15" customHeight="1">
      <c r="A40" s="139" t="s">
        <v>70</v>
      </c>
      <c r="B40" s="107"/>
      <c r="C40" s="85"/>
      <c r="D40" s="86"/>
      <c r="E40" s="146"/>
      <c r="F40" s="141"/>
      <c r="G40" s="87"/>
      <c r="H40" s="88"/>
    </row>
    <row r="41" spans="1:11" ht="14.25" customHeight="1">
      <c r="A41" s="139" t="s">
        <v>71</v>
      </c>
      <c r="B41" s="107"/>
      <c r="C41" s="89"/>
      <c r="D41" s="82"/>
      <c r="E41" s="145"/>
      <c r="F41" s="141"/>
      <c r="G41" s="87"/>
      <c r="H41" s="88"/>
    </row>
    <row r="42" spans="1:11" ht="14.25" customHeight="1">
      <c r="A42" s="147" t="s">
        <v>72</v>
      </c>
      <c r="B42" s="121"/>
      <c r="C42" s="90"/>
      <c r="D42" s="74"/>
      <c r="E42" s="148"/>
      <c r="F42" s="141"/>
      <c r="G42" s="47"/>
      <c r="H42" s="88"/>
    </row>
    <row r="43" spans="1:11" ht="14.25" customHeight="1">
      <c r="A43" s="139" t="s">
        <v>73</v>
      </c>
      <c r="B43" s="107"/>
      <c r="C43" s="91"/>
      <c r="D43" s="74"/>
      <c r="E43" s="140"/>
      <c r="F43" s="141"/>
      <c r="G43" s="47"/>
      <c r="H43" s="88"/>
    </row>
    <row r="44" spans="1:11" ht="14.25" customHeight="1">
      <c r="A44" s="139" t="s">
        <v>74</v>
      </c>
      <c r="B44" s="107"/>
      <c r="C44" s="92"/>
      <c r="D44" s="93"/>
      <c r="E44" s="140"/>
      <c r="F44" s="141"/>
      <c r="G44" s="47"/>
      <c r="H44" s="88"/>
    </row>
    <row r="45" spans="1:11" ht="14.25" customHeight="1">
      <c r="A45" s="139" t="s">
        <v>75</v>
      </c>
      <c r="B45" s="107"/>
      <c r="C45" s="94">
        <v>0</v>
      </c>
      <c r="D45" s="95"/>
      <c r="E45" s="149"/>
      <c r="F45" s="150"/>
      <c r="G45" s="96"/>
      <c r="H45" s="97"/>
    </row>
    <row r="46" spans="1:11" ht="14.25" customHeight="1">
      <c r="A46" s="136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63" t="s">
        <v>77</v>
      </c>
      <c r="C48" s="129"/>
      <c r="D48" s="107"/>
      <c r="E48" s="163" t="s">
        <v>78</v>
      </c>
      <c r="F48" s="129"/>
      <c r="G48" s="129"/>
      <c r="H48" s="107"/>
    </row>
    <row r="49" spans="1:8" ht="14.25" customHeight="1">
      <c r="A49" s="98"/>
      <c r="B49" s="137" t="s">
        <v>79</v>
      </c>
      <c r="C49" s="129"/>
      <c r="D49" s="107"/>
      <c r="E49" s="138">
        <f>SUM(B9:B12)</f>
        <v>0</v>
      </c>
      <c r="F49" s="129"/>
      <c r="G49" s="129"/>
      <c r="H49" s="107"/>
    </row>
    <row r="50" spans="1:8" ht="14.25" customHeight="1">
      <c r="A50" s="98"/>
      <c r="B50" s="137" t="s">
        <v>52</v>
      </c>
      <c r="C50" s="129"/>
      <c r="D50" s="107"/>
      <c r="E50" s="138">
        <f>SUM(B6:B8)</f>
        <v>0</v>
      </c>
      <c r="F50" s="129"/>
      <c r="G50" s="129"/>
      <c r="H50" s="107"/>
    </row>
    <row r="51" spans="1:8" ht="14.25" customHeight="1">
      <c r="A51" s="98"/>
      <c r="B51" s="137" t="s">
        <v>80</v>
      </c>
      <c r="C51" s="129"/>
      <c r="D51" s="107"/>
      <c r="E51" s="160">
        <f>SUM(B13:B14)</f>
        <v>0</v>
      </c>
      <c r="F51" s="131"/>
      <c r="G51" s="131"/>
      <c r="H51" s="123"/>
    </row>
    <row r="52" spans="1:8" ht="14.25" customHeight="1">
      <c r="A52" s="37"/>
      <c r="B52" s="159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59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59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59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59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59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59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59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59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59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59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59"/>
      <c r="C63" s="129"/>
      <c r="D63" s="107"/>
      <c r="E63" s="162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G32" sqref="G32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85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6">
        <v>2360</v>
      </c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670</v>
      </c>
      <c r="C10" s="146">
        <v>2124</v>
      </c>
      <c r="D10" s="141"/>
      <c r="E10" s="48">
        <f t="shared" si="0"/>
        <v>1423080</v>
      </c>
      <c r="F10" s="48">
        <f t="shared" si="1"/>
        <v>217080</v>
      </c>
      <c r="G10" s="48">
        <f t="shared" si="4"/>
        <v>20100</v>
      </c>
      <c r="H10" s="49">
        <f t="shared" si="3"/>
        <v>237180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7600</v>
      </c>
      <c r="E22" s="61">
        <f t="shared" si="6"/>
        <v>1</v>
      </c>
      <c r="F22" s="62">
        <f t="shared" si="7"/>
        <v>0.15254237288135594</v>
      </c>
      <c r="G22" s="62">
        <f t="shared" si="8"/>
        <v>7600</v>
      </c>
      <c r="H22" s="62">
        <f t="shared" si="9"/>
        <v>7600.1525423728817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1423081</v>
      </c>
      <c r="F29" s="74">
        <f t="shared" si="10"/>
        <v>217080.15254237287</v>
      </c>
      <c r="G29" s="75">
        <f t="shared" si="10"/>
        <v>27700</v>
      </c>
      <c r="H29" s="76">
        <f t="shared" si="9"/>
        <v>244780.15254237287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>
        <f>H29</f>
        <v>244780.15254237287</v>
      </c>
      <c r="D31" s="82"/>
      <c r="E31" s="143" t="s">
        <v>86</v>
      </c>
      <c r="F31" s="144"/>
      <c r="G31" s="103" t="s">
        <v>87</v>
      </c>
      <c r="H31" s="84">
        <v>3700</v>
      </c>
    </row>
    <row r="32" spans="1:8" ht="15" customHeight="1">
      <c r="A32" s="139" t="s">
        <v>70</v>
      </c>
      <c r="B32" s="107"/>
      <c r="C32" s="85"/>
      <c r="D32" s="86"/>
      <c r="E32" s="146"/>
      <c r="F32" s="141"/>
      <c r="G32" s="104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104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105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102">
        <f>C34+C31+C35</f>
        <v>244780.15254237287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670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671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8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52" t="s">
        <v>43</v>
      </c>
      <c r="B3" s="115"/>
      <c r="C3" s="115"/>
      <c r="D3" s="115"/>
      <c r="E3" s="115"/>
      <c r="F3" s="115"/>
      <c r="G3" s="115"/>
      <c r="H3" s="153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3"/>
      <c r="D6" s="14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3"/>
      <c r="D7" s="14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6"/>
      <c r="D8" s="141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6"/>
      <c r="D9" s="141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6"/>
      <c r="D10" s="141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6"/>
      <c r="D11" s="141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6"/>
      <c r="D12" s="141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6"/>
      <c r="D13" s="141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6"/>
      <c r="D14" s="141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</row>
    <row r="31" spans="1:8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</row>
    <row r="32" spans="1:8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</row>
    <row r="33" spans="1:8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</row>
    <row r="34" spans="1:8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</row>
    <row r="35" spans="1:8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</row>
    <row r="36" spans="1:8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</row>
    <row r="37" spans="1:8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</row>
    <row r="38" spans="1:8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</row>
    <row r="41" spans="1:8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</row>
    <row r="42" spans="1:8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</row>
    <row r="43" spans="1:8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</row>
    <row r="44" spans="1:8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59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59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59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59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59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59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59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59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59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59"/>
      <c r="C55" s="129"/>
      <c r="D55" s="107"/>
      <c r="E55" s="162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8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52" t="s">
        <v>43</v>
      </c>
      <c r="B3" s="115"/>
      <c r="C3" s="115"/>
      <c r="D3" s="115"/>
      <c r="E3" s="115"/>
      <c r="F3" s="115"/>
      <c r="G3" s="115"/>
      <c r="H3" s="153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4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3"/>
      <c r="D6" s="14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3"/>
      <c r="D7" s="14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6"/>
      <c r="D8" s="141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6"/>
      <c r="D9" s="141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6"/>
      <c r="D10" s="141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6"/>
      <c r="D11" s="141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6"/>
      <c r="D12" s="141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6"/>
      <c r="D13" s="141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6"/>
      <c r="D14" s="141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1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5" t="s">
        <v>65</v>
      </c>
      <c r="B30" s="156"/>
      <c r="C30" s="77" t="s">
        <v>66</v>
      </c>
      <c r="D30" s="78"/>
      <c r="E30" s="157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2" t="s">
        <v>69</v>
      </c>
      <c r="B31" s="110"/>
      <c r="C31" s="81"/>
      <c r="D31" s="82"/>
      <c r="E31" s="143"/>
      <c r="F31" s="144"/>
      <c r="G31" s="83"/>
      <c r="H31" s="84"/>
      <c r="I31" s="37"/>
      <c r="J31" s="37"/>
      <c r="K31" s="37"/>
    </row>
    <row r="32" spans="1:11" ht="14.25" customHeight="1">
      <c r="A32" s="139" t="s">
        <v>70</v>
      </c>
      <c r="B32" s="107"/>
      <c r="C32" s="85"/>
      <c r="D32" s="86"/>
      <c r="E32" s="146"/>
      <c r="F32" s="141"/>
      <c r="G32" s="87"/>
      <c r="H32" s="88"/>
      <c r="I32" s="37"/>
      <c r="J32" s="37"/>
      <c r="K32" s="37"/>
    </row>
    <row r="33" spans="1:11" ht="14.25" customHeight="1">
      <c r="A33" s="139" t="s">
        <v>71</v>
      </c>
      <c r="B33" s="107"/>
      <c r="C33" s="89"/>
      <c r="D33" s="82"/>
      <c r="E33" s="145"/>
      <c r="F33" s="141"/>
      <c r="G33" s="87"/>
      <c r="H33" s="88"/>
      <c r="I33" s="37"/>
      <c r="J33" s="37"/>
      <c r="K33" s="37"/>
    </row>
    <row r="34" spans="1:11" ht="14.25" customHeight="1">
      <c r="A34" s="147" t="s">
        <v>72</v>
      </c>
      <c r="B34" s="121"/>
      <c r="C34" s="90"/>
      <c r="D34" s="74"/>
      <c r="E34" s="148"/>
      <c r="F34" s="141"/>
      <c r="G34" s="47"/>
      <c r="H34" s="88"/>
      <c r="I34" s="37"/>
      <c r="J34" s="37"/>
      <c r="K34" s="37"/>
    </row>
    <row r="35" spans="1:11" ht="14.25" customHeight="1">
      <c r="A35" s="139" t="s">
        <v>73</v>
      </c>
      <c r="B35" s="107"/>
      <c r="C35" s="91"/>
      <c r="D35" s="74"/>
      <c r="E35" s="140"/>
      <c r="F35" s="141"/>
      <c r="G35" s="47"/>
      <c r="H35" s="88"/>
      <c r="I35" s="37"/>
      <c r="J35" s="37"/>
      <c r="K35" s="37"/>
    </row>
    <row r="36" spans="1:11" ht="14.25" customHeight="1">
      <c r="A36" s="139" t="s">
        <v>74</v>
      </c>
      <c r="B36" s="107"/>
      <c r="C36" s="92"/>
      <c r="D36" s="93"/>
      <c r="E36" s="140"/>
      <c r="F36" s="141"/>
      <c r="G36" s="47"/>
      <c r="H36" s="88"/>
      <c r="I36" s="37"/>
      <c r="J36" s="37"/>
      <c r="K36" s="37"/>
    </row>
    <row r="37" spans="1:11" ht="14.25" customHeight="1">
      <c r="A37" s="139" t="s">
        <v>75</v>
      </c>
      <c r="B37" s="107"/>
      <c r="C37" s="94">
        <v>0</v>
      </c>
      <c r="D37" s="95"/>
      <c r="E37" s="149"/>
      <c r="F37" s="150"/>
      <c r="G37" s="96"/>
      <c r="H37" s="97"/>
      <c r="I37" s="37"/>
      <c r="J37" s="37"/>
      <c r="K37" s="37"/>
    </row>
    <row r="38" spans="1:11" ht="14.25" customHeight="1">
      <c r="A38" s="136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63" t="s">
        <v>77</v>
      </c>
      <c r="C40" s="129"/>
      <c r="D40" s="107"/>
      <c r="E40" s="163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37" t="s">
        <v>79</v>
      </c>
      <c r="C41" s="129"/>
      <c r="D41" s="107"/>
      <c r="E41" s="138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37" t="s">
        <v>52</v>
      </c>
      <c r="C42" s="129"/>
      <c r="D42" s="107"/>
      <c r="E42" s="138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37" t="s">
        <v>80</v>
      </c>
      <c r="C43" s="129"/>
      <c r="D43" s="107"/>
      <c r="E43" s="160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59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59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59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59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59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59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59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59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59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59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59" t="s">
        <v>82</v>
      </c>
      <c r="C54" s="129"/>
      <c r="D54" s="107"/>
      <c r="E54" s="161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59"/>
      <c r="C55" s="129"/>
      <c r="D55" s="107"/>
      <c r="E55" s="162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6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1" t="s">
        <v>77</v>
      </c>
      <c r="B3" s="129"/>
      <c r="C3" s="107"/>
      <c r="D3" s="181" t="s">
        <v>78</v>
      </c>
      <c r="E3" s="129"/>
      <c r="F3" s="129"/>
      <c r="G3" s="107"/>
    </row>
    <row r="4" spans="1:7" ht="41.25" customHeight="1">
      <c r="A4" s="179" t="s">
        <v>79</v>
      </c>
      <c r="B4" s="129"/>
      <c r="C4" s="107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670</v>
      </c>
      <c r="E4" s="129"/>
      <c r="F4" s="129"/>
      <c r="G4" s="107"/>
    </row>
    <row r="5" spans="1:7" ht="36.75" customHeight="1">
      <c r="A5" s="179" t="s">
        <v>52</v>
      </c>
      <c r="B5" s="129"/>
      <c r="C5" s="107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79" t="s">
        <v>56</v>
      </c>
      <c r="B6" s="129"/>
      <c r="C6" s="107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3">
        <f>SUM(D4:D16)</f>
        <v>671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2026-04-17T15:42:12Z</dcterms:modified>
</cp:coreProperties>
</file>