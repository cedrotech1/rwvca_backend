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05" yWindow="-105" windowWidth="19425" windowHeight="10305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3" i="5" l="1"/>
  <c r="D4" i="21"/>
  <c r="D5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<sst xmlns="http://schemas.openxmlformats.org/spreadsheetml/2006/main" count="1734" uniqueCount="90">
  <si>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</si>
  <si>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</si>
  <si>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</si>
  <si>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</si>
  <si>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</si>
  <si>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</si>
  <si>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</si>
  <si>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</si>
  <si>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</si>
  <si>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</si>
  <si>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</si>
  <si>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</si>
  <si>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</si>
  <si>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</si>
  <si>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</si>
  <si>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</si>
  <si>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</si>
  <si>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</si>
  <si>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</si>
  <si>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</si>
  <si>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</si>
  <si>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</si>
  <si>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</si>
  <si>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</si>
  <si>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</si>
  <si>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</si>
  <si>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</si>
  <si>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</si>
  <si>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</si>
  <si>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</si>
  <si>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</si>
  <si>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</si>
  <si>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</si>
  <si>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</si>
  <si>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</si>
  <si>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</si>
  <si>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</si>
  <si>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</si>
  <si>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</si>
  <si>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</si>
  <si>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</si>
  <si>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</si>
  <si>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</si>
  <si>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</si>
  <si>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</si>
  <si>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</si>
  <si>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</si>
  <si>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</si>
  <si>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</si>
  <si>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</si>
  <si>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</si>
  <si>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</si>
  <si>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</si>
  <si>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</si>
  <si>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</si>
  <si>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</si>
  <si>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</si>
  <si>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</si>
  <si>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</si>
  <si>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</si>
  <si>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</si>
  <si>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</si>
  <si>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</si>
  <si>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</si>
  <si>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</si>
  <si>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</si>
  <si>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</si>
  <si>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</si>
  <si>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</si>
  <si>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</si>
  <si>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</si>
  <si>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</si>
  <si>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</si>
  <si>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</si>
  <si>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</si>
  <si>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</si>
  <si>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</si>
  <si>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</si>
  <si>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</si>
  <si>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</si>
  <si>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</si>
  <si>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</si>
  <si>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</si>
  <si>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</si>
  <si>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</si>
  <si>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</si>
  <si>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</si>
  <si>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</si>
  <si>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</si>
  <si>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23-29/3/2026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</si>
</sst>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85546875" defaultRowHeight="18.75"/>
  <cols>
    <col min="1" max="1" width="22.85546875" style="83" customWidth="1"/>
    <col min="2" max="2" width="28.28515625" style="87" customWidth="1"/>
    <col min="3" max="3" width="24.42578125" style="88" customWidth="1"/>
    <col min="4" max="4" width="16.140625" style="83" customWidth="1"/>
    <col min="5" max="5" width="21.7109375" style="83" customWidth="1"/>
    <col min="6" max="6" width="20.5703125" style="85" customWidth="1"/>
    <col min="7" max="7" width="20.140625" style="85" customWidth="1"/>
    <col min="8" max="8" width="17" style="83" customWidth="1"/>
    <col min="9" max="9" width="16.85546875" style="83" customWidth="1"/>
    <col min="10" max="10" width="14.5703125" style="83" customWidth="1"/>
    <col min="11" max="11" width="8.85546875" style="83"/>
    <col min="12" max="12" width="19.85546875" style="83" customWidth="1"/>
    <col min="13" max="16384" width="8.85546875" style="83"/>
  </cols>
  <sheetData>
    <row r="1" spans="1:15" ht="51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0.95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.5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.5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.5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.5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.5" thickBot="1">
      <c r="A8" s="74" t="s">
        <v>19</v>
      </c>
      <c r="B8" s="47">
        <f>BISHENYI!F37</f>
        <v>1572120</v>
      </c>
      <c r="C8" s="48">
        <f>BISHENYI!G37</f>
        <v>131160</v>
      </c>
      <c r="D8" s="48">
        <f>BISHENYI!C43</f>
        <v>0</v>
      </c>
      <c r="E8" s="48">
        <f>BISHENYI!C44</f>
        <v>0</v>
      </c>
      <c r="F8" s="50">
        <f t="shared" si="0"/>
        <v>1703280</v>
      </c>
      <c r="G8" s="47">
        <f>BISHENYI!C41</f>
        <v>0</v>
      </c>
      <c r="H8" s="48">
        <f>BISHENYI!C39</f>
        <v>1703500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.5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.5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.5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.5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.5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.5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.5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.5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.5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.5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.5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.5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.5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.5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.5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.5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.5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.5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.5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.5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.5" thickBot="1">
      <c r="A29" s="68"/>
      <c r="B29" s="69">
        <f t="shared" ref="B29:E29" si="1">SUM(B5:B28)</f>
        <v>1572120</v>
      </c>
      <c r="C29" s="70">
        <f t="shared" si="1"/>
        <v>131160</v>
      </c>
      <c r="D29" s="71">
        <f t="shared" si="1"/>
        <v>0</v>
      </c>
      <c r="E29" s="70">
        <f t="shared" si="1"/>
        <v>0</v>
      </c>
      <c r="F29" s="70">
        <f>SUM(F5:F28)</f>
        <v>1703280</v>
      </c>
      <c r="G29" s="71">
        <f>SUM(G5:G28)</f>
        <v>0</v>
      </c>
      <c r="H29" s="71">
        <f>SUM(H5:H28)</f>
        <v>1703500</v>
      </c>
      <c r="I29" s="71">
        <f>SUM(I5:I28)</f>
        <v>0</v>
      </c>
      <c r="J29" s="79">
        <f>SUM(J5:J28)</f>
        <v>0</v>
      </c>
      <c r="K29" s="81"/>
      <c r="M29" s="86"/>
    </row>
    <row r="30" spans="1:15" ht="15.7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.5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.75" thickBot="1">
      <c r="A32" s="119" t="s">
        <v>12</v>
      </c>
      <c r="B32" s="120"/>
      <c r="C32" s="121">
        <f>SUM(B29+C29)</f>
        <v>1703280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.75" thickBot="1">
      <c r="A33" s="119" t="s">
        <v>13</v>
      </c>
      <c r="B33" s="120"/>
      <c r="C33" s="142">
        <f>SUM(F29,G29)</f>
        <v>1703280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.75" thickBot="1">
      <c r="A34" s="144" t="s">
        <v>81</v>
      </c>
      <c r="B34" s="145"/>
      <c r="C34" s="142">
        <f>SUM(H29,J29,I29+G29)</f>
        <v>1703500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.7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.75" thickBot="1">
      <c r="A36" s="119" t="s">
        <v>83</v>
      </c>
      <c r="B36" s="120"/>
      <c r="C36" s="142">
        <f>SUM(H29+I29+J29+C35)</f>
        <v>1703500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.7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1703500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7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ColWidth="8.7109375" defaultRowHeight="15"/>
  <cols>
    <col min="1" max="1" width="18.85546875" style="43" customWidth="1"/>
    <col min="2" max="2" width="21.85546875" style="43" customWidth="1"/>
    <col min="3" max="3" width="37.5703125" style="43" customWidth="1"/>
    <col min="4" max="4" width="19.140625" style="43" customWidth="1"/>
    <col min="5" max="5" width="36.85546875" style="43" customWidth="1"/>
    <col min="6" max="6" width="25.42578125" style="43" customWidth="1"/>
    <col min="7" max="7" width="16.5703125" style="43" customWidth="1"/>
    <col min="8" max="8" width="44.14062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4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214"/>
    </row>
    <row r="19" spans="1:9" ht="15.7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214"/>
    </row>
    <row r="20" spans="1:9" ht="15.7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214"/>
    </row>
    <row r="21" spans="1:9" ht="15.7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214"/>
    </row>
    <row r="22" spans="1:9" ht="15.7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214"/>
    </row>
    <row r="23" spans="1:9" ht="15.7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214"/>
    </row>
    <row r="24" spans="1:9" ht="15.7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214"/>
    </row>
    <row r="25" spans="1:9" ht="15.7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214"/>
    </row>
    <row r="26" spans="1:9" ht="15.7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214"/>
    </row>
    <row r="27" spans="1:9" ht="15.7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214"/>
    </row>
    <row r="28" spans="1:9" ht="15.7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214"/>
    </row>
    <row r="29" spans="1:9" ht="15.7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214"/>
    </row>
    <row r="30" spans="1:9" ht="15.7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214"/>
    </row>
    <row r="31" spans="1:9" ht="15.7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214"/>
    </row>
    <row r="32" spans="1:9" ht="15.7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214"/>
    </row>
    <row r="33" spans="1:9" ht="15.7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214"/>
    </row>
    <row r="34" spans="1:9" ht="15.7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214"/>
    </row>
    <row r="35" spans="1:9" ht="15.7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214"/>
    </row>
    <row r="36" spans="1:9" ht="15.7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214"/>
    </row>
    <row r="37" spans="1:9" ht="15.7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214"/>
    </row>
    <row r="38" spans="1:9" ht="15.7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214"/>
    </row>
    <row r="39" spans="1:9" ht="15.7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214"/>
    </row>
    <row r="40" spans="1:9" ht="15.7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214"/>
    </row>
    <row r="41" spans="1:9" ht="15.7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214"/>
    </row>
    <row r="42" spans="1:9" ht="15.7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214"/>
    </row>
    <row r="43" spans="1:9" ht="15.7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214"/>
    </row>
    <row r="44" spans="1:9" ht="15.7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214"/>
    </row>
    <row r="45" spans="1:9" ht="15.7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214"/>
    </row>
    <row r="46" spans="1:9" ht="15.7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214"/>
    </row>
    <row r="47" spans="1:9" ht="15.7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214"/>
    </row>
    <row r="48" spans="1:9" ht="15.7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214"/>
    </row>
    <row r="49" spans="1:9" ht="15.7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214"/>
    </row>
    <row r="50" spans="1:9" ht="15.7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214"/>
    </row>
    <row r="51" spans="1:9" ht="15.7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214"/>
    </row>
    <row r="52" spans="1:9" ht="15.7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214"/>
    </row>
    <row r="53" spans="1:9" ht="15.7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214"/>
    </row>
    <row r="54" spans="1:9" ht="15.7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214"/>
    </row>
    <row r="55" spans="1:9" ht="15.7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214"/>
    </row>
    <row r="56" spans="1:9" ht="15.7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214"/>
    </row>
    <row r="57" spans="1:9" ht="15.7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214"/>
    </row>
    <row r="58" spans="1:9" ht="15.7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214"/>
    </row>
    <row r="59" spans="1:9" ht="15.7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214"/>
    </row>
    <row r="60" spans="1:9" ht="15.7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214"/>
    </row>
    <row r="61" spans="1:9" ht="15.7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214"/>
    </row>
    <row r="62" spans="1:9" ht="15.7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214"/>
    </row>
    <row r="63" spans="1:9" ht="15.7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214"/>
    </row>
    <row r="64" spans="1:9" ht="15.7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214"/>
    </row>
    <row r="65" spans="1:9" ht="15.7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214"/>
    </row>
    <row r="66" spans="1:9" ht="15.7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214"/>
    </row>
    <row r="67" spans="1:9" ht="15.7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214"/>
    </row>
    <row r="68" spans="1:9" ht="15.7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214"/>
    </row>
    <row r="69" spans="1:9" ht="15.7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214"/>
    </row>
    <row r="70" spans="1:9" ht="15.7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214"/>
    </row>
    <row r="71" spans="1:9" ht="15.7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214"/>
    </row>
    <row r="72" spans="1:9" ht="15.7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214"/>
    </row>
    <row r="73" spans="1:9" ht="15.7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214"/>
    </row>
    <row r="74" spans="1:9" s="89" customFormat="1" ht="14.45" customHeight="1" thickBot="1">
      <c r="A74" s="186" t="s">
        <v>78</v>
      </c>
      <c r="B74" s="187"/>
      <c r="C74" s="63" t="s">
        <v>72</v>
      </c>
      <c r="D74" s="54"/>
      <c r="E74" s="184" t="s">
        <v>70</v>
      </c>
      <c r="F74" s="185"/>
      <c r="G74" s="62" t="s">
        <v>71</v>
      </c>
      <c r="H74" s="107" t="s">
        <v>72</v>
      </c>
      <c r="I74" s="214"/>
    </row>
    <row r="75" spans="1:9" ht="15" customHeight="1" thickBot="1">
      <c r="A75" s="191" t="s">
        <v>68</v>
      </c>
      <c r="B75" s="192"/>
      <c r="C75" s="55"/>
      <c r="D75" s="58"/>
      <c r="E75" s="183"/>
      <c r="F75" s="183"/>
      <c r="G75" s="61"/>
      <c r="H75" s="108"/>
      <c r="I75" s="214"/>
    </row>
    <row r="76" spans="1:9" ht="15.75" thickBot="1">
      <c r="A76" s="188" t="s">
        <v>69</v>
      </c>
      <c r="B76" s="189"/>
      <c r="C76" s="51"/>
      <c r="D76" s="59"/>
      <c r="E76" s="190"/>
      <c r="F76" s="190"/>
      <c r="G76" s="60"/>
      <c r="H76" s="109"/>
      <c r="I76" s="214"/>
    </row>
    <row r="77" spans="1:9" ht="15.75" thickBot="1">
      <c r="A77" s="188" t="s">
        <v>73</v>
      </c>
      <c r="B77" s="189"/>
      <c r="C77" s="52"/>
      <c r="D77" s="58"/>
      <c r="E77" s="180"/>
      <c r="F77" s="180"/>
      <c r="G77" s="60"/>
      <c r="H77" s="109"/>
      <c r="I77" s="214"/>
    </row>
    <row r="78" spans="1:9" ht="15.75" thickBot="1">
      <c r="A78" s="193" t="s">
        <v>74</v>
      </c>
      <c r="B78" s="194"/>
      <c r="C78" s="53"/>
      <c r="D78" s="56"/>
      <c r="E78" s="179"/>
      <c r="F78" s="180"/>
      <c r="G78" s="11"/>
      <c r="H78" s="109"/>
      <c r="I78" s="214"/>
    </row>
    <row r="79" spans="1:9" ht="15.75" thickBot="1">
      <c r="A79" s="195" t="s">
        <v>75</v>
      </c>
      <c r="B79" s="196"/>
      <c r="C79" s="90"/>
      <c r="D79" s="56"/>
      <c r="E79" s="179"/>
      <c r="F79" s="180"/>
      <c r="G79" s="11"/>
      <c r="H79" s="109"/>
      <c r="I79" s="214"/>
    </row>
    <row r="80" spans="1:9" ht="15.75" thickBot="1">
      <c r="A80" s="195" t="s">
        <v>76</v>
      </c>
      <c r="B80" s="196"/>
      <c r="C80" s="90"/>
      <c r="D80" s="57"/>
      <c r="E80" s="179"/>
      <c r="F80" s="180"/>
      <c r="G80" s="11"/>
      <c r="H80" s="109"/>
      <c r="I80" s="214"/>
    </row>
    <row r="81" spans="1:9" ht="15.75" thickBot="1">
      <c r="A81" s="195" t="s">
        <v>77</v>
      </c>
      <c r="B81" s="196"/>
      <c r="C81" s="91">
        <f>SUM(C75+C76+C77+C78+C79+C80)</f>
        <v>0</v>
      </c>
      <c r="D81" s="92"/>
      <c r="E81" s="201"/>
      <c r="F81" s="202"/>
      <c r="G81" s="93"/>
      <c r="H81" s="110"/>
      <c r="I81" s="214"/>
    </row>
    <row r="82" spans="1:9" ht="19.5" customHeight="1">
      <c r="A82" s="203" t="s">
        <v>57</v>
      </c>
      <c r="B82" s="204"/>
      <c r="C82" s="204"/>
      <c r="D82" s="204"/>
      <c r="E82" s="204"/>
      <c r="F82" s="204"/>
      <c r="G82" s="204"/>
      <c r="H82" s="204"/>
      <c r="I82" s="214"/>
    </row>
    <row r="83" spans="1:9" ht="20.45" customHeight="1" thickBot="1">
      <c r="A83" s="205"/>
      <c r="B83" s="206"/>
      <c r="C83" s="206"/>
      <c r="D83" s="206"/>
      <c r="E83" s="206"/>
      <c r="F83" s="206"/>
      <c r="G83" s="206"/>
      <c r="H83" s="206"/>
      <c r="I83" s="214"/>
    </row>
    <row r="84" spans="1:9" ht="23.1" customHeight="1" thickBot="1">
      <c r="A84" s="220" t="s">
        <v>9</v>
      </c>
      <c r="B84" s="221"/>
      <c r="C84" s="211" t="s">
        <v>58</v>
      </c>
      <c r="D84" s="212"/>
      <c r="E84" s="209" t="s">
        <v>59</v>
      </c>
      <c r="F84" s="210"/>
      <c r="G84" s="210"/>
      <c r="H84" s="210"/>
      <c r="I84" s="214"/>
    </row>
    <row r="85" spans="1:9" ht="21.95" customHeight="1" thickBot="1">
      <c r="A85" s="222"/>
      <c r="B85" s="223"/>
      <c r="C85" s="197" t="s">
        <v>61</v>
      </c>
      <c r="D85" s="198"/>
      <c r="E85" s="207">
        <f>SUM(B9:B12)</f>
        <v>0</v>
      </c>
      <c r="F85" s="208"/>
      <c r="G85" s="208"/>
      <c r="H85" s="208"/>
      <c r="I85" s="214"/>
    </row>
    <row r="86" spans="1:9" ht="22.5" customHeight="1" thickBot="1">
      <c r="A86" s="224"/>
      <c r="B86" s="225"/>
      <c r="C86" s="197" t="s">
        <v>46</v>
      </c>
      <c r="D86" s="198"/>
      <c r="E86" s="207">
        <f>SUM(B6:B8)</f>
        <v>0</v>
      </c>
      <c r="F86" s="208"/>
      <c r="G86" s="208"/>
      <c r="H86" s="208"/>
      <c r="I86" s="214"/>
    </row>
    <row r="87" spans="1:9" ht="24.6" customHeight="1" thickBot="1">
      <c r="A87" s="224"/>
      <c r="B87" s="225"/>
      <c r="C87" s="197" t="s">
        <v>62</v>
      </c>
      <c r="D87" s="198"/>
      <c r="E87" s="207">
        <f>SUM(B13:B14)</f>
        <v>0</v>
      </c>
      <c r="F87" s="208"/>
      <c r="G87" s="208"/>
      <c r="H87" s="208"/>
      <c r="I87" s="214"/>
    </row>
    <row r="88" spans="1:9" ht="21.95" customHeight="1" thickBot="1">
      <c r="A88" s="224"/>
      <c r="B88" s="225"/>
      <c r="C88" s="199" t="s">
        <v>63</v>
      </c>
      <c r="D88" s="200"/>
      <c r="E88" s="160">
        <f>SUM(B17:B54)</f>
        <v>0</v>
      </c>
      <c r="F88" s="161"/>
      <c r="G88" s="161"/>
      <c r="H88" s="161"/>
      <c r="I88" s="214"/>
    </row>
    <row r="89" spans="1:9" ht="21.95" customHeight="1" thickBot="1">
      <c r="A89" s="224"/>
      <c r="B89" s="225"/>
      <c r="C89" s="199" t="s">
        <v>64</v>
      </c>
      <c r="D89" s="200"/>
      <c r="E89" s="160">
        <f>SUM(B55:B56)</f>
        <v>0</v>
      </c>
      <c r="F89" s="161"/>
      <c r="G89" s="161"/>
      <c r="H89" s="161"/>
      <c r="I89" s="214"/>
    </row>
    <row r="90" spans="1:9" ht="21.95" customHeight="1" thickBot="1">
      <c r="A90" s="224"/>
      <c r="B90" s="225"/>
      <c r="C90" s="199" t="s">
        <v>56</v>
      </c>
      <c r="D90" s="200"/>
      <c r="E90" s="160">
        <f>SUM(B57,B58,B59,B60,B61,B62,B63,B64,B65)</f>
        <v>0</v>
      </c>
      <c r="F90" s="161"/>
      <c r="G90" s="161"/>
      <c r="H90" s="161"/>
      <c r="I90" s="214"/>
    </row>
    <row r="91" spans="1:9" ht="21.95" customHeight="1" thickBot="1">
      <c r="A91" s="224"/>
      <c r="B91" s="225"/>
      <c r="C91" s="199" t="s">
        <v>56</v>
      </c>
      <c r="D91" s="200"/>
      <c r="E91" s="160">
        <f t="shared" ref="E91:E97" si="12">B66</f>
        <v>0</v>
      </c>
      <c r="F91" s="161"/>
      <c r="G91" s="161"/>
      <c r="H91" s="161"/>
      <c r="I91" s="214"/>
    </row>
    <row r="92" spans="1:9" ht="19.5" thickBot="1">
      <c r="A92" s="224"/>
      <c r="B92" s="225"/>
      <c r="C92" s="199" t="s">
        <v>56</v>
      </c>
      <c r="D92" s="200"/>
      <c r="E92" s="160">
        <f t="shared" si="12"/>
        <v>0</v>
      </c>
      <c r="F92" s="161"/>
      <c r="G92" s="161"/>
      <c r="H92" s="161"/>
      <c r="I92" s="214"/>
    </row>
    <row r="93" spans="1:9" ht="19.5" thickBot="1">
      <c r="A93" s="224"/>
      <c r="B93" s="225"/>
      <c r="C93" s="199" t="s">
        <v>56</v>
      </c>
      <c r="D93" s="200"/>
      <c r="E93" s="160">
        <f t="shared" si="12"/>
        <v>0</v>
      </c>
      <c r="F93" s="161"/>
      <c r="G93" s="161"/>
      <c r="H93" s="161"/>
      <c r="I93" s="214"/>
    </row>
    <row r="94" spans="1:9" ht="19.5" thickBot="1">
      <c r="A94" s="224"/>
      <c r="B94" s="225"/>
      <c r="C94" s="199" t="s">
        <v>56</v>
      </c>
      <c r="D94" s="200"/>
      <c r="E94" s="160">
        <f t="shared" si="12"/>
        <v>0</v>
      </c>
      <c r="F94" s="161"/>
      <c r="G94" s="161"/>
      <c r="H94" s="161"/>
      <c r="I94" s="214"/>
    </row>
    <row r="95" spans="1:9" ht="19.5" thickBot="1">
      <c r="A95" s="224"/>
      <c r="B95" s="225"/>
      <c r="C95" s="199" t="s">
        <v>56</v>
      </c>
      <c r="D95" s="200"/>
      <c r="E95" s="160">
        <f t="shared" si="12"/>
        <v>0</v>
      </c>
      <c r="F95" s="161"/>
      <c r="G95" s="161"/>
      <c r="H95" s="161"/>
      <c r="I95" s="214"/>
    </row>
    <row r="96" spans="1:9" ht="19.5" thickBot="1">
      <c r="A96" s="224"/>
      <c r="B96" s="225"/>
      <c r="C96" s="199" t="s">
        <v>56</v>
      </c>
      <c r="D96" s="200"/>
      <c r="E96" s="160">
        <f t="shared" si="12"/>
        <v>0</v>
      </c>
      <c r="F96" s="161"/>
      <c r="G96" s="161"/>
      <c r="H96" s="161"/>
      <c r="I96" s="214"/>
    </row>
    <row r="97" spans="1:9" ht="19.5" thickBot="1">
      <c r="A97" s="224"/>
      <c r="B97" s="225"/>
      <c r="C97" s="199" t="s">
        <v>56</v>
      </c>
      <c r="D97" s="200"/>
      <c r="E97" s="160">
        <f t="shared" si="12"/>
        <v>0</v>
      </c>
      <c r="F97" s="161"/>
      <c r="G97" s="161"/>
      <c r="H97" s="161"/>
      <c r="I97" s="214"/>
    </row>
    <row r="98" spans="1:9" ht="33" thickBot="1">
      <c r="A98" s="224"/>
      <c r="B98" s="225"/>
      <c r="C98" s="199" t="s">
        <v>65</v>
      </c>
      <c r="D98" s="200"/>
      <c r="E98" s="164">
        <f>SUM(E85:H97)</f>
        <v>0</v>
      </c>
      <c r="F98" s="165"/>
      <c r="G98" s="165"/>
      <c r="H98" s="165"/>
      <c r="I98" s="214"/>
    </row>
    <row r="99" spans="1:9" ht="19.5" thickBot="1">
      <c r="A99" s="226"/>
      <c r="B99" s="227"/>
      <c r="C99" s="216"/>
      <c r="D99" s="217"/>
      <c r="E99" s="162"/>
      <c r="F99" s="163"/>
      <c r="G99" s="163"/>
      <c r="H99" s="163"/>
      <c r="I99" s="214"/>
    </row>
    <row r="100" spans="1:9" ht="15.75" thickBot="1">
      <c r="A100" s="218"/>
      <c r="B100" s="219"/>
      <c r="C100" s="219"/>
      <c r="D100" s="219"/>
      <c r="E100" s="219"/>
      <c r="F100" s="219"/>
      <c r="G100" s="219"/>
      <c r="H100" s="219"/>
      <c r="I100" s="215"/>
    </row>
  </sheetData>
  <sheetProtection password="C8CD" sheet="1" objects="1" scenarios="1"/>
  <mergeCells count="66"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7" workbookViewId="0">
      <selection activeCell="C33" sqref="C33"/>
    </sheetView>
  </sheetViews>
  <sheetFormatPr defaultColWidth="8.7109375" defaultRowHeight="15"/>
  <cols>
    <col min="1" max="1" width="27.28515625" style="43" customWidth="1"/>
    <col min="2" max="2" width="19.42578125" style="43" customWidth="1"/>
    <col min="3" max="3" width="13.5703125" style="43" customWidth="1"/>
    <col min="4" max="4" width="11.7109375" style="43" customWidth="1"/>
    <col min="5" max="5" width="21" style="43" customWidth="1"/>
    <col min="6" max="6" width="21.7109375" style="43" customWidth="1"/>
    <col min="7" max="7" width="20.5703125" style="43" customWidth="1"/>
    <col min="8" max="8" width="21.8554687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4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29"/>
    </row>
    <row r="4" spans="1:9" ht="23.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4172</v>
      </c>
      <c r="C11" s="166">
        <v>2360</v>
      </c>
      <c r="D11" s="167"/>
      <c r="E11" s="12">
        <f t="shared" si="0"/>
        <v>9845920</v>
      </c>
      <c r="F11" s="12">
        <f t="shared" si="1"/>
        <v>1501920</v>
      </c>
      <c r="G11" s="12">
        <f>PRODUCT(B11*30)</f>
        <v>125160</v>
      </c>
      <c r="H11" s="100">
        <f t="shared" si="2"/>
        <v>1627080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300</v>
      </c>
      <c r="C13" s="166">
        <v>1534</v>
      </c>
      <c r="D13" s="167"/>
      <c r="E13" s="12">
        <f t="shared" si="0"/>
        <v>460200</v>
      </c>
      <c r="F13" s="12">
        <f t="shared" si="1"/>
        <v>70200</v>
      </c>
      <c r="G13" s="12">
        <f>PRODUCT(B13*20)</f>
        <v>6000</v>
      </c>
      <c r="H13" s="100">
        <f t="shared" si="2"/>
        <v>76200</v>
      </c>
      <c r="I13" s="229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.75" thickBot="1">
      <c r="A18" s="34" t="s">
        <v>88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.75" thickBot="1">
      <c r="A37" s="22" t="s">
        <v>54</v>
      </c>
      <c r="B37" s="23"/>
      <c r="C37" s="23"/>
      <c r="D37" s="23"/>
      <c r="E37" s="24">
        <f>SUM(E5:E36)</f>
        <v>10306120</v>
      </c>
      <c r="F37" s="24">
        <f>SUM(F5:F36)</f>
        <v>1572120</v>
      </c>
      <c r="G37" s="24">
        <f t="shared" ref="G37:H37" si="10">SUM(G5:G36)</f>
        <v>131160</v>
      </c>
      <c r="H37" s="24">
        <f t="shared" si="10"/>
        <v>1703280</v>
      </c>
      <c r="I37" s="229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>
        <v>1703500</v>
      </c>
      <c r="D39" s="58"/>
      <c r="E39" s="183"/>
      <c r="F39" s="183"/>
      <c r="G39" s="61"/>
      <c r="H39" s="108"/>
      <c r="I39" s="229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.75" thickBot="1">
      <c r="A45" s="195" t="s">
        <v>77</v>
      </c>
      <c r="B45" s="196"/>
      <c r="C45" s="91">
        <f>SUM(C39+C40+C41+C42+C43+C44)</f>
        <v>1703500</v>
      </c>
      <c r="D45" s="92"/>
      <c r="E45" s="201"/>
      <c r="F45" s="202"/>
      <c r="G45" s="93"/>
      <c r="H45" s="110"/>
      <c r="I45" s="229"/>
    </row>
    <row r="46" spans="1:9" ht="14.4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.5" thickBot="1">
      <c r="A49" s="222"/>
      <c r="B49" s="223"/>
      <c r="C49" s="197" t="s">
        <v>61</v>
      </c>
      <c r="D49" s="198"/>
      <c r="E49" s="207">
        <f>SUM(B9:B12)</f>
        <v>4172</v>
      </c>
      <c r="F49" s="208"/>
      <c r="G49" s="208"/>
      <c r="H49" s="208"/>
      <c r="I49" s="229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.5" thickBot="1">
      <c r="A51" s="224"/>
      <c r="B51" s="225"/>
      <c r="C51" s="197" t="s">
        <v>62</v>
      </c>
      <c r="D51" s="198"/>
      <c r="E51" s="207">
        <f>SUM(B13:B14)</f>
        <v>300</v>
      </c>
      <c r="F51" s="208"/>
      <c r="G51" s="208"/>
      <c r="H51" s="208"/>
      <c r="I51" s="229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3" thickBot="1">
      <c r="A62" s="224"/>
      <c r="B62" s="225"/>
      <c r="C62" s="199" t="s">
        <v>65</v>
      </c>
      <c r="D62" s="200"/>
      <c r="E62" s="164">
        <f>SUM(E49:H61)</f>
        <v>4472</v>
      </c>
      <c r="F62" s="165"/>
      <c r="G62" s="165"/>
      <c r="H62" s="165"/>
      <c r="I62" s="229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ColWidth="8.7109375" defaultRowHeight="15"/>
  <cols>
    <col min="1" max="1" width="22.5703125" style="43" customWidth="1"/>
    <col min="2" max="2" width="26.42578125" style="43" customWidth="1"/>
    <col min="3" max="3" width="18.85546875" style="43" customWidth="1"/>
    <col min="4" max="4" width="12.85546875" style="43" customWidth="1"/>
    <col min="5" max="5" width="20.42578125" style="43" customWidth="1"/>
    <col min="6" max="6" width="21.5703125" style="43" customWidth="1"/>
    <col min="7" max="7" width="14.42578125" style="43" customWidth="1"/>
    <col min="8" max="8" width="24.2851562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6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.7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.7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ColWidth="8.7109375" defaultRowHeight="15"/>
  <cols>
    <col min="1" max="1" width="21.140625" style="43" customWidth="1"/>
    <col min="2" max="2" width="17.42578125" style="43" customWidth="1"/>
    <col min="3" max="3" width="20.28515625" style="43" customWidth="1"/>
    <col min="4" max="4" width="14.85546875" style="43" customWidth="1"/>
    <col min="5" max="5" width="28.42578125" style="43" customWidth="1"/>
    <col min="6" max="6" width="22.140625" style="43" customWidth="1"/>
    <col min="7" max="7" width="16.5703125" style="43" customWidth="1"/>
    <col min="8" max="8" width="26.5703125" style="43" customWidth="1"/>
    <col min="9" max="16384" width="8.7109375" style="43"/>
  </cols>
  <sheetData>
    <row r="1" spans="1:9" ht="14.45" customHeight="1">
      <c r="A1" s="168" t="s">
        <v>85</v>
      </c>
      <c r="B1" s="169"/>
      <c r="C1" s="169"/>
      <c r="D1" s="169"/>
      <c r="E1" s="169"/>
      <c r="F1" s="169"/>
      <c r="G1" s="169"/>
      <c r="H1" s="169"/>
      <c r="I1" s="228"/>
    </row>
    <row r="2" spans="1:9" ht="24.6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45" customHeight="1">
      <c r="A3" s="172" t="s">
        <v>86</v>
      </c>
      <c r="B3" s="173"/>
      <c r="C3" s="173"/>
      <c r="D3" s="173"/>
      <c r="E3" s="173"/>
      <c r="F3" s="173"/>
      <c r="G3" s="173"/>
      <c r="H3" s="174"/>
      <c r="I3" s="229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>
        <v>7670</v>
      </c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>
        <v>3700</v>
      </c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2714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>
        <v>2124</v>
      </c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1357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.7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.7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4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109375" defaultRowHeight="15"/>
  <cols>
    <col min="1" max="1" width="23.5703125" style="43" customWidth="1"/>
    <col min="2" max="2" width="19.42578125" style="43" customWidth="1"/>
    <col min="3" max="3" width="14.85546875" style="43" customWidth="1"/>
    <col min="4" max="4" width="9.7109375" style="43" customWidth="1"/>
    <col min="5" max="5" width="22.140625" style="43" customWidth="1"/>
    <col min="6" max="6" width="23.5703125" style="43" customWidth="1"/>
    <col min="7" max="7" width="17.28515625" style="43" customWidth="1"/>
    <col min="8" max="8" width="22.570312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.7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.7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5"/>
  <cols>
    <col min="1" max="1" width="20.7109375" customWidth="1"/>
    <col min="2" max="2" width="17.85546875" customWidth="1"/>
    <col min="3" max="3" width="12.5703125" customWidth="1"/>
    <col min="4" max="4" width="14.42578125" customWidth="1"/>
    <col min="5" max="5" width="21.5703125" customWidth="1"/>
    <col min="6" max="6" width="19.5703125" customWidth="1"/>
    <col min="7" max="7" width="15.5703125" customWidth="1"/>
    <col min="8" max="8" width="20.85546875" customWidth="1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5"/>
  <cols>
    <col min="1" max="1" width="23.5703125" customWidth="1"/>
    <col min="2" max="2" width="14.7109375" customWidth="1"/>
    <col min="3" max="3" width="21.5703125" customWidth="1"/>
    <col min="4" max="4" width="11.28515625" customWidth="1"/>
    <col min="5" max="5" width="21.85546875" customWidth="1"/>
    <col min="6" max="6" width="22.42578125" customWidth="1"/>
    <col min="7" max="7" width="17.5703125" customWidth="1"/>
    <col min="8" max="8" width="16.7109375" customWidth="1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ColWidth="8.7109375" defaultRowHeight="15"/>
  <cols>
    <col min="1" max="1" width="24" style="43" customWidth="1"/>
    <col min="2" max="2" width="15.85546875" style="43" customWidth="1"/>
    <col min="3" max="3" width="18.5703125" style="43" customWidth="1"/>
    <col min="4" max="4" width="11.7109375" style="43" customWidth="1"/>
    <col min="5" max="5" width="24.140625" style="43" customWidth="1"/>
    <col min="6" max="6" width="18.42578125" style="43" customWidth="1"/>
    <col min="7" max="7" width="15.85546875" style="43" customWidth="1"/>
    <col min="8" max="8" width="15.710937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.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.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.7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.7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4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5"/>
  <cols>
    <col min="1" max="1" width="24.5703125" customWidth="1"/>
    <col min="2" max="2" width="16.42578125" customWidth="1"/>
    <col min="3" max="3" width="21.42578125" customWidth="1"/>
    <col min="4" max="4" width="12" customWidth="1"/>
    <col min="5" max="5" width="21.85546875" customWidth="1"/>
    <col min="6" max="6" width="17.42578125" customWidth="1"/>
    <col min="7" max="7" width="15.140625" customWidth="1"/>
    <col min="8" max="8" width="21.85546875" customWidth="1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.7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.7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4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5"/>
  <cols>
    <col min="1" max="1" width="18.85546875" customWidth="1"/>
    <col min="2" max="2" width="16.140625" customWidth="1"/>
    <col min="3" max="3" width="20.85546875" customWidth="1"/>
    <col min="4" max="4" width="14.140625" customWidth="1"/>
    <col min="5" max="5" width="18.140625" customWidth="1"/>
    <col min="6" max="6" width="17.7109375" customWidth="1"/>
    <col min="7" max="7" width="13.28515625" customWidth="1"/>
    <col min="8" max="8" width="20" customWidth="1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.1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4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.7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4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4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109375" defaultRowHeight="15"/>
  <cols>
    <col min="1" max="1" width="19.5703125" style="43" customWidth="1"/>
    <col min="2" max="2" width="19.28515625" style="43" customWidth="1"/>
    <col min="3" max="3" width="21" style="43" customWidth="1"/>
    <col min="4" max="4" width="15" style="43" customWidth="1"/>
    <col min="5" max="5" width="19.140625" style="43" customWidth="1"/>
    <col min="6" max="6" width="15.85546875" style="43" customWidth="1"/>
    <col min="7" max="7" width="17.42578125" style="43" customWidth="1"/>
    <col min="8" max="8" width="19.8554687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4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8.9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8.9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5"/>
  <cols>
    <col min="1" max="1" width="23.140625" customWidth="1"/>
    <col min="2" max="2" width="15.42578125" customWidth="1"/>
    <col min="3" max="3" width="20.28515625" customWidth="1"/>
    <col min="4" max="4" width="16.140625" customWidth="1"/>
    <col min="5" max="5" width="18.28515625" customWidth="1"/>
    <col min="6" max="6" width="15.42578125" customWidth="1"/>
    <col min="7" max="7" width="22.85546875" customWidth="1"/>
    <col min="8" max="8" width="19" customWidth="1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9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9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.7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.7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4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109375" defaultRowHeight="15"/>
  <cols>
    <col min="1" max="1" width="24.5703125" style="43" customWidth="1"/>
    <col min="2" max="2" width="15.85546875" style="43" customWidth="1"/>
    <col min="3" max="3" width="21.140625" style="43" customWidth="1"/>
    <col min="4" max="4" width="18.140625" style="43" customWidth="1"/>
    <col min="5" max="5" width="21.140625" style="43" customWidth="1"/>
    <col min="6" max="6" width="18.5703125" style="43" customWidth="1"/>
    <col min="7" max="7" width="20.140625" style="43" customWidth="1"/>
    <col min="8" max="8" width="17.4257812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.7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4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4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.1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8.95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8.95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8.95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8.95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8.95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8.95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8.95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8.95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8.95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8.95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8.95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8.95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8.95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4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109375" defaultRowHeight="15"/>
  <cols>
    <col min="1" max="1" width="19.85546875" style="43" customWidth="1"/>
    <col min="2" max="2" width="14.42578125" style="43" customWidth="1"/>
    <col min="3" max="3" width="20" style="43" customWidth="1"/>
    <col min="4" max="4" width="14.140625" style="43" customWidth="1"/>
    <col min="5" max="5" width="20.140625" style="43" customWidth="1"/>
    <col min="6" max="6" width="15.28515625" style="43" customWidth="1"/>
    <col min="7" max="7" width="16.140625" style="43" customWidth="1"/>
    <col min="8" max="8" width="19.8554687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6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.7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4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4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109375" defaultRowHeight="15"/>
  <cols>
    <col min="1" max="1" width="19.7109375" style="43" customWidth="1"/>
    <col min="2" max="2" width="14.42578125" style="43" customWidth="1"/>
    <col min="3" max="3" width="24" style="43" customWidth="1"/>
    <col min="4" max="4" width="18.140625" style="43" customWidth="1"/>
    <col min="5" max="5" width="20.5703125" style="43" customWidth="1"/>
    <col min="6" max="6" width="22.85546875" style="43" customWidth="1"/>
    <col min="7" max="7" width="21.140625" style="43" customWidth="1"/>
    <col min="8" max="8" width="19.8554687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4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5"/>
  <cols>
    <col min="1" max="1" width="21" customWidth="1"/>
    <col min="2" max="2" width="18.85546875" customWidth="1"/>
    <col min="3" max="3" width="27.140625" customWidth="1"/>
    <col min="4" max="4" width="20" customWidth="1"/>
    <col min="5" max="5" width="17" customWidth="1"/>
    <col min="6" max="6" width="18.85546875" customWidth="1"/>
    <col min="7" max="7" width="19" customWidth="1"/>
    <col min="8" max="8" width="24.42578125" customWidth="1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4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5"/>
  <cols>
    <col min="1" max="1" width="19.85546875" customWidth="1"/>
    <col min="2" max="2" width="15.140625" customWidth="1"/>
    <col min="3" max="3" width="25.140625" customWidth="1"/>
    <col min="4" max="4" width="18.85546875" customWidth="1"/>
    <col min="5" max="5" width="17.85546875" customWidth="1"/>
    <col min="6" max="6" width="18.140625" customWidth="1"/>
    <col min="7" max="7" width="21.7109375" customWidth="1"/>
    <col min="8" max="8" width="22.42578125" customWidth="1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4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4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4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5"/>
  <cols>
    <col min="1" max="1" width="24.140625" customWidth="1"/>
    <col min="2" max="2" width="18.42578125" customWidth="1"/>
    <col min="3" max="3" width="22.5703125" customWidth="1"/>
    <col min="4" max="4" width="17.42578125" customWidth="1"/>
    <col min="5" max="5" width="21.42578125" customWidth="1"/>
    <col min="6" max="6" width="18.85546875" customWidth="1"/>
    <col min="7" max="7" width="17.7109375" customWidth="1"/>
    <col min="8" max="8" width="22.5703125" customWidth="1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6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6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4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5"/>
  <cols>
    <col min="1" max="1" width="22.42578125" customWidth="1"/>
    <col min="2" max="2" width="17.28515625" customWidth="1"/>
    <col min="3" max="3" width="19.28515625" customWidth="1"/>
    <col min="4" max="4" width="16.5703125" customWidth="1"/>
    <col min="5" max="5" width="22.28515625" customWidth="1"/>
    <col min="6" max="6" width="17.28515625" customWidth="1"/>
    <col min="7" max="7" width="16.28515625" customWidth="1"/>
    <col min="8" max="8" width="23.28515625" customWidth="1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6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6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ColWidth="8.7109375" defaultRowHeight="15"/>
  <cols>
    <col min="1" max="1" width="22.85546875" style="43" customWidth="1"/>
    <col min="2" max="2" width="16.140625" style="43" customWidth="1"/>
    <col min="3" max="3" width="23.85546875" style="43" customWidth="1"/>
    <col min="4" max="4" width="18.28515625" style="43" customWidth="1"/>
    <col min="5" max="5" width="16.85546875" style="43" customWidth="1"/>
    <col min="6" max="6" width="20.5703125" style="43" customWidth="1"/>
    <col min="7" max="7" width="18.85546875" style="43" customWidth="1"/>
    <col min="8" max="8" width="24.5703125" style="43" customWidth="1"/>
    <col min="9" max="16384" width="8.7109375" style="43"/>
  </cols>
  <sheetData>
    <row r="1" spans="1:9" ht="14.4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4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4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9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4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5"/>
  <cols>
    <col min="1" max="1" width="26.42578125" customWidth="1"/>
    <col min="2" max="2" width="21.7109375" customWidth="1"/>
    <col min="3" max="3" width="25.28515625" customWidth="1"/>
    <col min="4" max="4" width="18.42578125" customWidth="1"/>
    <col min="5" max="5" width="21.140625" customWidth="1"/>
    <col min="6" max="6" width="15.42578125" customWidth="1"/>
    <col min="7" max="7" width="13.42578125" customWidth="1"/>
    <col min="8" max="8" width="15.285156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4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.7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.7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7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.7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.7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.7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.7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.7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.7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.7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.7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.7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.7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.7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.7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.7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.7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.7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.7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.7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.7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.7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.7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.7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.7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.7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.7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.7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.7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.7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.7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.7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.7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.7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.5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.5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.5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.5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.5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.5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.5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.5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.5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.5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.5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.5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.5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3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.5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.7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5"/>
  <cols>
    <col min="3" max="3" width="53" customWidth="1"/>
    <col min="7" max="7" width="47.5703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.7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4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4172</v>
      </c>
      <c r="E4" s="236"/>
      <c r="F4" s="236"/>
      <c r="G4" s="237"/>
    </row>
    <row r="5" spans="1:7" ht="36.950000000000003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6"/>
      <c r="F5" s="236"/>
      <c r="G5" s="237"/>
    </row>
    <row r="6" spans="1:7" ht="39.950000000000003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300</v>
      </c>
      <c r="E6" s="236"/>
      <c r="F6" s="236"/>
      <c r="G6" s="237"/>
    </row>
    <row r="7" spans="1:7" ht="38.450000000000003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6"/>
      <c r="F7" s="236"/>
      <c r="G7" s="237"/>
    </row>
    <row r="8" spans="1:7" ht="39.950000000000003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6"/>
      <c r="F8" s="236"/>
      <c r="G8" s="237"/>
    </row>
    <row r="9" spans="1:7" ht="38.450000000000003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6"/>
      <c r="F9" s="236"/>
      <c r="G9" s="237"/>
    </row>
    <row r="10" spans="1:7" ht="38.1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6"/>
      <c r="F10" s="236"/>
      <c r="G10" s="237"/>
    </row>
    <row r="11" spans="1:7" ht="38.450000000000003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6"/>
      <c r="F11" s="236"/>
      <c r="G11" s="237"/>
    </row>
    <row r="12" spans="1:7" ht="36.6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6"/>
      <c r="F12" s="236"/>
      <c r="G12" s="237"/>
    </row>
    <row r="13" spans="1:7" ht="38.1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6"/>
      <c r="F13" s="236"/>
      <c r="G13" s="237"/>
    </row>
    <row r="14" spans="1:7" ht="29.25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6"/>
      <c r="F14" s="236"/>
      <c r="G14" s="237"/>
    </row>
    <row r="15" spans="1:7" ht="29.25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6"/>
      <c r="F15" s="236"/>
      <c r="G15" s="237"/>
    </row>
    <row r="16" spans="1:7" ht="29.25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6"/>
      <c r="F16" s="236"/>
      <c r="G16" s="237"/>
    </row>
    <row r="17" spans="1:7" ht="29.25" thickBot="1">
      <c r="A17" s="238" t="s">
        <v>65</v>
      </c>
      <c r="B17" s="239"/>
      <c r="C17" s="240"/>
      <c r="D17" s="241">
        <f>SUM(D4:D16)</f>
        <v>4472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2026-03-30T01:32:39Z</dcterms:modified>
</cp:coreProperties>
</file>