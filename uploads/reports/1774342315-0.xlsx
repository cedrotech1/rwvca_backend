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H12" i="1"/>
  <c r="G12" i="1"/>
  <c r="F12" i="1"/>
  <c r="E12" i="1"/>
  <c r="G11" i="1"/>
  <c r="E11" i="1"/>
  <c r="F11" i="1" s="1"/>
  <c r="H11" i="1" s="1"/>
  <c r="G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H17" i="1" l="1"/>
  <c r="G41" i="1"/>
  <c r="E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<sst xmlns="http://schemas.openxmlformats.org/spreadsheetml/2006/main" count="66" uniqueCount="37">
  <si>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</si>
  <si>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</si>
  <si>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</si>
  <si>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</si>
  <si>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</si>
  <si>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</si>
  <si>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</si>
  <si>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</si>
  <si>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</si>
  <si>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</si>
  <si>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</si>
  <si>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</si>
  <si>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</si>
  <si>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</si>
  <si>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</si>
  <si>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</si>
  <si>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</si>
  <si>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</si>
  <si>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</si>
  <si>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</si>
  <si>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</si>
  <si>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</si>
  <si>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</si>
  <si>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</si>
  <si>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</si>
  <si>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</si>
  <si>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</si>
  <si>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</si>
  <si>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</si>
  <si>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</si>
  <si>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</si>
  <si>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</si>
  <si>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</si>
  <si>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</si>
  <si>
    <t>ICPCs MUSANZE</t>
  </si>
  <si>
    <t>ibipande</t>
  </si>
  <si>
    <t>Daily report on 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</si>
</sst>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5" fontId="4" fillId="0" borderId="9" xfId="1" applyNumberFormat="1" applyFont="1" applyBorder="1">
      <protection locked="0"/>
    </xf>
    <xf numFmtId="165" fontId="4" fillId="0" borderId="12" xfId="1" applyNumberFormat="1" applyFont="1" applyBorder="1">
      <protection locked="0"/>
    </xf>
    <xf numFmtId="165" fontId="4" fillId="0" borderId="11" xfId="1" applyNumberFormat="1" applyFont="1" applyBorder="1">
      <protection locked="0"/>
    </xf>
    <xf numFmtId="165" fontId="4" fillId="0" borderId="13" xfId="1" applyNumberFormat="1" applyFont="1" applyBorder="1">
      <protection locked="0"/>
    </xf>
    <xf numFmtId="165" fontId="1" fillId="0" borderId="14" xfId="1" applyNumberFormat="1" applyFont="1" applyBorder="1"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4" fillId="0" borderId="16" xfId="1" applyNumberFormat="1" applyFont="1" applyBorder="1" applyProtection="1">
      <protection hidden="1"/>
    </xf>
    <xf numFmtId="165" fontId="4" fillId="0" borderId="17" xfId="1" applyNumberFormat="1" applyFont="1" applyBorder="1" applyProtection="1">
      <protection hidden="1"/>
    </xf>
    <xf numFmtId="165" fontId="4" fillId="0" borderId="18" xfId="1" applyNumberFormat="1" applyFont="1" applyBorder="1">
      <protection locked="0"/>
    </xf>
    <xf numFmtId="165" fontId="1" fillId="0" borderId="19" xfId="1" applyNumberFormat="1" applyFont="1" applyBorder="1"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21" xfId="1" applyNumberFormat="1" applyFont="1" applyBorder="1" applyProtection="1">
      <protection hidden="1"/>
    </xf>
    <xf numFmtId="165" fontId="4" fillId="0" borderId="22" xfId="1" applyNumberFormat="1" applyFont="1" applyBorder="1" applyProtection="1">
      <protection hidden="1"/>
    </xf>
    <xf numFmtId="165" fontId="1" fillId="0" borderId="18" xfId="1" applyNumberFormat="1" applyFont="1" applyBorder="1">
      <protection locked="0"/>
    </xf>
    <xf numFmtId="165" fontId="4" fillId="0" borderId="9" xfId="1" applyNumberFormat="1" applyFont="1" applyBorder="1" applyAlignment="1">
      <alignment horizontal="center"/>
      <protection locked="0"/>
    </xf>
    <xf numFmtId="165" fontId="4" fillId="0" borderId="9" xfId="1" applyNumberFormat="1" applyFont="1" applyBorder="1" applyProtection="1">
      <protection hidden="1"/>
    </xf>
    <xf numFmtId="165" fontId="4" fillId="0" borderId="11" xfId="1" applyNumberFormat="1" applyFont="1" applyBorder="1" applyProtection="1">
      <protection hidden="1"/>
    </xf>
    <xf numFmtId="165" fontId="4" fillId="0" borderId="13" xfId="1" applyNumberFormat="1" applyFont="1" applyBorder="1" applyAlignment="1">
      <alignment horizontal="left"/>
      <protection locked="0"/>
    </xf>
    <xf numFmtId="165" fontId="1" fillId="0" borderId="16" xfId="1" applyNumberFormat="1" applyFont="1" applyBorder="1" applyAlignment="1">
      <alignment horizontal="center"/>
      <protection locked="0"/>
    </xf>
    <xf numFmtId="165" fontId="4" fillId="0" borderId="18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>
      <protection locked="0"/>
    </xf>
    <xf numFmtId="165" fontId="4" fillId="0" borderId="23" xfId="1" applyNumberFormat="1" applyFont="1" applyBorder="1">
      <protection locked="0"/>
    </xf>
    <xf numFmtId="165" fontId="1" fillId="0" borderId="24" xfId="1" applyNumberFormat="1" applyFont="1" applyBorder="1">
      <protection locked="0"/>
    </xf>
    <xf numFmtId="165" fontId="1" fillId="0" borderId="25" xfId="1" applyNumberFormat="1" applyFont="1" applyBorder="1">
      <protection locked="0"/>
    </xf>
    <xf numFmtId="165" fontId="4" fillId="0" borderId="25" xfId="1" applyNumberFormat="1" applyFont="1" applyBorder="1" applyProtection="1">
      <protection hidden="1"/>
    </xf>
    <xf numFmtId="165" fontId="4" fillId="0" borderId="26" xfId="1" applyNumberFormat="1" applyFont="1" applyBorder="1" applyProtection="1">
      <protection hidden="1"/>
    </xf>
    <xf numFmtId="165" fontId="4" fillId="2" borderId="27" xfId="1" applyNumberFormat="1" applyFont="1" applyFill="1" applyBorder="1" applyAlignment="1">
      <alignment vertical="center"/>
      <protection locked="0"/>
    </xf>
    <xf numFmtId="165" fontId="1" fillId="2" borderId="28" xfId="1" applyNumberFormat="1" applyFont="1" applyFill="1" applyBorder="1">
      <protection locked="0"/>
    </xf>
    <xf numFmtId="165" fontId="1" fillId="2" borderId="29" xfId="1" applyNumberFormat="1" applyFont="1" applyFill="1" applyBorder="1">
      <protection locked="0"/>
    </xf>
    <xf numFmtId="165" fontId="4" fillId="2" borderId="29" xfId="1" applyNumberFormat="1" applyFont="1" applyFill="1" applyBorder="1" applyProtection="1">
      <protection hidden="1"/>
    </xf>
    <xf numFmtId="165" fontId="4" fillId="2" borderId="30" xfId="1" applyNumberFormat="1" applyFont="1" applyFill="1" applyBorder="1" applyProtection="1">
      <protection hidden="1"/>
    </xf>
    <xf numFmtId="165" fontId="1" fillId="0" borderId="9" xfId="1" applyNumberFormat="1" applyFont="1" applyBorder="1">
      <protection locked="0"/>
    </xf>
    <xf numFmtId="165" fontId="1" fillId="0" borderId="2" xfId="1" applyNumberFormat="1" applyFont="1" applyBorder="1">
      <protection locked="0"/>
    </xf>
    <xf numFmtId="165" fontId="1" fillId="0" borderId="7" xfId="1" applyNumberFormat="1" applyFont="1" applyBorder="1">
      <protection locked="0"/>
    </xf>
    <xf numFmtId="165" fontId="1" fillId="0" borderId="11" xfId="1" applyNumberFormat="1" applyFont="1" applyBorder="1">
      <protection locked="0"/>
    </xf>
    <xf numFmtId="165" fontId="1" fillId="0" borderId="10" xfId="1" applyNumberFormat="1" applyFont="1" applyBorder="1">
      <protection locked="0"/>
    </xf>
    <xf numFmtId="165" fontId="1" fillId="0" borderId="34" xfId="1" applyNumberFormat="1" applyFont="1" applyBorder="1">
      <protection locked="0"/>
    </xf>
    <xf numFmtId="165" fontId="1" fillId="0" borderId="35" xfId="1" applyNumberFormat="1" applyFont="1" applyBorder="1">
      <protection locked="0"/>
    </xf>
    <xf numFmtId="165" fontId="1" fillId="0" borderId="37" xfId="1" applyNumberFormat="1" applyFont="1" applyBorder="1">
      <protection locked="0"/>
    </xf>
    <xf numFmtId="165" fontId="1" fillId="0" borderId="1" xfId="1" applyNumberFormat="1" applyFont="1" applyBorder="1">
      <protection locked="0"/>
    </xf>
    <xf numFmtId="165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5" fontId="1" fillId="0" borderId="39" xfId="1" applyNumberFormat="1" applyFont="1" applyBorder="1">
      <protection locked="0"/>
    </xf>
    <xf numFmtId="165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5" fontId="1" fillId="0" borderId="0" xfId="1" applyNumberFormat="1" applyFont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5" fontId="2" fillId="0" borderId="1" xfId="1" applyNumberFormat="1" applyFont="1" applyBorder="1" applyAlignment="1">
      <alignment horizontal="center"/>
      <protection locked="0"/>
    </xf>
    <xf numFmtId="165" fontId="2" fillId="0" borderId="2" xfId="1" applyNumberFormat="1" applyFont="1" applyBorder="1" applyAlignment="1">
      <alignment horizontal="center"/>
      <protection locked="0"/>
    </xf>
    <xf numFmtId="165" fontId="2" fillId="0" borderId="3" xfId="1" applyNumberFormat="1" applyFont="1" applyBorder="1" applyAlignment="1">
      <alignment horizontal="center"/>
      <protection locked="0"/>
    </xf>
    <xf numFmtId="165" fontId="2" fillId="0" borderId="4" xfId="1" applyNumberFormat="1" applyFont="1" applyBorder="1" applyAlignment="1">
      <alignment horizontal="center"/>
      <protection locked="0"/>
    </xf>
    <xf numFmtId="165" fontId="2" fillId="0" borderId="5" xfId="1" applyNumberFormat="1" applyFont="1" applyBorder="1" applyAlignment="1">
      <alignment horizontal="center"/>
      <protection locked="0"/>
    </xf>
    <xf numFmtId="165" fontId="2" fillId="0" borderId="6" xfId="1" applyNumberFormat="1" applyFont="1" applyBorder="1" applyAlignment="1">
      <alignment horizontal="center"/>
      <protection locked="0"/>
    </xf>
    <xf numFmtId="165" fontId="3" fillId="0" borderId="7" xfId="1" applyNumberFormat="1" applyFont="1" applyBorder="1" applyAlignment="1">
      <alignment horizontal="center"/>
      <protection locked="0"/>
    </xf>
    <xf numFmtId="165" fontId="3" fillId="0" borderId="0" xfId="1" applyNumberFormat="1" applyFont="1" applyAlignment="1">
      <alignment horizontal="center"/>
      <protection locked="0"/>
    </xf>
    <xf numFmtId="165" fontId="3" fillId="0" borderId="8" xfId="1" applyNumberFormat="1" applyFont="1" applyBorder="1" applyAlignment="1">
      <alignment horizontal="center"/>
      <protection locked="0"/>
    </xf>
    <xf numFmtId="165" fontId="3" fillId="0" borderId="4" xfId="1" applyNumberFormat="1" applyFont="1" applyBorder="1" applyAlignment="1">
      <alignment horizontal="center"/>
      <protection locked="0"/>
    </xf>
    <xf numFmtId="165" fontId="3" fillId="0" borderId="5" xfId="1" applyNumberFormat="1" applyFont="1" applyBorder="1" applyAlignment="1">
      <alignment horizontal="center"/>
      <protection locked="0"/>
    </xf>
    <xf numFmtId="165" fontId="3" fillId="0" borderId="6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5" fontId="1" fillId="0" borderId="35" xfId="1" applyNumberFormat="1" applyFont="1" applyBorder="1" applyAlignment="1">
      <alignment horizontal="left"/>
      <protection locked="0"/>
    </xf>
    <xf numFmtId="165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5" fontId="1" fillId="0" borderId="19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left"/>
      <protection locked="0"/>
    </xf>
    <xf numFmtId="165" fontId="5" fillId="0" borderId="10" xfId="1" applyNumberFormat="1" applyFont="1" applyBorder="1" applyAlignment="1">
      <alignment horizontal="center"/>
      <protection locked="0"/>
    </xf>
    <xf numFmtId="165" fontId="5" fillId="0" borderId="12" xfId="1" applyNumberFormat="1" applyFont="1" applyBorder="1" applyAlignment="1">
      <alignment horizontal="center"/>
      <protection locked="0"/>
    </xf>
    <xf numFmtId="165" fontId="5" fillId="0" borderId="11" xfId="1" applyNumberFormat="1" applyFont="1" applyBorder="1" applyAlignment="1">
      <alignment horizontal="center"/>
      <protection locked="0"/>
    </xf>
    <xf numFmtId="165" fontId="4" fillId="0" borderId="31" xfId="1" applyNumberFormat="1" applyFont="1" applyBorder="1" applyAlignment="1">
      <alignment horizontal="center"/>
      <protection locked="0"/>
    </xf>
    <xf numFmtId="165" fontId="1" fillId="0" borderId="32" xfId="1" applyNumberFormat="1" applyFont="1" applyBorder="1" applyAlignment="1">
      <alignment horizontal="center"/>
      <protection locked="0"/>
    </xf>
    <xf numFmtId="165" fontId="1" fillId="0" borderId="33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10" xfId="1" applyNumberFormat="1" applyFont="1" applyBorder="1" applyAlignment="1">
      <alignment horizontal="center"/>
      <protection locked="0"/>
    </xf>
    <xf numFmtId="165" fontId="4" fillId="0" borderId="11" xfId="1" applyNumberFormat="1" applyFont="1" applyBorder="1" applyAlignment="1">
      <alignment horizontal="center"/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12" workbookViewId="0">
      <selection activeCell="C44" sqref="C4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57" t="s">
        <v>34</v>
      </c>
      <c r="B1" s="58"/>
      <c r="C1" s="58"/>
      <c r="D1" s="58"/>
      <c r="E1" s="58"/>
      <c r="F1" s="58"/>
      <c r="G1" s="58"/>
      <c r="H1" s="59"/>
    </row>
    <row r="2" spans="1:8" ht="12.65" customHeight="1">
      <c r="A2" s="60"/>
      <c r="B2" s="61"/>
      <c r="C2" s="61"/>
      <c r="D2" s="61"/>
      <c r="E2" s="61"/>
      <c r="F2" s="61"/>
      <c r="G2" s="61"/>
      <c r="H2" s="62"/>
    </row>
    <row r="3" spans="1:8" ht="13.15" customHeight="1">
      <c r="A3" s="63" t="s">
        <v>36</v>
      </c>
      <c r="B3" s="64"/>
      <c r="C3" s="64"/>
      <c r="D3" s="64"/>
      <c r="E3" s="64"/>
      <c r="F3" s="64"/>
      <c r="G3" s="64"/>
      <c r="H3" s="65"/>
    </row>
    <row r="4" spans="1:8">
      <c r="A4" s="66"/>
      <c r="B4" s="67"/>
      <c r="C4" s="67"/>
      <c r="D4" s="67"/>
      <c r="E4" s="67"/>
      <c r="F4" s="67"/>
      <c r="G4" s="67"/>
      <c r="H4" s="68"/>
    </row>
    <row r="5" spans="1:8">
      <c r="A5" s="2" t="s">
        <v>0</v>
      </c>
      <c r="B5" s="2" t="s">
        <v>1</v>
      </c>
      <c r="C5" s="85" t="s">
        <v>2</v>
      </c>
      <c r="D5" s="86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87">
        <v>9440</v>
      </c>
      <c r="D6" s="88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87">
        <v>7670</v>
      </c>
      <c r="D7" s="88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83">
        <v>2000</v>
      </c>
      <c r="D8" s="84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83">
        <v>4130</v>
      </c>
      <c r="D9" s="84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100</v>
      </c>
      <c r="C10" s="83">
        <v>2124</v>
      </c>
      <c r="D10" s="84"/>
      <c r="E10" s="13">
        <f t="shared" si="3"/>
        <v>212400</v>
      </c>
      <c r="F10" s="13">
        <f t="shared" si="4"/>
        <v>32400</v>
      </c>
      <c r="G10" s="13">
        <f>PRODUCT(B10*30)</f>
        <v>3000</v>
      </c>
      <c r="H10" s="14">
        <f t="shared" si="5"/>
        <v>35400</v>
      </c>
    </row>
    <row r="11" spans="1:8">
      <c r="A11" s="10" t="s">
        <v>12</v>
      </c>
      <c r="B11" s="11"/>
      <c r="C11" s="83">
        <v>1180</v>
      </c>
      <c r="D11" s="84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12</v>
      </c>
      <c r="B12" s="11"/>
      <c r="C12" s="83">
        <v>1357</v>
      </c>
      <c r="D12" s="84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83">
        <v>2124</v>
      </c>
      <c r="D13" s="84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83">
        <v>2124</v>
      </c>
      <c r="D14" s="84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77" t="s">
        <v>14</v>
      </c>
      <c r="B15" s="78"/>
      <c r="C15" s="78"/>
      <c r="D15" s="78"/>
      <c r="E15" s="78"/>
      <c r="F15" s="78"/>
      <c r="G15" s="78"/>
      <c r="H15" s="7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35</v>
      </c>
      <c r="B17" s="7">
        <v>330</v>
      </c>
      <c r="C17" s="20">
        <v>1770</v>
      </c>
      <c r="D17" s="20">
        <v>25</v>
      </c>
      <c r="E17" s="8">
        <f>PRODUCT(B17*C17)</f>
        <v>584100</v>
      </c>
      <c r="F17" s="8">
        <f t="shared" ref="F17:F22" si="6">PRODUCT(E17*18)/118</f>
        <v>89100</v>
      </c>
      <c r="G17" s="8">
        <f>PRODUCT(B17*D17)</f>
        <v>8250</v>
      </c>
      <c r="H17" s="9">
        <f>SUM(F17:G17)</f>
        <v>97350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796500</v>
      </c>
      <c r="F41" s="32">
        <f>SUM(F6:F40)</f>
        <v>121500</v>
      </c>
      <c r="G41" s="32">
        <f>SUM(G6:G40)</f>
        <v>11250</v>
      </c>
      <c r="H41" s="33">
        <f t="shared" si="19"/>
        <v>132750</v>
      </c>
    </row>
    <row r="42" spans="1:8">
      <c r="A42" s="69" t="s">
        <v>20</v>
      </c>
      <c r="B42" s="70"/>
      <c r="C42" s="34"/>
      <c r="D42" s="35"/>
      <c r="E42" s="80" t="s">
        <v>21</v>
      </c>
      <c r="F42" s="80"/>
      <c r="G42" s="80"/>
      <c r="H42" s="80"/>
    </row>
    <row r="43" spans="1:8">
      <c r="A43" s="69" t="s">
        <v>22</v>
      </c>
      <c r="B43" s="70"/>
      <c r="C43" s="36">
        <v>132750</v>
      </c>
      <c r="D43" s="34" t="s">
        <v>23</v>
      </c>
      <c r="E43" s="81" t="s">
        <v>24</v>
      </c>
      <c r="F43" s="82"/>
      <c r="G43" s="34" t="s">
        <v>25</v>
      </c>
      <c r="H43" s="37" t="s">
        <v>26</v>
      </c>
    </row>
    <row r="44" spans="1:8">
      <c r="A44" s="69" t="s">
        <v>27</v>
      </c>
      <c r="B44" s="70"/>
      <c r="C44" s="38"/>
      <c r="D44" s="39"/>
      <c r="E44" s="71"/>
      <c r="F44" s="72"/>
      <c r="G44" s="40"/>
      <c r="H44" s="41"/>
    </row>
    <row r="45" spans="1:8">
      <c r="A45" s="73" t="s">
        <v>28</v>
      </c>
      <c r="B45" s="74"/>
      <c r="C45" s="42"/>
      <c r="D45" s="34"/>
      <c r="E45" s="75"/>
      <c r="F45" s="76"/>
      <c r="G45" s="11"/>
      <c r="H45" s="43"/>
    </row>
    <row r="46" spans="1:8">
      <c r="A46" s="51" t="s">
        <v>29</v>
      </c>
      <c r="B46" s="52"/>
      <c r="C46" s="44"/>
      <c r="D46" s="37"/>
      <c r="E46" s="53"/>
      <c r="F46" s="54"/>
      <c r="G46" s="11"/>
      <c r="H46" s="43"/>
    </row>
    <row r="47" spans="1:8">
      <c r="A47" s="51" t="s">
        <v>30</v>
      </c>
      <c r="B47" s="52"/>
      <c r="C47" s="44"/>
      <c r="D47" s="45"/>
      <c r="E47" s="53"/>
      <c r="F47" s="54"/>
      <c r="G47" s="11"/>
      <c r="H47" s="43"/>
    </row>
    <row r="48" spans="1:8">
      <c r="A48" s="51" t="s">
        <v>31</v>
      </c>
      <c r="B48" s="52"/>
      <c r="C48" s="46">
        <f>SUM(C42:C47)</f>
        <v>132750</v>
      </c>
      <c r="D48" s="47"/>
      <c r="E48" s="55"/>
      <c r="F48" s="56"/>
      <c r="G48" s="48"/>
      <c r="H48" s="49"/>
    </row>
    <row r="49" spans="2:2">
      <c r="B49" s="1" t="s">
        <v>32</v>
      </c>
    </row>
    <row r="50" spans="2:2">
      <c r="B50" s="1" t="s">
        <v>33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2026-03-24T08:47:08Z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E53A979ADA4B43CD9C1DDA6CBE7E792C_13</vt:lpwstr>
  </property>
  <property fmtid="{D5CDD505-2E9C-101B-9397-08002B2CF9AE}" pid="3" name="KSOProductBuildVer">
    <vt:lpwstr>1033-12.2.0.23196</vt:lpwstr>
  </property>
</Properties>
</file>