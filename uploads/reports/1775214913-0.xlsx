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CD129EF3-2724-4339-BDC8-C8C8DA33FFC6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D9" i="26" s="1"/>
  <c r="E45" i="24"/>
  <c r="D8" i="26" s="1"/>
  <c r="E44" i="24"/>
  <c r="D7" i="26" s="1"/>
  <c r="E43" i="24"/>
  <c r="D6" i="26" s="1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G29" i="18" s="1"/>
  <c r="C19" i="1" s="1"/>
  <c r="E11" i="18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2" i="1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G29" i="11" s="1"/>
  <c r="C23" i="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D5" i="26" l="1"/>
  <c r="E54" i="9"/>
  <c r="G29" i="9"/>
  <c r="C6" i="1" s="1"/>
  <c r="C29" i="1" s="1"/>
  <c r="D4" i="26"/>
  <c r="E54" i="24"/>
  <c r="E29" i="24"/>
  <c r="F6" i="24"/>
  <c r="F8" i="23"/>
  <c r="H8" i="23" s="1"/>
  <c r="E29" i="23"/>
  <c r="H6" i="23"/>
  <c r="F29" i="23"/>
  <c r="E29" i="22"/>
  <c r="F6" i="22"/>
  <c r="F6" i="21"/>
  <c r="E29" i="21"/>
  <c r="F6" i="20"/>
  <c r="E29" i="20"/>
  <c r="F6" i="19"/>
  <c r="E37" i="19"/>
  <c r="E29" i="18"/>
  <c r="F11" i="18"/>
  <c r="H6" i="18"/>
  <c r="F6" i="17"/>
  <c r="E37" i="17"/>
  <c r="F6" i="16"/>
  <c r="E37" i="16"/>
  <c r="F6" i="15"/>
  <c r="E37" i="15"/>
  <c r="E37" i="14"/>
  <c r="F6" i="14"/>
  <c r="F6" i="13"/>
  <c r="E37" i="13"/>
  <c r="F6" i="12"/>
  <c r="E29" i="12"/>
  <c r="E29" i="11"/>
  <c r="F6" i="11"/>
  <c r="E29" i="10"/>
  <c r="F6" i="10"/>
  <c r="E29" i="9"/>
  <c r="F12" i="9"/>
  <c r="H12" i="9" s="1"/>
  <c r="H6" i="9"/>
  <c r="F29" i="9"/>
  <c r="E37" i="8"/>
  <c r="F6" i="8"/>
  <c r="F6" i="7"/>
  <c r="E29" i="7"/>
  <c r="E37" i="6"/>
  <c r="F9" i="6"/>
  <c r="H9" i="6" s="1"/>
  <c r="H6" i="6"/>
  <c r="H37" i="6" s="1"/>
  <c r="F37" i="6"/>
  <c r="B5" i="1" s="1"/>
  <c r="D17" i="26" l="1"/>
  <c r="H6" i="24"/>
  <c r="F29" i="24"/>
  <c r="H29" i="23"/>
  <c r="B21" i="1"/>
  <c r="F21" i="1" s="1"/>
  <c r="H6" i="22"/>
  <c r="F29" i="22"/>
  <c r="H6" i="21"/>
  <c r="F29" i="21"/>
  <c r="H6" i="20"/>
  <c r="F29" i="20"/>
  <c r="H6" i="19"/>
  <c r="H37" i="19" s="1"/>
  <c r="F37" i="19"/>
  <c r="B16" i="1" s="1"/>
  <c r="F16" i="1" s="1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4"/>
  <c r="H37" i="14" s="1"/>
  <c r="F37" i="14"/>
  <c r="B12" i="1" s="1"/>
  <c r="F12" i="1" s="1"/>
  <c r="H6" i="13"/>
  <c r="H37" i="13" s="1"/>
  <c r="F37" i="13"/>
  <c r="B11" i="1" s="1"/>
  <c r="F11" i="1" s="1"/>
  <c r="H6" i="12"/>
  <c r="F29" i="12"/>
  <c r="H6" i="11"/>
  <c r="F29" i="11"/>
  <c r="H6" i="10"/>
  <c r="F29" i="10"/>
  <c r="H29" i="9"/>
  <c r="B6" i="1"/>
  <c r="F6" i="1" s="1"/>
  <c r="H6" i="8"/>
  <c r="H37" i="8" s="1"/>
  <c r="F37" i="8"/>
  <c r="B7" i="1" s="1"/>
  <c r="F7" i="1" s="1"/>
  <c r="H6" i="7"/>
  <c r="F29" i="7"/>
  <c r="F5" i="1"/>
  <c r="H11" i="18"/>
  <c r="F29" i="18"/>
  <c r="H29" i="24" l="1"/>
  <c r="B22" i="1"/>
  <c r="F22" i="1" s="1"/>
  <c r="H29" i="22"/>
  <c r="B20" i="1"/>
  <c r="F20" i="1" s="1"/>
  <c r="H29" i="21"/>
  <c r="B18" i="1"/>
  <c r="F18" i="1" s="1"/>
  <c r="H29" i="20"/>
  <c r="B17" i="1"/>
  <c r="F17" i="1" s="1"/>
  <c r="B9" i="1"/>
  <c r="F9" i="1" s="1"/>
  <c r="H29" i="12"/>
  <c r="B23" i="1"/>
  <c r="F23" i="1" s="1"/>
  <c r="H29" i="11"/>
  <c r="B10" i="1"/>
  <c r="F10" i="1" s="1"/>
  <c r="H29" i="10"/>
  <c r="H29" i="7"/>
  <c r="B8" i="1"/>
  <c r="B19" i="1"/>
  <c r="F19" i="1" s="1"/>
  <c r="H29" i="18"/>
  <c r="B29" i="1" l="1"/>
  <c r="C32" i="1" s="1"/>
  <c r="F8" i="1"/>
  <c r="F29" i="1" s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<sst xmlns="http://schemas.openxmlformats.org/spreadsheetml/2006/main" count="1779" uniqueCount="85">
  <si>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</si>
  <si>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</si>
  <si>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</si>
  <si>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</si>
  <si>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</si>
  <si>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</si>
  <si>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</si>
  <si>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</si>
  <si>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</si>
  <si>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</si>
  <si>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</si>
  <si>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</si>
  <si>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</si>
  <si>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</si>
  <si>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</si>
  <si>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</si>
  <si>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</si>
  <si>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</si>
  <si>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</si>
  <si>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</si>
  <si>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</si>
  <si>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</si>
  <si>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</si>
  <si>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</si>
  <si>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</si>
  <si>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</si>
  <si>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</si>
  <si>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</si>
  <si>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</si>
  <si>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</si>
  <si>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</si>
  <si>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</si>
  <si>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</si>
  <si>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</si>
  <si>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</si>
  <si>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</si>
  <si>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</si>
  <si>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</si>
  <si>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</si>
  <si>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</si>
  <si>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</si>
  <si>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</si>
  <si>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</si>
  <si>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</si>
  <si>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</si>
  <si>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</si>
  <si>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</si>
  <si>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</si>
  <si>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</si>
  <si>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</si>
  <si>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</si>
  <si>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</si>
  <si>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</si>
  <si>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</si>
  <si>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</si>
  <si>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</si>
  <si>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</si>
  <si>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</si>
  <si>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</si>
  <si>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</si>
  <si>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</si>
  <si>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</si>
  <si>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</si>
  <si>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</si>
  <si>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</si>
  <si>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</si>
  <si>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</si>
  <si>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</si>
  <si>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</si>
  <si>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</si>
  <si>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</si>
  <si>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</si>
  <si>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</si>
  <si>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</si>
  <si>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</si>
  <si>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</si>
  <si>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</si>
  <si>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</si>
  <si>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</si>
  <si>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</si>
  <si>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</si>
  <si>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</si>
  <si>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</si>
  <si>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</si>
  <si>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WEEKLY REPORT FROM 23-31/03/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</si>
</sst>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4151988</v>
      </c>
      <c r="C6" s="18">
        <f>GAHANGA!G29</f>
        <v>359360</v>
      </c>
      <c r="D6" s="19"/>
      <c r="E6" s="18"/>
      <c r="F6" s="14">
        <f t="shared" si="0"/>
        <v>4511348</v>
      </c>
      <c r="G6" s="18">
        <f>GAHANGA!C33</f>
        <v>0</v>
      </c>
      <c r="H6" s="18">
        <f>GAHANGA!C31</f>
        <v>4511348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11819610</v>
      </c>
      <c r="C29" s="33">
        <f t="shared" si="1"/>
        <v>1055060</v>
      </c>
      <c r="D29" s="34">
        <f t="shared" si="1"/>
        <v>0</v>
      </c>
      <c r="E29" s="33">
        <f t="shared" si="1"/>
        <v>0</v>
      </c>
      <c r="F29" s="33">
        <f t="shared" si="1"/>
        <v>12874670</v>
      </c>
      <c r="G29" s="34">
        <f t="shared" si="1"/>
        <v>0</v>
      </c>
      <c r="H29" s="34">
        <f t="shared" si="1"/>
        <v>12874670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12874670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12874670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12874670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12874670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12874670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C37" sqref="C37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430</v>
      </c>
      <c r="C7" s="141">
        <v>7670</v>
      </c>
      <c r="D7" s="142"/>
      <c r="E7" s="44">
        <f t="shared" si="0"/>
        <v>3298100</v>
      </c>
      <c r="F7" s="44">
        <f t="shared" si="1"/>
        <v>503100</v>
      </c>
      <c r="G7" s="44">
        <f t="shared" si="2"/>
        <v>21500</v>
      </c>
      <c r="H7" s="45">
        <f t="shared" si="3"/>
        <v>524600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11262</v>
      </c>
      <c r="C10" s="144">
        <v>2124</v>
      </c>
      <c r="D10" s="139"/>
      <c r="E10" s="48">
        <f t="shared" si="0"/>
        <v>23920488</v>
      </c>
      <c r="F10" s="48">
        <f t="shared" si="1"/>
        <v>3648888</v>
      </c>
      <c r="G10" s="48">
        <f t="shared" si="4"/>
        <v>337860</v>
      </c>
      <c r="H10" s="49">
        <f t="shared" si="3"/>
        <v>3986748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27218588</v>
      </c>
      <c r="F29" s="74">
        <f t="shared" si="10"/>
        <v>4151988</v>
      </c>
      <c r="G29" s="75">
        <f t="shared" si="10"/>
        <v>359360</v>
      </c>
      <c r="H29" s="76">
        <f t="shared" si="9"/>
        <v>4511348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4511348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4511348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11262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430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11692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31514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680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35976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2026-04-03T10:37:41Z</dcterms:modified>
</cp:coreProperties>
</file>