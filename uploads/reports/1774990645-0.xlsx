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AC9380-75F1-416A-83BF-4E897DDD8BE1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<sst xmlns="http://schemas.openxmlformats.org/spreadsheetml/2006/main" count="1530" uniqueCount="88">
  <si>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</si>
  <si>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</si>
  <si>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</si>
  <si>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</si>
  <si>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</si>
  <si>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</si>
  <si>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</si>
  <si>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</si>
  <si>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</si>
  <si>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</si>
  <si>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</si>
  <si>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</si>
  <si>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</si>
  <si>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</si>
  <si>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</si>
  <si>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</si>
  <si>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</si>
  <si>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</si>
  <si>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</si>
  <si>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</si>
  <si>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</si>
  <si>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</si>
  <si>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</si>
  <si>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</si>
  <si>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</si>
  <si>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</si>
  <si>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</si>
  <si>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</si>
  <si>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</si>
  <si>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</si>
  <si>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</si>
  <si>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</si>
  <si>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</si>
  <si>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</si>
  <si>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</si>
  <si>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</si>
  <si>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</si>
  <si>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</si>
  <si>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</si>
  <si>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</si>
  <si>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</si>
  <si>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</si>
  <si>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</si>
  <si>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</si>
  <si>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</si>
  <si>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</si>
  <si>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</si>
  <si>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</si>
  <si>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</si>
  <si>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</si>
  <si>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</si>
  <si>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</si>
  <si>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</si>
  <si>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</si>
  <si>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</si>
  <si>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</si>
  <si>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</si>
  <si>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</si>
  <si>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</si>
  <si>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</si>
  <si>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</si>
  <si>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</si>
  <si>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</si>
  <si>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</si>
  <si>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</si>
  <si>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</si>
  <si>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</si>
  <si>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</si>
  <si>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</si>
  <si>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</si>
  <si>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</si>
  <si>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</si>
  <si>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</si>
  <si>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</si>
  <si>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</si>
  <si>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</si>
  <si>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</si>
  <si>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</si>
  <si>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</si>
  <si>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</si>
  <si>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</si>
  <si>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</si>
  <si>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</si>
  <si>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</si>
  <si>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</si>
  <si>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</si>
  <si>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</si>
  <si>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 23/03/2026  - 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</si>
</sst>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1029111.8644067796</v>
      </c>
      <c r="C16" s="66">
        <f>KARONGI!G29</f>
        <v>131380</v>
      </c>
      <c r="D16" s="4"/>
      <c r="E16" s="3"/>
      <c r="F16" s="68">
        <f t="shared" si="0"/>
        <v>1160491.8644067796</v>
      </c>
      <c r="G16" s="65">
        <f>KARONGI!C33</f>
        <v>0</v>
      </c>
      <c r="H16" s="66">
        <f>KARONGI!C31</f>
        <v>1160492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1029111.8644067796</v>
      </c>
      <c r="C29" s="99">
        <f t="shared" si="1"/>
        <v>131380</v>
      </c>
      <c r="D29" s="100">
        <f t="shared" si="1"/>
        <v>0</v>
      </c>
      <c r="E29" s="99">
        <f t="shared" si="1"/>
        <v>0</v>
      </c>
      <c r="F29" s="99">
        <f>SUM(F5:F28)</f>
        <v>1160491.8644067796</v>
      </c>
      <c r="G29" s="100">
        <f>SUM(G5:G28)</f>
        <v>0</v>
      </c>
      <c r="H29" s="100">
        <f>SUM(H5:H28)</f>
        <v>1160492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1160491.8644067796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1160491.8644067796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1160492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1160491.8644067796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1160492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28" workbookViewId="0">
      <selection activeCell="A15" sqref="A15:H15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2350</v>
      </c>
      <c r="C10" s="121">
        <v>2124</v>
      </c>
      <c r="D10" s="122"/>
      <c r="E10" s="20">
        <f t="shared" si="0"/>
        <v>4991400</v>
      </c>
      <c r="F10" s="20">
        <f t="shared" si="1"/>
        <v>761400</v>
      </c>
      <c r="G10" s="20">
        <f>PRODUCT(B10*30)</f>
        <v>70500</v>
      </c>
      <c r="H10" s="21">
        <f t="shared" si="2"/>
        <v>831900</v>
      </c>
    </row>
    <row r="11" spans="1:8">
      <c r="A11" s="46" t="s">
        <v>67</v>
      </c>
      <c r="B11" s="19">
        <v>450</v>
      </c>
      <c r="C11" s="121">
        <v>3900</v>
      </c>
      <c r="D11" s="122"/>
      <c r="E11" s="20">
        <f t="shared" si="0"/>
        <v>1755000</v>
      </c>
      <c r="F11" s="20">
        <f t="shared" si="1"/>
        <v>267711.86440677964</v>
      </c>
      <c r="G11" s="20">
        <f>PRODUCT(B11*30)</f>
        <v>13500</v>
      </c>
      <c r="H11" s="21">
        <f t="shared" si="2"/>
        <v>281211.86440677964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26600</v>
      </c>
      <c r="H17" s="27">
        <f>SUM(F17:G17)</f>
        <v>26600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30</v>
      </c>
      <c r="C21" s="22"/>
      <c r="D21" s="22">
        <v>354</v>
      </c>
      <c r="E21" s="31">
        <f t="shared" si="4"/>
        <v>0</v>
      </c>
      <c r="F21" s="28">
        <f t="shared" si="3"/>
        <v>0</v>
      </c>
      <c r="G21" s="28">
        <f t="shared" si="5"/>
        <v>10620</v>
      </c>
      <c r="H21" s="28">
        <f t="shared" si="6"/>
        <v>10620</v>
      </c>
    </row>
    <row r="22" spans="1:8">
      <c r="A22" s="55" t="s">
        <v>54</v>
      </c>
      <c r="B22" s="22">
        <v>50</v>
      </c>
      <c r="C22" s="22"/>
      <c r="D22" s="22">
        <v>203.2</v>
      </c>
      <c r="E22" s="31">
        <f t="shared" si="4"/>
        <v>0</v>
      </c>
      <c r="F22" s="28">
        <f t="shared" si="3"/>
        <v>0</v>
      </c>
      <c r="G22" s="28">
        <f t="shared" si="5"/>
        <v>10160</v>
      </c>
      <c r="H22" s="28">
        <f t="shared" si="6"/>
        <v>10160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6746400</v>
      </c>
      <c r="F29" s="37">
        <f>SUM(F6:F28)</f>
        <v>1029111.8644067796</v>
      </c>
      <c r="G29" s="32">
        <f>SUM(G6:G28)</f>
        <v>131380</v>
      </c>
      <c r="H29" s="26">
        <f>SUM(F29:G29)</f>
        <v>1160491.8644067796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1160492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1160492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2800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100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30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50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2980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2800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30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50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2980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2026-03-31T19:13:01Z</dcterms:modified>
</cp:coreProperties>
</file>