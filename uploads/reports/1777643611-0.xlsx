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640" tabRatio="965" firstSheet="2" activeTab="5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G14" i="8"/>
  <c r="E14" i="8"/>
  <c r="F14" i="8" s="1"/>
  <c r="H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E37" i="25" l="1"/>
  <c r="H12" i="8"/>
  <c r="H21" i="8"/>
  <c r="H17" i="8"/>
  <c r="H11" i="8"/>
  <c r="H17" i="25"/>
  <c r="E62" i="25"/>
  <c r="G37" i="25"/>
  <c r="D5" i="21"/>
  <c r="F6" i="28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<sst xmlns="http://schemas.openxmlformats.org/spreadsheetml/2006/main" count="2010" uniqueCount="89">
  <si>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</si>
  <si>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</si>
  <si>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</si>
  <si>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</si>
  <si>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</si>
  <si>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</si>
  <si>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</si>
  <si>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</si>
  <si>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</si>
  <si>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</si>
  <si>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</si>
  <si>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</si>
  <si>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</si>
  <si>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</si>
  <si>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</si>
  <si>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</si>
  <si>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</si>
  <si>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</si>
  <si>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</si>
  <si>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</si>
  <si>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</si>
  <si>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</si>
  <si>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</si>
  <si>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</si>
  <si>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</si>
  <si>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</si>
  <si>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</si>
  <si>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</si>
  <si>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</si>
  <si>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</si>
  <si>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</si>
  <si>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</si>
  <si>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</si>
  <si>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</si>
  <si>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</si>
  <si>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</si>
  <si>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</si>
  <si>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</si>
  <si>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</si>
  <si>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</si>
  <si>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</si>
  <si>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</si>
  <si>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</si>
  <si>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</si>
  <si>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</si>
  <si>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</si>
  <si>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</si>
  <si>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</si>
  <si>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</si>
  <si>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</si>
  <si>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</si>
  <si>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</si>
  <si>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</si>
  <si>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</si>
  <si>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</si>
  <si>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</si>
  <si>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</si>
  <si>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</si>
  <si>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</si>
  <si>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</si>
  <si>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</si>
  <si>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</si>
  <si>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</si>
  <si>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</si>
  <si>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</si>
  <si>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</si>
  <si>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</si>
  <si>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</si>
  <si>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</si>
  <si>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</si>
  <si>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</si>
  <si>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</si>
  <si>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</si>
  <si>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</si>
  <si>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</si>
  <si>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</si>
  <si>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</si>
  <si>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</si>
  <si>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</si>
  <si>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</si>
  <si>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</si>
  <si>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</si>
  <si>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</si>
  <si>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</si>
  <si>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</si>
  <si>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</si>
  <si>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</si>
  <si>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MONTHS REPORT OF MARCH 2026</t>
  </si>
  <si>
    <t>NGORORERO ICPCS MONTHS REPORT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</si>
</sst>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A26" sqref="A26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4725437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12360231</v>
      </c>
      <c r="C29" s="70">
        <f t="shared" si="1"/>
        <v>1363010</v>
      </c>
      <c r="D29" s="71">
        <f t="shared" si="1"/>
        <v>50000</v>
      </c>
      <c r="E29" s="70">
        <f t="shared" si="1"/>
        <v>100000</v>
      </c>
      <c r="F29" s="70">
        <f>SUM(F5:F28)</f>
        <v>13723241</v>
      </c>
      <c r="G29" s="71">
        <f>SUM(G5:G28)</f>
        <v>0</v>
      </c>
      <c r="H29" s="71">
        <f>SUM(H5:H28)</f>
        <v>18448678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13723241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13723241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18448678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150000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18598678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18598678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6" workbookViewId="0">
      <selection activeCell="C9" sqref="C9:D9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88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>
        <v>105</v>
      </c>
      <c r="C17" s="26">
        <v>800</v>
      </c>
      <c r="D17" s="26">
        <v>20</v>
      </c>
      <c r="E17" s="19">
        <f>PRODUCT(B17*C17)</f>
        <v>84000</v>
      </c>
      <c r="F17" s="16">
        <f t="shared" ref="F17:F36" si="3">PRODUCT(E17*18)/118</f>
        <v>12813.559322033898</v>
      </c>
      <c r="G17" s="94">
        <f>PRODUCT(B17*D17)</f>
        <v>2100</v>
      </c>
      <c r="H17" s="102">
        <f>SUM(F17:G17)</f>
        <v>14913.559322033898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84000</v>
      </c>
      <c r="F37" s="24">
        <f>SUM(F5:F36)</f>
        <v>12813.559322033898</v>
      </c>
      <c r="G37" s="24">
        <f t="shared" ref="G37:H37" si="10">SUM(G5:G36)</f>
        <v>2100</v>
      </c>
      <c r="H37" s="24">
        <f t="shared" si="10"/>
        <v>14913.559322033898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>
        <v>14914</v>
      </c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14914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105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105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6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8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s="89" customFormat="1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3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22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22.5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24.65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22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22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22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22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3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>
        <v>2124</v>
      </c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85</v>
      </c>
      <c r="B3" s="211"/>
      <c r="C3" s="211"/>
      <c r="D3" s="211"/>
      <c r="E3" s="211"/>
      <c r="F3" s="211"/>
      <c r="G3" s="211"/>
      <c r="H3" s="212"/>
      <c r="I3" s="226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217">
        <v>5900</v>
      </c>
      <c r="D8" s="218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217">
        <v>2124</v>
      </c>
      <c r="D10" s="218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217">
        <v>1357</v>
      </c>
      <c r="D13" s="218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>
        <v>13723241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>
        <v>50000</v>
      </c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>
        <v>100000</v>
      </c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13873241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34693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620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1837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1952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130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39232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20" sqref="B20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87</v>
      </c>
      <c r="B3" s="211"/>
      <c r="C3" s="211"/>
      <c r="D3" s="211"/>
      <c r="E3" s="211"/>
      <c r="F3" s="211"/>
      <c r="G3" s="211"/>
      <c r="H3" s="212"/>
      <c r="I3" s="226"/>
    </row>
    <row r="4" spans="1:9" ht="26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>
        <v>2200</v>
      </c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>
        <v>2596</v>
      </c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>
        <v>2500</v>
      </c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>
        <v>1180</v>
      </c>
      <c r="D17" s="26">
        <v>20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56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56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>
        <v>4725437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4725437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1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5.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9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2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34.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7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9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5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customHeight="1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customHeight="1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customHeight="1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customHeight="1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customHeight="1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customHeight="1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customHeight="1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4.5" customHeight="1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1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4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7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38"/>
    </row>
    <row r="2" spans="1:7" ht="15" thickBot="1">
      <c r="A2" s="185"/>
      <c r="B2" s="186"/>
      <c r="C2" s="186"/>
      <c r="D2" s="186"/>
      <c r="E2" s="186"/>
      <c r="F2" s="186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34693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620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1952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39232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2026-04-30T18:34:50Z</dcterms:modified>
</cp:coreProperties>
</file>