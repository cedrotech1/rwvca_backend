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DAILY REPORT\"/>
    </mc:Choice>
  </mc:AlternateContent>
  <bookViews>
    <workbookView minimized="1" xWindow="-110" yWindow="-110" windowWidth="19420" windowHeight="10300" tabRatio="965" firstSheet="1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<sst xmlns="http://schemas.openxmlformats.org/spreadsheetml/2006/main" count="1779" uniqueCount="85">
  <si>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</si>
  <si>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</si>
  <si>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</si>
  <si>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</si>
  <si>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</si>
  <si>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</si>
  <si>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</si>
  <si>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</si>
  <si>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</si>
  <si>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</si>
  <si>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</si>
  <si>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</si>
  <si>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</si>
  <si>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</si>
  <si>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</si>
  <si>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</si>
  <si>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</si>
  <si>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</si>
  <si>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</si>
  <si>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</si>
  <si>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</si>
  <si>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</si>
  <si>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</si>
  <si>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</si>
  <si>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</si>
  <si>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</si>
  <si>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</si>
  <si>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</si>
  <si>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</si>
  <si>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</si>
  <si>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</si>
  <si>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</si>
  <si>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</si>
  <si>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</si>
  <si>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</si>
  <si>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</si>
  <si>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</si>
  <si>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</si>
  <si>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</si>
  <si>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</si>
  <si>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</si>
  <si>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</si>
  <si>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</si>
  <si>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</si>
  <si>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</si>
  <si>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</si>
  <si>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</si>
  <si>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</si>
  <si>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</si>
  <si>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</si>
  <si>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</si>
  <si>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</si>
  <si>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</si>
  <si>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</si>
  <si>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</si>
  <si>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</si>
  <si>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</si>
  <si>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</si>
  <si>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</si>
  <si>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</si>
  <si>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</si>
  <si>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</si>
  <si>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</si>
  <si>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</si>
  <si>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</si>
  <si>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</si>
  <si>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</si>
  <si>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</si>
  <si>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</si>
  <si>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</si>
  <si>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</si>
  <si>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</si>
  <si>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</si>
  <si>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</si>
  <si>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</si>
  <si>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</si>
  <si>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</si>
  <si>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</si>
  <si>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</si>
  <si>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</si>
  <si>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</si>
  <si>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</si>
  <si>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</si>
  <si>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</si>
  <si>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11 \ 08 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</si>
</sst>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108000</v>
      </c>
      <c r="C16" s="68">
        <f>KARONGI!G37</f>
        <v>9000</v>
      </c>
      <c r="D16" s="4"/>
      <c r="E16" s="3"/>
      <c r="F16" s="70">
        <f t="shared" si="0"/>
        <v>117000</v>
      </c>
      <c r="G16" s="67">
        <f>KARONGI!C41</f>
        <v>0</v>
      </c>
      <c r="H16" s="68">
        <f>KARONGI!C39</f>
        <v>117000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7775622</v>
      </c>
      <c r="C29" s="102">
        <f t="shared" si="1"/>
        <v>704700</v>
      </c>
      <c r="D29" s="103">
        <f t="shared" si="1"/>
        <v>0</v>
      </c>
      <c r="E29" s="102">
        <f t="shared" si="1"/>
        <v>0</v>
      </c>
      <c r="F29" s="102">
        <f>SUM(F5:F28)</f>
        <v>8480322</v>
      </c>
      <c r="G29" s="103">
        <f>SUM(G5:G28)</f>
        <v>0</v>
      </c>
      <c r="H29" s="103">
        <f>SUM(H5:H28)</f>
        <v>8480322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8480322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8480322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8480322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8480322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8480322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0" workbookViewId="0">
      <selection activeCell="C42" sqref="C4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300</v>
      </c>
      <c r="C10" s="166">
        <v>2360</v>
      </c>
      <c r="D10" s="167"/>
      <c r="E10" s="16">
        <f t="shared" si="0"/>
        <v>708000</v>
      </c>
      <c r="F10" s="16">
        <f t="shared" si="1"/>
        <v>108000</v>
      </c>
      <c r="G10" s="16">
        <f>PRODUCT(B10*30)</f>
        <v>9000</v>
      </c>
      <c r="H10" s="17">
        <f t="shared" si="2"/>
        <v>117000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708000</v>
      </c>
      <c r="F37" s="32">
        <f>SUM(F5:F36)</f>
        <v>108000</v>
      </c>
      <c r="G37" s="32">
        <f t="shared" ref="G37:H37" si="3">SUM(G5:G36)</f>
        <v>9000</v>
      </c>
      <c r="H37" s="32">
        <f t="shared" si="3"/>
        <v>117000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117000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300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300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20552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24584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2026-08-11T20:18:04Z</dcterms:modified>
</cp:coreProperties>
</file>