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822"/>
  <workbookPr defaultThemeVersion="153222"/>
  <bookViews>
    <workbookView xWindow="-110" yWindow="-110" windowWidth="19420" windowHeight="10300" firstSheet="3" activeTab="9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81029"/>
</workbook>
</file>

<file path=xl/sharedStrings.xml><?xml version="1.0" encoding="utf-8"?>
<sst xmlns="http://schemas.openxmlformats.org/spreadsheetml/2006/main" uniqueCount="87" count="87">
  <si>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</si>
  <si>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</si>
  <si>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</si>
  <si>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</si>
  <si>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</si>
  <si>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</si>
  <si>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</si>
  <si>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</si>
  <si>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</si>
  <si>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</si>
  <si>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</si>
  <si>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</si>
  <si>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</si>
  <si>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</si>
  <si>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</si>
  <si>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</si>
  <si>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</si>
  <si>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</si>
  <si>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</si>
  <si>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</si>
  <si>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</si>
  <si>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</si>
  <si>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</si>
  <si>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</si>
  <si>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</si>
  <si>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</si>
  <si>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</si>
  <si>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</si>
  <si>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</si>
  <si>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</si>
  <si>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</si>
  <si>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</si>
  <si>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</si>
  <si>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</si>
  <si>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</si>
  <si>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</si>
  <si>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</si>
  <si>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</si>
  <si>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</si>
  <si>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</si>
  <si>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</si>
  <si>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</si>
  <si>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</si>
  <si>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</si>
  <si>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</si>
  <si>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</si>
  <si>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</si>
  <si>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</si>
  <si>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</si>
  <si>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</si>
  <si>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</si>
  <si>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</si>
  <si>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</si>
  <si>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</si>
  <si>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</si>
  <si>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</si>
  <si>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</si>
  <si>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</si>
  <si>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</si>
  <si>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</si>
  <si>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</si>
  <si>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</si>
  <si>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</si>
  <si>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</si>
  <si>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</si>
  <si>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</si>
  <si>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</si>
  <si>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</si>
  <si>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</si>
  <si>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</si>
  <si>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</si>
  <si>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</si>
  <si>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</si>
  <si>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</si>
  <si>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</si>
  <si>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</si>
  <si>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</si>
  <si>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</si>
  <si>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</si>
  <si>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</si>
  <si>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</si>
  <si>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</si>
  <si>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</si>
  <si>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</si>
  <si>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INTURUSU NINI</t>
  </si>
  <si>
    <t>DAILY REPORTON 10APRIL2026</t>
  </si>
  <si>
    <t>DAILY REPORTON 14APRIL2026</t>
  </si>
</sst>
</file>

<file path=xl/styles.xml><?xml version="1.0" encoding="utf-8"?>
<styleSheet xmlns="http://schemas.openxmlformats.org/spreadsheetml/2006/main">
  <numFmts count="4">
    <numFmt numFmtId="0" formatCode="General"/>
    <numFmt numFmtId="165" formatCode="_(* #,##0_);_(* \(#,##0\);_(* &quot;-&quot;??_);_(@_)"/>
    <numFmt numFmtId="3" formatCode="#,##0"/>
    <numFmt numFmtId="164" formatCode="_(* #,##0.00_);_(* \(#,##0.00\);_(* &quot;-&quot;??_);_(@_)"/>
  </numFmts>
  <fonts count="29">
    <font>
      <name val="Calibri"/>
      <sz val="11"/>
    </font>
    <font>
      <name val="Algerian"/>
      <b/>
      <i/>
      <sz val="36"/>
    </font>
    <font>
      <name val="Calibri"/>
      <sz val="11"/>
    </font>
    <font>
      <name val="Calibri"/>
      <sz val="11"/>
    </font>
    <font>
      <name val="Calibri"/>
      <b/>
      <sz val="36"/>
      <color rgb="FF002060"/>
    </font>
    <font>
      <name val="Calibri"/>
      <b/>
      <sz val="14"/>
    </font>
    <font>
      <name val="Calibri"/>
      <b/>
      <sz val="10"/>
    </font>
    <font>
      <name val="Calibri"/>
      <b/>
      <sz val="14"/>
    </font>
    <font>
      <name val="Calibri"/>
      <b/>
      <sz val="11"/>
    </font>
    <font>
      <name val="Calibri"/>
      <b/>
      <i/>
      <sz val="14"/>
    </font>
    <font>
      <name val="Calibri"/>
      <sz val="11"/>
    </font>
    <font>
      <name val="Calibri"/>
      <b/>
      <i/>
      <sz val="11"/>
    </font>
    <font>
      <name val="Calibri"/>
      <b/>
      <i/>
      <sz val="2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sz val="11"/>
      <color rgb="FF000000"/>
    </font>
    <font>
      <name val="Calibri"/>
      <b/>
      <sz val="20"/>
      <color rgb="FF000000"/>
    </font>
    <font>
      <name val="Calibri"/>
      <b/>
      <sz val="28"/>
      <color rgb="FF000000"/>
    </font>
    <font>
      <name val="Calibri"/>
      <b/>
      <sz val="14"/>
      <color rgb="FF000000"/>
    </font>
    <font>
      <name val="Calibri"/>
      <sz val="16"/>
    </font>
    <font>
      <name val="Calibri"/>
      <b/>
      <sz val="22"/>
    </font>
    <font>
      <name val="Calibri"/>
      <b/>
      <sz val="18"/>
    </font>
    <font>
      <name val="Calibri"/>
      <charset val="134"/>
      <sz val="11"/>
      <color rgb="FF000000"/>
    </font>
    <font>
      <name val="Bodoni"/>
      <b/>
      <sz val="22"/>
      <color rgb="FF000000"/>
    </font>
    <font>
      <name val="Calibri"/>
      <b/>
      <sz val="22"/>
      <color rgb="FF000000"/>
    </font>
    <font>
      <name val="Bookman Old Style"/>
      <b/>
      <sz val="20"/>
      <color rgb="FF000000"/>
    </font>
    <font>
      <name val="Adobe Gothic Std B"/>
      <b/>
      <sz val="22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5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164" fontId="28" fillId="0" borderId="0">
      <alignment vertical="top"/>
      <protection locked="0" hidden="0"/>
    </xf>
  </cellStyleXfs>
  <cellXfs count="184">
    <xf numFmtId="0" fontId="0" fillId="0" borderId="0" xfId="0">
      <alignment vertical="center"/>
    </xf>
    <xf numFmtId="165" fontId="1" fillId="2" borderId="1" xfId="0" applyNumberFormat="1" applyFont="1" applyFill="1" applyBorder="1" applyAlignment="1">
      <alignment horizontal="center"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3" fillId="0" borderId="0" xfId="0" applyNumberFormat="1" applyFont="1" applyAlignment="1">
      <alignment vertical="bottom"/>
    </xf>
    <xf numFmtId="165" fontId="4" fillId="2" borderId="1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0" fontId="2" fillId="0" borderId="0" xfId="0" applyFont="1" applyBorder="1" applyAlignment="1">
      <alignment vertical="bottom"/>
    </xf>
    <xf numFmtId="165" fontId="5" fillId="2" borderId="2" xfId="0" applyNumberFormat="1" applyFont="1" applyFill="1" applyBorder="1" applyAlignment="1">
      <alignment vertical="bottom"/>
    </xf>
    <xf numFmtId="165" fontId="5" fillId="3" borderId="2" xfId="0" applyNumberFormat="1" applyFont="1" applyFill="1" applyBorder="1" applyAlignment="1">
      <alignment vertical="bottom"/>
    </xf>
    <xf numFmtId="165" fontId="5" fillId="3" borderId="3" xfId="0" applyNumberFormat="1" applyFont="1" applyFill="1" applyBorder="1" applyAlignment="1">
      <alignment vertical="bottom"/>
    </xf>
    <xf numFmtId="165" fontId="5" fillId="3" borderId="4" xfId="0" applyNumberFormat="1" applyFont="1" applyFill="1" applyBorder="1" applyAlignment="1">
      <alignment vertical="bottom"/>
    </xf>
    <xf numFmtId="165" fontId="5" fillId="3" borderId="5" xfId="0" applyNumberFormat="1" applyFont="1" applyFill="1" applyBorder="1" applyAlignment="1">
      <alignment vertical="bottom"/>
    </xf>
    <xf numFmtId="165" fontId="6" fillId="3" borderId="6" xfId="0" applyNumberFormat="1" applyFont="1" applyFill="1" applyBorder="1" applyAlignment="1">
      <alignment vertical="bottom"/>
    </xf>
    <xf numFmtId="165" fontId="3" fillId="2" borderId="7" xfId="0" applyNumberFormat="1" applyFont="1" applyFill="1" applyBorder="1" applyAlignment="1">
      <alignment horizontal="center" vertical="bottom"/>
    </xf>
    <xf numFmtId="165" fontId="5" fillId="3" borderId="0" xfId="0" applyNumberFormat="1" applyFont="1" applyFill="1" applyBorder="1" applyAlignment="1">
      <alignment vertical="bottom"/>
    </xf>
    <xf numFmtId="165" fontId="5" fillId="2" borderId="8" xfId="0" applyNumberFormat="1" applyFont="1" applyFill="1" applyBorder="1" applyAlignment="1">
      <alignment vertical="bottom"/>
    </xf>
    <xf numFmtId="165" fontId="5" fillId="0" borderId="8" xfId="0" applyNumberFormat="1" applyFont="1" applyBorder="1" applyAlignment="1">
      <alignment vertical="bottom"/>
    </xf>
    <xf numFmtId="165" fontId="5" fillId="0" borderId="9" xfId="0" applyNumberFormat="1" applyFont="1" applyBorder="1" applyAlignment="1">
      <alignment vertical="bottom"/>
    </xf>
    <xf numFmtId="165" fontId="5" fillId="0" borderId="10" xfId="0" applyNumberFormat="1" applyFont="1" applyBorder="1" applyAlignment="1">
      <alignment vertical="bottom"/>
    </xf>
    <xf numFmtId="165" fontId="5" fillId="0" borderId="5" xfId="0" applyNumberFormat="1" applyFont="1" applyBorder="1" applyAlignment="1">
      <alignment vertical="bottom"/>
    </xf>
    <xf numFmtId="165" fontId="5" fillId="0" borderId="0" xfId="0" applyNumberFormat="1" applyFont="1" applyAlignment="1">
      <alignment vertical="bottom"/>
    </xf>
    <xf numFmtId="165" fontId="5" fillId="2" borderId="11" xfId="0" applyNumberFormat="1" applyFont="1" applyFill="1" applyBorder="1" applyAlignment="1">
      <alignment vertical="bottom"/>
    </xf>
    <xf numFmtId="165" fontId="5" fillId="0" borderId="11" xfId="0" applyNumberFormat="1" applyFont="1" applyBorder="1" applyAlignment="1">
      <alignment vertical="bottom"/>
    </xf>
    <xf numFmtId="165" fontId="5" fillId="0" borderId="12" xfId="0" applyNumberFormat="1" applyFont="1" applyBorder="1" applyAlignment="1">
      <alignment vertical="bottom"/>
    </xf>
    <xf numFmtId="165" fontId="5" fillId="0" borderId="13" xfId="0" applyNumberFormat="1" applyFont="1" applyBorder="1" applyAlignment="1">
      <alignment vertical="bottom"/>
    </xf>
    <xf numFmtId="165" fontId="3" fillId="0" borderId="13" xfId="0" applyNumberFormat="1" applyFont="1" applyBorder="1" applyAlignment="1">
      <alignment vertical="bottom"/>
    </xf>
    <xf numFmtId="165" fontId="3" fillId="0" borderId="12" xfId="0" applyNumberFormat="1" applyFont="1" applyBorder="1" applyAlignment="1">
      <alignment vertical="bottom"/>
    </xf>
    <xf numFmtId="165" fontId="5" fillId="0" borderId="14" xfId="0" applyNumberFormat="1" applyFont="1" applyBorder="1" applyAlignment="1">
      <alignment vertical="bottom"/>
    </xf>
    <xf numFmtId="165" fontId="3" fillId="2" borderId="11" xfId="0" applyNumberFormat="1" applyFont="1" applyFill="1" applyBorder="1" applyAlignment="1">
      <alignment vertical="bottom"/>
    </xf>
    <xf numFmtId="165" fontId="3" fillId="0" borderId="15" xfId="0" applyNumberFormat="1" applyFont="1" applyBorder="1" applyAlignment="1">
      <alignment vertical="bottom"/>
    </xf>
    <xf numFmtId="165" fontId="3" fillId="0" borderId="16" xfId="0" applyNumberFormat="1" applyFont="1" applyBorder="1" applyAlignment="1">
      <alignment vertical="bottom"/>
    </xf>
    <xf numFmtId="165" fontId="3" fillId="0" borderId="17" xfId="0" applyNumberFormat="1" applyFont="1" applyBorder="1" applyAlignment="1">
      <alignment vertical="bottom"/>
    </xf>
    <xf numFmtId="165" fontId="3" fillId="2" borderId="18" xfId="0" applyNumberFormat="1" applyFont="1" applyFill="1" applyBorder="1" applyAlignment="1">
      <alignment vertical="bottom"/>
    </xf>
    <xf numFmtId="165" fontId="5" fillId="0" borderId="18" xfId="0" applyNumberFormat="1" applyFont="1" applyBorder="1" applyAlignment="1">
      <alignment vertical="bottom"/>
    </xf>
    <xf numFmtId="165" fontId="3" fillId="0" borderId="19" xfId="0" applyNumberFormat="1" applyFont="1" applyBorder="1" applyAlignment="1">
      <alignment vertical="bottom"/>
    </xf>
    <xf numFmtId="165" fontId="3" fillId="0" borderId="14" xfId="0" applyNumberFormat="1" applyFont="1" applyBorder="1" applyAlignment="1">
      <alignment vertical="bottom"/>
    </xf>
    <xf numFmtId="165" fontId="3" fillId="0" borderId="20" xfId="0" applyNumberFormat="1" applyFont="1" applyBorder="1" applyAlignment="1">
      <alignment vertical="bottom"/>
    </xf>
    <xf numFmtId="165" fontId="7" fillId="2" borderId="21" xfId="0" applyNumberFormat="1" applyFont="1" applyFill="1" applyBorder="1" applyAlignment="1">
      <alignment vertical="bottom"/>
    </xf>
    <xf numFmtId="165" fontId="7" fillId="2" borderId="22" xfId="0" applyNumberFormat="1" applyFont="1" applyFill="1" applyBorder="1" applyAlignment="1">
      <alignment vertical="bottom"/>
    </xf>
    <xf numFmtId="165" fontId="7" fillId="2" borderId="23" xfId="0" applyNumberFormat="1" applyFont="1" applyFill="1" applyBorder="1" applyAlignment="1">
      <alignment vertical="bottom"/>
    </xf>
    <xf numFmtId="165" fontId="5" fillId="2" borderId="7" xfId="0" applyNumberFormat="1" applyFont="1" applyFill="1" applyBorder="1" applyAlignment="1">
      <alignment vertical="bottom"/>
    </xf>
    <xf numFmtId="165" fontId="7" fillId="2" borderId="0" xfId="0" applyNumberFormat="1" applyFont="1" applyFill="1" applyBorder="1" applyAlignment="1">
      <alignment vertical="bottom"/>
    </xf>
    <xf numFmtId="165" fontId="3" fillId="3" borderId="24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25" xfId="0" applyFont="1" applyBorder="1" applyAlignment="1">
      <alignment vertical="bottom"/>
    </xf>
    <xf numFmtId="165" fontId="8" fillId="0" borderId="2" xfId="0" applyNumberFormat="1" applyFont="1" applyBorder="1" applyAlignment="1">
      <alignment horizontal="left" vertical="top"/>
    </xf>
    <xf numFmtId="0" fontId="2" fillId="0" borderId="6" xfId="0" applyFont="1" applyBorder="1" applyAlignment="1">
      <alignment vertical="bottom"/>
    </xf>
    <xf numFmtId="0" fontId="2" fillId="0" borderId="4" xfId="0" applyFont="1" applyBorder="1" applyAlignment="1">
      <alignment vertical="bottom"/>
    </xf>
    <xf numFmtId="165" fontId="3" fillId="2" borderId="2" xfId="0" applyNumberFormat="1" applyFont="1" applyFill="1" applyBorder="1" applyAlignment="1">
      <alignment horizontal="center" vertical="bottom"/>
    </xf>
    <xf numFmtId="165" fontId="9" fillId="4" borderId="26" xfId="0" applyNumberFormat="1" applyFont="1" applyFill="1" applyBorder="1" applyAlignment="1">
      <alignment horizontal="center" vertical="bottom"/>
    </xf>
    <xf numFmtId="0" fontId="2" fillId="0" borderId="24" xfId="0" applyFont="1" applyBorder="1" applyAlignment="1">
      <alignment vertical="bottom"/>
    </xf>
    <xf numFmtId="0" fontId="2" fillId="0" borderId="1" xfId="0" applyFont="1" applyBorder="1" applyAlignment="1">
      <alignment vertical="bottom"/>
    </xf>
    <xf numFmtId="0" fontId="10" fillId="0" borderId="0" xfId="0" applyAlignment="1">
      <alignment vertical="bottom"/>
    </xf>
    <xf numFmtId="0" fontId="2" fillId="0" borderId="27" xfId="0" applyFont="1" applyBorder="1" applyAlignment="1">
      <alignment vertical="bottom"/>
    </xf>
    <xf numFmtId="165" fontId="8" fillId="0" borderId="26" xfId="0" applyNumberFormat="1" applyFont="1" applyBorder="1" applyAlignment="1">
      <alignment horizontal="left" vertical="bottom"/>
    </xf>
    <xf numFmtId="165" fontId="3" fillId="0" borderId="2" xfId="0" applyNumberFormat="1" applyFont="1" applyBorder="1" applyAlignment="1">
      <alignment horizontal="center" vertical="bottom"/>
    </xf>
    <xf numFmtId="165" fontId="3" fillId="0" borderId="26" xfId="0" applyNumberFormat="1" applyFont="1" applyBorder="1" applyAlignment="1">
      <alignment horizontal="center" vertical="bottom"/>
    </xf>
    <xf numFmtId="0" fontId="2" fillId="0" borderId="21" xfId="0" applyFont="1" applyBorder="1" applyAlignment="1">
      <alignment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165" fontId="11" fillId="0" borderId="2" xfId="0" applyNumberFormat="1" applyFont="1" applyBorder="1" applyAlignment="1">
      <alignment horizontal="left" vertical="bottom"/>
    </xf>
    <xf numFmtId="165" fontId="8" fillId="0" borderId="29" xfId="0" applyNumberFormat="1" applyFont="1" applyBorder="1" applyAlignment="1">
      <alignment horizontal="center" vertical="bottom"/>
    </xf>
    <xf numFmtId="165" fontId="12" fillId="2" borderId="26" xfId="0" applyNumberFormat="1" applyFont="1" applyFill="1" applyBorder="1" applyAlignment="1">
      <alignment horizontal="center" vertical="bottom"/>
    </xf>
    <xf numFmtId="165" fontId="13" fillId="5" borderId="2" xfId="0" applyNumberFormat="1" applyFont="1" applyFill="1" applyBorder="1" applyAlignment="1">
      <alignment horizontal="center" vertical="bottom"/>
    </xf>
    <xf numFmtId="0" fontId="3" fillId="0" borderId="0" xfId="0" applyFont="1" applyAlignment="1">
      <alignment vertical="bottom"/>
    </xf>
    <xf numFmtId="165" fontId="14" fillId="5" borderId="1" xfId="0" applyNumberFormat="1" applyFont="1" applyFill="1" applyBorder="1" applyAlignment="1">
      <alignment horizontal="center" vertical="bottom"/>
    </xf>
    <xf numFmtId="0" fontId="2" fillId="0" borderId="27" xfId="0" applyFont="1" applyBorder="1" applyAlignment="1">
      <alignment vertical="bottom"/>
    </xf>
    <xf numFmtId="165" fontId="15" fillId="5" borderId="5" xfId="0" applyNumberFormat="1" applyFont="1" applyFill="1" applyBorder="1" applyAlignment="1">
      <alignment vertical="bottom"/>
    </xf>
    <xf numFmtId="165" fontId="15" fillId="4" borderId="5" xfId="0" applyNumberFormat="1" applyFont="1" applyFill="1" applyBorder="1" applyAlignment="1">
      <alignment vertical="bottom"/>
    </xf>
    <xf numFmtId="165" fontId="15" fillId="4" borderId="26" xfId="0" applyNumberFormat="1" applyFont="1" applyFill="1" applyBorder="1" applyAlignment="1">
      <alignment horizontal="center" vertical="bottom"/>
    </xf>
    <xf numFmtId="165" fontId="15" fillId="4" borderId="24" xfId="0" applyNumberFormat="1" applyFont="1" applyFill="1" applyBorder="1" applyAlignment="1">
      <alignment vertical="bottom"/>
    </xf>
    <xf numFmtId="165" fontId="15" fillId="4" borderId="25" xfId="0" applyNumberFormat="1" applyFont="1" applyFill="1" applyBorder="1" applyAlignment="1">
      <alignment vertical="bottom"/>
    </xf>
    <xf numFmtId="165" fontId="15" fillId="5" borderId="15" xfId="0" applyNumberFormat="1" applyFont="1" applyFill="1" applyBorder="1" applyAlignment="1">
      <alignment vertical="bottom"/>
    </xf>
    <xf numFmtId="165" fontId="16" fillId="0" borderId="30" xfId="0" applyNumberFormat="1" applyFont="1" applyBorder="1" applyAlignment="1">
      <alignment vertical="bottom"/>
    </xf>
    <xf numFmtId="165" fontId="16" fillId="0" borderId="31" xfId="0" applyNumberFormat="1" applyFont="1" applyBorder="1" applyAlignment="1">
      <alignment horizontal="center" vertical="bottom"/>
    </xf>
    <xf numFmtId="0" fontId="2" fillId="0" borderId="30" xfId="0" applyFont="1" applyBorder="1" applyAlignment="1">
      <alignment vertical="bottom"/>
    </xf>
    <xf numFmtId="165" fontId="15" fillId="0" borderId="32" xfId="0" applyNumberFormat="1" applyFont="1" applyBorder="1" applyAlignment="1">
      <alignment vertical="bottom"/>
    </xf>
    <xf numFmtId="165" fontId="15" fillId="0" borderId="33" xfId="0" applyNumberFormat="1" applyFont="1" applyBorder="1" applyAlignment="1">
      <alignment vertical="bottom"/>
    </xf>
    <xf numFmtId="165" fontId="15" fillId="5" borderId="12" xfId="0" applyNumberFormat="1" applyFont="1" applyFill="1" applyBorder="1" applyAlignment="1">
      <alignment vertical="bottom"/>
    </xf>
    <xf numFmtId="165" fontId="16" fillId="0" borderId="34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center" vertical="bottom"/>
    </xf>
    <xf numFmtId="0" fontId="2" fillId="0" borderId="34" xfId="0" applyFont="1" applyBorder="1" applyAlignment="1">
      <alignment vertical="bottom"/>
    </xf>
    <xf numFmtId="165" fontId="15" fillId="0" borderId="36" xfId="0" applyNumberFormat="1" applyFont="1" applyBorder="1" applyAlignment="1">
      <alignment vertical="bottom"/>
    </xf>
    <xf numFmtId="165" fontId="15" fillId="0" borderId="37" xfId="0" applyNumberFormat="1" applyFont="1" applyBorder="1" applyAlignment="1">
      <alignment vertical="bottom"/>
    </xf>
    <xf numFmtId="165" fontId="16" fillId="5" borderId="12" xfId="0" applyNumberFormat="1" applyFont="1" applyFill="1" applyBorder="1" applyAlignment="1">
      <alignment vertical="bottom"/>
    </xf>
    <xf numFmtId="165" fontId="17" fillId="4" borderId="26" xfId="0" applyNumberFormat="1" applyFont="1" applyFill="1" applyBorder="1" applyAlignment="1">
      <alignment horizontal="center" vertical="bottom"/>
    </xf>
    <xf numFmtId="165" fontId="15" fillId="2" borderId="5" xfId="0" applyNumberFormat="1" applyFont="1" applyFill="1" applyBorder="1" applyAlignment="1">
      <alignment horizontal="center" vertical="bottom"/>
    </xf>
    <xf numFmtId="165" fontId="15" fillId="0" borderId="5" xfId="0" applyNumberFormat="1" applyFont="1" applyBorder="1" applyAlignment="1">
      <alignment horizontal="center" vertical="bottom"/>
    </xf>
    <xf numFmtId="165" fontId="15" fillId="0" borderId="5" xfId="0" applyNumberFormat="1" applyFont="1" applyBorder="1" applyAlignment="1">
      <alignment vertical="bottom"/>
    </xf>
    <xf numFmtId="165" fontId="15" fillId="0" borderId="25" xfId="0" applyNumberFormat="1" applyFont="1" applyBorder="1" applyAlignment="1">
      <alignment vertical="bottom"/>
    </xf>
    <xf numFmtId="165" fontId="15" fillId="2" borderId="8" xfId="0" applyNumberFormat="1" applyFont="1" applyFill="1" applyBorder="1" applyAlignment="1">
      <alignment horizontal="left" vertical="bottom"/>
    </xf>
    <xf numFmtId="165" fontId="16" fillId="0" borderId="9" xfId="0" applyNumberFormat="1" applyFont="1" applyBorder="1" applyAlignment="1">
      <alignment horizontal="center" vertical="bottom"/>
    </xf>
    <xf numFmtId="165" fontId="15" fillId="0" borderId="10" xfId="0" applyNumberFormat="1" applyFont="1" applyBorder="1" applyAlignment="1">
      <alignment vertical="bottom"/>
    </xf>
    <xf numFmtId="165" fontId="15" fillId="0" borderId="9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horizontal="left" vertical="bottom"/>
    </xf>
    <xf numFmtId="165" fontId="16" fillId="0" borderId="12" xfId="0" applyNumberFormat="1" applyFont="1" applyBorder="1" applyAlignment="1">
      <alignment horizontal="center" vertical="bottom"/>
    </xf>
    <xf numFmtId="165" fontId="15" fillId="0" borderId="13" xfId="0" applyNumberFormat="1" applyFont="1" applyBorder="1" applyAlignment="1">
      <alignment vertical="bottom"/>
    </xf>
    <xf numFmtId="165" fontId="15" fillId="0" borderId="12" xfId="0" applyNumberFormat="1" applyFont="1" applyBorder="1" applyAlignment="1">
      <alignment vertical="bottom"/>
    </xf>
    <xf numFmtId="165" fontId="15" fillId="2" borderId="11" xfId="0" applyNumberFormat="1" applyFont="1" applyFill="1" applyBorder="1" applyAlignment="1">
      <alignment vertical="bottom"/>
    </xf>
    <xf numFmtId="165" fontId="16" fillId="0" borderId="12" xfId="0" applyNumberFormat="1" applyFont="1" applyBorder="1" applyAlignment="1">
      <alignment vertical="bottom"/>
    </xf>
    <xf numFmtId="165" fontId="16" fillId="0" borderId="15" xfId="0" applyNumberFormat="1" applyFont="1" applyBorder="1" applyAlignment="1">
      <alignment horizontal="center" vertical="bottom"/>
    </xf>
    <xf numFmtId="165" fontId="15" fillId="2" borderId="38" xfId="0" applyNumberFormat="1" applyFont="1" applyFill="1" applyBorder="1" applyAlignment="1">
      <alignment vertical="bottom"/>
    </xf>
    <xf numFmtId="165" fontId="16" fillId="0" borderId="14" xfId="0" applyNumberFormat="1" applyFont="1" applyBorder="1" applyAlignment="1">
      <alignment vertical="bottom"/>
    </xf>
    <xf numFmtId="165" fontId="15" fillId="0" borderId="39" xfId="0" applyNumberFormat="1" applyFont="1" applyBorder="1" applyAlignment="1">
      <alignment vertical="bottom"/>
    </xf>
    <xf numFmtId="165" fontId="15" fillId="0" borderId="40" xfId="0" applyNumberFormat="1" applyFont="1" applyBorder="1" applyAlignment="1">
      <alignment vertical="bottom"/>
    </xf>
    <xf numFmtId="165" fontId="15" fillId="0" borderId="14" xfId="0" applyNumberFormat="1" applyFont="1" applyBorder="1" applyAlignment="1">
      <alignment vertical="bottom"/>
    </xf>
    <xf numFmtId="165" fontId="15" fillId="2" borderId="41" xfId="0" applyNumberFormat="1" applyFont="1" applyFill="1" applyBorder="1">
      <alignment vertical="center"/>
    </xf>
    <xf numFmtId="165" fontId="16" fillId="2" borderId="42" xfId="0" applyNumberFormat="1" applyFont="1" applyFill="1" applyBorder="1" applyAlignment="1">
      <alignment vertical="bottom"/>
    </xf>
    <xf numFmtId="165" fontId="15" fillId="2" borderId="43" xfId="0" applyNumberFormat="1" applyFont="1" applyFill="1" applyBorder="1" applyAlignment="1">
      <alignment vertical="bottom"/>
    </xf>
    <xf numFmtId="165" fontId="15" fillId="2" borderId="5" xfId="0" applyNumberFormat="1" applyFont="1" applyFill="1" applyBorder="1" applyAlignment="1">
      <alignment vertical="bottom"/>
    </xf>
    <xf numFmtId="165" fontId="15" fillId="2" borderId="44" xfId="0" applyNumberFormat="1" applyFont="1" applyFill="1" applyBorder="1" applyAlignment="1">
      <alignment vertical="bottom"/>
    </xf>
    <xf numFmtId="165" fontId="15" fillId="2" borderId="45" xfId="0" applyNumberFormat="1" applyFont="1" applyFill="1" applyBorder="1" applyAlignment="1">
      <alignment vertical="bottom"/>
    </xf>
    <xf numFmtId="165" fontId="15" fillId="4" borderId="46" xfId="0" applyNumberFormat="1" applyFont="1" applyFill="1" applyBorder="1" applyAlignment="1">
      <alignment horizontal="center" vertical="center"/>
    </xf>
    <xf numFmtId="0" fontId="2" fillId="0" borderId="47" xfId="0" applyFont="1" applyBorder="1" applyAlignment="1">
      <alignment vertical="bottom"/>
    </xf>
    <xf numFmtId="165" fontId="16" fillId="4" borderId="48" xfId="0" applyNumberFormat="1" applyFont="1" applyFill="1" applyBorder="1" applyAlignment="1">
      <alignment vertical="bottom"/>
    </xf>
    <xf numFmtId="165" fontId="16" fillId="2" borderId="6" xfId="0" applyNumberFormat="1" applyFont="1" applyFill="1" applyBorder="1" applyAlignment="1">
      <alignment vertical="bottom"/>
    </xf>
    <xf numFmtId="165" fontId="16" fillId="4" borderId="26" xfId="0" applyNumberFormat="1" applyFont="1" applyFill="1" applyBorder="1" applyAlignment="1">
      <alignment horizontal="center" vertical="bottom"/>
    </xf>
    <xf numFmtId="165" fontId="16" fillId="4" borderId="5" xfId="0" applyNumberFormat="1" applyFont="1" applyFill="1" applyBorder="1" applyAlignment="1">
      <alignment vertical="bottom"/>
    </xf>
    <xf numFmtId="165" fontId="16" fillId="4" borderId="25" xfId="0" applyNumberFormat="1" applyFont="1" applyFill="1" applyBorder="1" applyAlignment="1">
      <alignment vertical="bottom"/>
    </xf>
    <xf numFmtId="0" fontId="15" fillId="0" borderId="21" xfId="0" applyFont="1" applyBorder="1" applyAlignment="1">
      <alignment horizontal="left" vertical="bottom"/>
    </xf>
    <xf numFmtId="165" fontId="16" fillId="0" borderId="22" xfId="0" applyNumberFormat="1" applyFont="1" applyBorder="1" applyAlignment="1">
      <alignment vertical="bottom"/>
    </xf>
    <xf numFmtId="165" fontId="15" fillId="2" borderId="2" xfId="0" applyNumberFormat="1" applyFont="1" applyFill="1" applyBorder="1" applyAlignment="1">
      <alignment vertical="bottom"/>
    </xf>
    <xf numFmtId="165" fontId="16" fillId="0" borderId="32" xfId="0" applyNumberFormat="1" applyFont="1" applyBorder="1" applyAlignment="1">
      <alignment vertical="bottom"/>
    </xf>
    <xf numFmtId="165" fontId="16" fillId="0" borderId="33" xfId="0" applyNumberFormat="1" applyFont="1" applyBorder="1" applyAlignment="1">
      <alignment vertical="bottom"/>
    </xf>
    <xf numFmtId="0" fontId="15" fillId="0" borderId="26" xfId="0" applyFont="1" applyBorder="1" applyAlignment="1">
      <alignment horizontal="left" vertical="bottom"/>
    </xf>
    <xf numFmtId="165" fontId="16" fillId="0" borderId="1" xfId="0" applyNumberFormat="1" applyFont="1" applyBorder="1" applyAlignment="1">
      <alignment vertical="bottom"/>
    </xf>
    <xf numFmtId="165" fontId="15" fillId="2" borderId="26" xfId="0" applyNumberFormat="1" applyFont="1" applyFill="1" applyBorder="1" applyAlignment="1">
      <alignment vertical="bottom"/>
    </xf>
    <xf numFmtId="165" fontId="16" fillId="0" borderId="36" xfId="0" applyNumberFormat="1" applyFont="1" applyBorder="1" applyAlignment="1">
      <alignment vertical="bottom"/>
    </xf>
    <xf numFmtId="165" fontId="16" fillId="0" borderId="37" xfId="0" applyNumberFormat="1" applyFont="1" applyBorder="1" applyAlignment="1">
      <alignment vertical="bottom"/>
    </xf>
    <xf numFmtId="165" fontId="16" fillId="0" borderId="26" xfId="0" applyNumberFormat="1" applyFont="1" applyBorder="1" applyAlignment="1">
      <alignment vertical="bottom"/>
    </xf>
    <xf numFmtId="165" fontId="16" fillId="0" borderId="35" xfId="0" applyNumberFormat="1" applyFont="1" applyBorder="1" applyAlignment="1">
      <alignment horizontal="left" vertical="bottom"/>
    </xf>
    <xf numFmtId="0" fontId="15" fillId="0" borderId="2" xfId="0" applyFont="1" applyBorder="1" applyAlignment="1">
      <alignment horizontal="left" vertical="bottom"/>
    </xf>
    <xf numFmtId="165" fontId="16" fillId="0" borderId="2" xfId="0" applyNumberFormat="1" applyFont="1" applyBorder="1" applyAlignment="1">
      <alignment vertical="bottom"/>
    </xf>
    <xf numFmtId="165" fontId="16" fillId="0" borderId="13" xfId="0" applyNumberFormat="1" applyFont="1" applyBorder="1" applyAlignment="1">
      <alignment horizontal="left" vertical="bottom"/>
    </xf>
    <xf numFmtId="3" fontId="16" fillId="0" borderId="25" xfId="0" applyNumberFormat="1" applyFont="1" applyBorder="1" applyAlignment="1">
      <alignment vertical="bottom"/>
    </xf>
    <xf numFmtId="0" fontId="16" fillId="0" borderId="13" xfId="0" applyFont="1" applyBorder="1" applyAlignment="1">
      <alignment horizontal="left" vertical="bottom"/>
    </xf>
    <xf numFmtId="0" fontId="16" fillId="0" borderId="25" xfId="0" applyFont="1" applyBorder="1" applyAlignment="1">
      <alignment vertical="bottom"/>
    </xf>
    <xf numFmtId="165" fontId="15" fillId="2" borderId="15" xfId="0" applyNumberFormat="1" applyFont="1" applyFill="1" applyBorder="1" applyAlignment="1">
      <alignment vertical="bottom"/>
    </xf>
    <xf numFmtId="165" fontId="16" fillId="0" borderId="28" xfId="0" applyNumberFormat="1" applyFont="1" applyBorder="1" applyAlignment="1">
      <alignment vertical="bottom"/>
    </xf>
    <xf numFmtId="0" fontId="15" fillId="2" borderId="14" xfId="0" applyFont="1" applyFill="1" applyBorder="1" applyAlignment="1">
      <alignment vertical="bottom"/>
    </xf>
    <xf numFmtId="0" fontId="16" fillId="0" borderId="19" xfId="0" applyFont="1" applyBorder="1" applyAlignment="1">
      <alignment horizontal="left" vertical="bottom"/>
    </xf>
    <xf numFmtId="0" fontId="2" fillId="0" borderId="49" xfId="0" applyFont="1" applyBorder="1" applyAlignment="1">
      <alignment vertical="bottom"/>
    </xf>
    <xf numFmtId="0" fontId="16" fillId="0" borderId="49" xfId="0" applyFont="1" applyBorder="1" applyAlignment="1">
      <alignment vertical="bottom"/>
    </xf>
    <xf numFmtId="0" fontId="16" fillId="0" borderId="50" xfId="0" applyFont="1" applyBorder="1" applyAlignment="1">
      <alignment vertical="bottom"/>
    </xf>
    <xf numFmtId="165" fontId="18" fillId="0" borderId="2" xfId="0" applyNumberFormat="1" applyFont="1" applyBorder="1" applyAlignment="1">
      <alignment horizontal="center" vertical="bottom"/>
    </xf>
    <xf numFmtId="0" fontId="15" fillId="0" borderId="0" xfId="0" applyFont="1" applyAlignment="1">
      <alignment vertical="bottom"/>
    </xf>
    <xf numFmtId="165" fontId="13" fillId="2" borderId="26" xfId="0" applyNumberFormat="1" applyFont="1" applyFill="1" applyBorder="1" applyAlignment="1">
      <alignment horizontal="center" vertical="bottom"/>
    </xf>
    <xf numFmtId="0" fontId="19" fillId="2" borderId="26" xfId="0" applyFont="1" applyFill="1" applyBorder="1" applyAlignment="1">
      <alignment horizontal="left" vertical="bottom"/>
    </xf>
    <xf numFmtId="165" fontId="16" fillId="0" borderId="26" xfId="0" applyNumberFormat="1" applyFont="1" applyBorder="1" applyAlignment="1">
      <alignment horizontal="center" vertical="bottom"/>
    </xf>
    <xf numFmtId="165" fontId="16" fillId="0" borderId="1" xfId="0" applyNumberFormat="1" applyFont="1" applyBorder="1" applyAlignment="1">
      <alignment horizontal="center" vertical="bottom"/>
    </xf>
    <xf numFmtId="0" fontId="5" fillId="2" borderId="26" xfId="0" applyFont="1" applyFill="1" applyBorder="1" applyAlignment="1">
      <alignment horizontal="left" vertical="bottom"/>
    </xf>
    <xf numFmtId="165" fontId="20" fillId="0" borderId="26" xfId="0" applyNumberFormat="1" applyFont="1" applyBorder="1" applyAlignment="1">
      <alignment horizontal="center" vertical="bottom"/>
    </xf>
    <xf numFmtId="0" fontId="3" fillId="0" borderId="26" xfId="0" applyFont="1" applyBorder="1" applyAlignment="1">
      <alignment horizontal="center" vertical="bottom"/>
    </xf>
    <xf numFmtId="165" fontId="13" fillId="6" borderId="2" xfId="0" applyNumberFormat="1" applyFont="1" applyFill="1" applyBorder="1" applyAlignment="1">
      <alignment horizontal="center" vertical="bottom"/>
    </xf>
    <xf numFmtId="165" fontId="14" fillId="6" borderId="1" xfId="0" applyNumberFormat="1" applyFont="1" applyFill="1" applyBorder="1" applyAlignment="1">
      <alignment horizontal="center" vertical="bottom"/>
    </xf>
    <xf numFmtId="165" fontId="15" fillId="2" borderId="12" xfId="0" applyNumberFormat="1" applyFont="1" applyFill="1" applyBorder="1" applyAlignment="1">
      <alignment vertical="bottom"/>
    </xf>
    <xf numFmtId="165" fontId="16" fillId="2" borderId="12" xfId="0" applyNumberFormat="1" applyFont="1" applyFill="1" applyBorder="1" applyAlignment="1">
      <alignment vertical="bottom"/>
    </xf>
    <xf numFmtId="0" fontId="3" fillId="0" borderId="0" xfId="0" applyFont="1" applyBorder="1" applyAlignment="1">
      <alignment vertical="bottom"/>
    </xf>
    <xf numFmtId="165" fontId="13" fillId="2" borderId="21" xfId="0" applyNumberFormat="1" applyFont="1" applyFill="1" applyBorder="1" applyAlignment="1">
      <alignment horizontal="center" vertical="bottom"/>
    </xf>
    <xf numFmtId="0" fontId="2" fillId="0" borderId="23" xfId="0" applyFont="1" applyBorder="1" applyAlignment="1">
      <alignment vertical="bottom"/>
    </xf>
    <xf numFmtId="0" fontId="2" fillId="0" borderId="28" xfId="0" applyFont="1" applyBorder="1" applyAlignment="1">
      <alignment vertical="bottom"/>
    </xf>
    <xf numFmtId="0" fontId="5" fillId="2" borderId="26" xfId="0" applyFont="1" applyFill="1" applyBorder="1" applyAlignment="1">
      <alignment horizontal="center" vertical="bottom"/>
    </xf>
    <xf numFmtId="165" fontId="21" fillId="2" borderId="26" xfId="0" applyNumberFormat="1" applyFont="1" applyFill="1" applyBorder="1" applyAlignment="1">
      <alignment horizontal="center" vertical="bottom"/>
    </xf>
    <xf numFmtId="165" fontId="22" fillId="0" borderId="26" xfId="0" applyNumberFormat="1" applyFont="1" applyBorder="1" applyAlignment="1">
      <alignment horizontal="center" vertical="bottom"/>
    </xf>
    <xf numFmtId="165" fontId="23" fillId="0" borderId="51" xfId="1" applyNumberFormat="1" applyFont="1" applyBorder="1" applyAlignment="1">
      <alignment vertical="bottom"/>
      <protection locked="0" hidden="0"/>
    </xf>
    <xf numFmtId="165" fontId="23" fillId="0" borderId="52" xfId="1" applyNumberFormat="1" applyFont="1" applyBorder="1" applyAlignment="1">
      <alignment vertical="bottom"/>
      <protection locked="0" hidden="0"/>
    </xf>
    <xf numFmtId="165" fontId="23" fillId="0" borderId="53" xfId="1" applyNumberFormat="1" applyFont="1" applyBorder="1" applyAlignment="1">
      <alignment vertical="bottom"/>
      <protection locked="0" hidden="0"/>
    </xf>
    <xf numFmtId="165" fontId="23" fillId="0" borderId="54" xfId="1" applyNumberFormat="1" applyFont="1" applyBorder="1" applyAlignment="1">
      <alignment vertical="bottom"/>
      <protection locked="0" hidden="0"/>
    </xf>
    <xf numFmtId="0" fontId="15" fillId="0" borderId="55" xfId="0" applyFont="1" applyBorder="1" applyAlignment="1">
      <alignment horizontal="left" vertical="bottom"/>
    </xf>
    <xf numFmtId="0" fontId="2" fillId="0" borderId="56" xfId="0" applyFont="1" applyBorder="1" applyAlignment="1">
      <alignment vertical="bottom"/>
    </xf>
    <xf numFmtId="165" fontId="16" fillId="0" borderId="57" xfId="0" applyNumberFormat="1" applyFont="1" applyBorder="1" applyAlignment="1">
      <alignment horizontal="center" vertical="bottom"/>
    </xf>
    <xf numFmtId="0" fontId="2" fillId="0" borderId="58" xfId="0" applyFont="1" applyBorder="1" applyAlignment="1">
      <alignment vertical="bottom"/>
    </xf>
    <xf numFmtId="165" fontId="16" fillId="0" borderId="11" xfId="0" applyNumberFormat="1" applyFont="1" applyBorder="1" applyAlignment="1">
      <alignment horizontal="left" vertical="bottom"/>
    </xf>
    <xf numFmtId="0" fontId="16" fillId="0" borderId="11" xfId="0" applyFont="1" applyBorder="1" applyAlignment="1">
      <alignment horizontal="left" vertical="bottom"/>
    </xf>
    <xf numFmtId="0" fontId="16" fillId="0" borderId="18" xfId="0" applyFont="1" applyBorder="1" applyAlignment="1">
      <alignment horizontal="left" vertical="bottom"/>
    </xf>
    <xf numFmtId="165" fontId="24" fillId="2" borderId="26" xfId="0" applyNumberFormat="1" applyFont="1" applyFill="1" applyBorder="1" applyAlignment="1">
      <alignment horizontal="center" vertical="bottom"/>
    </xf>
    <xf numFmtId="0" fontId="25" fillId="2" borderId="26" xfId="0" applyFont="1" applyFill="1" applyBorder="1" applyAlignment="1">
      <alignment horizontal="left" vertical="bottom"/>
    </xf>
    <xf numFmtId="165" fontId="26" fillId="0" borderId="26" xfId="0" applyNumberFormat="1" applyFont="1" applyBorder="1" applyAlignment="1">
      <alignment horizontal="center" vertical="bottom"/>
    </xf>
    <xf numFmtId="0" fontId="21" fillId="2" borderId="26" xfId="0" applyFont="1" applyFill="1" applyBorder="1" applyAlignment="1">
      <alignment horizontal="left" vertical="bottom"/>
    </xf>
    <xf numFmtId="165" fontId="27" fillId="2" borderId="26" xfId="0" applyNumberFormat="1" applyFont="1" applyFill="1" applyBorder="1" applyAlignment="1">
      <alignment horizontal="center" vertical="bottom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www.wps.cn/officeDocument/2020/cellImage" Target="cellimages.xml"/><Relationship Id="rId28" Type="http://schemas.openxmlformats.org/officeDocument/2006/relationships/sharedStrings" Target="sharedStrings.xml"/><Relationship Id="rId29" Type="http://schemas.openxmlformats.org/officeDocument/2006/relationships/styles" Target="styles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238"/>
  <sheetViews>
    <sheetView workbookViewId="0">
      <selection activeCell="A1" sqref="A1:K1"/>
    </sheetView>
  </sheetViews>
  <sheetFormatPr defaultRowHeight="15.0" customHeight="1" defaultColWidth="14"/>
  <cols>
    <col min="1" max="1" customWidth="1" width="22.816406" style="0"/>
    <col min="2" max="2" customWidth="1" width="28.269531" style="0"/>
    <col min="3" max="3" customWidth="1" width="24.453125" style="0"/>
    <col min="4" max="4" customWidth="1" width="16.089844" style="0"/>
    <col min="5" max="5" customWidth="1" width="21.726562" style="0"/>
    <col min="6" max="6" customWidth="1" width="20.542969" style="0"/>
    <col min="7" max="7" customWidth="1" width="20.089844" style="0"/>
    <col min="8" max="8" customWidth="1" width="17.0" style="0"/>
    <col min="9" max="9" customWidth="1" width="16.816406" style="0"/>
    <col min="10" max="10" customWidth="1" width="14.542969" style="0"/>
    <col min="11" max="11" customWidth="1" width="8.816406" style="0"/>
    <col min="12" max="12" customWidth="1" width="19.816406" style="0"/>
    <col min="13" max="15" customWidth="1" width="8.816406" style="0"/>
  </cols>
  <sheetData>
    <row r="1" spans="8:8" ht="18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</row>
    <row r="2" spans="8:8" ht="30.75" customHeight="1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7"/>
      <c r="L2" s="4"/>
      <c r="M2" s="4"/>
      <c r="N2" s="4"/>
      <c r="O2" s="4"/>
    </row>
    <row r="3" spans="8:8" ht="15.0" customHeight="1">
      <c r="A3" s="8"/>
      <c r="B3" s="9"/>
      <c r="C3" s="9"/>
      <c r="D3" s="9"/>
      <c r="E3" s="9"/>
      <c r="F3" s="9"/>
      <c r="G3" s="9"/>
      <c r="H3" s="9"/>
      <c r="I3" s="9"/>
      <c r="J3" s="9"/>
      <c r="K3" s="10"/>
      <c r="L3" s="4"/>
      <c r="M3" s="4"/>
      <c r="N3" s="4"/>
      <c r="O3" s="4"/>
    </row>
    <row r="4" spans="8:8" ht="18.0" customHeight="1">
      <c r="A4" s="11" t="s">
        <v>2</v>
      </c>
      <c r="B4" s="12" t="s">
        <v>3</v>
      </c>
      <c r="C4" s="13" t="s">
        <v>4</v>
      </c>
      <c r="D4" s="14" t="s">
        <v>5</v>
      </c>
      <c r="E4" s="13" t="s">
        <v>6</v>
      </c>
      <c r="F4" s="13" t="s">
        <v>7</v>
      </c>
      <c r="G4" s="15" t="s">
        <v>8</v>
      </c>
      <c r="H4" s="15" t="s">
        <v>9</v>
      </c>
      <c r="I4" s="16" t="s">
        <v>10</v>
      </c>
      <c r="J4" s="13" t="s">
        <v>11</v>
      </c>
      <c r="K4" s="17"/>
      <c r="L4" s="4"/>
      <c r="M4" s="18"/>
      <c r="N4" s="4"/>
      <c r="O4" s="4"/>
    </row>
    <row r="5" spans="8:8" ht="18.0" customHeight="1">
      <c r="A5" s="19" t="s">
        <v>12</v>
      </c>
      <c r="B5" s="20">
        <f>GISOZI!F37</f>
        <v>0.0</v>
      </c>
      <c r="C5" s="21">
        <f>GISOZI!G37</f>
        <v>0.0</v>
      </c>
      <c r="D5" s="22"/>
      <c r="E5" s="21"/>
      <c r="F5" s="23">
        <f t="shared" si="0" ref="F5:F28">SUM(B5:C5)</f>
        <v>0.0</v>
      </c>
      <c r="G5" s="21">
        <f>GISOZI!C41</f>
        <v>0.0</v>
      </c>
      <c r="H5" s="21">
        <f>GISOZI!C39</f>
        <v>0.0</v>
      </c>
      <c r="I5" s="21">
        <f>GISOZI!C42</f>
        <v>0.0</v>
      </c>
      <c r="J5" s="21">
        <f>GISOZI!C40</f>
        <v>0.0</v>
      </c>
      <c r="K5" s="17"/>
      <c r="L5" s="4"/>
      <c r="M5" s="24"/>
      <c r="N5" s="4"/>
      <c r="O5" s="4"/>
    </row>
    <row r="6" spans="8:8" ht="18.0" customHeight="1">
      <c r="A6" s="25" t="s">
        <v>13</v>
      </c>
      <c r="B6" s="26">
        <f>GAHANGA!F29</f>
        <v>0.0</v>
      </c>
      <c r="C6" s="27">
        <f>GAHANGA!G29</f>
        <v>0.0</v>
      </c>
      <c r="D6" s="28"/>
      <c r="E6" s="27"/>
      <c r="F6" s="23">
        <f t="shared" si="0"/>
        <v>0.0</v>
      </c>
      <c r="G6" s="27">
        <f>GAHANGA!C33</f>
        <v>0.0</v>
      </c>
      <c r="H6" s="27">
        <f>GAHANGA!C31</f>
        <v>0.0</v>
      </c>
      <c r="I6" s="27">
        <f>GAHANGA!C34</f>
        <v>0.0</v>
      </c>
      <c r="J6" s="27">
        <f>GAHANGA!C32</f>
        <v>0.0</v>
      </c>
      <c r="K6" s="17"/>
      <c r="L6" s="4"/>
      <c r="M6" s="24"/>
      <c r="N6" s="4"/>
      <c r="O6" s="4"/>
    </row>
    <row r="7" spans="8:8" ht="18.0" customHeight="1">
      <c r="A7" s="25" t="s">
        <v>14</v>
      </c>
      <c r="B7" s="26">
        <f>KIMIRONKO!F37</f>
        <v>7667622.0</v>
      </c>
      <c r="C7" s="27">
        <f>KIMIRONKO!G37</f>
        <v>695700.0</v>
      </c>
      <c r="D7" s="28"/>
      <c r="E7" s="27"/>
      <c r="F7" s="23">
        <f t="shared" si="0"/>
        <v>8363322.0</v>
      </c>
      <c r="G7" s="27">
        <f>KIMIRONKO!C41</f>
        <v>0.0</v>
      </c>
      <c r="H7" s="27">
        <f>KIMIRONKO!C39</f>
        <v>8363322.0</v>
      </c>
      <c r="I7" s="27">
        <f>KIMIRONKO!C42</f>
        <v>0.0</v>
      </c>
      <c r="J7" s="27">
        <f>KIMIRONKO!C40</f>
        <v>0.0</v>
      </c>
      <c r="K7" s="17"/>
      <c r="L7" s="4"/>
      <c r="M7" s="24"/>
      <c r="N7" s="4"/>
      <c r="O7" s="4"/>
    </row>
    <row r="8" spans="8:8" ht="18.0" customHeight="1">
      <c r="A8" s="25" t="s">
        <v>15</v>
      </c>
      <c r="B8" s="26">
        <f>BISHENYI!F29</f>
        <v>0.0</v>
      </c>
      <c r="C8" s="27">
        <f>BISHENYI!G29</f>
        <v>0.0</v>
      </c>
      <c r="D8" s="28"/>
      <c r="E8" s="27"/>
      <c r="F8" s="23">
        <f t="shared" si="0"/>
        <v>0.0</v>
      </c>
      <c r="G8" s="26">
        <f>BISHENYI!C33</f>
        <v>0.0</v>
      </c>
      <c r="H8" s="27">
        <f>BISHENYI!C31</f>
        <v>0.0</v>
      </c>
      <c r="I8" s="27">
        <f>BISHENYI!C34</f>
        <v>0.0</v>
      </c>
      <c r="J8" s="27">
        <f>BISHENYI!C32</f>
        <v>0.0</v>
      </c>
      <c r="K8" s="17"/>
      <c r="L8" s="4"/>
      <c r="M8" s="24"/>
      <c r="N8" s="4"/>
      <c r="O8" s="4"/>
    </row>
    <row r="9" spans="8:8" ht="18.0" customHeight="1">
      <c r="A9" s="25" t="s">
        <v>16</v>
      </c>
      <c r="B9" s="26">
        <f>RWAMAGANA!F29</f>
        <v>0.0</v>
      </c>
      <c r="C9" s="27">
        <f>RWAMAGANA!G29</f>
        <v>0.0</v>
      </c>
      <c r="D9" s="28"/>
      <c r="E9" s="27"/>
      <c r="F9" s="23">
        <f t="shared" si="0"/>
        <v>0.0</v>
      </c>
      <c r="G9" s="26">
        <f>RWAMAGANA!C33</f>
        <v>0.0</v>
      </c>
      <c r="H9" s="27">
        <f>RWAMAGANA!C31</f>
        <v>0.0</v>
      </c>
      <c r="I9" s="27">
        <f>RWAMAGANA!C34</f>
        <v>0.0</v>
      </c>
      <c r="J9" s="27">
        <f>RWAMAGANA!C32</f>
        <v>0.0</v>
      </c>
      <c r="K9" s="17"/>
      <c r="L9" s="4"/>
      <c r="M9" s="24"/>
      <c r="N9" s="4"/>
      <c r="O9" s="4"/>
    </row>
    <row r="10" spans="8:8" ht="18.0" customHeight="1">
      <c r="A10" s="25" t="s">
        <v>17</v>
      </c>
      <c r="B10" s="26">
        <f>BUGESERA!F29</f>
        <v>230634.0</v>
      </c>
      <c r="C10" s="27">
        <f>BUGESERA!G29</f>
        <v>21480.0</v>
      </c>
      <c r="D10" s="28"/>
      <c r="E10" s="27"/>
      <c r="F10" s="23">
        <f t="shared" si="0"/>
        <v>252114.0</v>
      </c>
      <c r="G10" s="26">
        <f>BUGESERA!C33</f>
        <v>0.0</v>
      </c>
      <c r="H10" s="27">
        <f>BUGESERA!C31</f>
        <v>714168.0</v>
      </c>
      <c r="I10" s="27">
        <f>BUGESERA!C34</f>
        <v>0.0</v>
      </c>
      <c r="J10" s="27">
        <f>BUGESERA!C32</f>
        <v>0.0</v>
      </c>
      <c r="K10" s="17"/>
      <c r="L10" s="4"/>
      <c r="M10" s="24"/>
      <c r="N10" s="4"/>
      <c r="O10" s="4"/>
    </row>
    <row r="11" spans="8:8" ht="18.0" customHeight="1">
      <c r="A11" s="25" t="s">
        <v>18</v>
      </c>
      <c r="B11" s="26">
        <f>MUHANGA!F37</f>
        <v>0.0</v>
      </c>
      <c r="C11" s="27">
        <f>MUHANGA!G37</f>
        <v>0.0</v>
      </c>
      <c r="D11" s="28"/>
      <c r="E11" s="27"/>
      <c r="F11" s="23">
        <f t="shared" si="0"/>
        <v>0.0</v>
      </c>
      <c r="G11" s="26">
        <f>MUHANGA!C41</f>
        <v>0.0</v>
      </c>
      <c r="H11" s="27">
        <f>MUHANGA!C39</f>
        <v>0.0</v>
      </c>
      <c r="I11" s="27">
        <f>MUHANGA!C42</f>
        <v>0.0</v>
      </c>
      <c r="J11" s="27">
        <f>MUHANGA!C40</f>
        <v>0.0</v>
      </c>
      <c r="K11" s="17"/>
      <c r="L11" s="4"/>
      <c r="M11" s="24"/>
      <c r="N11" s="4"/>
      <c r="O11" s="4"/>
    </row>
    <row r="12" spans="8:8" ht="18.0" customHeight="1">
      <c r="A12" s="25" t="s">
        <v>19</v>
      </c>
      <c r="B12" s="26">
        <f>RUHANGO!F37</f>
        <v>0.0</v>
      </c>
      <c r="C12" s="27">
        <f>RUHANGO!G37</f>
        <v>0.0</v>
      </c>
      <c r="D12" s="28"/>
      <c r="E12" s="27"/>
      <c r="F12" s="23">
        <f t="shared" si="0"/>
        <v>0.0</v>
      </c>
      <c r="G12" s="26">
        <f>RUHANGO!C41</f>
        <v>0.0</v>
      </c>
      <c r="H12" s="27">
        <f>RUHANGO!C39</f>
        <v>0.0</v>
      </c>
      <c r="I12" s="27">
        <f>RUHANGO!C42</f>
        <v>0.0</v>
      </c>
      <c r="J12" s="27">
        <f>RUHANGO!C40</f>
        <v>0.0</v>
      </c>
      <c r="K12" s="17"/>
      <c r="L12" s="4"/>
      <c r="M12" s="24"/>
      <c r="N12" s="4"/>
      <c r="O12" s="4"/>
    </row>
    <row r="13" spans="8:8" ht="18.0" customHeight="1">
      <c r="A13" s="25" t="s">
        <v>20</v>
      </c>
      <c r="B13" s="26">
        <f>HUYE!F37</f>
        <v>0.0</v>
      </c>
      <c r="C13" s="27">
        <f>HUYE!G37</f>
        <v>0.0</v>
      </c>
      <c r="D13" s="28"/>
      <c r="E13" s="27"/>
      <c r="F13" s="23">
        <f t="shared" si="0"/>
        <v>0.0</v>
      </c>
      <c r="G13" s="26">
        <f>HUYE!C41</f>
        <v>0.0</v>
      </c>
      <c r="H13" s="27">
        <f>HUYE!C39</f>
        <v>0.0</v>
      </c>
      <c r="I13" s="27">
        <f>HUYE!C42</f>
        <v>0.0</v>
      </c>
      <c r="J13" s="27">
        <f>HUYE!C40</f>
        <v>0.0</v>
      </c>
      <c r="K13" s="17"/>
      <c r="L13" s="4"/>
      <c r="M13" s="24"/>
      <c r="N13" s="4"/>
      <c r="O13" s="4"/>
    </row>
    <row r="14" spans="8:8" ht="18.0" customHeight="1">
      <c r="A14" s="25" t="s">
        <v>21</v>
      </c>
      <c r="B14" s="26">
        <f>RUSIZI!F37</f>
        <v>0.0</v>
      </c>
      <c r="C14" s="27">
        <f>RUSIZI!G37</f>
        <v>0.0</v>
      </c>
      <c r="D14" s="28"/>
      <c r="E14" s="27"/>
      <c r="F14" s="23">
        <f t="shared" si="0"/>
        <v>0.0</v>
      </c>
      <c r="G14" s="26">
        <f>RUSIZI!C41</f>
        <v>0.0</v>
      </c>
      <c r="H14" s="27">
        <f>RUSIZI!C39</f>
        <v>0.0</v>
      </c>
      <c r="I14" s="27">
        <f>RUSIZI!C42</f>
        <v>0.0</v>
      </c>
      <c r="J14" s="27">
        <f>RUSIZI!C40</f>
        <v>0.0</v>
      </c>
      <c r="K14" s="17"/>
      <c r="L14" s="4"/>
      <c r="M14" s="24"/>
      <c r="N14" s="4"/>
      <c r="O14" s="4"/>
    </row>
    <row r="15" spans="8:8" ht="18.0" customHeight="1">
      <c r="A15" s="25" t="s">
        <v>22</v>
      </c>
      <c r="B15" s="26">
        <f>NYAMASHEKE!F37</f>
        <v>0.0</v>
      </c>
      <c r="C15" s="27">
        <f>NYAMASHEKE!G37</f>
        <v>0.0</v>
      </c>
      <c r="D15" s="28"/>
      <c r="E15" s="27"/>
      <c r="F15" s="23">
        <f t="shared" si="0"/>
        <v>0.0</v>
      </c>
      <c r="G15" s="26">
        <f>NYAMASHEKE!C41</f>
        <v>0.0</v>
      </c>
      <c r="H15" s="27">
        <f>NYAMASHEKE!C39</f>
        <v>0.0</v>
      </c>
      <c r="I15" s="27">
        <f>NYAMASHEKE!C42</f>
        <v>0.0</v>
      </c>
      <c r="J15" s="27">
        <f>NYAMASHEKE!C40</f>
        <v>0.0</v>
      </c>
      <c r="K15" s="17"/>
      <c r="L15" s="4"/>
      <c r="M15" s="24"/>
      <c r="N15" s="4"/>
      <c r="O15" s="4"/>
    </row>
    <row r="16" spans="8:8" ht="18.0" customHeight="1">
      <c r="A16" s="25" t="s">
        <v>23</v>
      </c>
      <c r="B16" s="26">
        <f>KARONGI!F37</f>
        <v>0.0</v>
      </c>
      <c r="C16" s="27">
        <f>KARONGI!G37</f>
        <v>0.0</v>
      </c>
      <c r="D16" s="28"/>
      <c r="E16" s="27"/>
      <c r="F16" s="23">
        <f t="shared" si="0"/>
        <v>0.0</v>
      </c>
      <c r="G16" s="26">
        <f>KARONGI!C41</f>
        <v>0.0</v>
      </c>
      <c r="H16" s="27">
        <f>KARONGI!C39</f>
        <v>0.0</v>
      </c>
      <c r="I16" s="27">
        <f>KARONGI!C42</f>
        <v>0.0</v>
      </c>
      <c r="J16" s="27">
        <f>KARONGI!C40</f>
        <v>0.0</v>
      </c>
      <c r="K16" s="17"/>
      <c r="L16" s="4"/>
      <c r="M16" s="24"/>
      <c r="N16" s="4"/>
      <c r="O16" s="4"/>
    </row>
    <row r="17" spans="8:8" ht="18.0" customHeight="1">
      <c r="A17" s="25" t="s">
        <v>24</v>
      </c>
      <c r="B17" s="26">
        <f>RUBAVU!F29</f>
        <v>0.0</v>
      </c>
      <c r="C17" s="27">
        <f>RUBAVU!G29</f>
        <v>0.0</v>
      </c>
      <c r="D17" s="28"/>
      <c r="E17" s="27"/>
      <c r="F17" s="23">
        <f t="shared" si="0"/>
        <v>0.0</v>
      </c>
      <c r="G17" s="26">
        <f>RUBAVU!C33</f>
        <v>0.0</v>
      </c>
      <c r="H17" s="27">
        <f>RUBAVU!C31</f>
        <v>0.0</v>
      </c>
      <c r="I17" s="27">
        <f>RUBAVU!C34</f>
        <v>0.0</v>
      </c>
      <c r="J17" s="27">
        <f>RUBAVU!C32</f>
        <v>0.0</v>
      </c>
      <c r="K17" s="17"/>
      <c r="L17" s="4"/>
      <c r="M17" s="24"/>
      <c r="N17" s="4"/>
      <c r="O17" s="4"/>
    </row>
    <row r="18" spans="8:8" ht="18.0" customHeight="1">
      <c r="A18" s="25" t="s">
        <v>25</v>
      </c>
      <c r="B18" s="26">
        <f>MUSANZE!F29</f>
        <v>0.0</v>
      </c>
      <c r="C18" s="27">
        <f>MUSANZE!G29</f>
        <v>0.0</v>
      </c>
      <c r="D18" s="28"/>
      <c r="E18" s="27"/>
      <c r="F18" s="23">
        <f t="shared" si="0"/>
        <v>0.0</v>
      </c>
      <c r="G18" s="26">
        <f>MUSANZE!C33</f>
        <v>0.0</v>
      </c>
      <c r="H18" s="27">
        <f>MUSANZE!C31</f>
        <v>0.0</v>
      </c>
      <c r="I18" s="27">
        <f>MUSANZE!C34</f>
        <v>0.0</v>
      </c>
      <c r="J18" s="27">
        <f>MUSANZE!C32</f>
        <v>0.0</v>
      </c>
      <c r="K18" s="17"/>
      <c r="L18" s="4"/>
      <c r="M18" s="24"/>
      <c r="N18" s="4"/>
      <c r="O18" s="4"/>
    </row>
    <row r="19" spans="8:8" ht="18.0" customHeight="1">
      <c r="A19" s="25" t="s">
        <v>26</v>
      </c>
      <c r="B19" s="26">
        <f>KAYONZA!F29</f>
        <v>0.0</v>
      </c>
      <c r="C19" s="27">
        <f>KAYONZA!G29</f>
        <v>0.0</v>
      </c>
      <c r="D19" s="28"/>
      <c r="E19" s="27"/>
      <c r="F19" s="23">
        <f t="shared" si="0"/>
        <v>0.0</v>
      </c>
      <c r="G19" s="26">
        <f>KAYONZA!C33</f>
        <v>0.0</v>
      </c>
      <c r="H19" s="27">
        <f>KAYONZA!C31</f>
        <v>0.0</v>
      </c>
      <c r="I19" s="27">
        <f>KAYONZA!C34</f>
        <v>0.0</v>
      </c>
      <c r="J19" s="27">
        <f>KAYONZA!C32</f>
        <v>0.0</v>
      </c>
      <c r="K19" s="17"/>
      <c r="L19" s="4"/>
      <c r="M19" s="24"/>
      <c r="N19" s="4"/>
      <c r="O19" s="4"/>
    </row>
    <row r="20" spans="8:8" ht="18.0" customHeight="1">
      <c r="A20" s="25" t="s">
        <v>27</v>
      </c>
      <c r="B20" s="26">
        <f>NYAGATARE!F29</f>
        <v>0.0</v>
      </c>
      <c r="C20" s="27">
        <f>NYAGATARE!G29</f>
        <v>0.0</v>
      </c>
      <c r="D20" s="29"/>
      <c r="E20" s="30"/>
      <c r="F20" s="23">
        <f t="shared" si="0"/>
        <v>0.0</v>
      </c>
      <c r="G20" s="26">
        <f>NYAGATARE!C33</f>
        <v>0.0</v>
      </c>
      <c r="H20" s="27">
        <f>NYAGATARE!C31</f>
        <v>0.0</v>
      </c>
      <c r="I20" s="27">
        <f>NYAGATARE!C34</f>
        <v>0.0</v>
      </c>
      <c r="J20" s="27">
        <f>NYAGATARE!C32</f>
        <v>0.0</v>
      </c>
      <c r="K20" s="17"/>
      <c r="L20" s="4"/>
      <c r="M20" s="24"/>
      <c r="N20" s="4"/>
      <c r="O20" s="4"/>
    </row>
    <row r="21" spans="8:8" ht="18.0" customHeight="1">
      <c r="A21" s="25" t="s">
        <v>28</v>
      </c>
      <c r="B21" s="26">
        <f>KIREHE!F29</f>
        <v>0.0</v>
      </c>
      <c r="C21" s="27">
        <f>KIREHE!G29</f>
        <v>0.0</v>
      </c>
      <c r="D21" s="29"/>
      <c r="E21" s="30"/>
      <c r="F21" s="23">
        <f t="shared" si="0"/>
        <v>0.0</v>
      </c>
      <c r="G21" s="26">
        <f>KIREHE!C33</f>
        <v>0.0</v>
      </c>
      <c r="H21" s="27">
        <f>KIREHE!C31</f>
        <v>0.0</v>
      </c>
      <c r="I21" s="27">
        <f>KIREHE!C34</f>
        <v>0.0</v>
      </c>
      <c r="J21" s="27">
        <f>KIREHE!C32</f>
        <v>0.0</v>
      </c>
      <c r="K21" s="17"/>
      <c r="L21" s="4"/>
      <c r="M21" s="24"/>
      <c r="N21" s="4"/>
      <c r="O21" s="4"/>
    </row>
    <row r="22" spans="8:8" ht="18.0" customHeight="1">
      <c r="A22" s="25" t="s">
        <v>29</v>
      </c>
      <c r="B22" s="26">
        <f>NYANZA!F29</f>
        <v>0.0</v>
      </c>
      <c r="C22" s="27">
        <f>NYANZA!G29</f>
        <v>0.0</v>
      </c>
      <c r="D22" s="29"/>
      <c r="E22" s="30"/>
      <c r="F22" s="23">
        <f t="shared" si="0"/>
        <v>0.0</v>
      </c>
      <c r="G22" s="26">
        <f>NYANZA!C33</f>
        <v>0.0</v>
      </c>
      <c r="H22" s="27">
        <f>NYANZA!C31</f>
        <v>0.0</v>
      </c>
      <c r="I22" s="27">
        <f>NYANZA!C34</f>
        <v>0.0</v>
      </c>
      <c r="J22" s="27">
        <f>NYANZA!C32</f>
        <v>0.0</v>
      </c>
      <c r="K22" s="17"/>
      <c r="L22" s="4"/>
      <c r="M22" s="24"/>
      <c r="N22" s="4"/>
      <c r="O22" s="4"/>
    </row>
    <row r="23" spans="8:8" ht="18.0" customHeight="1">
      <c r="A23" s="25" t="s">
        <v>30</v>
      </c>
      <c r="B23" s="26">
        <f>NYARUGENGE!F29</f>
        <v>0.0</v>
      </c>
      <c r="C23" s="27">
        <f>NYARUGENGE!G29</f>
        <v>0.0</v>
      </c>
      <c r="D23" s="29"/>
      <c r="E23" s="30"/>
      <c r="F23" s="23">
        <f t="shared" si="0"/>
        <v>0.0</v>
      </c>
      <c r="G23" s="26">
        <f>NYARUGENGE!C33</f>
        <v>0.0</v>
      </c>
      <c r="H23" s="27">
        <f>NYARUGENGE!C31</f>
        <v>0.0</v>
      </c>
      <c r="I23" s="27">
        <f>NYARUGENGE!C34</f>
        <v>0.0</v>
      </c>
      <c r="J23" s="27">
        <f>NYARUGENGE!C32</f>
        <v>0.0</v>
      </c>
      <c r="K23" s="17"/>
      <c r="L23" s="4"/>
      <c r="M23" s="24"/>
      <c r="N23" s="4"/>
      <c r="O23" s="4"/>
    </row>
    <row r="24" spans="8:8" ht="18.0" customHeight="1">
      <c r="A24" s="25" t="s">
        <v>31</v>
      </c>
      <c r="B24" s="26">
        <f>GATSIBO!F29</f>
        <v>0.0</v>
      </c>
      <c r="C24" s="27">
        <f>GATSIBO!G29</f>
        <v>0.0</v>
      </c>
      <c r="D24" s="29"/>
      <c r="E24" s="30"/>
      <c r="F24" s="23">
        <f t="shared" si="0"/>
        <v>0.0</v>
      </c>
      <c r="G24" s="26">
        <f>GATSIBO!C33</f>
        <v>0.0</v>
      </c>
      <c r="H24" s="31">
        <f>GATSIBO!C31</f>
        <v>0.0</v>
      </c>
      <c r="I24" s="31">
        <f>GATSIBO!C34</f>
        <v>0.0</v>
      </c>
      <c r="J24" s="31">
        <f>GATSIBO!C32</f>
        <v>0.0</v>
      </c>
      <c r="K24" s="17"/>
      <c r="L24" s="4"/>
      <c r="M24" s="24"/>
      <c r="N24" s="4"/>
      <c r="O24" s="4"/>
    </row>
    <row r="25" spans="8:8" ht="18.0" customHeight="1">
      <c r="A25" s="32"/>
      <c r="B25" s="26"/>
      <c r="C25" s="27"/>
      <c r="D25" s="29"/>
      <c r="E25" s="30"/>
      <c r="F25" s="23">
        <f t="shared" si="0"/>
        <v>0.0</v>
      </c>
      <c r="G25" s="27"/>
      <c r="H25" s="33"/>
      <c r="I25" s="34"/>
      <c r="J25" s="35"/>
      <c r="K25" s="17"/>
      <c r="L25" s="4"/>
      <c r="M25" s="24"/>
      <c r="N25" s="4"/>
      <c r="O25" s="4"/>
    </row>
    <row r="26" spans="8:8" ht="18.0" customHeight="1">
      <c r="A26" s="32"/>
      <c r="B26" s="26"/>
      <c r="C26" s="27"/>
      <c r="D26" s="29"/>
      <c r="E26" s="30"/>
      <c r="F26" s="23">
        <f t="shared" si="0"/>
        <v>0.0</v>
      </c>
      <c r="G26" s="27"/>
      <c r="H26" s="30"/>
      <c r="I26" s="35"/>
      <c r="J26" s="35"/>
      <c r="K26" s="17"/>
      <c r="L26" s="24"/>
      <c r="M26" s="24"/>
      <c r="N26" s="24"/>
      <c r="O26" s="24"/>
    </row>
    <row r="27" spans="8:8" ht="18.0" customHeight="1">
      <c r="A27" s="32"/>
      <c r="B27" s="26"/>
      <c r="C27" s="27"/>
      <c r="D27" s="29"/>
      <c r="E27" s="30"/>
      <c r="F27" s="23">
        <f t="shared" si="0"/>
        <v>0.0</v>
      </c>
      <c r="G27" s="27"/>
      <c r="H27" s="30"/>
      <c r="I27" s="35"/>
      <c r="J27" s="35"/>
      <c r="K27" s="17"/>
      <c r="L27" s="4"/>
      <c r="M27" s="24"/>
      <c r="N27" s="4"/>
      <c r="O27" s="4"/>
    </row>
    <row r="28" spans="8:8" ht="18.0" customHeight="1">
      <c r="A28" s="36"/>
      <c r="B28" s="37"/>
      <c r="C28" s="31"/>
      <c r="D28" s="38"/>
      <c r="E28" s="39"/>
      <c r="F28" s="23">
        <f t="shared" si="0"/>
        <v>0.0</v>
      </c>
      <c r="G28" s="31"/>
      <c r="H28" s="39"/>
      <c r="I28" s="40"/>
      <c r="J28" s="40"/>
      <c r="K28" s="17"/>
      <c r="L28" s="4"/>
      <c r="M28" s="24"/>
      <c r="N28" s="4"/>
      <c r="O28" s="4"/>
    </row>
    <row r="29" spans="8:8" ht="18.0" customHeight="1">
      <c r="A29" s="41"/>
      <c r="B29" s="41">
        <f t="shared" si="1" ref="B29:J29">SUM(B5:B28)</f>
        <v>7898256.0</v>
      </c>
      <c r="C29" s="42">
        <f t="shared" si="1"/>
        <v>717180.0</v>
      </c>
      <c r="D29" s="43">
        <f t="shared" si="1"/>
        <v>0.0</v>
      </c>
      <c r="E29" s="42">
        <f t="shared" si="1"/>
        <v>0.0</v>
      </c>
      <c r="F29" s="42">
        <f t="shared" si="1"/>
        <v>8615436.0</v>
      </c>
      <c r="G29" s="43">
        <f t="shared" si="1"/>
        <v>0.0</v>
      </c>
      <c r="H29" s="43">
        <f t="shared" si="1"/>
        <v>9077490.0</v>
      </c>
      <c r="I29" s="43">
        <f t="shared" si="1"/>
        <v>0.0</v>
      </c>
      <c r="J29" s="44">
        <f t="shared" si="1"/>
        <v>0.0</v>
      </c>
      <c r="K29" s="17"/>
      <c r="L29" s="4"/>
      <c r="M29" s="45"/>
      <c r="N29" s="4"/>
      <c r="O29" s="4"/>
    </row>
    <row r="30" spans="8:8" ht="18.0" customHeight="1">
      <c r="A30" s="46"/>
      <c r="B30" s="47"/>
      <c r="C30" s="47"/>
      <c r="D30" s="48"/>
      <c r="E30" s="49" t="s">
        <v>32</v>
      </c>
      <c r="F30" s="50"/>
      <c r="G30" s="50"/>
      <c r="H30" s="50"/>
      <c r="I30" s="51"/>
      <c r="J30" s="52"/>
      <c r="K30" s="51"/>
      <c r="L30" s="4"/>
      <c r="M30" s="4"/>
      <c r="N30" s="4"/>
      <c r="O30" s="4"/>
    </row>
    <row r="31" spans="8:8" ht="18.0" customHeight="1">
      <c r="A31" s="53" t="s">
        <v>33</v>
      </c>
      <c r="B31" s="47"/>
      <c r="C31" s="47"/>
      <c r="D31" s="54"/>
      <c r="E31" s="55"/>
      <c r="F31" s="56"/>
      <c r="G31" s="56"/>
      <c r="H31" s="56"/>
      <c r="I31" s="57"/>
      <c r="J31" s="55"/>
      <c r="K31" s="57"/>
      <c r="L31" s="4"/>
      <c r="M31" s="4"/>
      <c r="N31" s="4"/>
      <c r="O31" s="4"/>
    </row>
    <row r="32" spans="8:8" ht="18.0" customHeight="1">
      <c r="A32" s="58" t="s">
        <v>34</v>
      </c>
      <c r="B32" s="48"/>
      <c r="C32" s="59">
        <f>SUM(B29:C29)</f>
        <v>8615436.0</v>
      </c>
      <c r="D32" s="50"/>
      <c r="E32" s="55"/>
      <c r="F32" s="56"/>
      <c r="G32" s="56"/>
      <c r="H32" s="56"/>
      <c r="I32" s="57"/>
      <c r="J32" s="55"/>
      <c r="K32" s="57"/>
      <c r="L32" s="4"/>
      <c r="M32" s="4"/>
      <c r="N32" s="4"/>
      <c r="O32" s="4"/>
    </row>
    <row r="33" spans="8:8" ht="18.0" customHeight="1">
      <c r="A33" s="58" t="s">
        <v>35</v>
      </c>
      <c r="B33" s="48"/>
      <c r="C33" s="60">
        <f>SUM(F29,G29)</f>
        <v>8615436.0</v>
      </c>
      <c r="D33" s="47"/>
      <c r="E33" s="55"/>
      <c r="F33" s="56"/>
      <c r="G33" s="56"/>
      <c r="H33" s="56"/>
      <c r="I33" s="57"/>
      <c r="J33" s="55"/>
      <c r="K33" s="57"/>
      <c r="L33" s="4"/>
      <c r="M33" s="4"/>
      <c r="N33" s="4"/>
      <c r="O33" s="4"/>
    </row>
    <row r="34" spans="8:8" ht="18.0" customHeight="1">
      <c r="A34" s="58" t="s">
        <v>36</v>
      </c>
      <c r="B34" s="48"/>
      <c r="C34" s="60">
        <f>SUM(H29,J29,I29)</f>
        <v>9077490.0</v>
      </c>
      <c r="D34" s="48"/>
      <c r="E34" s="55"/>
      <c r="F34" s="56"/>
      <c r="G34" s="56"/>
      <c r="H34" s="56"/>
      <c r="I34" s="57"/>
      <c r="J34" s="55"/>
      <c r="K34" s="57"/>
      <c r="L34" s="4"/>
      <c r="M34" s="4"/>
      <c r="N34" s="4"/>
      <c r="O34" s="4"/>
    </row>
    <row r="35" spans="8:8" ht="18.0" customHeight="1">
      <c r="A35" s="58" t="s">
        <v>37</v>
      </c>
      <c r="B35" s="48"/>
      <c r="C35" s="60">
        <f>SUM(D29:E29)</f>
        <v>0.0</v>
      </c>
      <c r="D35" s="48"/>
      <c r="E35" s="61"/>
      <c r="F35" s="62"/>
      <c r="G35" s="62"/>
      <c r="H35" s="62"/>
      <c r="I35" s="63"/>
      <c r="J35" s="55"/>
      <c r="K35" s="57"/>
      <c r="L35" s="4"/>
      <c r="M35" s="4"/>
      <c r="N35" s="4"/>
      <c r="O35" s="4"/>
    </row>
    <row r="36" spans="8:8" ht="18.0" customHeight="1">
      <c r="A36" s="58" t="s">
        <v>38</v>
      </c>
      <c r="B36" s="48"/>
      <c r="C36" s="60">
        <f>SUM(C33,C35)</f>
        <v>8615436.0</v>
      </c>
      <c r="D36" s="48"/>
      <c r="E36" s="64" t="s">
        <v>39</v>
      </c>
      <c r="F36" s="50"/>
      <c r="G36" s="50"/>
      <c r="H36" s="50"/>
      <c r="I36" s="51"/>
      <c r="J36" s="55"/>
      <c r="K36" s="57"/>
      <c r="L36" s="4"/>
      <c r="M36" s="4"/>
      <c r="N36" s="4"/>
      <c r="O36" s="4"/>
    </row>
    <row r="37" spans="8:8" ht="18.0" customHeight="1">
      <c r="A37" s="65" t="s">
        <v>40</v>
      </c>
      <c r="B37" s="63"/>
      <c r="C37" s="60">
        <f>SUM(C34:C35)</f>
        <v>9077490.0</v>
      </c>
      <c r="D37" s="48"/>
      <c r="E37" s="61"/>
      <c r="F37" s="62"/>
      <c r="G37" s="62"/>
      <c r="H37" s="62"/>
      <c r="I37" s="63"/>
      <c r="J37" s="55"/>
      <c r="K37" s="57"/>
      <c r="L37" s="4"/>
      <c r="M37" s="4"/>
      <c r="N37" s="4"/>
      <c r="O37" s="4"/>
    </row>
    <row r="38" spans="8:8" ht="18.0" customHeight="1">
      <c r="A38" s="66" t="s">
        <v>41</v>
      </c>
      <c r="B38" s="47"/>
      <c r="C38" s="47"/>
      <c r="D38" s="47"/>
      <c r="E38" s="47"/>
      <c r="F38" s="47"/>
      <c r="G38" s="47"/>
      <c r="H38" s="47"/>
      <c r="I38" s="48"/>
      <c r="J38" s="61"/>
      <c r="K38" s="63"/>
      <c r="L38" s="4"/>
      <c r="M38" s="4"/>
      <c r="N38" s="4"/>
      <c r="O38" s="4"/>
    </row>
    <row r="39" spans="8:8" ht="18.0" customHeight="1">
      <c r="A39" s="4"/>
      <c r="B39" s="24"/>
      <c r="C39" s="24"/>
      <c r="D39" s="4"/>
      <c r="E39" s="4"/>
      <c r="F39" s="24"/>
      <c r="G39" s="24"/>
      <c r="H39" s="4"/>
      <c r="I39" s="4"/>
      <c r="J39" s="4"/>
      <c r="K39" s="4"/>
      <c r="L39" s="4"/>
      <c r="M39" s="4"/>
      <c r="N39" s="4"/>
      <c r="O39" s="4"/>
    </row>
    <row r="40" spans="8:8" ht="18.0" customHeight="1">
      <c r="A40" s="4"/>
      <c r="B40" s="24"/>
      <c r="C40" s="24"/>
      <c r="D40" s="4"/>
      <c r="E40" s="4"/>
      <c r="F40" s="24"/>
      <c r="G40" s="24"/>
      <c r="H40" s="4"/>
      <c r="I40" s="4"/>
      <c r="J40" s="4"/>
      <c r="K40" s="4"/>
      <c r="L40" s="4"/>
      <c r="M40" s="4"/>
      <c r="N40" s="4"/>
      <c r="O40" s="4"/>
    </row>
    <row r="41" spans="8:8" ht="18.0" customHeight="1">
      <c r="A41" s="4"/>
      <c r="B41" s="24"/>
      <c r="C41" s="24"/>
      <c r="D41" s="4"/>
      <c r="E41" s="4"/>
      <c r="F41" s="24"/>
      <c r="G41" s="24"/>
      <c r="H41" s="4"/>
      <c r="I41" s="4"/>
      <c r="J41" s="4"/>
      <c r="K41" s="4"/>
      <c r="L41" s="4"/>
      <c r="M41" s="4"/>
      <c r="N41" s="4"/>
      <c r="O41" s="4"/>
    </row>
    <row r="42" spans="8:8" ht="18.0" customHeight="1">
      <c r="A42" s="4"/>
      <c r="B42" s="24"/>
      <c r="C42" s="24"/>
      <c r="D42" s="4"/>
      <c r="E42" s="4"/>
      <c r="F42" s="24"/>
      <c r="G42" s="24"/>
      <c r="H42" s="4"/>
      <c r="I42" s="4"/>
      <c r="J42" s="4"/>
      <c r="K42" s="4"/>
      <c r="L42" s="4"/>
      <c r="M42" s="4"/>
      <c r="N42" s="4"/>
      <c r="O42" s="4"/>
    </row>
    <row r="43" spans="8:8" ht="18.0" customHeight="1">
      <c r="A43" s="4"/>
      <c r="B43" s="24"/>
      <c r="C43" s="24"/>
      <c r="D43" s="4"/>
      <c r="E43" s="4"/>
      <c r="F43" s="24"/>
      <c r="G43" s="24"/>
      <c r="H43" s="4"/>
      <c r="I43" s="4"/>
      <c r="J43" s="4"/>
      <c r="K43" s="4"/>
      <c r="L43" s="4"/>
      <c r="M43" s="4"/>
      <c r="N43" s="4"/>
      <c r="O43" s="4"/>
    </row>
    <row r="44" spans="8:8" ht="18.0" customHeight="1">
      <c r="A44" s="4"/>
      <c r="B44" s="24"/>
      <c r="C44" s="24"/>
      <c r="D44" s="4"/>
      <c r="E44" s="4"/>
      <c r="F44" s="24"/>
      <c r="G44" s="24"/>
      <c r="H44" s="4"/>
      <c r="I44" s="4"/>
      <c r="J44" s="4"/>
      <c r="K44" s="4"/>
      <c r="L44" s="4"/>
      <c r="M44" s="4"/>
      <c r="N44" s="4"/>
      <c r="O44" s="4"/>
    </row>
    <row r="45" spans="8:8" ht="18.0" customHeight="1">
      <c r="A45" s="4"/>
      <c r="B45" s="24"/>
      <c r="C45" s="24"/>
      <c r="D45" s="4"/>
      <c r="E45" s="4"/>
      <c r="F45" s="24"/>
      <c r="G45" s="24"/>
      <c r="H45" s="4"/>
      <c r="I45" s="4"/>
      <c r="J45" s="4"/>
      <c r="K45" s="4"/>
      <c r="L45" s="4"/>
      <c r="M45" s="4"/>
      <c r="N45" s="4"/>
      <c r="O45" s="4"/>
    </row>
    <row r="46" spans="8:8" ht="18.0" customHeight="1">
      <c r="A46" s="4"/>
      <c r="B46" s="24"/>
      <c r="C46" s="24"/>
      <c r="D46" s="4"/>
      <c r="E46" s="4"/>
      <c r="F46" s="24"/>
      <c r="G46" s="24"/>
      <c r="H46" s="4"/>
      <c r="I46" s="4"/>
      <c r="J46" s="4"/>
      <c r="K46" s="4"/>
      <c r="L46" s="4"/>
      <c r="M46" s="4"/>
      <c r="N46" s="4"/>
      <c r="O46" s="4"/>
    </row>
    <row r="47" spans="8:8" ht="18.0" customHeight="1">
      <c r="A47" s="4"/>
      <c r="B47" s="24"/>
      <c r="C47" s="24"/>
      <c r="D47" s="4"/>
      <c r="E47" s="4"/>
      <c r="F47" s="24"/>
      <c r="G47" s="24"/>
      <c r="H47" s="4"/>
      <c r="I47" s="4"/>
      <c r="J47" s="4"/>
      <c r="K47" s="4"/>
      <c r="L47" s="4"/>
      <c r="M47" s="4"/>
      <c r="N47" s="4"/>
      <c r="O47" s="4"/>
    </row>
    <row r="48" spans="8:8" ht="18.0" customHeight="1">
      <c r="A48" s="4"/>
      <c r="B48" s="24"/>
      <c r="C48" s="24"/>
      <c r="D48" s="4"/>
      <c r="E48" s="4"/>
      <c r="F48" s="24"/>
      <c r="G48" s="24"/>
      <c r="H48" s="4"/>
      <c r="I48" s="4"/>
      <c r="J48" s="4"/>
      <c r="K48" s="4"/>
      <c r="L48" s="4"/>
      <c r="M48" s="4"/>
      <c r="N48" s="4"/>
      <c r="O48" s="4"/>
    </row>
    <row r="49" spans="8:8" ht="18.0" customHeight="1">
      <c r="A49" s="4"/>
      <c r="B49" s="24"/>
      <c r="C49" s="24"/>
      <c r="D49" s="4"/>
      <c r="E49" s="4"/>
      <c r="F49" s="24"/>
      <c r="G49" s="24"/>
      <c r="H49" s="4"/>
      <c r="I49" s="4"/>
      <c r="J49" s="4"/>
      <c r="K49" s="4"/>
      <c r="L49" s="4"/>
      <c r="M49" s="4"/>
      <c r="N49" s="4"/>
      <c r="O49" s="4"/>
    </row>
    <row r="50" spans="8:8" ht="18.0" customHeight="1">
      <c r="A50" s="4"/>
      <c r="B50" s="24"/>
      <c r="C50" s="24"/>
      <c r="D50" s="4"/>
      <c r="E50" s="4"/>
      <c r="F50" s="24"/>
      <c r="G50" s="24"/>
      <c r="H50" s="4"/>
      <c r="I50" s="4"/>
      <c r="J50" s="4"/>
      <c r="K50" s="4"/>
      <c r="L50" s="4"/>
      <c r="M50" s="4"/>
      <c r="N50" s="4"/>
      <c r="O50" s="4"/>
    </row>
    <row r="51" spans="8:8" ht="18.0" customHeight="1">
      <c r="A51" s="4"/>
      <c r="B51" s="24"/>
      <c r="C51" s="24"/>
      <c r="D51" s="4"/>
      <c r="E51" s="4"/>
      <c r="F51" s="24"/>
      <c r="G51" s="24"/>
      <c r="H51" s="4"/>
      <c r="I51" s="4"/>
      <c r="J51" s="4"/>
      <c r="K51" s="4"/>
      <c r="L51" s="4"/>
      <c r="M51" s="4"/>
      <c r="N51" s="4"/>
      <c r="O51" s="4"/>
    </row>
    <row r="52" spans="8:8" ht="18.0" customHeight="1">
      <c r="A52" s="4"/>
      <c r="B52" s="24"/>
      <c r="C52" s="24"/>
      <c r="D52" s="4"/>
      <c r="E52" s="4"/>
      <c r="F52" s="24"/>
      <c r="G52" s="24"/>
      <c r="H52" s="4"/>
      <c r="I52" s="4"/>
      <c r="J52" s="4"/>
      <c r="K52" s="4"/>
      <c r="L52" s="4"/>
      <c r="M52" s="4"/>
      <c r="N52" s="4"/>
      <c r="O52" s="4"/>
    </row>
    <row r="53" spans="8:8" ht="18.0" customHeight="1">
      <c r="A53" s="4"/>
      <c r="B53" s="24"/>
      <c r="C53" s="24"/>
      <c r="D53" s="4"/>
      <c r="E53" s="4"/>
      <c r="F53" s="24"/>
      <c r="G53" s="24"/>
      <c r="H53" s="4"/>
      <c r="I53" s="4"/>
      <c r="J53" s="4"/>
      <c r="K53" s="4"/>
      <c r="L53" s="4"/>
      <c r="M53" s="4"/>
      <c r="N53" s="4"/>
      <c r="O53" s="4"/>
    </row>
    <row r="54" spans="8:8" ht="18.0" customHeight="1">
      <c r="A54" s="4"/>
      <c r="B54" s="24"/>
      <c r="C54" s="24"/>
      <c r="D54" s="4"/>
      <c r="E54" s="4"/>
      <c r="F54" s="24"/>
      <c r="G54" s="24"/>
      <c r="H54" s="4"/>
      <c r="I54" s="4"/>
      <c r="J54" s="4"/>
      <c r="K54" s="4"/>
      <c r="L54" s="4"/>
      <c r="M54" s="4"/>
      <c r="N54" s="4"/>
      <c r="O54" s="4"/>
    </row>
    <row r="55" spans="8:8" ht="18.0" customHeight="1">
      <c r="A55" s="4"/>
      <c r="B55" s="24"/>
      <c r="C55" s="24"/>
      <c r="D55" s="4"/>
      <c r="E55" s="4"/>
      <c r="F55" s="24"/>
      <c r="G55" s="24"/>
      <c r="H55" s="4"/>
      <c r="I55" s="4"/>
      <c r="J55" s="4"/>
      <c r="K55" s="4"/>
      <c r="L55" s="4"/>
      <c r="M55" s="4"/>
      <c r="N55" s="4"/>
      <c r="O55" s="4"/>
    </row>
    <row r="56" spans="8:8" ht="18.0" customHeight="1">
      <c r="A56" s="4"/>
      <c r="B56" s="24"/>
      <c r="C56" s="24"/>
      <c r="D56" s="4"/>
      <c r="E56" s="4"/>
      <c r="F56" s="24"/>
      <c r="G56" s="24"/>
      <c r="H56" s="4"/>
      <c r="I56" s="4"/>
      <c r="J56" s="4"/>
      <c r="K56" s="4"/>
      <c r="L56" s="4"/>
      <c r="M56" s="4"/>
      <c r="N56" s="4"/>
      <c r="O56" s="4"/>
    </row>
    <row r="57" spans="8:8" ht="18.0" customHeight="1">
      <c r="A57" s="4"/>
      <c r="B57" s="24"/>
      <c r="C57" s="24"/>
      <c r="D57" s="4"/>
      <c r="E57" s="4"/>
      <c r="F57" s="24"/>
      <c r="G57" s="24"/>
      <c r="H57" s="4"/>
      <c r="I57" s="4"/>
      <c r="J57" s="4"/>
      <c r="K57" s="4"/>
      <c r="L57" s="4"/>
      <c r="M57" s="4"/>
      <c r="N57" s="4"/>
      <c r="O57" s="4"/>
    </row>
    <row r="58" spans="8:8" ht="18.0" customHeight="1">
      <c r="A58" s="4"/>
      <c r="B58" s="24"/>
      <c r="C58" s="24"/>
      <c r="D58" s="4"/>
      <c r="E58" s="4"/>
      <c r="F58" s="24"/>
      <c r="G58" s="24"/>
      <c r="H58" s="4"/>
      <c r="I58" s="4"/>
      <c r="J58" s="4"/>
      <c r="K58" s="4"/>
      <c r="L58" s="4"/>
      <c r="M58" s="4"/>
      <c r="N58" s="4"/>
      <c r="O58" s="4"/>
    </row>
    <row r="59" spans="8:8" ht="18.0" customHeight="1">
      <c r="A59" s="4"/>
      <c r="B59" s="24"/>
      <c r="C59" s="24"/>
      <c r="D59" s="4"/>
      <c r="E59" s="4"/>
      <c r="F59" s="24"/>
      <c r="G59" s="24"/>
      <c r="H59" s="4"/>
      <c r="I59" s="4"/>
      <c r="J59" s="4"/>
      <c r="K59" s="4"/>
      <c r="L59" s="4"/>
      <c r="M59" s="4"/>
      <c r="N59" s="4"/>
      <c r="O59" s="4"/>
    </row>
    <row r="60" spans="8:8" ht="18.0" customHeight="1">
      <c r="A60" s="4"/>
      <c r="B60" s="24"/>
      <c r="C60" s="24"/>
      <c r="D60" s="4"/>
      <c r="E60" s="4"/>
      <c r="F60" s="24"/>
      <c r="G60" s="24"/>
      <c r="H60" s="4"/>
      <c r="I60" s="4"/>
      <c r="J60" s="4"/>
      <c r="K60" s="4"/>
      <c r="L60" s="4"/>
      <c r="M60" s="4"/>
      <c r="N60" s="4"/>
      <c r="O60" s="4"/>
    </row>
    <row r="61" spans="8:8" ht="18.0" customHeight="1">
      <c r="A61" s="4"/>
      <c r="B61" s="24"/>
      <c r="C61" s="24"/>
      <c r="D61" s="4"/>
      <c r="E61" s="4"/>
      <c r="F61" s="24"/>
      <c r="G61" s="24"/>
      <c r="H61" s="4"/>
      <c r="I61" s="4"/>
      <c r="J61" s="4"/>
      <c r="K61" s="4"/>
      <c r="L61" s="4"/>
      <c r="M61" s="4"/>
      <c r="N61" s="4"/>
      <c r="O61" s="4"/>
    </row>
    <row r="62" spans="8:8" ht="18.0" customHeight="1">
      <c r="A62" s="4"/>
      <c r="B62" s="24"/>
      <c r="C62" s="24"/>
      <c r="D62" s="4"/>
      <c r="E62" s="4"/>
      <c r="F62" s="24"/>
      <c r="G62" s="24"/>
      <c r="H62" s="4"/>
      <c r="I62" s="4"/>
      <c r="J62" s="4"/>
      <c r="K62" s="4"/>
      <c r="L62" s="4"/>
      <c r="M62" s="4"/>
      <c r="N62" s="4"/>
      <c r="O62" s="4"/>
    </row>
    <row r="63" spans="8:8" ht="18.0" customHeight="1">
      <c r="A63" s="4"/>
      <c r="B63" s="24"/>
      <c r="C63" s="24"/>
      <c r="D63" s="4"/>
      <c r="E63" s="4"/>
      <c r="F63" s="24"/>
      <c r="G63" s="24"/>
      <c r="H63" s="4"/>
      <c r="I63" s="4"/>
      <c r="J63" s="4"/>
      <c r="K63" s="4"/>
      <c r="L63" s="4"/>
      <c r="M63" s="4"/>
      <c r="N63" s="4"/>
      <c r="O63" s="4"/>
    </row>
    <row r="64" spans="8:8" ht="18.0" customHeight="1">
      <c r="A64" s="4"/>
      <c r="B64" s="24"/>
      <c r="C64" s="24"/>
      <c r="D64" s="4"/>
      <c r="E64" s="4"/>
      <c r="F64" s="24"/>
      <c r="G64" s="24"/>
      <c r="H64" s="4"/>
      <c r="I64" s="4"/>
      <c r="J64" s="4"/>
      <c r="K64" s="4"/>
      <c r="L64" s="4"/>
      <c r="M64" s="4"/>
      <c r="N64" s="4"/>
      <c r="O64" s="4"/>
    </row>
    <row r="65" spans="8:8" ht="18.0" customHeight="1">
      <c r="A65" s="4"/>
      <c r="B65" s="24"/>
      <c r="C65" s="24"/>
      <c r="D65" s="4"/>
      <c r="E65" s="4"/>
      <c r="F65" s="24"/>
      <c r="G65" s="24"/>
      <c r="H65" s="4"/>
      <c r="I65" s="4"/>
      <c r="J65" s="4"/>
      <c r="K65" s="4"/>
      <c r="L65" s="4"/>
      <c r="M65" s="4"/>
      <c r="N65" s="4"/>
      <c r="O65" s="4"/>
    </row>
    <row r="66" spans="8:8" ht="18.0" customHeight="1">
      <c r="A66" s="4"/>
      <c r="B66" s="24"/>
      <c r="C66" s="24"/>
      <c r="D66" s="4"/>
      <c r="E66" s="4"/>
      <c r="F66" s="24"/>
      <c r="G66" s="24"/>
      <c r="H66" s="4"/>
      <c r="I66" s="4"/>
      <c r="J66" s="4"/>
      <c r="K66" s="4"/>
      <c r="L66" s="4"/>
      <c r="M66" s="4"/>
      <c r="N66" s="4"/>
      <c r="O66" s="4"/>
    </row>
    <row r="67" spans="8:8" ht="18.0" customHeight="1">
      <c r="A67" s="4"/>
      <c r="B67" s="24"/>
      <c r="C67" s="24"/>
      <c r="D67" s="4"/>
      <c r="E67" s="4"/>
      <c r="F67" s="24"/>
      <c r="G67" s="24"/>
      <c r="H67" s="4"/>
      <c r="I67" s="4"/>
      <c r="J67" s="4"/>
      <c r="K67" s="4"/>
      <c r="L67" s="4"/>
      <c r="M67" s="4"/>
      <c r="N67" s="4"/>
      <c r="O67" s="4"/>
    </row>
    <row r="68" spans="8:8" ht="18.0" customHeight="1">
      <c r="A68" s="4"/>
      <c r="B68" s="24"/>
      <c r="C68" s="24"/>
      <c r="D68" s="4"/>
      <c r="E68" s="4"/>
      <c r="F68" s="24"/>
      <c r="G68" s="24"/>
      <c r="H68" s="4"/>
      <c r="I68" s="4"/>
      <c r="J68" s="4"/>
      <c r="K68" s="4"/>
      <c r="L68" s="4"/>
      <c r="M68" s="4"/>
      <c r="N68" s="4"/>
      <c r="O68" s="4"/>
    </row>
    <row r="69" spans="8:8" ht="18.0" customHeight="1">
      <c r="A69" s="4"/>
      <c r="B69" s="24"/>
      <c r="C69" s="24"/>
      <c r="D69" s="4"/>
      <c r="E69" s="4"/>
      <c r="F69" s="24"/>
      <c r="G69" s="24"/>
      <c r="H69" s="4"/>
      <c r="I69" s="4"/>
      <c r="J69" s="4"/>
      <c r="K69" s="4"/>
      <c r="L69" s="4"/>
      <c r="M69" s="4"/>
      <c r="N69" s="4"/>
      <c r="O69" s="4"/>
    </row>
    <row r="70" spans="8:8" ht="18.0" customHeight="1">
      <c r="A70" s="4"/>
      <c r="B70" s="24"/>
      <c r="C70" s="24"/>
      <c r="D70" s="4"/>
      <c r="E70" s="4"/>
      <c r="F70" s="24"/>
      <c r="G70" s="24"/>
      <c r="H70" s="4"/>
      <c r="I70" s="4"/>
      <c r="J70" s="4"/>
      <c r="K70" s="4"/>
      <c r="L70" s="4"/>
      <c r="M70" s="4"/>
      <c r="N70" s="4"/>
      <c r="O70" s="4"/>
    </row>
    <row r="71" spans="8:8" ht="18.0" customHeight="1">
      <c r="A71" s="4"/>
      <c r="B71" s="24"/>
      <c r="C71" s="24"/>
      <c r="D71" s="4"/>
      <c r="E71" s="4"/>
      <c r="F71" s="24"/>
      <c r="G71" s="24"/>
      <c r="H71" s="4"/>
      <c r="I71" s="4"/>
      <c r="J71" s="4"/>
      <c r="K71" s="4"/>
      <c r="L71" s="4"/>
      <c r="M71" s="4"/>
      <c r="N71" s="4"/>
      <c r="O71" s="4"/>
    </row>
    <row r="72" spans="8:8" ht="18.0" customHeight="1">
      <c r="A72" s="4"/>
      <c r="B72" s="24"/>
      <c r="C72" s="24"/>
      <c r="D72" s="4"/>
      <c r="E72" s="4"/>
      <c r="F72" s="24"/>
      <c r="G72" s="24"/>
      <c r="H72" s="4"/>
      <c r="I72" s="4"/>
      <c r="J72" s="4"/>
      <c r="K72" s="4"/>
      <c r="L72" s="4"/>
      <c r="M72" s="4"/>
      <c r="N72" s="4"/>
      <c r="O72" s="4"/>
    </row>
    <row r="73" spans="8:8" ht="18.0" customHeight="1">
      <c r="A73" s="4"/>
      <c r="B73" s="24"/>
      <c r="C73" s="24"/>
      <c r="D73" s="4"/>
      <c r="E73" s="4"/>
      <c r="F73" s="24"/>
      <c r="G73" s="24"/>
      <c r="H73" s="4"/>
      <c r="I73" s="4"/>
      <c r="J73" s="4"/>
      <c r="K73" s="4"/>
      <c r="L73" s="4"/>
      <c r="M73" s="4"/>
      <c r="N73" s="4"/>
      <c r="O73" s="4"/>
    </row>
    <row r="74" spans="8:8" ht="18.0" customHeight="1">
      <c r="A74" s="4"/>
      <c r="B74" s="24"/>
      <c r="C74" s="24"/>
      <c r="D74" s="4"/>
      <c r="E74" s="4"/>
      <c r="F74" s="24"/>
      <c r="G74" s="24"/>
      <c r="H74" s="4"/>
      <c r="I74" s="4"/>
      <c r="J74" s="4"/>
      <c r="K74" s="4"/>
      <c r="L74" s="4"/>
      <c r="M74" s="4"/>
      <c r="N74" s="4"/>
      <c r="O74" s="4"/>
    </row>
    <row r="75" spans="8:8" ht="18.0" customHeight="1">
      <c r="A75" s="4"/>
      <c r="B75" s="24"/>
      <c r="C75" s="24"/>
      <c r="D75" s="4"/>
      <c r="E75" s="4"/>
      <c r="F75" s="24"/>
      <c r="G75" s="24"/>
      <c r="H75" s="4"/>
      <c r="I75" s="4"/>
      <c r="J75" s="4"/>
      <c r="K75" s="4"/>
      <c r="L75" s="4"/>
      <c r="M75" s="4"/>
      <c r="N75" s="4"/>
      <c r="O75" s="4"/>
    </row>
    <row r="76" spans="8:8" ht="18.0" customHeight="1">
      <c r="A76" s="4"/>
      <c r="B76" s="24"/>
      <c r="C76" s="24"/>
      <c r="D76" s="4"/>
      <c r="E76" s="4"/>
      <c r="F76" s="24"/>
      <c r="G76" s="24"/>
      <c r="H76" s="4"/>
      <c r="I76" s="4"/>
      <c r="J76" s="4"/>
      <c r="K76" s="4"/>
      <c r="L76" s="4"/>
      <c r="M76" s="4"/>
      <c r="N76" s="4"/>
      <c r="O76" s="4"/>
    </row>
    <row r="77" spans="8:8" ht="18.0" customHeight="1">
      <c r="A77" s="4"/>
      <c r="B77" s="24"/>
      <c r="C77" s="24"/>
      <c r="D77" s="4"/>
      <c r="E77" s="4"/>
      <c r="F77" s="24"/>
      <c r="G77" s="24"/>
      <c r="H77" s="4"/>
      <c r="I77" s="4"/>
      <c r="J77" s="4"/>
      <c r="K77" s="4"/>
      <c r="L77" s="4"/>
      <c r="M77" s="4"/>
      <c r="N77" s="4"/>
      <c r="O77" s="4"/>
    </row>
    <row r="78" spans="8:8" ht="18.0" customHeight="1">
      <c r="A78" s="4"/>
      <c r="B78" s="24"/>
      <c r="C78" s="24"/>
      <c r="D78" s="4"/>
      <c r="E78" s="4"/>
      <c r="F78" s="24"/>
      <c r="G78" s="24"/>
      <c r="H78" s="4"/>
      <c r="I78" s="4"/>
      <c r="J78" s="4"/>
      <c r="K78" s="4"/>
      <c r="L78" s="4"/>
      <c r="M78" s="4"/>
      <c r="N78" s="4"/>
      <c r="O78" s="4"/>
    </row>
    <row r="79" spans="8:8" ht="18.0" customHeight="1">
      <c r="A79" s="4"/>
      <c r="B79" s="24"/>
      <c r="C79" s="24"/>
      <c r="D79" s="4"/>
      <c r="E79" s="4"/>
      <c r="F79" s="24"/>
      <c r="G79" s="24"/>
      <c r="H79" s="4"/>
      <c r="I79" s="4"/>
      <c r="J79" s="4"/>
      <c r="K79" s="4"/>
      <c r="L79" s="4"/>
      <c r="M79" s="4"/>
      <c r="N79" s="4"/>
      <c r="O79" s="4"/>
    </row>
    <row r="80" spans="8:8" ht="18.0" customHeight="1">
      <c r="A80" s="4"/>
      <c r="B80" s="24"/>
      <c r="C80" s="24"/>
      <c r="D80" s="4"/>
      <c r="E80" s="4"/>
      <c r="F80" s="24"/>
      <c r="G80" s="24"/>
      <c r="H80" s="4"/>
      <c r="I80" s="4"/>
      <c r="J80" s="4"/>
      <c r="K80" s="4"/>
      <c r="L80" s="4"/>
      <c r="M80" s="4"/>
      <c r="N80" s="4"/>
      <c r="O80" s="4"/>
    </row>
    <row r="81" spans="8:8" ht="18.0" customHeight="1">
      <c r="A81" s="4"/>
      <c r="B81" s="24"/>
      <c r="C81" s="24"/>
      <c r="D81" s="4"/>
      <c r="E81" s="4"/>
      <c r="F81" s="24"/>
      <c r="G81" s="24"/>
      <c r="H81" s="4"/>
      <c r="I81" s="4"/>
      <c r="J81" s="4"/>
      <c r="K81" s="4"/>
      <c r="L81" s="4"/>
      <c r="M81" s="4"/>
      <c r="N81" s="4"/>
      <c r="O81" s="4"/>
    </row>
    <row r="82" spans="8:8" ht="18.0" customHeight="1">
      <c r="A82" s="4"/>
      <c r="B82" s="24"/>
      <c r="C82" s="24"/>
      <c r="D82" s="4"/>
      <c r="E82" s="4"/>
      <c r="F82" s="24"/>
      <c r="G82" s="24"/>
      <c r="H82" s="4"/>
      <c r="I82" s="4"/>
      <c r="J82" s="4"/>
      <c r="K82" s="4"/>
      <c r="L82" s="4"/>
      <c r="M82" s="4"/>
      <c r="N82" s="4"/>
      <c r="O82" s="4"/>
    </row>
    <row r="83" spans="8:8" ht="18.0" customHeight="1">
      <c r="A83" s="4"/>
      <c r="B83" s="24"/>
      <c r="C83" s="24"/>
      <c r="D83" s="4"/>
      <c r="E83" s="4"/>
      <c r="F83" s="24"/>
      <c r="G83" s="24"/>
      <c r="H83" s="4"/>
      <c r="I83" s="4"/>
      <c r="J83" s="4"/>
      <c r="K83" s="4"/>
      <c r="L83" s="4"/>
      <c r="M83" s="4"/>
      <c r="N83" s="4"/>
      <c r="O83" s="4"/>
    </row>
    <row r="84" spans="8:8" ht="18.0" customHeight="1">
      <c r="A84" s="4"/>
      <c r="B84" s="24"/>
      <c r="C84" s="24"/>
      <c r="D84" s="4"/>
      <c r="E84" s="4"/>
      <c r="F84" s="24"/>
      <c r="G84" s="24"/>
      <c r="H84" s="4"/>
      <c r="I84" s="4"/>
      <c r="J84" s="4"/>
      <c r="K84" s="4"/>
      <c r="L84" s="4"/>
      <c r="M84" s="4"/>
      <c r="N84" s="4"/>
      <c r="O84" s="4"/>
    </row>
    <row r="85" spans="8:8" ht="18.0" customHeight="1">
      <c r="A85" s="4"/>
      <c r="B85" s="24"/>
      <c r="C85" s="24"/>
      <c r="D85" s="4"/>
      <c r="E85" s="4"/>
      <c r="F85" s="24"/>
      <c r="G85" s="24"/>
      <c r="H85" s="4"/>
      <c r="I85" s="4"/>
      <c r="J85" s="4"/>
      <c r="K85" s="4"/>
      <c r="L85" s="4"/>
      <c r="M85" s="4"/>
      <c r="N85" s="4"/>
      <c r="O85" s="4"/>
    </row>
    <row r="86" spans="8:8" ht="18.0" customHeight="1">
      <c r="A86" s="4"/>
      <c r="B86" s="24"/>
      <c r="C86" s="24"/>
      <c r="D86" s="4"/>
      <c r="E86" s="4"/>
      <c r="F86" s="24"/>
      <c r="G86" s="24"/>
      <c r="H86" s="4"/>
      <c r="I86" s="4"/>
      <c r="J86" s="4"/>
      <c r="K86" s="4"/>
      <c r="L86" s="4"/>
      <c r="M86" s="4"/>
      <c r="N86" s="4"/>
      <c r="O86" s="4"/>
    </row>
    <row r="87" spans="8:8" ht="18.0" customHeight="1">
      <c r="A87" s="4"/>
      <c r="B87" s="24"/>
      <c r="C87" s="24"/>
      <c r="D87" s="4"/>
      <c r="E87" s="4"/>
      <c r="F87" s="24"/>
      <c r="G87" s="24"/>
      <c r="H87" s="4"/>
      <c r="I87" s="4"/>
      <c r="J87" s="4"/>
      <c r="K87" s="4"/>
      <c r="L87" s="4"/>
      <c r="M87" s="4"/>
      <c r="N87" s="4"/>
      <c r="O87" s="4"/>
    </row>
    <row r="88" spans="8:8" ht="18.0" customHeight="1">
      <c r="A88" s="4"/>
      <c r="B88" s="24"/>
      <c r="C88" s="24"/>
      <c r="D88" s="4"/>
      <c r="E88" s="4"/>
      <c r="F88" s="24"/>
      <c r="G88" s="24"/>
      <c r="H88" s="4"/>
      <c r="I88" s="4"/>
      <c r="J88" s="4"/>
      <c r="K88" s="4"/>
      <c r="L88" s="4"/>
      <c r="M88" s="4"/>
      <c r="N88" s="4"/>
      <c r="O88" s="4"/>
    </row>
    <row r="89" spans="8:8" ht="18.0" customHeight="1">
      <c r="A89" s="4"/>
      <c r="B89" s="24"/>
      <c r="C89" s="24"/>
      <c r="D89" s="4"/>
      <c r="E89" s="4"/>
      <c r="F89" s="24"/>
      <c r="G89" s="24"/>
      <c r="H89" s="4"/>
      <c r="I89" s="4"/>
      <c r="J89" s="4"/>
      <c r="K89" s="4"/>
      <c r="L89" s="4"/>
      <c r="M89" s="4"/>
      <c r="N89" s="4"/>
      <c r="O89" s="4"/>
    </row>
    <row r="90" spans="8:8" ht="18.0" customHeight="1">
      <c r="A90" s="4"/>
      <c r="B90" s="24"/>
      <c r="C90" s="24"/>
      <c r="D90" s="4"/>
      <c r="E90" s="4"/>
      <c r="F90" s="24"/>
      <c r="G90" s="24"/>
      <c r="H90" s="4"/>
      <c r="I90" s="4"/>
      <c r="J90" s="4"/>
      <c r="K90" s="4"/>
      <c r="L90" s="4"/>
      <c r="M90" s="4"/>
      <c r="N90" s="4"/>
      <c r="O90" s="4"/>
    </row>
    <row r="91" spans="8:8" ht="18.0" customHeight="1">
      <c r="A91" s="4"/>
      <c r="B91" s="24"/>
      <c r="C91" s="24"/>
      <c r="D91" s="4"/>
      <c r="E91" s="4"/>
      <c r="F91" s="24"/>
      <c r="G91" s="24"/>
      <c r="H91" s="4"/>
      <c r="I91" s="4"/>
      <c r="J91" s="4"/>
      <c r="K91" s="4"/>
      <c r="L91" s="4"/>
      <c r="M91" s="4"/>
      <c r="N91" s="4"/>
      <c r="O91" s="4"/>
    </row>
    <row r="92" spans="8:8" ht="18.0" customHeight="1">
      <c r="A92" s="4"/>
      <c r="B92" s="24"/>
      <c r="C92" s="24"/>
      <c r="D92" s="4"/>
      <c r="E92" s="4"/>
      <c r="F92" s="24"/>
      <c r="G92" s="24"/>
      <c r="H92" s="4"/>
      <c r="I92" s="4"/>
      <c r="J92" s="4"/>
      <c r="K92" s="4"/>
      <c r="L92" s="4"/>
      <c r="M92" s="4"/>
      <c r="N92" s="4"/>
      <c r="O92" s="4"/>
    </row>
    <row r="93" spans="8:8" ht="18.0" customHeight="1">
      <c r="A93" s="4"/>
      <c r="B93" s="24"/>
      <c r="C93" s="24"/>
      <c r="D93" s="4"/>
      <c r="E93" s="4"/>
      <c r="F93" s="24"/>
      <c r="G93" s="24"/>
      <c r="H93" s="4"/>
      <c r="I93" s="4"/>
      <c r="J93" s="4"/>
      <c r="K93" s="4"/>
      <c r="L93" s="4"/>
      <c r="M93" s="4"/>
      <c r="N93" s="4"/>
      <c r="O93" s="4"/>
    </row>
    <row r="94" spans="8:8" ht="18.0" customHeight="1">
      <c r="A94" s="4"/>
      <c r="B94" s="24"/>
      <c r="C94" s="24"/>
      <c r="D94" s="4"/>
      <c r="E94" s="4"/>
      <c r="F94" s="24"/>
      <c r="G94" s="24"/>
      <c r="H94" s="4"/>
      <c r="I94" s="4"/>
      <c r="J94" s="4"/>
      <c r="K94" s="4"/>
      <c r="L94" s="4"/>
      <c r="M94" s="4"/>
      <c r="N94" s="4"/>
      <c r="O94" s="4"/>
    </row>
    <row r="95" spans="8:8" ht="18.0" customHeight="1">
      <c r="A95" s="4"/>
      <c r="B95" s="24"/>
      <c r="C95" s="24"/>
      <c r="D95" s="4"/>
      <c r="E95" s="4"/>
      <c r="F95" s="24"/>
      <c r="G95" s="24"/>
      <c r="H95" s="4"/>
      <c r="I95" s="4"/>
      <c r="J95" s="4"/>
      <c r="K95" s="4"/>
      <c r="L95" s="4"/>
      <c r="M95" s="4"/>
      <c r="N95" s="4"/>
      <c r="O95" s="4"/>
    </row>
    <row r="96" spans="8:8" ht="18.0" customHeight="1">
      <c r="A96" s="4"/>
      <c r="B96" s="24"/>
      <c r="C96" s="24"/>
      <c r="D96" s="4"/>
      <c r="E96" s="4"/>
      <c r="F96" s="24"/>
      <c r="G96" s="24"/>
      <c r="H96" s="4"/>
      <c r="I96" s="4"/>
      <c r="J96" s="4"/>
      <c r="K96" s="4"/>
      <c r="L96" s="4"/>
      <c r="M96" s="4"/>
      <c r="N96" s="4"/>
      <c r="O96" s="4"/>
    </row>
    <row r="97" spans="8:8" ht="18.0" customHeight="1">
      <c r="A97" s="4"/>
      <c r="B97" s="24"/>
      <c r="C97" s="24"/>
      <c r="D97" s="4"/>
      <c r="E97" s="4"/>
      <c r="F97" s="24"/>
      <c r="G97" s="24"/>
      <c r="H97" s="4"/>
      <c r="I97" s="4"/>
      <c r="J97" s="4"/>
      <c r="K97" s="4"/>
      <c r="L97" s="4"/>
      <c r="M97" s="4"/>
      <c r="N97" s="4"/>
      <c r="O97" s="4"/>
    </row>
    <row r="98" spans="8:8" ht="18.0" customHeight="1">
      <c r="A98" s="4"/>
      <c r="B98" s="24"/>
      <c r="C98" s="24"/>
      <c r="D98" s="4"/>
      <c r="E98" s="4"/>
      <c r="F98" s="24"/>
      <c r="G98" s="24"/>
      <c r="H98" s="4"/>
      <c r="I98" s="4"/>
      <c r="J98" s="4"/>
      <c r="K98" s="4"/>
      <c r="L98" s="4"/>
      <c r="M98" s="4"/>
      <c r="N98" s="4"/>
      <c r="O98" s="4"/>
    </row>
    <row r="99" spans="8:8" ht="18.0" customHeight="1">
      <c r="A99" s="4"/>
      <c r="B99" s="24"/>
      <c r="C99" s="24"/>
      <c r="D99" s="4"/>
      <c r="E99" s="4"/>
      <c r="F99" s="24"/>
      <c r="G99" s="24"/>
      <c r="H99" s="4"/>
      <c r="I99" s="4"/>
      <c r="J99" s="4"/>
      <c r="K99" s="4"/>
      <c r="L99" s="4"/>
      <c r="M99" s="4"/>
      <c r="N99" s="4"/>
      <c r="O99" s="4"/>
    </row>
    <row r="100" spans="8:8" ht="18.0" customHeight="1">
      <c r="A100" s="4"/>
      <c r="B100" s="24"/>
      <c r="C100" s="24"/>
      <c r="D100" s="4"/>
      <c r="E100" s="4"/>
      <c r="F100" s="24"/>
      <c r="G100" s="24"/>
      <c r="H100" s="4"/>
      <c r="I100" s="4"/>
      <c r="J100" s="4"/>
      <c r="K100" s="4"/>
      <c r="L100" s="4"/>
      <c r="M100" s="4"/>
      <c r="N100" s="4"/>
      <c r="O100" s="4"/>
    </row>
    <row r="101" spans="8:8" ht="18.0" customHeight="1">
      <c r="A101" s="4"/>
      <c r="B101" s="24"/>
      <c r="C101" s="24"/>
      <c r="D101" s="4"/>
      <c r="E101" s="4"/>
      <c r="F101" s="24"/>
      <c r="G101" s="24"/>
      <c r="H101" s="4"/>
      <c r="I101" s="4"/>
      <c r="J101" s="4"/>
      <c r="K101" s="4"/>
      <c r="L101" s="4"/>
      <c r="M101" s="4"/>
      <c r="N101" s="4"/>
      <c r="O101" s="4"/>
    </row>
    <row r="102" spans="8:8" ht="18.0" customHeight="1">
      <c r="A102" s="4"/>
      <c r="B102" s="24"/>
      <c r="C102" s="24"/>
      <c r="D102" s="4"/>
      <c r="E102" s="4"/>
      <c r="F102" s="24"/>
      <c r="G102" s="24"/>
      <c r="H102" s="4"/>
      <c r="I102" s="4"/>
      <c r="J102" s="4"/>
      <c r="K102" s="4"/>
      <c r="L102" s="4"/>
      <c r="M102" s="4"/>
      <c r="N102" s="4"/>
      <c r="O102" s="4"/>
    </row>
    <row r="103" spans="8:8" ht="18.0" customHeight="1">
      <c r="A103" s="4"/>
      <c r="B103" s="24"/>
      <c r="C103" s="24"/>
      <c r="D103" s="4"/>
      <c r="E103" s="4"/>
      <c r="F103" s="24"/>
      <c r="G103" s="24"/>
      <c r="H103" s="4"/>
      <c r="I103" s="4"/>
      <c r="J103" s="4"/>
      <c r="K103" s="4"/>
      <c r="L103" s="4"/>
      <c r="M103" s="4"/>
      <c r="N103" s="4"/>
      <c r="O103" s="4"/>
    </row>
    <row r="104" spans="8:8" ht="18.0" customHeight="1">
      <c r="A104" s="4"/>
      <c r="B104" s="24"/>
      <c r="C104" s="24"/>
      <c r="D104" s="4"/>
      <c r="E104" s="4"/>
      <c r="F104" s="24"/>
      <c r="G104" s="24"/>
      <c r="H104" s="4"/>
      <c r="I104" s="4"/>
      <c r="J104" s="4"/>
      <c r="K104" s="4"/>
      <c r="L104" s="4"/>
      <c r="M104" s="4"/>
      <c r="N104" s="4"/>
      <c r="O104" s="4"/>
    </row>
    <row r="105" spans="8:8" ht="18.0" customHeight="1">
      <c r="A105" s="4"/>
      <c r="B105" s="24"/>
      <c r="C105" s="24"/>
      <c r="D105" s="4"/>
      <c r="E105" s="4"/>
      <c r="F105" s="24"/>
      <c r="G105" s="24"/>
      <c r="H105" s="4"/>
      <c r="I105" s="4"/>
      <c r="J105" s="4"/>
      <c r="K105" s="4"/>
      <c r="L105" s="4"/>
      <c r="M105" s="4"/>
      <c r="N105" s="4"/>
      <c r="O105" s="4"/>
    </row>
    <row r="106" spans="8:8" ht="18.0" customHeight="1">
      <c r="A106" s="4"/>
      <c r="B106" s="24"/>
      <c r="C106" s="24"/>
      <c r="D106" s="4"/>
      <c r="E106" s="4"/>
      <c r="F106" s="24"/>
      <c r="G106" s="24"/>
      <c r="H106" s="4"/>
      <c r="I106" s="4"/>
      <c r="J106" s="4"/>
      <c r="K106" s="4"/>
      <c r="L106" s="4"/>
      <c r="M106" s="4"/>
      <c r="N106" s="4"/>
      <c r="O106" s="4"/>
    </row>
    <row r="107" spans="8:8" ht="18.0" customHeight="1">
      <c r="A107" s="4"/>
      <c r="B107" s="24"/>
      <c r="C107" s="24"/>
      <c r="D107" s="4"/>
      <c r="E107" s="4"/>
      <c r="F107" s="24"/>
      <c r="G107" s="24"/>
      <c r="H107" s="4"/>
      <c r="I107" s="4"/>
      <c r="J107" s="4"/>
      <c r="K107" s="4"/>
      <c r="L107" s="4"/>
      <c r="M107" s="4"/>
      <c r="N107" s="4"/>
      <c r="O107" s="4"/>
    </row>
    <row r="108" spans="8:8" ht="18.0" customHeight="1">
      <c r="A108" s="4"/>
      <c r="B108" s="24"/>
      <c r="C108" s="24"/>
      <c r="D108" s="4"/>
      <c r="E108" s="4"/>
      <c r="F108" s="24"/>
      <c r="G108" s="24"/>
      <c r="H108" s="4"/>
      <c r="I108" s="4"/>
      <c r="J108" s="4"/>
      <c r="K108" s="4"/>
      <c r="L108" s="4"/>
      <c r="M108" s="4"/>
      <c r="N108" s="4"/>
      <c r="O108" s="4"/>
    </row>
    <row r="109" spans="8:8" ht="18.0" customHeight="1">
      <c r="A109" s="4"/>
      <c r="B109" s="24"/>
      <c r="C109" s="24"/>
      <c r="D109" s="4"/>
      <c r="E109" s="4"/>
      <c r="F109" s="24"/>
      <c r="G109" s="24"/>
      <c r="H109" s="4"/>
      <c r="I109" s="4"/>
      <c r="J109" s="4"/>
      <c r="K109" s="4"/>
      <c r="L109" s="4"/>
      <c r="M109" s="4"/>
      <c r="N109" s="4"/>
      <c r="O109" s="4"/>
    </row>
    <row r="110" spans="8:8" ht="18.0" customHeight="1">
      <c r="A110" s="4"/>
      <c r="B110" s="24"/>
      <c r="C110" s="24"/>
      <c r="D110" s="4"/>
      <c r="E110" s="4"/>
      <c r="F110" s="24"/>
      <c r="G110" s="24"/>
      <c r="H110" s="4"/>
      <c r="I110" s="4"/>
      <c r="J110" s="4"/>
      <c r="K110" s="4"/>
      <c r="L110" s="4"/>
      <c r="M110" s="4"/>
      <c r="N110" s="4"/>
      <c r="O110" s="4"/>
    </row>
    <row r="111" spans="8:8" ht="18.0" customHeight="1">
      <c r="A111" s="4"/>
      <c r="B111" s="24"/>
      <c r="C111" s="24"/>
      <c r="D111" s="4"/>
      <c r="E111" s="4"/>
      <c r="F111" s="24"/>
      <c r="G111" s="24"/>
      <c r="H111" s="4"/>
      <c r="I111" s="4"/>
      <c r="J111" s="4"/>
      <c r="K111" s="4"/>
      <c r="L111" s="4"/>
      <c r="M111" s="4"/>
      <c r="N111" s="4"/>
      <c r="O111" s="4"/>
    </row>
    <row r="112" spans="8:8" ht="18.0" customHeight="1">
      <c r="A112" s="4"/>
      <c r="B112" s="24"/>
      <c r="C112" s="24"/>
      <c r="D112" s="4"/>
      <c r="E112" s="4"/>
      <c r="F112" s="24"/>
      <c r="G112" s="24"/>
      <c r="H112" s="4"/>
      <c r="I112" s="4"/>
      <c r="J112" s="4"/>
      <c r="K112" s="4"/>
      <c r="L112" s="4"/>
      <c r="M112" s="4"/>
      <c r="N112" s="4"/>
      <c r="O112" s="4"/>
    </row>
    <row r="113" spans="8:8" ht="18.0" customHeight="1">
      <c r="A113" s="4"/>
      <c r="B113" s="24"/>
      <c r="C113" s="24"/>
      <c r="D113" s="4"/>
      <c r="E113" s="4"/>
      <c r="F113" s="24"/>
      <c r="G113" s="24"/>
      <c r="H113" s="4"/>
      <c r="I113" s="4"/>
      <c r="J113" s="4"/>
      <c r="K113" s="4"/>
      <c r="L113" s="4"/>
      <c r="M113" s="4"/>
      <c r="N113" s="4"/>
      <c r="O113" s="4"/>
    </row>
    <row r="114" spans="8:8" ht="18.0" customHeight="1">
      <c r="A114" s="4"/>
      <c r="B114" s="24"/>
      <c r="C114" s="24"/>
      <c r="D114" s="4"/>
      <c r="E114" s="4"/>
      <c r="F114" s="24"/>
      <c r="G114" s="24"/>
      <c r="H114" s="4"/>
      <c r="I114" s="4"/>
      <c r="J114" s="4"/>
      <c r="K114" s="4"/>
      <c r="L114" s="4"/>
      <c r="M114" s="4"/>
      <c r="N114" s="4"/>
      <c r="O114" s="4"/>
    </row>
    <row r="115" spans="8:8" ht="18.0" customHeight="1">
      <c r="A115" s="4"/>
      <c r="B115" s="24"/>
      <c r="C115" s="24"/>
      <c r="D115" s="4"/>
      <c r="E115" s="4"/>
      <c r="F115" s="24"/>
      <c r="G115" s="24"/>
      <c r="H115" s="4"/>
      <c r="I115" s="4"/>
      <c r="J115" s="4"/>
      <c r="K115" s="4"/>
      <c r="L115" s="4"/>
      <c r="M115" s="4"/>
      <c r="N115" s="4"/>
      <c r="O115" s="4"/>
    </row>
    <row r="116" spans="8:8" ht="18.0" customHeight="1">
      <c r="A116" s="4"/>
      <c r="B116" s="24"/>
      <c r="C116" s="24"/>
      <c r="D116" s="4"/>
      <c r="E116" s="4"/>
      <c r="F116" s="24"/>
      <c r="G116" s="24"/>
      <c r="H116" s="4"/>
      <c r="I116" s="4"/>
      <c r="J116" s="4"/>
      <c r="K116" s="4"/>
      <c r="L116" s="4"/>
      <c r="M116" s="4"/>
      <c r="N116" s="4"/>
      <c r="O116" s="4"/>
    </row>
    <row r="117" spans="8:8" ht="18.0" customHeight="1">
      <c r="A117" s="4"/>
      <c r="B117" s="24"/>
      <c r="C117" s="24"/>
      <c r="D117" s="4"/>
      <c r="E117" s="4"/>
      <c r="F117" s="24"/>
      <c r="G117" s="24"/>
      <c r="H117" s="4"/>
      <c r="I117" s="4"/>
      <c r="J117" s="4"/>
      <c r="K117" s="4"/>
      <c r="L117" s="4"/>
      <c r="M117" s="4"/>
      <c r="N117" s="4"/>
      <c r="O117" s="4"/>
    </row>
    <row r="118" spans="8:8" ht="18.0" customHeight="1">
      <c r="A118" s="4"/>
      <c r="B118" s="24"/>
      <c r="C118" s="24"/>
      <c r="D118" s="4"/>
      <c r="E118" s="4"/>
      <c r="F118" s="24"/>
      <c r="G118" s="24"/>
      <c r="H118" s="4"/>
      <c r="I118" s="4"/>
      <c r="J118" s="4"/>
      <c r="K118" s="4"/>
      <c r="L118" s="4"/>
      <c r="M118" s="4"/>
      <c r="N118" s="4"/>
      <c r="O118" s="4"/>
    </row>
    <row r="119" spans="8:8" ht="18.0" customHeight="1">
      <c r="A119" s="4"/>
      <c r="B119" s="24"/>
      <c r="C119" s="24"/>
      <c r="D119" s="4"/>
      <c r="E119" s="4"/>
      <c r="F119" s="24"/>
      <c r="G119" s="24"/>
      <c r="H119" s="4"/>
      <c r="I119" s="4"/>
      <c r="J119" s="4"/>
      <c r="K119" s="4"/>
      <c r="L119" s="4"/>
      <c r="M119" s="4"/>
      <c r="N119" s="4"/>
      <c r="O119" s="4"/>
    </row>
    <row r="120" spans="8:8" ht="18.0" customHeight="1">
      <c r="A120" s="4"/>
      <c r="B120" s="24"/>
      <c r="C120" s="24"/>
      <c r="D120" s="4"/>
      <c r="E120" s="4"/>
      <c r="F120" s="24"/>
      <c r="G120" s="24"/>
      <c r="H120" s="4"/>
      <c r="I120" s="4"/>
      <c r="J120" s="4"/>
      <c r="K120" s="4"/>
      <c r="L120" s="4"/>
      <c r="M120" s="4"/>
      <c r="N120" s="4"/>
      <c r="O120" s="4"/>
    </row>
    <row r="121" spans="8:8" ht="18.0" customHeight="1">
      <c r="A121" s="4"/>
      <c r="B121" s="24"/>
      <c r="C121" s="24"/>
      <c r="D121" s="4"/>
      <c r="E121" s="4"/>
      <c r="F121" s="24"/>
      <c r="G121" s="24"/>
      <c r="H121" s="4"/>
      <c r="I121" s="4"/>
      <c r="J121" s="4"/>
      <c r="K121" s="4"/>
      <c r="L121" s="4"/>
      <c r="M121" s="4"/>
      <c r="N121" s="4"/>
      <c r="O121" s="4"/>
    </row>
    <row r="122" spans="8:8" ht="18.0" customHeight="1">
      <c r="A122" s="4"/>
      <c r="B122" s="24"/>
      <c r="C122" s="24"/>
      <c r="D122" s="4"/>
      <c r="E122" s="4"/>
      <c r="F122" s="24"/>
      <c r="G122" s="24"/>
      <c r="H122" s="4"/>
      <c r="I122" s="4"/>
      <c r="J122" s="4"/>
      <c r="K122" s="4"/>
      <c r="L122" s="4"/>
      <c r="M122" s="4"/>
      <c r="N122" s="4"/>
      <c r="O122" s="4"/>
    </row>
    <row r="123" spans="8:8" ht="18.0" customHeight="1">
      <c r="A123" s="4"/>
      <c r="B123" s="24"/>
      <c r="C123" s="24"/>
      <c r="D123" s="4"/>
      <c r="E123" s="4"/>
      <c r="F123" s="24"/>
      <c r="G123" s="24"/>
      <c r="H123" s="4"/>
      <c r="I123" s="4"/>
      <c r="J123" s="4"/>
      <c r="K123" s="4"/>
      <c r="L123" s="4"/>
      <c r="M123" s="4"/>
      <c r="N123" s="4"/>
      <c r="O123" s="4"/>
    </row>
    <row r="124" spans="8:8" ht="18.0" customHeight="1">
      <c r="A124" s="4"/>
      <c r="B124" s="24"/>
      <c r="C124" s="24"/>
      <c r="D124" s="4"/>
      <c r="E124" s="4"/>
      <c r="F124" s="24"/>
      <c r="G124" s="24"/>
      <c r="H124" s="4"/>
      <c r="I124" s="4"/>
      <c r="J124" s="4"/>
      <c r="K124" s="4"/>
      <c r="L124" s="4"/>
      <c r="M124" s="4"/>
      <c r="N124" s="4"/>
      <c r="O124" s="4"/>
    </row>
    <row r="125" spans="8:8" ht="18.0" customHeight="1">
      <c r="A125" s="4"/>
      <c r="B125" s="24"/>
      <c r="C125" s="24"/>
      <c r="D125" s="4"/>
      <c r="E125" s="4"/>
      <c r="F125" s="24"/>
      <c r="G125" s="24"/>
      <c r="H125" s="4"/>
      <c r="I125" s="4"/>
      <c r="J125" s="4"/>
      <c r="K125" s="4"/>
      <c r="L125" s="4"/>
      <c r="M125" s="4"/>
      <c r="N125" s="4"/>
      <c r="O125" s="4"/>
    </row>
    <row r="126" spans="8:8" ht="18.0" customHeight="1">
      <c r="A126" s="4"/>
      <c r="B126" s="24"/>
      <c r="C126" s="24"/>
      <c r="D126" s="4"/>
      <c r="E126" s="4"/>
      <c r="F126" s="24"/>
      <c r="G126" s="24"/>
      <c r="H126" s="4"/>
      <c r="I126" s="4"/>
      <c r="J126" s="4"/>
      <c r="K126" s="4"/>
      <c r="L126" s="4"/>
      <c r="M126" s="4"/>
      <c r="N126" s="4"/>
      <c r="O126" s="4"/>
    </row>
    <row r="127" spans="8:8" ht="18.0" customHeight="1">
      <c r="A127" s="4"/>
      <c r="B127" s="24"/>
      <c r="C127" s="24"/>
      <c r="D127" s="4"/>
      <c r="E127" s="4"/>
      <c r="F127" s="24"/>
      <c r="G127" s="24"/>
      <c r="H127" s="4"/>
      <c r="I127" s="4"/>
      <c r="J127" s="4"/>
      <c r="K127" s="4"/>
      <c r="L127" s="4"/>
      <c r="M127" s="4"/>
      <c r="N127" s="4"/>
      <c r="O127" s="4"/>
    </row>
    <row r="128" spans="8:8" ht="18.0" customHeight="1">
      <c r="A128" s="4"/>
      <c r="B128" s="24"/>
      <c r="C128" s="24"/>
      <c r="D128" s="4"/>
      <c r="E128" s="4"/>
      <c r="F128" s="24"/>
      <c r="G128" s="24"/>
      <c r="H128" s="4"/>
      <c r="I128" s="4"/>
      <c r="J128" s="4"/>
      <c r="K128" s="4"/>
      <c r="L128" s="4"/>
      <c r="M128" s="4"/>
      <c r="N128" s="4"/>
      <c r="O128" s="4"/>
    </row>
    <row r="129" spans="8:8" ht="18.0" customHeight="1">
      <c r="A129" s="4"/>
      <c r="B129" s="24"/>
      <c r="C129" s="24"/>
      <c r="D129" s="4"/>
      <c r="E129" s="4"/>
      <c r="F129" s="24"/>
      <c r="G129" s="24"/>
      <c r="H129" s="4"/>
      <c r="I129" s="4"/>
      <c r="J129" s="4"/>
      <c r="K129" s="4"/>
      <c r="L129" s="4"/>
      <c r="M129" s="4"/>
      <c r="N129" s="4"/>
      <c r="O129" s="4"/>
    </row>
    <row r="130" spans="8:8" ht="18.0" customHeight="1">
      <c r="A130" s="4"/>
      <c r="B130" s="24"/>
      <c r="C130" s="24"/>
      <c r="D130" s="4"/>
      <c r="E130" s="4"/>
      <c r="F130" s="24"/>
      <c r="G130" s="24"/>
      <c r="H130" s="4"/>
      <c r="I130" s="4"/>
      <c r="J130" s="4"/>
      <c r="K130" s="4"/>
      <c r="L130" s="4"/>
      <c r="M130" s="4"/>
      <c r="N130" s="4"/>
      <c r="O130" s="4"/>
    </row>
    <row r="131" spans="8:8" ht="18.0" customHeight="1">
      <c r="A131" s="4"/>
      <c r="B131" s="24"/>
      <c r="C131" s="24"/>
      <c r="D131" s="4"/>
      <c r="E131" s="4"/>
      <c r="F131" s="24"/>
      <c r="G131" s="24"/>
      <c r="H131" s="4"/>
      <c r="I131" s="4"/>
      <c r="J131" s="4"/>
      <c r="K131" s="4"/>
      <c r="L131" s="4"/>
      <c r="M131" s="4"/>
      <c r="N131" s="4"/>
      <c r="O131" s="4"/>
    </row>
    <row r="132" spans="8:8" ht="18.0" customHeight="1">
      <c r="A132" s="4"/>
      <c r="B132" s="24"/>
      <c r="C132" s="24"/>
      <c r="D132" s="4"/>
      <c r="E132" s="4"/>
      <c r="F132" s="24"/>
      <c r="G132" s="24"/>
      <c r="H132" s="4"/>
      <c r="I132" s="4"/>
      <c r="J132" s="4"/>
      <c r="K132" s="4"/>
      <c r="L132" s="4"/>
      <c r="M132" s="4"/>
      <c r="N132" s="4"/>
      <c r="O132" s="4"/>
    </row>
    <row r="133" spans="8:8" ht="18.0" customHeight="1">
      <c r="A133" s="4"/>
      <c r="B133" s="24"/>
      <c r="C133" s="24"/>
      <c r="D133" s="4"/>
      <c r="E133" s="4"/>
      <c r="F133" s="24"/>
      <c r="G133" s="24"/>
      <c r="H133" s="4"/>
      <c r="I133" s="4"/>
      <c r="J133" s="4"/>
      <c r="K133" s="4"/>
      <c r="L133" s="4"/>
      <c r="M133" s="4"/>
      <c r="N133" s="4"/>
      <c r="O133" s="4"/>
    </row>
    <row r="134" spans="8:8" ht="18.0" customHeight="1">
      <c r="A134" s="4"/>
      <c r="B134" s="24"/>
      <c r="C134" s="24"/>
      <c r="D134" s="4"/>
      <c r="E134" s="4"/>
      <c r="F134" s="24"/>
      <c r="G134" s="24"/>
      <c r="H134" s="4"/>
      <c r="I134" s="4"/>
      <c r="J134" s="4"/>
      <c r="K134" s="4"/>
      <c r="L134" s="4"/>
      <c r="M134" s="4"/>
      <c r="N134" s="4"/>
      <c r="O134" s="4"/>
    </row>
    <row r="135" spans="8:8" ht="18.0" customHeight="1">
      <c r="A135" s="4"/>
      <c r="B135" s="24"/>
      <c r="C135" s="24"/>
      <c r="D135" s="4"/>
      <c r="E135" s="4"/>
      <c r="F135" s="24"/>
      <c r="G135" s="24"/>
      <c r="H135" s="4"/>
      <c r="I135" s="4"/>
      <c r="J135" s="4"/>
      <c r="K135" s="4"/>
      <c r="L135" s="4"/>
      <c r="M135" s="4"/>
      <c r="N135" s="4"/>
      <c r="O135" s="4"/>
    </row>
    <row r="136" spans="8:8" ht="18.0" customHeight="1">
      <c r="A136" s="4"/>
      <c r="B136" s="24"/>
      <c r="C136" s="24"/>
      <c r="D136" s="4"/>
      <c r="E136" s="4"/>
      <c r="F136" s="24"/>
      <c r="G136" s="24"/>
      <c r="H136" s="4"/>
      <c r="I136" s="4"/>
      <c r="J136" s="4"/>
      <c r="K136" s="4"/>
      <c r="L136" s="4"/>
      <c r="M136" s="4"/>
      <c r="N136" s="4"/>
      <c r="O136" s="4"/>
    </row>
    <row r="137" spans="8:8" ht="18.0" customHeight="1">
      <c r="A137" s="4"/>
      <c r="B137" s="24"/>
      <c r="C137" s="24"/>
      <c r="D137" s="4"/>
      <c r="E137" s="4"/>
      <c r="F137" s="24"/>
      <c r="G137" s="24"/>
      <c r="H137" s="4"/>
      <c r="I137" s="4"/>
      <c r="J137" s="4"/>
      <c r="K137" s="4"/>
      <c r="L137" s="4"/>
      <c r="M137" s="4"/>
      <c r="N137" s="4"/>
      <c r="O137" s="4"/>
    </row>
    <row r="138" spans="8:8" ht="18.0" customHeight="1">
      <c r="A138" s="4"/>
      <c r="B138" s="24"/>
      <c r="C138" s="24"/>
      <c r="D138" s="4"/>
      <c r="E138" s="4"/>
      <c r="F138" s="24"/>
      <c r="G138" s="24"/>
      <c r="H138" s="4"/>
      <c r="I138" s="4"/>
      <c r="J138" s="4"/>
      <c r="K138" s="4"/>
      <c r="L138" s="4"/>
      <c r="M138" s="4"/>
      <c r="N138" s="4"/>
      <c r="O138" s="4"/>
    </row>
    <row r="139" spans="8:8" ht="18.0" customHeight="1">
      <c r="A139" s="4"/>
      <c r="B139" s="24"/>
      <c r="C139" s="24"/>
      <c r="D139" s="4"/>
      <c r="E139" s="4"/>
      <c r="F139" s="24"/>
      <c r="G139" s="24"/>
      <c r="H139" s="4"/>
      <c r="I139" s="4"/>
      <c r="J139" s="4"/>
      <c r="K139" s="4"/>
      <c r="L139" s="4"/>
      <c r="M139" s="4"/>
      <c r="N139" s="4"/>
      <c r="O139" s="4"/>
    </row>
    <row r="140" spans="8:8" ht="18.0" customHeight="1">
      <c r="A140" s="4"/>
      <c r="B140" s="24"/>
      <c r="C140" s="24"/>
      <c r="D140" s="4"/>
      <c r="E140" s="4"/>
      <c r="F140" s="24"/>
      <c r="G140" s="24"/>
      <c r="H140" s="4"/>
      <c r="I140" s="4"/>
      <c r="J140" s="4"/>
      <c r="K140" s="4"/>
      <c r="L140" s="4"/>
      <c r="M140" s="4"/>
      <c r="N140" s="4"/>
      <c r="O140" s="4"/>
    </row>
    <row r="141" spans="8:8" ht="18.0" customHeight="1">
      <c r="A141" s="4"/>
      <c r="B141" s="24"/>
      <c r="C141" s="24"/>
      <c r="D141" s="4"/>
      <c r="E141" s="4"/>
      <c r="F141" s="24"/>
      <c r="G141" s="24"/>
      <c r="H141" s="4"/>
      <c r="I141" s="4"/>
      <c r="J141" s="4"/>
      <c r="K141" s="4"/>
      <c r="L141" s="4"/>
      <c r="M141" s="4"/>
      <c r="N141" s="4"/>
      <c r="O141" s="4"/>
    </row>
    <row r="142" spans="8:8" ht="18.0" customHeight="1">
      <c r="A142" s="4"/>
      <c r="B142" s="24"/>
      <c r="C142" s="24"/>
      <c r="D142" s="4"/>
      <c r="E142" s="4"/>
      <c r="F142" s="24"/>
      <c r="G142" s="24"/>
      <c r="H142" s="4"/>
      <c r="I142" s="4"/>
      <c r="J142" s="4"/>
      <c r="K142" s="4"/>
      <c r="L142" s="4"/>
      <c r="M142" s="4"/>
      <c r="N142" s="4"/>
      <c r="O142" s="4"/>
    </row>
    <row r="143" spans="8:8" ht="18.0" customHeight="1">
      <c r="A143" s="4"/>
      <c r="B143" s="24"/>
      <c r="C143" s="24"/>
      <c r="D143" s="4"/>
      <c r="E143" s="4"/>
      <c r="F143" s="24"/>
      <c r="G143" s="24"/>
      <c r="H143" s="4"/>
      <c r="I143" s="4"/>
      <c r="J143" s="4"/>
      <c r="K143" s="4"/>
      <c r="L143" s="4"/>
      <c r="M143" s="4"/>
      <c r="N143" s="4"/>
      <c r="O143" s="4"/>
    </row>
    <row r="144" spans="8:8" ht="18.0" customHeight="1">
      <c r="A144" s="4"/>
      <c r="B144" s="24"/>
      <c r="C144" s="24"/>
      <c r="D144" s="4"/>
      <c r="E144" s="4"/>
      <c r="F144" s="24"/>
      <c r="G144" s="24"/>
      <c r="H144" s="4"/>
      <c r="I144" s="4"/>
      <c r="J144" s="4"/>
      <c r="K144" s="4"/>
      <c r="L144" s="4"/>
      <c r="M144" s="4"/>
      <c r="N144" s="4"/>
      <c r="O144" s="4"/>
    </row>
    <row r="145" spans="8:8" ht="18.0" customHeight="1">
      <c r="A145" s="4"/>
      <c r="B145" s="24"/>
      <c r="C145" s="24"/>
      <c r="D145" s="4"/>
      <c r="E145" s="4"/>
      <c r="F145" s="24"/>
      <c r="G145" s="24"/>
      <c r="H145" s="4"/>
      <c r="I145" s="4"/>
      <c r="J145" s="4"/>
      <c r="K145" s="4"/>
      <c r="L145" s="4"/>
      <c r="M145" s="4"/>
      <c r="N145" s="4"/>
      <c r="O145" s="4"/>
    </row>
    <row r="146" spans="8:8" ht="18.0" customHeight="1">
      <c r="A146" s="4"/>
      <c r="B146" s="24"/>
      <c r="C146" s="24"/>
      <c r="D146" s="4"/>
      <c r="E146" s="4"/>
      <c r="F146" s="24"/>
      <c r="G146" s="24"/>
      <c r="H146" s="4"/>
      <c r="I146" s="4"/>
      <c r="J146" s="4"/>
      <c r="K146" s="4"/>
      <c r="L146" s="4"/>
      <c r="M146" s="4"/>
      <c r="N146" s="4"/>
      <c r="O146" s="4"/>
    </row>
    <row r="147" spans="8:8" ht="18.0" customHeight="1">
      <c r="A147" s="4"/>
      <c r="B147" s="24"/>
      <c r="C147" s="24"/>
      <c r="D147" s="4"/>
      <c r="E147" s="4"/>
      <c r="F147" s="24"/>
      <c r="G147" s="24"/>
      <c r="H147" s="4"/>
      <c r="I147" s="4"/>
      <c r="J147" s="4"/>
      <c r="K147" s="4"/>
      <c r="L147" s="4"/>
      <c r="M147" s="4"/>
      <c r="N147" s="4"/>
      <c r="O147" s="4"/>
    </row>
    <row r="148" spans="8:8" ht="18.0" customHeight="1">
      <c r="A148" s="4"/>
      <c r="B148" s="24"/>
      <c r="C148" s="24"/>
      <c r="D148" s="4"/>
      <c r="E148" s="4"/>
      <c r="F148" s="24"/>
      <c r="G148" s="24"/>
      <c r="H148" s="4"/>
      <c r="I148" s="4"/>
      <c r="J148" s="4"/>
      <c r="K148" s="4"/>
      <c r="L148" s="4"/>
      <c r="M148" s="4"/>
      <c r="N148" s="4"/>
      <c r="O148" s="4"/>
    </row>
    <row r="149" spans="8:8" ht="18.0" customHeight="1">
      <c r="A149" s="4"/>
      <c r="B149" s="24"/>
      <c r="C149" s="24"/>
      <c r="D149" s="4"/>
      <c r="E149" s="4"/>
      <c r="F149" s="24"/>
      <c r="G149" s="24"/>
      <c r="H149" s="4"/>
      <c r="I149" s="4"/>
      <c r="J149" s="4"/>
      <c r="K149" s="4"/>
      <c r="L149" s="4"/>
      <c r="M149" s="4"/>
      <c r="N149" s="4"/>
      <c r="O149" s="4"/>
    </row>
    <row r="150" spans="8:8" ht="18.0" customHeight="1">
      <c r="A150" s="4"/>
      <c r="B150" s="24"/>
      <c r="C150" s="24"/>
      <c r="D150" s="4"/>
      <c r="E150" s="4"/>
      <c r="F150" s="24"/>
      <c r="G150" s="24"/>
      <c r="H150" s="4"/>
      <c r="I150" s="4"/>
      <c r="J150" s="4"/>
      <c r="K150" s="4"/>
      <c r="L150" s="4"/>
      <c r="M150" s="4"/>
      <c r="N150" s="4"/>
      <c r="O150" s="4"/>
    </row>
    <row r="151" spans="8:8" ht="18.0" customHeight="1">
      <c r="A151" s="4"/>
      <c r="B151" s="24"/>
      <c r="C151" s="24"/>
      <c r="D151" s="4"/>
      <c r="E151" s="4"/>
      <c r="F151" s="24"/>
      <c r="G151" s="24"/>
      <c r="H151" s="4"/>
      <c r="I151" s="4"/>
      <c r="J151" s="4"/>
      <c r="K151" s="4"/>
      <c r="L151" s="4"/>
      <c r="M151" s="4"/>
      <c r="N151" s="4"/>
      <c r="O151" s="4"/>
    </row>
    <row r="152" spans="8:8" ht="18.0" customHeight="1">
      <c r="A152" s="4"/>
      <c r="B152" s="24"/>
      <c r="C152" s="24"/>
      <c r="D152" s="4"/>
      <c r="E152" s="4"/>
      <c r="F152" s="24"/>
      <c r="G152" s="24"/>
      <c r="H152" s="4"/>
      <c r="I152" s="4"/>
      <c r="J152" s="4"/>
      <c r="K152" s="4"/>
      <c r="L152" s="4"/>
      <c r="M152" s="4"/>
      <c r="N152" s="4"/>
      <c r="O152" s="4"/>
    </row>
    <row r="153" spans="8:8" ht="18.0" customHeight="1">
      <c r="A153" s="4"/>
      <c r="B153" s="24"/>
      <c r="C153" s="24"/>
      <c r="D153" s="4"/>
      <c r="E153" s="4"/>
      <c r="F153" s="24"/>
      <c r="G153" s="24"/>
      <c r="H153" s="4"/>
      <c r="I153" s="4"/>
      <c r="J153" s="4"/>
      <c r="K153" s="4"/>
      <c r="L153" s="4"/>
      <c r="M153" s="4"/>
      <c r="N153" s="4"/>
      <c r="O153" s="4"/>
    </row>
    <row r="154" spans="8:8" ht="18.0" customHeight="1">
      <c r="A154" s="4"/>
      <c r="B154" s="24"/>
      <c r="C154" s="24"/>
      <c r="D154" s="4"/>
      <c r="E154" s="4"/>
      <c r="F154" s="24"/>
      <c r="G154" s="24"/>
      <c r="H154" s="4"/>
      <c r="I154" s="4"/>
      <c r="J154" s="4"/>
      <c r="K154" s="4"/>
      <c r="L154" s="4"/>
      <c r="M154" s="4"/>
      <c r="N154" s="4"/>
      <c r="O154" s="4"/>
    </row>
    <row r="155" spans="8:8" ht="18.0" customHeight="1">
      <c r="A155" s="4"/>
      <c r="B155" s="24"/>
      <c r="C155" s="24"/>
      <c r="D155" s="4"/>
      <c r="E155" s="4"/>
      <c r="F155" s="24"/>
      <c r="G155" s="24"/>
      <c r="H155" s="4"/>
      <c r="I155" s="4"/>
      <c r="J155" s="4"/>
      <c r="K155" s="4"/>
      <c r="L155" s="4"/>
      <c r="M155" s="4"/>
      <c r="N155" s="4"/>
      <c r="O155" s="4"/>
    </row>
    <row r="156" spans="8:8" ht="18.0" customHeight="1">
      <c r="A156" s="4"/>
      <c r="B156" s="24"/>
      <c r="C156" s="24"/>
      <c r="D156" s="4"/>
      <c r="E156" s="4"/>
      <c r="F156" s="24"/>
      <c r="G156" s="24"/>
      <c r="H156" s="4"/>
      <c r="I156" s="4"/>
      <c r="J156" s="4"/>
      <c r="K156" s="4"/>
      <c r="L156" s="4"/>
      <c r="M156" s="4"/>
      <c r="N156" s="4"/>
      <c r="O156" s="4"/>
    </row>
    <row r="157" spans="8:8" ht="18.0" customHeight="1">
      <c r="A157" s="4"/>
      <c r="B157" s="24"/>
      <c r="C157" s="24"/>
      <c r="D157" s="4"/>
      <c r="E157" s="4"/>
      <c r="F157" s="24"/>
      <c r="G157" s="24"/>
      <c r="H157" s="4"/>
      <c r="I157" s="4"/>
      <c r="J157" s="4"/>
      <c r="K157" s="4"/>
      <c r="L157" s="4"/>
      <c r="M157" s="4"/>
      <c r="N157" s="4"/>
      <c r="O157" s="4"/>
    </row>
    <row r="158" spans="8:8" ht="18.0" customHeight="1">
      <c r="A158" s="4"/>
      <c r="B158" s="24"/>
      <c r="C158" s="24"/>
      <c r="D158" s="4"/>
      <c r="E158" s="4"/>
      <c r="F158" s="24"/>
      <c r="G158" s="24"/>
      <c r="H158" s="4"/>
      <c r="I158" s="4"/>
      <c r="J158" s="4"/>
      <c r="K158" s="4"/>
      <c r="L158" s="4"/>
      <c r="M158" s="4"/>
      <c r="N158" s="4"/>
      <c r="O158" s="4"/>
    </row>
    <row r="159" spans="8:8" ht="18.0" customHeight="1">
      <c r="A159" s="4"/>
      <c r="B159" s="24"/>
      <c r="C159" s="24"/>
      <c r="D159" s="4"/>
      <c r="E159" s="4"/>
      <c r="F159" s="24"/>
      <c r="G159" s="24"/>
      <c r="H159" s="4"/>
      <c r="I159" s="4"/>
      <c r="J159" s="4"/>
      <c r="K159" s="4"/>
      <c r="L159" s="4"/>
      <c r="M159" s="4"/>
      <c r="N159" s="4"/>
      <c r="O159" s="4"/>
    </row>
    <row r="160" spans="8:8" ht="18.0" customHeight="1">
      <c r="A160" s="4"/>
      <c r="B160" s="24"/>
      <c r="C160" s="24"/>
      <c r="D160" s="4"/>
      <c r="E160" s="4"/>
      <c r="F160" s="24"/>
      <c r="G160" s="24"/>
      <c r="H160" s="4"/>
      <c r="I160" s="4"/>
      <c r="J160" s="4"/>
      <c r="K160" s="4"/>
      <c r="L160" s="4"/>
      <c r="M160" s="4"/>
      <c r="N160" s="4"/>
      <c r="O160" s="4"/>
    </row>
    <row r="161" spans="8:8" ht="18.0" customHeight="1">
      <c r="A161" s="4"/>
      <c r="B161" s="24"/>
      <c r="C161" s="24"/>
      <c r="D161" s="4"/>
      <c r="E161" s="4"/>
      <c r="F161" s="24"/>
      <c r="G161" s="24"/>
      <c r="H161" s="4"/>
      <c r="I161" s="4"/>
      <c r="J161" s="4"/>
      <c r="K161" s="4"/>
      <c r="L161" s="4"/>
      <c r="M161" s="4"/>
      <c r="N161" s="4"/>
      <c r="O161" s="4"/>
    </row>
    <row r="162" spans="8:8" ht="18.0" customHeight="1">
      <c r="A162" s="4"/>
      <c r="B162" s="24"/>
      <c r="C162" s="24"/>
      <c r="D162" s="4"/>
      <c r="E162" s="4"/>
      <c r="F162" s="24"/>
      <c r="G162" s="24"/>
      <c r="H162" s="4"/>
      <c r="I162" s="4"/>
      <c r="J162" s="4"/>
      <c r="K162" s="4"/>
      <c r="L162" s="4"/>
      <c r="M162" s="4"/>
      <c r="N162" s="4"/>
      <c r="O162" s="4"/>
    </row>
    <row r="163" spans="8:8" ht="18.0" customHeight="1">
      <c r="A163" s="4"/>
      <c r="B163" s="24"/>
      <c r="C163" s="24"/>
      <c r="D163" s="4"/>
      <c r="E163" s="4"/>
      <c r="F163" s="24"/>
      <c r="G163" s="24"/>
      <c r="H163" s="4"/>
      <c r="I163" s="4"/>
      <c r="J163" s="4"/>
      <c r="K163" s="4"/>
      <c r="L163" s="4"/>
      <c r="M163" s="4"/>
      <c r="N163" s="4"/>
      <c r="O163" s="4"/>
    </row>
    <row r="164" spans="8:8" ht="18.0" customHeight="1">
      <c r="A164" s="4"/>
      <c r="B164" s="24"/>
      <c r="C164" s="24"/>
      <c r="D164" s="4"/>
      <c r="E164" s="4"/>
      <c r="F164" s="24"/>
      <c r="G164" s="24"/>
      <c r="H164" s="4"/>
      <c r="I164" s="4"/>
      <c r="J164" s="4"/>
      <c r="K164" s="4"/>
      <c r="L164" s="4"/>
      <c r="M164" s="4"/>
      <c r="N164" s="4"/>
      <c r="O164" s="4"/>
    </row>
    <row r="165" spans="8:8" ht="18.0" customHeight="1">
      <c r="A165" s="4"/>
      <c r="B165" s="24"/>
      <c r="C165" s="24"/>
      <c r="D165" s="4"/>
      <c r="E165" s="4"/>
      <c r="F165" s="24"/>
      <c r="G165" s="24"/>
      <c r="H165" s="4"/>
      <c r="I165" s="4"/>
      <c r="J165" s="4"/>
      <c r="K165" s="4"/>
      <c r="L165" s="4"/>
      <c r="M165" s="4"/>
      <c r="N165" s="4"/>
      <c r="O165" s="4"/>
    </row>
    <row r="166" spans="8:8" ht="18.0" customHeight="1">
      <c r="A166" s="4"/>
      <c r="B166" s="24"/>
      <c r="C166" s="24"/>
      <c r="D166" s="4"/>
      <c r="E166" s="4"/>
      <c r="F166" s="24"/>
      <c r="G166" s="24"/>
      <c r="H166" s="4"/>
      <c r="I166" s="4"/>
      <c r="J166" s="4"/>
      <c r="K166" s="4"/>
      <c r="L166" s="4"/>
      <c r="M166" s="4"/>
      <c r="N166" s="4"/>
      <c r="O166" s="4"/>
    </row>
    <row r="167" spans="8:8" ht="18.0" customHeight="1">
      <c r="A167" s="4"/>
      <c r="B167" s="24"/>
      <c r="C167" s="24"/>
      <c r="D167" s="4"/>
      <c r="E167" s="4"/>
      <c r="F167" s="24"/>
      <c r="G167" s="24"/>
      <c r="H167" s="4"/>
      <c r="I167" s="4"/>
      <c r="J167" s="4"/>
      <c r="K167" s="4"/>
      <c r="L167" s="4"/>
      <c r="M167" s="4"/>
      <c r="N167" s="4"/>
      <c r="O167" s="4"/>
    </row>
    <row r="168" spans="8:8" ht="18.0" customHeight="1">
      <c r="A168" s="4"/>
      <c r="B168" s="24"/>
      <c r="C168" s="24"/>
      <c r="D168" s="4"/>
      <c r="E168" s="4"/>
      <c r="F168" s="24"/>
      <c r="G168" s="24"/>
      <c r="H168" s="4"/>
      <c r="I168" s="4"/>
      <c r="J168" s="4"/>
      <c r="K168" s="4"/>
      <c r="L168" s="4"/>
      <c r="M168" s="4"/>
      <c r="N168" s="4"/>
      <c r="O168" s="4"/>
    </row>
    <row r="169" spans="8:8" ht="18.0" customHeight="1">
      <c r="A169" s="4"/>
      <c r="B169" s="24"/>
      <c r="C169" s="24"/>
      <c r="D169" s="4"/>
      <c r="E169" s="4"/>
      <c r="F169" s="24"/>
      <c r="G169" s="24"/>
      <c r="H169" s="4"/>
      <c r="I169" s="4"/>
      <c r="J169" s="4"/>
      <c r="K169" s="4"/>
      <c r="L169" s="4"/>
      <c r="M169" s="4"/>
      <c r="N169" s="4"/>
      <c r="O169" s="4"/>
    </row>
    <row r="170" spans="8:8" ht="18.0" customHeight="1">
      <c r="A170" s="4"/>
      <c r="B170" s="24"/>
      <c r="C170" s="24"/>
      <c r="D170" s="4"/>
      <c r="E170" s="4"/>
      <c r="F170" s="24"/>
      <c r="G170" s="24"/>
      <c r="H170" s="4"/>
      <c r="I170" s="4"/>
      <c r="J170" s="4"/>
      <c r="K170" s="4"/>
      <c r="L170" s="4"/>
      <c r="M170" s="4"/>
      <c r="N170" s="4"/>
      <c r="O170" s="4"/>
    </row>
    <row r="171" spans="8:8" ht="18.0" customHeight="1">
      <c r="A171" s="4"/>
      <c r="B171" s="24"/>
      <c r="C171" s="24"/>
      <c r="D171" s="4"/>
      <c r="E171" s="4"/>
      <c r="F171" s="24"/>
      <c r="G171" s="24"/>
      <c r="H171" s="4"/>
      <c r="I171" s="4"/>
      <c r="J171" s="4"/>
      <c r="K171" s="4"/>
      <c r="L171" s="4"/>
      <c r="M171" s="4"/>
      <c r="N171" s="4"/>
      <c r="O171" s="4"/>
    </row>
    <row r="172" spans="8:8" ht="18.0" customHeight="1">
      <c r="A172" s="4"/>
      <c r="B172" s="24"/>
      <c r="C172" s="24"/>
      <c r="D172" s="4"/>
      <c r="E172" s="4"/>
      <c r="F172" s="24"/>
      <c r="G172" s="24"/>
      <c r="H172" s="4"/>
      <c r="I172" s="4"/>
      <c r="J172" s="4"/>
      <c r="K172" s="4"/>
      <c r="L172" s="4"/>
      <c r="M172" s="4"/>
      <c r="N172" s="4"/>
      <c r="O172" s="4"/>
    </row>
    <row r="173" spans="8:8" ht="18.0" customHeight="1">
      <c r="A173" s="4"/>
      <c r="B173" s="24"/>
      <c r="C173" s="24"/>
      <c r="D173" s="4"/>
      <c r="E173" s="4"/>
      <c r="F173" s="24"/>
      <c r="G173" s="24"/>
      <c r="H173" s="4"/>
      <c r="I173" s="4"/>
      <c r="J173" s="4"/>
      <c r="K173" s="4"/>
      <c r="L173" s="4"/>
      <c r="M173" s="4"/>
      <c r="N173" s="4"/>
      <c r="O173" s="4"/>
    </row>
    <row r="174" spans="8:8" ht="18.0" customHeight="1">
      <c r="A174" s="4"/>
      <c r="B174" s="24"/>
      <c r="C174" s="24"/>
      <c r="D174" s="4"/>
      <c r="E174" s="4"/>
      <c r="F174" s="24"/>
      <c r="G174" s="24"/>
      <c r="H174" s="4"/>
      <c r="I174" s="4"/>
      <c r="J174" s="4"/>
      <c r="K174" s="4"/>
      <c r="L174" s="4"/>
      <c r="M174" s="4"/>
      <c r="N174" s="4"/>
      <c r="O174" s="4"/>
    </row>
    <row r="175" spans="8:8" ht="18.0" customHeight="1">
      <c r="A175" s="4"/>
      <c r="B175" s="24"/>
      <c r="C175" s="24"/>
      <c r="D175" s="4"/>
      <c r="E175" s="4"/>
      <c r="F175" s="24"/>
      <c r="G175" s="24"/>
      <c r="H175" s="4"/>
      <c r="I175" s="4"/>
      <c r="J175" s="4"/>
      <c r="K175" s="4"/>
      <c r="L175" s="4"/>
      <c r="M175" s="4"/>
      <c r="N175" s="4"/>
      <c r="O175" s="4"/>
    </row>
    <row r="176" spans="8:8" ht="18.0" customHeight="1">
      <c r="A176" s="4"/>
      <c r="B176" s="24"/>
      <c r="C176" s="24"/>
      <c r="D176" s="4"/>
      <c r="E176" s="4"/>
      <c r="F176" s="24"/>
      <c r="G176" s="24"/>
      <c r="H176" s="4"/>
      <c r="I176" s="4"/>
      <c r="J176" s="4"/>
      <c r="K176" s="4"/>
      <c r="L176" s="4"/>
      <c r="M176" s="4"/>
      <c r="N176" s="4"/>
      <c r="O176" s="4"/>
    </row>
    <row r="177" spans="8:8" ht="18.0" customHeight="1">
      <c r="A177" s="4"/>
      <c r="B177" s="24"/>
      <c r="C177" s="24"/>
      <c r="D177" s="4"/>
      <c r="E177" s="4"/>
      <c r="F177" s="24"/>
      <c r="G177" s="24"/>
      <c r="H177" s="4"/>
      <c r="I177" s="4"/>
      <c r="J177" s="4"/>
      <c r="K177" s="4"/>
      <c r="L177" s="4"/>
      <c r="M177" s="4"/>
      <c r="N177" s="4"/>
      <c r="O177" s="4"/>
    </row>
    <row r="178" spans="8:8" ht="18.0" customHeight="1">
      <c r="A178" s="4"/>
      <c r="B178" s="24"/>
      <c r="C178" s="24"/>
      <c r="D178" s="4"/>
      <c r="E178" s="4"/>
      <c r="F178" s="24"/>
      <c r="G178" s="24"/>
      <c r="H178" s="4"/>
      <c r="I178" s="4"/>
      <c r="J178" s="4"/>
      <c r="K178" s="4"/>
      <c r="L178" s="4"/>
      <c r="M178" s="4"/>
      <c r="N178" s="4"/>
      <c r="O178" s="4"/>
    </row>
    <row r="179" spans="8:8" ht="18.0" customHeight="1">
      <c r="A179" s="4"/>
      <c r="B179" s="24"/>
      <c r="C179" s="24"/>
      <c r="D179" s="4"/>
      <c r="E179" s="4"/>
      <c r="F179" s="24"/>
      <c r="G179" s="24"/>
      <c r="H179" s="4"/>
      <c r="I179" s="4"/>
      <c r="J179" s="4"/>
      <c r="K179" s="4"/>
      <c r="L179" s="4"/>
      <c r="M179" s="4"/>
      <c r="N179" s="4"/>
      <c r="O179" s="4"/>
    </row>
    <row r="180" spans="8:8" ht="18.0" customHeight="1">
      <c r="A180" s="4"/>
      <c r="B180" s="24"/>
      <c r="C180" s="24"/>
      <c r="D180" s="4"/>
      <c r="E180" s="4"/>
      <c r="F180" s="24"/>
      <c r="G180" s="24"/>
      <c r="H180" s="4"/>
      <c r="I180" s="4"/>
      <c r="J180" s="4"/>
      <c r="K180" s="4"/>
      <c r="L180" s="4"/>
      <c r="M180" s="4"/>
      <c r="N180" s="4"/>
      <c r="O180" s="4"/>
    </row>
    <row r="181" spans="8:8" ht="18.0" customHeight="1">
      <c r="A181" s="4"/>
      <c r="B181" s="24"/>
      <c r="C181" s="24"/>
      <c r="D181" s="4"/>
      <c r="E181" s="4"/>
      <c r="F181" s="24"/>
      <c r="G181" s="24"/>
      <c r="H181" s="4"/>
      <c r="I181" s="4"/>
      <c r="J181" s="4"/>
      <c r="K181" s="4"/>
      <c r="L181" s="4"/>
      <c r="M181" s="4"/>
      <c r="N181" s="4"/>
      <c r="O181" s="4"/>
    </row>
    <row r="182" spans="8:8" ht="18.0" customHeight="1">
      <c r="A182" s="4"/>
      <c r="B182" s="24"/>
      <c r="C182" s="24"/>
      <c r="D182" s="4"/>
      <c r="E182" s="4"/>
      <c r="F182" s="24"/>
      <c r="G182" s="24"/>
      <c r="H182" s="4"/>
      <c r="I182" s="4"/>
      <c r="J182" s="4"/>
      <c r="K182" s="4"/>
      <c r="L182" s="4"/>
      <c r="M182" s="4"/>
      <c r="N182" s="4"/>
      <c r="O182" s="4"/>
    </row>
    <row r="183" spans="8:8" ht="18.0" customHeight="1">
      <c r="A183" s="4"/>
      <c r="B183" s="24"/>
      <c r="C183" s="24"/>
      <c r="D183" s="4"/>
      <c r="E183" s="4"/>
      <c r="F183" s="24"/>
      <c r="G183" s="24"/>
      <c r="H183" s="4"/>
      <c r="I183" s="4"/>
      <c r="J183" s="4"/>
      <c r="K183" s="4"/>
      <c r="L183" s="4"/>
      <c r="M183" s="4"/>
      <c r="N183" s="4"/>
      <c r="O183" s="4"/>
    </row>
    <row r="184" spans="8:8" ht="18.0" customHeight="1">
      <c r="A184" s="4"/>
      <c r="B184" s="24"/>
      <c r="C184" s="24"/>
      <c r="D184" s="4"/>
      <c r="E184" s="4"/>
      <c r="F184" s="24"/>
      <c r="G184" s="24"/>
      <c r="H184" s="4"/>
      <c r="I184" s="4"/>
      <c r="J184" s="4"/>
      <c r="K184" s="4"/>
      <c r="L184" s="4"/>
      <c r="M184" s="4"/>
      <c r="N184" s="4"/>
      <c r="O184" s="4"/>
    </row>
    <row r="185" spans="8:8" ht="18.0" customHeight="1">
      <c r="A185" s="4"/>
      <c r="B185" s="24"/>
      <c r="C185" s="24"/>
      <c r="D185" s="4"/>
      <c r="E185" s="4"/>
      <c r="F185" s="24"/>
      <c r="G185" s="24"/>
      <c r="H185" s="4"/>
      <c r="I185" s="4"/>
      <c r="J185" s="4"/>
      <c r="K185" s="4"/>
      <c r="L185" s="4"/>
      <c r="M185" s="4"/>
      <c r="N185" s="4"/>
      <c r="O185" s="4"/>
    </row>
    <row r="186" spans="8:8" ht="18.0" customHeight="1">
      <c r="A186" s="4"/>
      <c r="B186" s="24"/>
      <c r="C186" s="24"/>
      <c r="D186" s="4"/>
      <c r="E186" s="4"/>
      <c r="F186" s="24"/>
      <c r="G186" s="24"/>
      <c r="H186" s="4"/>
      <c r="I186" s="4"/>
      <c r="J186" s="4"/>
      <c r="K186" s="4"/>
      <c r="L186" s="4"/>
      <c r="M186" s="4"/>
      <c r="N186" s="4"/>
      <c r="O186" s="4"/>
    </row>
    <row r="187" spans="8:8" ht="18.0" customHeight="1">
      <c r="A187" s="4"/>
      <c r="B187" s="24"/>
      <c r="C187" s="24"/>
      <c r="D187" s="4"/>
      <c r="E187" s="4"/>
      <c r="F187" s="24"/>
      <c r="G187" s="24"/>
      <c r="H187" s="4"/>
      <c r="I187" s="4"/>
      <c r="J187" s="4"/>
      <c r="K187" s="4"/>
      <c r="L187" s="4"/>
      <c r="M187" s="4"/>
      <c r="N187" s="4"/>
      <c r="O187" s="4"/>
    </row>
    <row r="188" spans="8:8" ht="18.0" customHeight="1">
      <c r="A188" s="4"/>
      <c r="B188" s="24"/>
      <c r="C188" s="24"/>
      <c r="D188" s="4"/>
      <c r="E188" s="4"/>
      <c r="F188" s="24"/>
      <c r="G188" s="24"/>
      <c r="H188" s="4"/>
      <c r="I188" s="4"/>
      <c r="J188" s="4"/>
      <c r="K188" s="4"/>
      <c r="L188" s="4"/>
      <c r="M188" s="4"/>
      <c r="N188" s="4"/>
      <c r="O188" s="4"/>
    </row>
    <row r="189" spans="8:8" ht="18.0" customHeight="1">
      <c r="A189" s="4"/>
      <c r="B189" s="24"/>
      <c r="C189" s="24"/>
      <c r="D189" s="4"/>
      <c r="E189" s="4"/>
      <c r="F189" s="24"/>
      <c r="G189" s="24"/>
      <c r="H189" s="4"/>
      <c r="I189" s="4"/>
      <c r="J189" s="4"/>
      <c r="K189" s="4"/>
      <c r="L189" s="4"/>
      <c r="M189" s="4"/>
      <c r="N189" s="4"/>
      <c r="O189" s="4"/>
    </row>
    <row r="190" spans="8:8" ht="18.0" customHeight="1">
      <c r="A190" s="4"/>
      <c r="B190" s="24"/>
      <c r="C190" s="24"/>
      <c r="D190" s="4"/>
      <c r="E190" s="4"/>
      <c r="F190" s="24"/>
      <c r="G190" s="24"/>
      <c r="H190" s="4"/>
      <c r="I190" s="4"/>
      <c r="J190" s="4"/>
      <c r="K190" s="4"/>
      <c r="L190" s="4"/>
      <c r="M190" s="4"/>
      <c r="N190" s="4"/>
      <c r="O190" s="4"/>
    </row>
    <row r="191" spans="8:8" ht="18.0" customHeight="1">
      <c r="A191" s="4"/>
      <c r="B191" s="24"/>
      <c r="C191" s="24"/>
      <c r="D191" s="4"/>
      <c r="E191" s="4"/>
      <c r="F191" s="24"/>
      <c r="G191" s="24"/>
      <c r="H191" s="4"/>
      <c r="I191" s="4"/>
      <c r="J191" s="4"/>
      <c r="K191" s="4"/>
      <c r="L191" s="4"/>
      <c r="M191" s="4"/>
      <c r="N191" s="4"/>
      <c r="O191" s="4"/>
    </row>
    <row r="192" spans="8:8" ht="18.0" customHeight="1">
      <c r="A192" s="4"/>
      <c r="B192" s="24"/>
      <c r="C192" s="24"/>
      <c r="D192" s="4"/>
      <c r="E192" s="4"/>
      <c r="F192" s="24"/>
      <c r="G192" s="24"/>
      <c r="H192" s="4"/>
      <c r="I192" s="4"/>
      <c r="J192" s="4"/>
      <c r="K192" s="4"/>
      <c r="L192" s="4"/>
      <c r="M192" s="4"/>
      <c r="N192" s="4"/>
      <c r="O192" s="4"/>
    </row>
    <row r="193" spans="8:8" ht="18.0" customHeight="1">
      <c r="A193" s="4"/>
      <c r="B193" s="24"/>
      <c r="C193" s="24"/>
      <c r="D193" s="4"/>
      <c r="E193" s="4"/>
      <c r="F193" s="24"/>
      <c r="G193" s="24"/>
      <c r="H193" s="4"/>
      <c r="I193" s="4"/>
      <c r="J193" s="4"/>
      <c r="K193" s="4"/>
      <c r="L193" s="4"/>
      <c r="M193" s="4"/>
      <c r="N193" s="4"/>
      <c r="O193" s="4"/>
    </row>
    <row r="194" spans="8:8" ht="18.0" customHeight="1">
      <c r="A194" s="4"/>
      <c r="B194" s="24"/>
      <c r="C194" s="24"/>
      <c r="D194" s="4"/>
      <c r="E194" s="4"/>
      <c r="F194" s="24"/>
      <c r="G194" s="24"/>
      <c r="H194" s="4"/>
      <c r="I194" s="4"/>
      <c r="J194" s="4"/>
      <c r="K194" s="4"/>
      <c r="L194" s="4"/>
      <c r="M194" s="4"/>
      <c r="N194" s="4"/>
      <c r="O194" s="4"/>
    </row>
    <row r="195" spans="8:8" ht="18.0" customHeight="1">
      <c r="A195" s="4"/>
      <c r="B195" s="24"/>
      <c r="C195" s="24"/>
      <c r="D195" s="4"/>
      <c r="E195" s="4"/>
      <c r="F195" s="24"/>
      <c r="G195" s="24"/>
      <c r="H195" s="4"/>
      <c r="I195" s="4"/>
      <c r="J195" s="4"/>
      <c r="K195" s="4"/>
      <c r="L195" s="4"/>
      <c r="M195" s="4"/>
      <c r="N195" s="4"/>
      <c r="O195" s="4"/>
    </row>
    <row r="196" spans="8:8" ht="18.0" customHeight="1">
      <c r="A196" s="4"/>
      <c r="B196" s="24"/>
      <c r="C196" s="24"/>
      <c r="D196" s="4"/>
      <c r="E196" s="4"/>
      <c r="F196" s="24"/>
      <c r="G196" s="24"/>
      <c r="H196" s="4"/>
      <c r="I196" s="4"/>
      <c r="J196" s="4"/>
      <c r="K196" s="4"/>
      <c r="L196" s="4"/>
      <c r="M196" s="4"/>
      <c r="N196" s="4"/>
      <c r="O196" s="4"/>
    </row>
    <row r="197" spans="8:8" ht="18.0" customHeight="1">
      <c r="A197" s="4"/>
      <c r="B197" s="24"/>
      <c r="C197" s="24"/>
      <c r="D197" s="4"/>
      <c r="E197" s="4"/>
      <c r="F197" s="24"/>
      <c r="G197" s="24"/>
      <c r="H197" s="4"/>
      <c r="I197" s="4"/>
      <c r="J197" s="4"/>
      <c r="K197" s="4"/>
      <c r="L197" s="4"/>
      <c r="M197" s="4"/>
      <c r="N197" s="4"/>
      <c r="O197" s="4"/>
    </row>
    <row r="198" spans="8:8" ht="18.0" customHeight="1">
      <c r="A198" s="4"/>
      <c r="B198" s="24"/>
      <c r="C198" s="24"/>
      <c r="D198" s="4"/>
      <c r="E198" s="4"/>
      <c r="F198" s="24"/>
      <c r="G198" s="24"/>
      <c r="H198" s="4"/>
      <c r="I198" s="4"/>
      <c r="J198" s="4"/>
      <c r="K198" s="4"/>
      <c r="L198" s="4"/>
      <c r="M198" s="4"/>
      <c r="N198" s="4"/>
      <c r="O198" s="4"/>
    </row>
    <row r="199" spans="8:8" ht="18.0" customHeight="1">
      <c r="A199" s="4"/>
      <c r="B199" s="24"/>
      <c r="C199" s="24"/>
      <c r="D199" s="4"/>
      <c r="E199" s="4"/>
      <c r="F199" s="24"/>
      <c r="G199" s="24"/>
      <c r="H199" s="4"/>
      <c r="I199" s="4"/>
      <c r="J199" s="4"/>
      <c r="K199" s="4"/>
      <c r="L199" s="4"/>
      <c r="M199" s="4"/>
      <c r="N199" s="4"/>
      <c r="O199" s="4"/>
    </row>
    <row r="200" spans="8:8" ht="18.0" customHeight="1">
      <c r="A200" s="4"/>
      <c r="B200" s="24"/>
      <c r="C200" s="24"/>
      <c r="D200" s="4"/>
      <c r="E200" s="4"/>
      <c r="F200" s="24"/>
      <c r="G200" s="24"/>
      <c r="H200" s="4"/>
      <c r="I200" s="4"/>
      <c r="J200" s="4"/>
      <c r="K200" s="4"/>
      <c r="L200" s="4"/>
      <c r="M200" s="4"/>
      <c r="N200" s="4"/>
      <c r="O200" s="4"/>
    </row>
    <row r="201" spans="8:8" ht="18.0" customHeight="1">
      <c r="A201" s="4"/>
      <c r="B201" s="24"/>
      <c r="C201" s="24"/>
      <c r="D201" s="4"/>
      <c r="E201" s="4"/>
      <c r="F201" s="24"/>
      <c r="G201" s="24"/>
      <c r="H201" s="4"/>
      <c r="I201" s="4"/>
      <c r="J201" s="4"/>
      <c r="K201" s="4"/>
      <c r="L201" s="4"/>
      <c r="M201" s="4"/>
      <c r="N201" s="4"/>
      <c r="O201" s="4"/>
    </row>
    <row r="202" spans="8:8" ht="18.0" customHeight="1">
      <c r="A202" s="4"/>
      <c r="B202" s="24"/>
      <c r="C202" s="24"/>
      <c r="D202" s="4"/>
      <c r="E202" s="4"/>
      <c r="F202" s="24"/>
      <c r="G202" s="24"/>
      <c r="H202" s="4"/>
      <c r="I202" s="4"/>
      <c r="J202" s="4"/>
      <c r="K202" s="4"/>
      <c r="L202" s="4"/>
      <c r="M202" s="4"/>
      <c r="N202" s="4"/>
      <c r="O202" s="4"/>
    </row>
    <row r="203" spans="8:8" ht="18.0" customHeight="1">
      <c r="A203" s="4"/>
      <c r="B203" s="24"/>
      <c r="C203" s="24"/>
      <c r="D203" s="4"/>
      <c r="E203" s="4"/>
      <c r="F203" s="24"/>
      <c r="G203" s="24"/>
      <c r="H203" s="4"/>
      <c r="I203" s="4"/>
      <c r="J203" s="4"/>
      <c r="K203" s="4"/>
      <c r="L203" s="4"/>
      <c r="M203" s="4"/>
      <c r="N203" s="4"/>
      <c r="O203" s="4"/>
    </row>
    <row r="204" spans="8:8" ht="18.0" customHeight="1">
      <c r="A204" s="4"/>
      <c r="B204" s="24"/>
      <c r="C204" s="24"/>
      <c r="D204" s="4"/>
      <c r="E204" s="4"/>
      <c r="F204" s="24"/>
      <c r="G204" s="24"/>
      <c r="H204" s="4"/>
      <c r="I204" s="4"/>
      <c r="J204" s="4"/>
      <c r="K204" s="4"/>
      <c r="L204" s="4"/>
      <c r="M204" s="4"/>
      <c r="N204" s="4"/>
      <c r="O204" s="4"/>
    </row>
    <row r="205" spans="8:8" ht="18.0" customHeight="1">
      <c r="A205" s="4"/>
      <c r="B205" s="24"/>
      <c r="C205" s="24"/>
      <c r="D205" s="4"/>
      <c r="E205" s="4"/>
      <c r="F205" s="24"/>
      <c r="G205" s="24"/>
      <c r="H205" s="4"/>
      <c r="I205" s="4"/>
      <c r="J205" s="4"/>
      <c r="K205" s="4"/>
      <c r="L205" s="4"/>
      <c r="M205" s="4"/>
      <c r="N205" s="4"/>
      <c r="O205" s="4"/>
    </row>
    <row r="206" spans="8:8" ht="18.0" customHeight="1">
      <c r="A206" s="4"/>
      <c r="B206" s="24"/>
      <c r="C206" s="24"/>
      <c r="D206" s="4"/>
      <c r="E206" s="4"/>
      <c r="F206" s="24"/>
      <c r="G206" s="24"/>
      <c r="H206" s="4"/>
      <c r="I206" s="4"/>
      <c r="J206" s="4"/>
      <c r="K206" s="4"/>
      <c r="L206" s="4"/>
      <c r="M206" s="4"/>
      <c r="N206" s="4"/>
      <c r="O206" s="4"/>
    </row>
    <row r="207" spans="8:8" ht="18.0" customHeight="1">
      <c r="A207" s="4"/>
      <c r="B207" s="24"/>
      <c r="C207" s="24"/>
      <c r="D207" s="4"/>
      <c r="E207" s="4"/>
      <c r="F207" s="24"/>
      <c r="G207" s="24"/>
      <c r="H207" s="4"/>
      <c r="I207" s="4"/>
      <c r="J207" s="4"/>
      <c r="K207" s="4"/>
      <c r="L207" s="4"/>
      <c r="M207" s="4"/>
      <c r="N207" s="4"/>
      <c r="O207" s="4"/>
    </row>
    <row r="208" spans="8:8" ht="18.0" customHeight="1">
      <c r="A208" s="4"/>
      <c r="B208" s="24"/>
      <c r="C208" s="24"/>
      <c r="D208" s="4"/>
      <c r="E208" s="4"/>
      <c r="F208" s="24"/>
      <c r="G208" s="24"/>
      <c r="H208" s="4"/>
      <c r="I208" s="4"/>
      <c r="J208" s="4"/>
      <c r="K208" s="4"/>
      <c r="L208" s="4"/>
      <c r="M208" s="4"/>
      <c r="N208" s="4"/>
      <c r="O208" s="4"/>
    </row>
    <row r="209" spans="8:8" ht="18.0" customHeight="1">
      <c r="A209" s="4"/>
      <c r="B209" s="24"/>
      <c r="C209" s="24"/>
      <c r="D209" s="4"/>
      <c r="E209" s="4"/>
      <c r="F209" s="24"/>
      <c r="G209" s="24"/>
      <c r="H209" s="4"/>
      <c r="I209" s="4"/>
      <c r="J209" s="4"/>
      <c r="K209" s="4"/>
      <c r="L209" s="4"/>
      <c r="M209" s="4"/>
      <c r="N209" s="4"/>
      <c r="O209" s="4"/>
    </row>
    <row r="210" spans="8:8" ht="18.0" customHeight="1">
      <c r="A210" s="4"/>
      <c r="B210" s="24"/>
      <c r="C210" s="24"/>
      <c r="D210" s="4"/>
      <c r="E210" s="4"/>
      <c r="F210" s="24"/>
      <c r="G210" s="24"/>
      <c r="H210" s="4"/>
      <c r="I210" s="4"/>
      <c r="J210" s="4"/>
      <c r="K210" s="4"/>
      <c r="L210" s="4"/>
      <c r="M210" s="4"/>
      <c r="N210" s="4"/>
      <c r="O210" s="4"/>
    </row>
    <row r="211" spans="8:8" ht="18.0" customHeight="1">
      <c r="A211" s="4"/>
      <c r="B211" s="24"/>
      <c r="C211" s="24"/>
      <c r="D211" s="4"/>
      <c r="E211" s="4"/>
      <c r="F211" s="24"/>
      <c r="G211" s="24"/>
      <c r="H211" s="4"/>
      <c r="I211" s="4"/>
      <c r="J211" s="4"/>
      <c r="K211" s="4"/>
      <c r="L211" s="4"/>
      <c r="M211" s="4"/>
      <c r="N211" s="4"/>
      <c r="O211" s="4"/>
    </row>
    <row r="212" spans="8:8" ht="18.0" customHeight="1">
      <c r="A212" s="4"/>
      <c r="B212" s="24"/>
      <c r="C212" s="24"/>
      <c r="D212" s="4"/>
      <c r="E212" s="4"/>
      <c r="F212" s="24"/>
      <c r="G212" s="24"/>
      <c r="H212" s="4"/>
      <c r="I212" s="4"/>
      <c r="J212" s="4"/>
      <c r="K212" s="4"/>
      <c r="L212" s="4"/>
      <c r="M212" s="4"/>
      <c r="N212" s="4"/>
      <c r="O212" s="4"/>
    </row>
    <row r="213" spans="8:8" ht="18.0" customHeight="1">
      <c r="A213" s="4"/>
      <c r="B213" s="24"/>
      <c r="C213" s="24"/>
      <c r="D213" s="4"/>
      <c r="E213" s="4"/>
      <c r="F213" s="24"/>
      <c r="G213" s="24"/>
      <c r="H213" s="4"/>
      <c r="I213" s="4"/>
      <c r="J213" s="4"/>
      <c r="K213" s="4"/>
      <c r="L213" s="4"/>
      <c r="M213" s="4"/>
      <c r="N213" s="4"/>
      <c r="O213" s="4"/>
    </row>
    <row r="214" spans="8:8" ht="18.0" customHeight="1">
      <c r="A214" s="4"/>
      <c r="B214" s="24"/>
      <c r="C214" s="24"/>
      <c r="D214" s="4"/>
      <c r="E214" s="4"/>
      <c r="F214" s="24"/>
      <c r="G214" s="24"/>
      <c r="H214" s="4"/>
      <c r="I214" s="4"/>
      <c r="J214" s="4"/>
      <c r="K214" s="4"/>
      <c r="L214" s="4"/>
      <c r="M214" s="4"/>
      <c r="N214" s="4"/>
      <c r="O214" s="4"/>
    </row>
    <row r="215" spans="8:8" ht="18.0" customHeight="1">
      <c r="A215" s="4"/>
      <c r="B215" s="24"/>
      <c r="C215" s="24"/>
      <c r="D215" s="4"/>
      <c r="E215" s="4"/>
      <c r="F215" s="24"/>
      <c r="G215" s="24"/>
      <c r="H215" s="4"/>
      <c r="I215" s="4"/>
      <c r="J215" s="4"/>
      <c r="K215" s="4"/>
      <c r="L215" s="4"/>
      <c r="M215" s="4"/>
      <c r="N215" s="4"/>
      <c r="O215" s="4"/>
    </row>
    <row r="216" spans="8:8" ht="18.0" customHeight="1">
      <c r="A216" s="4"/>
      <c r="B216" s="24"/>
      <c r="C216" s="24"/>
      <c r="D216" s="4"/>
      <c r="E216" s="4"/>
      <c r="F216" s="24"/>
      <c r="G216" s="24"/>
      <c r="H216" s="4"/>
      <c r="I216" s="4"/>
      <c r="J216" s="4"/>
      <c r="K216" s="4"/>
      <c r="L216" s="4"/>
      <c r="M216" s="4"/>
      <c r="N216" s="4"/>
      <c r="O216" s="4"/>
    </row>
    <row r="217" spans="8:8" ht="18.0" customHeight="1">
      <c r="A217" s="4"/>
      <c r="B217" s="24"/>
      <c r="C217" s="24"/>
      <c r="D217" s="4"/>
      <c r="E217" s="4"/>
      <c r="F217" s="24"/>
      <c r="G217" s="24"/>
      <c r="H217" s="4"/>
      <c r="I217" s="4"/>
      <c r="J217" s="4"/>
      <c r="K217" s="4"/>
      <c r="L217" s="4"/>
      <c r="M217" s="4"/>
      <c r="N217" s="4"/>
      <c r="O217" s="4"/>
    </row>
    <row r="218" spans="8:8" ht="18.0" customHeight="1">
      <c r="A218" s="4"/>
      <c r="B218" s="24"/>
      <c r="C218" s="24"/>
      <c r="D218" s="4"/>
      <c r="E218" s="4"/>
      <c r="F218" s="24"/>
      <c r="G218" s="24"/>
      <c r="H218" s="4"/>
      <c r="I218" s="4"/>
      <c r="J218" s="4"/>
      <c r="K218" s="4"/>
      <c r="L218" s="4"/>
      <c r="M218" s="4"/>
      <c r="N218" s="4"/>
      <c r="O218" s="4"/>
    </row>
    <row r="219" spans="8:8" ht="18.0" customHeight="1">
      <c r="A219" s="4"/>
      <c r="B219" s="24"/>
      <c r="C219" s="24"/>
      <c r="D219" s="4"/>
      <c r="E219" s="4"/>
      <c r="F219" s="24"/>
      <c r="G219" s="24"/>
      <c r="H219" s="4"/>
      <c r="I219" s="4"/>
      <c r="J219" s="4"/>
      <c r="K219" s="4"/>
      <c r="L219" s="4"/>
      <c r="M219" s="4"/>
      <c r="N219" s="4"/>
      <c r="O219" s="4"/>
    </row>
    <row r="220" spans="8:8" ht="18.0" customHeight="1">
      <c r="A220" s="4"/>
      <c r="B220" s="24"/>
      <c r="C220" s="24"/>
      <c r="D220" s="4"/>
      <c r="E220" s="4"/>
      <c r="F220" s="24"/>
      <c r="G220" s="24"/>
      <c r="H220" s="4"/>
      <c r="I220" s="4"/>
      <c r="J220" s="4"/>
      <c r="K220" s="4"/>
      <c r="L220" s="4"/>
      <c r="M220" s="4"/>
      <c r="N220" s="4"/>
      <c r="O220" s="4"/>
    </row>
    <row r="221" spans="8:8" ht="18.0" customHeight="1">
      <c r="A221" s="4"/>
      <c r="B221" s="24"/>
      <c r="C221" s="24"/>
      <c r="D221" s="4"/>
      <c r="E221" s="4"/>
      <c r="F221" s="24"/>
      <c r="G221" s="24"/>
      <c r="H221" s="4"/>
      <c r="I221" s="4"/>
      <c r="J221" s="4"/>
      <c r="K221" s="4"/>
      <c r="L221" s="4"/>
      <c r="M221" s="4"/>
      <c r="N221" s="4"/>
      <c r="O221" s="4"/>
    </row>
    <row r="222" spans="8:8" ht="18.0" customHeight="1">
      <c r="A222" s="4"/>
      <c r="B222" s="24"/>
      <c r="C222" s="24"/>
      <c r="D222" s="4"/>
      <c r="E222" s="4"/>
      <c r="F222" s="24"/>
      <c r="G222" s="24"/>
      <c r="H222" s="4"/>
      <c r="I222" s="4"/>
      <c r="J222" s="4"/>
      <c r="K222" s="4"/>
      <c r="L222" s="4"/>
      <c r="M222" s="4"/>
      <c r="N222" s="4"/>
      <c r="O222" s="4"/>
    </row>
    <row r="223" spans="8:8" ht="18.0" customHeight="1">
      <c r="A223" s="4"/>
      <c r="B223" s="24"/>
      <c r="C223" s="24"/>
      <c r="D223" s="4"/>
      <c r="E223" s="4"/>
      <c r="F223" s="24"/>
      <c r="G223" s="24"/>
      <c r="H223" s="4"/>
      <c r="I223" s="4"/>
      <c r="J223" s="4"/>
      <c r="K223" s="4"/>
      <c r="L223" s="4"/>
      <c r="M223" s="4"/>
      <c r="N223" s="4"/>
      <c r="O223" s="4"/>
    </row>
    <row r="224" spans="8:8" ht="18.0" customHeight="1">
      <c r="A224" s="4"/>
      <c r="B224" s="24"/>
      <c r="C224" s="24"/>
      <c r="D224" s="4"/>
      <c r="E224" s="4"/>
      <c r="F224" s="24"/>
      <c r="G224" s="24"/>
      <c r="H224" s="4"/>
      <c r="I224" s="4"/>
      <c r="J224" s="4"/>
      <c r="K224" s="4"/>
      <c r="L224" s="4"/>
      <c r="M224" s="4"/>
      <c r="N224" s="4"/>
      <c r="O224" s="4"/>
    </row>
    <row r="225" spans="8:8" ht="18.0" customHeight="1">
      <c r="A225" s="4"/>
      <c r="B225" s="24"/>
      <c r="C225" s="24"/>
      <c r="D225" s="4"/>
      <c r="E225" s="4"/>
      <c r="F225" s="24"/>
      <c r="G225" s="24"/>
      <c r="H225" s="4"/>
      <c r="I225" s="4"/>
      <c r="J225" s="4"/>
      <c r="K225" s="4"/>
      <c r="L225" s="4"/>
      <c r="M225" s="4"/>
      <c r="N225" s="4"/>
      <c r="O225" s="4"/>
    </row>
    <row r="226" spans="8:8" ht="18.0" customHeight="1">
      <c r="A226" s="4"/>
      <c r="B226" s="24"/>
      <c r="C226" s="24"/>
      <c r="D226" s="4"/>
      <c r="E226" s="4"/>
      <c r="F226" s="24"/>
      <c r="G226" s="24"/>
      <c r="H226" s="4"/>
      <c r="I226" s="4"/>
      <c r="J226" s="4"/>
      <c r="K226" s="4"/>
      <c r="L226" s="4"/>
      <c r="M226" s="4"/>
      <c r="N226" s="4"/>
      <c r="O226" s="4"/>
    </row>
    <row r="227" spans="8:8" ht="18.0" customHeight="1">
      <c r="A227" s="4"/>
      <c r="B227" s="24"/>
      <c r="C227" s="24"/>
      <c r="D227" s="4"/>
      <c r="E227" s="4"/>
      <c r="F227" s="24"/>
      <c r="G227" s="24"/>
      <c r="H227" s="4"/>
      <c r="I227" s="4"/>
      <c r="J227" s="4"/>
      <c r="K227" s="4"/>
      <c r="L227" s="4"/>
      <c r="M227" s="4"/>
      <c r="N227" s="4"/>
      <c r="O227" s="4"/>
    </row>
    <row r="228" spans="8:8" ht="18.0" customHeight="1">
      <c r="A228" s="4"/>
      <c r="B228" s="24"/>
      <c r="C228" s="24"/>
      <c r="D228" s="4"/>
      <c r="E228" s="4"/>
      <c r="F228" s="24"/>
      <c r="G228" s="24"/>
      <c r="H228" s="4"/>
      <c r="I228" s="4"/>
      <c r="J228" s="4"/>
      <c r="K228" s="4"/>
      <c r="L228" s="4"/>
      <c r="M228" s="4"/>
      <c r="N228" s="4"/>
      <c r="O228" s="4"/>
    </row>
    <row r="229" spans="8:8" ht="18.0" customHeight="1">
      <c r="A229" s="4"/>
      <c r="B229" s="24"/>
      <c r="C229" s="24"/>
      <c r="D229" s="4"/>
      <c r="E229" s="4"/>
      <c r="F229" s="24"/>
      <c r="G229" s="24"/>
      <c r="H229" s="4"/>
      <c r="I229" s="4"/>
      <c r="J229" s="4"/>
      <c r="K229" s="4"/>
      <c r="L229" s="4"/>
      <c r="M229" s="4"/>
      <c r="N229" s="4"/>
      <c r="O229" s="4"/>
    </row>
    <row r="230" spans="8:8" ht="18.0" customHeight="1">
      <c r="A230" s="4"/>
      <c r="B230" s="24"/>
      <c r="C230" s="24"/>
      <c r="D230" s="4"/>
      <c r="E230" s="4"/>
      <c r="F230" s="24"/>
      <c r="G230" s="24"/>
      <c r="H230" s="4"/>
      <c r="I230" s="4"/>
      <c r="J230" s="4"/>
      <c r="K230" s="4"/>
      <c r="L230" s="4"/>
      <c r="M230" s="4"/>
      <c r="N230" s="4"/>
      <c r="O230" s="4"/>
    </row>
    <row r="231" spans="8:8" ht="18.0" customHeight="1">
      <c r="A231" s="4"/>
      <c r="B231" s="24"/>
      <c r="C231" s="24"/>
      <c r="D231" s="4"/>
      <c r="E231" s="4"/>
      <c r="F231" s="24"/>
      <c r="G231" s="24"/>
      <c r="H231" s="4"/>
      <c r="I231" s="4"/>
      <c r="J231" s="4"/>
      <c r="K231" s="4"/>
      <c r="L231" s="4"/>
      <c r="M231" s="4"/>
      <c r="N231" s="4"/>
      <c r="O231" s="4"/>
    </row>
    <row r="232" spans="8:8" ht="18.0" customHeight="1">
      <c r="A232" s="4"/>
      <c r="B232" s="24"/>
      <c r="C232" s="24"/>
      <c r="D232" s="4"/>
      <c r="E232" s="4"/>
      <c r="F232" s="24"/>
      <c r="G232" s="24"/>
      <c r="H232" s="4"/>
      <c r="I232" s="4"/>
      <c r="J232" s="4"/>
      <c r="K232" s="4"/>
      <c r="L232" s="4"/>
      <c r="M232" s="4"/>
      <c r="N232" s="4"/>
      <c r="O232" s="4"/>
    </row>
    <row r="233" spans="8:8" ht="18.0" customHeight="1">
      <c r="A233" s="4"/>
      <c r="B233" s="24"/>
      <c r="C233" s="24"/>
      <c r="D233" s="4"/>
      <c r="E233" s="4"/>
      <c r="F233" s="24"/>
      <c r="G233" s="24"/>
      <c r="H233" s="4"/>
      <c r="I233" s="4"/>
      <c r="J233" s="4"/>
      <c r="K233" s="4"/>
      <c r="L233" s="4"/>
      <c r="M233" s="4"/>
      <c r="N233" s="4"/>
      <c r="O233" s="4"/>
    </row>
    <row r="234" spans="8:8" ht="18.0" customHeight="1">
      <c r="A234" s="4"/>
      <c r="B234" s="24"/>
      <c r="C234" s="24"/>
      <c r="D234" s="4"/>
      <c r="E234" s="4"/>
      <c r="F234" s="24"/>
      <c r="G234" s="24"/>
      <c r="H234" s="4"/>
      <c r="I234" s="4"/>
      <c r="J234" s="4"/>
      <c r="K234" s="4"/>
      <c r="L234" s="4"/>
      <c r="M234" s="4"/>
      <c r="N234" s="4"/>
      <c r="O234" s="4"/>
    </row>
    <row r="235" spans="8:8" ht="18.0" customHeight="1">
      <c r="A235" s="4"/>
      <c r="B235" s="24"/>
      <c r="C235" s="24"/>
      <c r="D235" s="4"/>
      <c r="E235" s="4"/>
      <c r="F235" s="24"/>
      <c r="G235" s="24"/>
      <c r="H235" s="4"/>
      <c r="I235" s="4"/>
      <c r="J235" s="4"/>
      <c r="K235" s="4"/>
      <c r="L235" s="4"/>
      <c r="M235" s="4"/>
      <c r="N235" s="4"/>
      <c r="O235" s="4"/>
    </row>
    <row r="236" spans="8:8" ht="18.0" customHeight="1">
      <c r="A236" s="4"/>
      <c r="B236" s="24"/>
      <c r="C236" s="24"/>
      <c r="D236" s="4"/>
      <c r="E236" s="4"/>
      <c r="F236" s="24"/>
      <c r="G236" s="24"/>
      <c r="H236" s="4"/>
      <c r="I236" s="4"/>
      <c r="J236" s="4"/>
      <c r="K236" s="4"/>
      <c r="L236" s="4"/>
      <c r="M236" s="4"/>
      <c r="N236" s="4"/>
      <c r="O236" s="4"/>
    </row>
    <row r="237" spans="8:8" ht="18.0" customHeight="1">
      <c r="A237" s="4"/>
      <c r="B237" s="24"/>
      <c r="C237" s="24"/>
      <c r="D237" s="4"/>
      <c r="E237" s="4"/>
      <c r="F237" s="24"/>
      <c r="G237" s="24"/>
      <c r="H237" s="4"/>
      <c r="I237" s="4"/>
      <c r="J237" s="4"/>
      <c r="K237" s="4"/>
      <c r="L237" s="4"/>
      <c r="M237" s="4"/>
      <c r="N237" s="4"/>
      <c r="O237" s="4"/>
    </row>
    <row r="238" spans="8:8" ht="18.0" customHeight="1">
      <c r="A238" s="4"/>
      <c r="B238" s="24"/>
      <c r="C238" s="24"/>
      <c r="D238" s="4"/>
      <c r="E238" s="4"/>
      <c r="F238" s="24"/>
      <c r="G238" s="24"/>
      <c r="H238" s="4"/>
      <c r="I238" s="4"/>
      <c r="J238" s="4"/>
      <c r="K238" s="4"/>
      <c r="L238" s="4"/>
      <c r="M238" s="4"/>
      <c r="N238" s="4"/>
      <c r="O238" s="4"/>
    </row>
  </sheetData>
  <mergeCells count="20">
    <mergeCell ref="A38:I38"/>
    <mergeCell ref="C33:D33"/>
    <mergeCell ref="E30:I35"/>
    <mergeCell ref="A1:K1"/>
    <mergeCell ref="A2:K3"/>
    <mergeCell ref="J30:K38"/>
    <mergeCell ref="A36:B36"/>
    <mergeCell ref="E36:I37"/>
    <mergeCell ref="A31:D31"/>
    <mergeCell ref="A30:D30"/>
    <mergeCell ref="C36:D36"/>
    <mergeCell ref="A37:B37"/>
    <mergeCell ref="C34:D34"/>
    <mergeCell ref="A32:B32"/>
    <mergeCell ref="C35:D35"/>
    <mergeCell ref="C32:D32"/>
    <mergeCell ref="A35:B35"/>
    <mergeCell ref="C37:D37"/>
    <mergeCell ref="A34:B34"/>
    <mergeCell ref="A33:B33"/>
  </mergeCells>
  <pageMargins left="0.7" right="0.7" top="0.75" bottom="0.75" header="0.0" footer="0.0"/>
</worksheet>
</file>

<file path=xl/worksheets/sheet2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1:D11"/>
    <mergeCell ref="E55:H55"/>
    <mergeCell ref="B46:D46"/>
    <mergeCell ref="E40:H40"/>
    <mergeCell ref="B54:D54"/>
    <mergeCell ref="E45:H45"/>
    <mergeCell ref="C6:D6"/>
    <mergeCell ref="A36:B36"/>
    <mergeCell ref="A30:B30"/>
    <mergeCell ref="C10:D10"/>
    <mergeCell ref="A33:B33"/>
    <mergeCell ref="A34:B34"/>
    <mergeCell ref="A35:B35"/>
    <mergeCell ref="E54:H54"/>
    <mergeCell ref="B49:D49"/>
    <mergeCell ref="E48:H48"/>
    <mergeCell ref="A38:H39"/>
    <mergeCell ref="E36:F36"/>
    <mergeCell ref="B50:D50"/>
    <mergeCell ref="E51:H51"/>
    <mergeCell ref="B42:D42"/>
    <mergeCell ref="E42:H42"/>
    <mergeCell ref="C8:D8"/>
    <mergeCell ref="E35:F35"/>
    <mergeCell ref="C13:D13"/>
    <mergeCell ref="E30:F30"/>
    <mergeCell ref="E31:F31"/>
    <mergeCell ref="E32:F32"/>
    <mergeCell ref="E34:F34"/>
    <mergeCell ref="A15:H15"/>
    <mergeCell ref="A3:H4"/>
    <mergeCell ref="E46:H46"/>
    <mergeCell ref="B52:D52"/>
    <mergeCell ref="E53:H53"/>
    <mergeCell ref="E47:H47"/>
    <mergeCell ref="B43:D43"/>
    <mergeCell ref="E43:H43"/>
    <mergeCell ref="B40:D40"/>
    <mergeCell ref="E52:H52"/>
    <mergeCell ref="B55:D55"/>
    <mergeCell ref="B53:D53"/>
    <mergeCell ref="E41:H41"/>
    <mergeCell ref="B41:D41"/>
    <mergeCell ref="B48:D48"/>
    <mergeCell ref="E49:H49"/>
    <mergeCell ref="B47:D47"/>
    <mergeCell ref="A37:B37"/>
    <mergeCell ref="C7:D7"/>
    <mergeCell ref="A31:B31"/>
    <mergeCell ref="C12:D12"/>
    <mergeCell ref="C14:D14"/>
    <mergeCell ref="C5:D5"/>
    <mergeCell ref="E33:F33"/>
    <mergeCell ref="E37:F37"/>
    <mergeCell ref="C9:D9"/>
    <mergeCell ref="B44:D44"/>
    <mergeCell ref="E50:H50"/>
    <mergeCell ref="B51:D51"/>
    <mergeCell ref="E44:H44"/>
    <mergeCell ref="B45:D45"/>
    <mergeCell ref="A32:B32"/>
  </mergeCells>
  <pageMargins left="0.7" right="0.7" top="0.75" bottom="0.75" header="0.0" footer="0.0"/>
</worksheet>
</file>

<file path=xl/worksheets/sheet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5.542969" style="0"/>
    <col min="3" max="3" customWidth="1" width="25.0" style="0"/>
    <col min="4" max="4" customWidth="1" width="15.453125" style="0"/>
    <col min="5" max="6" customWidth="1" width="25.453125" style="0"/>
    <col min="7" max="7" customWidth="1" width="16.542969" style="0"/>
    <col min="8" max="8" customWidth="1" width="34.089844" style="0"/>
    <col min="9" max="11" customWidth="1" width="8.7265625" style="0"/>
  </cols>
  <sheetData>
    <row r="1" spans="8:8" ht="14.25" customHeight="1">
      <c r="A1" s="15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158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2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141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141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159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159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159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159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159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159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160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161"/>
      <c r="J38" s="161"/>
      <c r="K38" s="161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f>SUM(C39:C44)</f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22.5" customHeight="1">
      <c r="A48" s="149"/>
      <c r="B48" s="162" t="s">
        <v>77</v>
      </c>
      <c r="C48" s="163"/>
      <c r="D48" s="164"/>
      <c r="E48" s="162" t="s">
        <v>78</v>
      </c>
      <c r="F48" s="163"/>
      <c r="G48" s="163"/>
      <c r="H48" s="164"/>
      <c r="I48" s="68"/>
      <c r="J48" s="68"/>
      <c r="K48" s="68"/>
    </row>
    <row r="49" spans="8:8" ht="21.7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22.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24.0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21.7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21.7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21.7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21.7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21.7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21.7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24.0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24.7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65" t="s">
        <v>82</v>
      </c>
      <c r="C62" s="47"/>
      <c r="D62" s="48"/>
      <c r="E62" s="166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C12:D12"/>
    <mergeCell ref="C10:D10"/>
    <mergeCell ref="C6:D6"/>
    <mergeCell ref="C8:D8"/>
    <mergeCell ref="C7:D7"/>
    <mergeCell ref="B56:D56"/>
    <mergeCell ref="E62:H62"/>
    <mergeCell ref="B63:D63"/>
    <mergeCell ref="E54:H54"/>
    <mergeCell ref="E52:H52"/>
    <mergeCell ref="E63:H63"/>
    <mergeCell ref="B60:D60"/>
    <mergeCell ref="E58:H58"/>
    <mergeCell ref="E57:H57"/>
    <mergeCell ref="E53:H53"/>
    <mergeCell ref="B53:D53"/>
    <mergeCell ref="B55:D55"/>
    <mergeCell ref="B54:D54"/>
    <mergeCell ref="E38:F38"/>
    <mergeCell ref="A46:H47"/>
    <mergeCell ref="E42:F42"/>
    <mergeCell ref="A42:B42"/>
    <mergeCell ref="A43:B43"/>
    <mergeCell ref="E43:F43"/>
    <mergeCell ref="E39:F39"/>
    <mergeCell ref="E40:F40"/>
    <mergeCell ref="B52:D52"/>
    <mergeCell ref="E41:F41"/>
    <mergeCell ref="A39:B39"/>
    <mergeCell ref="B59:D59"/>
    <mergeCell ref="E50:H50"/>
    <mergeCell ref="E51:H51"/>
    <mergeCell ref="E56:H56"/>
    <mergeCell ref="B57:D57"/>
    <mergeCell ref="E61:H61"/>
    <mergeCell ref="E45:F45"/>
    <mergeCell ref="E44:F44"/>
    <mergeCell ref="E55:H55"/>
    <mergeCell ref="B61:D61"/>
    <mergeCell ref="B49:D49"/>
    <mergeCell ref="B48:D48"/>
    <mergeCell ref="E48:H48"/>
    <mergeCell ref="E59:H59"/>
    <mergeCell ref="A44:B44"/>
    <mergeCell ref="A45:B45"/>
    <mergeCell ref="B51:D51"/>
    <mergeCell ref="A40:B40"/>
    <mergeCell ref="A41:B41"/>
    <mergeCell ref="B58:D58"/>
    <mergeCell ref="A38:B38"/>
    <mergeCell ref="E49:H49"/>
    <mergeCell ref="C14:D14"/>
    <mergeCell ref="A3:H4"/>
    <mergeCell ref="C11:D11"/>
    <mergeCell ref="C9:D9"/>
    <mergeCell ref="C5:D5"/>
    <mergeCell ref="C13:D13"/>
    <mergeCell ref="A15:H15"/>
    <mergeCell ref="B50:D50"/>
    <mergeCell ref="E60:H60"/>
    <mergeCell ref="B62:D62"/>
  </mergeCells>
  <pageMargins left="0.7" right="0.7" top="0.75" bottom="0.75" header="0.0" footer="0.0"/>
</worksheet>
</file>

<file path=xl/worksheets/sheet7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7.269531" style="0"/>
    <col min="2" max="2" customWidth="1" width="19.453125" style="0"/>
    <col min="3" max="3" customWidth="1" width="13.542969" style="0"/>
    <col min="4" max="4" customWidth="1" width="11.7265625" style="0"/>
    <col min="5" max="5" customWidth="1" width="21.0" style="0"/>
    <col min="6" max="6" customWidth="1" width="21.726562" style="0"/>
    <col min="7" max="7" customWidth="1" width="20.542969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f>SUM(C31:C36)</f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B53:D53"/>
    <mergeCell ref="B46:D46"/>
    <mergeCell ref="E51:H51"/>
    <mergeCell ref="E41:H41"/>
    <mergeCell ref="B52:D52"/>
    <mergeCell ref="E54:H54"/>
    <mergeCell ref="B49:D49"/>
    <mergeCell ref="C6:D6"/>
    <mergeCell ref="E47:H47"/>
    <mergeCell ref="C7:D7"/>
    <mergeCell ref="E48:H48"/>
    <mergeCell ref="B45:D45"/>
    <mergeCell ref="E42:H42"/>
    <mergeCell ref="C5:D5"/>
    <mergeCell ref="B55:D55"/>
    <mergeCell ref="E40:H40"/>
    <mergeCell ref="A37:B37"/>
    <mergeCell ref="B40:D40"/>
    <mergeCell ref="B41:D41"/>
    <mergeCell ref="E55:H55"/>
    <mergeCell ref="A38:H39"/>
    <mergeCell ref="E53:H53"/>
    <mergeCell ref="E35:F35"/>
    <mergeCell ref="E34:F34"/>
    <mergeCell ref="E31:F31"/>
    <mergeCell ref="B50:D50"/>
    <mergeCell ref="E44:H44"/>
    <mergeCell ref="B43:D43"/>
    <mergeCell ref="E49:H49"/>
    <mergeCell ref="A34:B34"/>
    <mergeCell ref="A30:B30"/>
    <mergeCell ref="E30:F30"/>
    <mergeCell ref="C14:D14"/>
    <mergeCell ref="E43:H43"/>
    <mergeCell ref="B47:D47"/>
    <mergeCell ref="E50:H50"/>
    <mergeCell ref="B44:D44"/>
    <mergeCell ref="E46:H46"/>
    <mergeCell ref="A35:B35"/>
    <mergeCell ref="A15:H15"/>
    <mergeCell ref="C13:D13"/>
    <mergeCell ref="E52:H52"/>
    <mergeCell ref="A33:B33"/>
    <mergeCell ref="E32:F32"/>
    <mergeCell ref="A31:B31"/>
    <mergeCell ref="A32:B32"/>
    <mergeCell ref="B54:D54"/>
    <mergeCell ref="E33:F33"/>
    <mergeCell ref="E37:F37"/>
    <mergeCell ref="E36:F36"/>
    <mergeCell ref="A36:B36"/>
    <mergeCell ref="B51:D51"/>
    <mergeCell ref="E45:H45"/>
    <mergeCell ref="B42:D42"/>
    <mergeCell ref="C8:D8"/>
    <mergeCell ref="C9:D9"/>
    <mergeCell ref="C10:D10"/>
    <mergeCell ref="C11:D11"/>
    <mergeCell ref="C12:D12"/>
    <mergeCell ref="A3:H4"/>
    <mergeCell ref="B48:D48"/>
  </mergeCells>
  <pageMargins left="0.7" right="0.7" top="0.75" bottom="0.75" header="0.0" footer="0.0"/>
  <pageSetup paperSize="9" fitToWidth="0" fitToHeight="0" orientation="landscape"/>
</worksheet>
</file>

<file path=xl/worksheets/sheet8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89844" style="0"/>
    <col min="2" max="2" customWidth="1" width="17.453125" style="0"/>
    <col min="3" max="3" customWidth="1" width="20.269531" style="0"/>
    <col min="4" max="4" customWidth="1" width="14.816406" style="0"/>
    <col min="5" max="5" customWidth="1" width="28.453125" style="0"/>
    <col min="6" max="6" customWidth="1" width="22.089844" style="0"/>
    <col min="7" max="7" customWidth="1" width="16.542969" style="0"/>
    <col min="8" max="8" customWidth="1" width="26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>
        <v>15000.0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9000.0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>
        <v>250.0</v>
      </c>
      <c r="C8" s="84">
        <v>7670.0</v>
      </c>
      <c r="D8" s="85"/>
      <c r="E8" s="86">
        <f t="shared" si="0"/>
        <v>1917500.0</v>
      </c>
      <c r="F8" s="86">
        <f t="shared" si="1"/>
        <v>292500.0</v>
      </c>
      <c r="G8" s="86">
        <f t="shared" si="2"/>
        <v>12500.0</v>
      </c>
      <c r="H8" s="87">
        <f t="shared" si="3"/>
        <v>305000.0</v>
      </c>
    </row>
    <row r="9" spans="8:8" ht="14.25" customHeight="1">
      <c r="A9" s="82" t="s">
        <v>53</v>
      </c>
      <c r="B9" s="83">
        <v>100.0</v>
      </c>
      <c r="C9" s="84">
        <v>4130.0</v>
      </c>
      <c r="D9" s="85"/>
      <c r="E9" s="86">
        <f t="shared" si="0"/>
        <v>413000.0</v>
      </c>
      <c r="F9" s="86">
        <f t="shared" si="1"/>
        <v>63000.0</v>
      </c>
      <c r="G9" s="86">
        <f t="shared" si="4" ref="G9:G12">PRODUCT(B9*30)</f>
        <v>3000.0</v>
      </c>
      <c r="H9" s="87">
        <f t="shared" si="3"/>
        <v>66000.0</v>
      </c>
    </row>
    <row r="10" spans="8:8" ht="14.25" customHeight="1">
      <c r="A10" s="82" t="s">
        <v>54</v>
      </c>
      <c r="B10" s="83">
        <v>20152.0</v>
      </c>
      <c r="C10" s="84">
        <v>2124.0</v>
      </c>
      <c r="D10" s="85"/>
      <c r="E10" s="86">
        <f t="shared" si="0"/>
        <v>4.2802848E7</v>
      </c>
      <c r="F10" s="86">
        <f t="shared" si="1"/>
        <v>6529248.0</v>
      </c>
      <c r="G10" s="86">
        <f t="shared" si="4"/>
        <v>604560.0</v>
      </c>
      <c r="H10" s="87">
        <f t="shared" si="3"/>
        <v>7133808.0</v>
      </c>
    </row>
    <row r="11" spans="8:8" ht="14.25" customHeight="1">
      <c r="A11" s="82" t="s">
        <v>55</v>
      </c>
      <c r="B11" s="83"/>
      <c r="C11" s="84">
        <v>3540.0</v>
      </c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>
        <v>2006.0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3782.0</v>
      </c>
      <c r="C13" s="84">
        <v>1357.0</v>
      </c>
      <c r="D13" s="85"/>
      <c r="E13" s="86">
        <f t="shared" si="0"/>
        <v>5132174.0</v>
      </c>
      <c r="F13" s="86">
        <f t="shared" si="1"/>
        <v>782874.0</v>
      </c>
      <c r="G13" s="86">
        <f t="shared" si="5" ref="G13:G14">PRODUCT(B13*20)</f>
        <v>75640.0</v>
      </c>
      <c r="H13" s="87">
        <f t="shared" si="3"/>
        <v>858514.0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5.0265522E7</v>
      </c>
      <c r="F37" s="113">
        <f t="shared" si="6"/>
        <v>7667622.0</v>
      </c>
      <c r="G37" s="114">
        <f t="shared" si="6"/>
        <v>695700.0</v>
      </c>
      <c r="H37" s="115">
        <f t="shared" si="6"/>
        <v>8363322.0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>
        <v>8363322.0</v>
      </c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f>SUM(C39:C44)</f>
        <v>8363322.0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20252.0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250.0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3782.0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B62" s="154" t="s">
        <v>82</v>
      </c>
      <c r="C62" s="47"/>
      <c r="D62" s="48"/>
      <c r="E62" s="167">
        <f>SUM(E49:H61)</f>
        <v>24284.0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9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9.453125" style="0"/>
    <col min="3" max="3" customWidth="1" width="14.816406" style="0"/>
    <col min="4" max="4" customWidth="1" width="9.7265625" style="0"/>
    <col min="5" max="5" customWidth="1" width="22.089844" style="0"/>
    <col min="6" max="6" customWidth="1" width="23.542969" style="0"/>
    <col min="7" max="7" customWidth="1" width="17.269531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dimension ref="A1:I100"/>
  <sheetViews>
    <sheetView tabSelected="1" workbookViewId="0">
      <selection activeCell="A3" sqref="A3:H4"/>
    </sheetView>
  </sheetViews>
  <sheetFormatPr defaultRowHeight="15.0" customHeight="1" defaultColWidth="14"/>
  <cols>
    <col min="1" max="1" customWidth="1" width="20.726562" style="0"/>
    <col min="2" max="2" customWidth="1" width="17.816406" style="0"/>
    <col min="3" max="3" customWidth="1" width="12.542969" style="0"/>
    <col min="4" max="4" customWidth="1" width="14.453125" style="0"/>
    <col min="5" max="5" customWidth="1" width="21.542969" style="0"/>
    <col min="6" max="6" customWidth="1" width="19.542969" style="0"/>
    <col min="7" max="7" customWidth="1" width="15.542969" style="0"/>
    <col min="8" max="8" customWidth="1" width="20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86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168"/>
      <c r="C6" s="78">
        <v>7670.0</v>
      </c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>
        <v>4720.0</v>
      </c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169">
        <v>616.0</v>
      </c>
      <c r="C10" s="84">
        <v>2124.0</v>
      </c>
      <c r="D10" s="85"/>
      <c r="E10" s="86">
        <f t="shared" si="0"/>
        <v>1308384.0</v>
      </c>
      <c r="F10" s="86">
        <f t="shared" si="1"/>
        <v>199584.0</v>
      </c>
      <c r="G10" s="86">
        <f t="shared" si="4"/>
        <v>18480.0</v>
      </c>
      <c r="H10" s="87">
        <f t="shared" si="3"/>
        <v>218064.0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>
        <v>150.0</v>
      </c>
      <c r="C13" s="84">
        <v>1357.0</v>
      </c>
      <c r="D13" s="85"/>
      <c r="E13" s="86">
        <f t="shared" si="0"/>
        <v>203550.0</v>
      </c>
      <c r="F13" s="86">
        <f t="shared" si="1"/>
        <v>31050.0</v>
      </c>
      <c r="G13" s="86">
        <f t="shared" si="5" ref="G13:G14">PRODUCT(B13*20)</f>
        <v>3000.0</v>
      </c>
      <c r="H13" s="87">
        <f t="shared" si="3"/>
        <v>34050.0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9.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>
        <v>2006.0</v>
      </c>
      <c r="D17" s="95">
        <v>25.0</v>
      </c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84</v>
      </c>
      <c r="B18" s="99"/>
      <c r="C18" s="99">
        <v>3304.0</v>
      </c>
      <c r="D18" s="99">
        <v>40.0</v>
      </c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>
        <v>2360.0</v>
      </c>
      <c r="D19" s="103">
        <v>30.0</v>
      </c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1511934.0</v>
      </c>
      <c r="F29" s="113">
        <f t="shared" si="10"/>
        <v>230634.0</v>
      </c>
      <c r="G29" s="114">
        <f t="shared" si="10"/>
        <v>21480.0</v>
      </c>
      <c r="H29" s="115">
        <f t="shared" si="9"/>
        <v>252114.0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70">
        <v>714168.0</v>
      </c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71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616.0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150.0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766.0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542969" style="0"/>
    <col min="2" max="2" customWidth="1" width="14.7265625" style="0"/>
    <col min="3" max="3" customWidth="1" width="21.542969" style="0"/>
    <col min="4" max="4" customWidth="1" width="11.269531" style="0"/>
    <col min="5" max="5" customWidth="1" width="21.816406" style="0"/>
    <col min="6" max="6" customWidth="1" width="22.453125" style="0"/>
    <col min="7" max="7" customWidth="1" width="17.542969" style="0"/>
    <col min="8" max="8" customWidth="1" width="16.726562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>
        <v>1357.0</v>
      </c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542969" style="0"/>
    <col min="2" max="2" customWidth="1" width="26.453125" style="0"/>
    <col min="3" max="3" customWidth="1" width="18.816406" style="0"/>
    <col min="4" max="4" customWidth="1" width="12.816406" style="0"/>
    <col min="5" max="5" customWidth="1" width="20.453125" style="0"/>
    <col min="6" max="6" customWidth="1" width="21.542969" style="0"/>
    <col min="7" max="7" customWidth="1" width="14.453125" style="0"/>
    <col min="8" max="8" customWidth="1" width="24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>
        <v>2124.0</v>
      </c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" style="0"/>
    <col min="2" max="2" customWidth="1" width="15.816406" style="0"/>
    <col min="3" max="3" customWidth="1" width="18.542969" style="0"/>
    <col min="4" max="4" customWidth="1" width="11.7265625" style="0"/>
    <col min="5" max="5" customWidth="1" width="24.089844" style="0"/>
    <col min="6" max="6" customWidth="1" width="18.453125" style="0"/>
    <col min="7" max="7" customWidth="1" width="15.816406" style="0"/>
    <col min="8" max="8" customWidth="1" width="15.72656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>
        <v>2124.0</v>
      </c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3">
        <f t="shared" si="6"/>
        <v>0.0</v>
      </c>
      <c r="G37" s="114">
        <f t="shared" si="6"/>
        <v>0.0</v>
      </c>
      <c r="H37" s="115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1:H2"/>
    <mergeCell ref="A15:H15"/>
    <mergeCell ref="B63:D63"/>
    <mergeCell ref="E53:H53"/>
    <mergeCell ref="B52:D52"/>
    <mergeCell ref="E54:H54"/>
    <mergeCell ref="B59:D59"/>
    <mergeCell ref="B60:D60"/>
    <mergeCell ref="E62:H62"/>
    <mergeCell ref="E63:H63"/>
    <mergeCell ref="E60:H60"/>
    <mergeCell ref="B55:D55"/>
    <mergeCell ref="B56:D56"/>
    <mergeCell ref="E57:H57"/>
    <mergeCell ref="B58:D58"/>
    <mergeCell ref="E61:H61"/>
    <mergeCell ref="A38:B38"/>
    <mergeCell ref="E49:H49"/>
    <mergeCell ref="B50:D50"/>
    <mergeCell ref="A46:H47"/>
    <mergeCell ref="A43:B43"/>
    <mergeCell ref="A3:H4"/>
    <mergeCell ref="B54:D54"/>
    <mergeCell ref="E59:H59"/>
    <mergeCell ref="E56:H56"/>
    <mergeCell ref="E55:H55"/>
    <mergeCell ref="E58:H58"/>
    <mergeCell ref="C9:D9"/>
    <mergeCell ref="E45:F45"/>
    <mergeCell ref="A40:B40"/>
    <mergeCell ref="E48:H48"/>
    <mergeCell ref="B57:D57"/>
    <mergeCell ref="C6:D6"/>
    <mergeCell ref="E50:H50"/>
    <mergeCell ref="A42:B42"/>
    <mergeCell ref="E39:F39"/>
    <mergeCell ref="E38:F38"/>
    <mergeCell ref="E51:H51"/>
    <mergeCell ref="A39:B39"/>
    <mergeCell ref="A44:B44"/>
    <mergeCell ref="B49:D49"/>
    <mergeCell ref="A45:B45"/>
    <mergeCell ref="C11:D11"/>
    <mergeCell ref="E40:F40"/>
    <mergeCell ref="C13:D13"/>
    <mergeCell ref="C10:D10"/>
    <mergeCell ref="E43:F43"/>
    <mergeCell ref="C12:D12"/>
    <mergeCell ref="E42:F42"/>
    <mergeCell ref="E41:F41"/>
    <mergeCell ref="C14:D14"/>
    <mergeCell ref="E52:H52"/>
    <mergeCell ref="B62:D62"/>
    <mergeCell ref="B61:D61"/>
    <mergeCell ref="B53:D53"/>
    <mergeCell ref="B48:D48"/>
    <mergeCell ref="C7:D7"/>
    <mergeCell ref="E44:F44"/>
    <mergeCell ref="B51:D51"/>
    <mergeCell ref="A41:B41"/>
    <mergeCell ref="C8:D8"/>
    <mergeCell ref="C5:D5"/>
  </mergeCells>
  <pageMargins left="0.7" right="0.7" top="0.75" bottom="0.75" header="0.0" footer="0.0"/>
</worksheet>
</file>

<file path=xl/worksheets/sheet14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3.089844" style="0"/>
    <col min="2" max="2" customWidth="1" width="15.453125" style="0"/>
    <col min="3" max="3" customWidth="1" width="20.269531" style="0"/>
    <col min="4" max="4" customWidth="1" width="16.089844" style="0"/>
    <col min="5" max="5" customWidth="1" width="18.269531" style="0"/>
    <col min="6" max="6" customWidth="1" width="15.453125" style="0"/>
    <col min="7" max="7" customWidth="1" width="22.816406" style="0"/>
    <col min="8" max="8" customWidth="1" width="19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>
        <v>1357.0</v>
      </c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72" t="s">
        <v>69</v>
      </c>
      <c r="B39" s="173"/>
      <c r="C39" s="124"/>
      <c r="D39" s="125"/>
      <c r="E39" s="174"/>
      <c r="F39" s="175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28" t="s">
        <v>72</v>
      </c>
      <c r="B42" s="48"/>
      <c r="C42" s="136"/>
      <c r="D42" s="113"/>
      <c r="E42" s="176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77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77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78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2">
        <f>SUM(B13:B14)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6.453125" style="0"/>
    <col min="3" max="3" customWidth="1" width="21.453125" style="0"/>
    <col min="4" max="4" customWidth="1" width="12.0" style="0"/>
    <col min="5" max="5" customWidth="1" width="21.816406" style="0"/>
    <col min="6" max="6" customWidth="1" width="17.453125" style="0"/>
    <col min="7" max="7" customWidth="1" width="15.089844" style="0"/>
    <col min="8" max="8" customWidth="1" width="21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4.25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6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4.453125" style="0"/>
    <col min="3" max="3" customWidth="1" width="20.0" style="0"/>
    <col min="4" max="4" customWidth="1" width="14.089844" style="0"/>
    <col min="5" max="5" customWidth="1" width="20.089844" style="0"/>
    <col min="6" max="6" customWidth="1" width="15.269531" style="0"/>
    <col min="7" max="7" customWidth="1" width="16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  <c r="I38" s="68"/>
      <c r="J38" s="68"/>
      <c r="K38" s="68"/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  <c r="I39" s="68"/>
      <c r="J39" s="68"/>
      <c r="K39" s="68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  <c r="I40" s="68"/>
      <c r="J40" s="68"/>
      <c r="K40" s="68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  <c r="I41" s="68"/>
      <c r="J41" s="68"/>
      <c r="K41" s="68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  <c r="I42" s="68"/>
      <c r="J42" s="68"/>
      <c r="K42" s="68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  <c r="I43" s="68"/>
      <c r="J43" s="68"/>
      <c r="K43" s="68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  <c r="I44" s="68"/>
      <c r="J44" s="68"/>
      <c r="K44" s="68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  <c r="I45" s="68"/>
      <c r="J45" s="68"/>
      <c r="K45" s="68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  <c r="I46" s="68"/>
      <c r="J46" s="68"/>
      <c r="K46" s="68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  <c r="I47" s="68"/>
      <c r="J47" s="68"/>
      <c r="K47" s="68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  <c r="I48" s="68"/>
      <c r="J48" s="68"/>
      <c r="K48" s="6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  <c r="I49" s="68"/>
      <c r="J49" s="68"/>
      <c r="K49" s="6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  <c r="I50" s="68"/>
      <c r="J50" s="68"/>
      <c r="K50" s="6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  <c r="I51" s="68"/>
      <c r="J51" s="68"/>
      <c r="K51" s="68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  <c r="I55" s="68"/>
      <c r="J55" s="68"/>
      <c r="K55" s="6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  <c r="I56" s="68"/>
      <c r="J56" s="68"/>
      <c r="K56" s="6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  <c r="I57" s="68"/>
      <c r="J57" s="68"/>
      <c r="K57" s="6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  <c r="I58" s="68"/>
      <c r="J58" s="68"/>
      <c r="K58" s="6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  <c r="I59" s="68"/>
      <c r="J59" s="68"/>
      <c r="K59" s="6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  <c r="I60" s="68"/>
      <c r="J60" s="68"/>
      <c r="K60" s="6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  <c r="I61" s="68"/>
      <c r="J61" s="68"/>
      <c r="K61" s="6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  <c r="I62" s="68"/>
      <c r="J62" s="68"/>
      <c r="K62" s="68"/>
    </row>
    <row r="63" spans="8:8" ht="14.25" customHeight="1">
      <c r="A63" s="68"/>
      <c r="B63" s="154"/>
      <c r="C63" s="47"/>
      <c r="D63" s="48"/>
      <c r="E63" s="156"/>
      <c r="F63" s="47"/>
      <c r="G63" s="47"/>
      <c r="H63" s="4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18.816406" style="0"/>
    <col min="2" max="2" customWidth="1" width="16.089844" style="0"/>
    <col min="3" max="3" customWidth="1" width="20.816406" style="0"/>
    <col min="4" max="4" customWidth="1" width="14.089844" style="0"/>
    <col min="5" max="5" customWidth="1" width="18.089844" style="0"/>
    <col min="6" max="6" customWidth="1" width="17.726562" style="0"/>
    <col min="7" max="7" customWidth="1" width="13.269531" style="0"/>
    <col min="8" max="8" customWidth="1" width="20.0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SUM(B11:B14)</f>
        <v>0.0</v>
      </c>
      <c r="F49" s="47"/>
      <c r="G49" s="47"/>
      <c r="H49" s="48"/>
    </row>
    <row r="50" spans="8:8" ht="14.25" customHeight="1">
      <c r="A50" s="68"/>
      <c r="B50" s="151" t="s">
        <v>52</v>
      </c>
      <c r="C50" s="47"/>
      <c r="D50" s="48"/>
      <c r="E50" s="152">
        <f>SUM(B8:B10)</f>
        <v>0.0</v>
      </c>
      <c r="F50" s="47"/>
      <c r="G50" s="47"/>
      <c r="H50" s="48"/>
    </row>
    <row r="51" spans="8:8" ht="14.25" customHeight="1">
      <c r="A51" s="68"/>
      <c r="B51" s="151" t="s">
        <v>80</v>
      </c>
      <c r="C51" s="47"/>
      <c r="D51" s="48"/>
      <c r="E51" s="152">
        <f>SUM(B15:B16)</f>
        <v>0.0</v>
      </c>
      <c r="F51" s="47"/>
      <c r="G51" s="47"/>
      <c r="H51" s="48"/>
    </row>
    <row r="52" spans="8:8" ht="14.25" customHeight="1">
      <c r="A52" s="68"/>
      <c r="B52" s="154" t="s">
        <v>61</v>
      </c>
      <c r="C52" s="47"/>
      <c r="D52" s="48"/>
      <c r="E52" s="60">
        <f>SUM(B19:B20)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SUM(B29:B30)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0">B31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>B45</f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1:H2"/>
    <mergeCell ref="C13:D13"/>
    <mergeCell ref="C5:D5"/>
    <mergeCell ref="C11:D11"/>
    <mergeCell ref="C8:D8"/>
    <mergeCell ref="A45:B45"/>
    <mergeCell ref="E62:H62"/>
    <mergeCell ref="E40:F40"/>
    <mergeCell ref="B50:D50"/>
    <mergeCell ref="A39:B39"/>
    <mergeCell ref="E42:F42"/>
    <mergeCell ref="B62:D62"/>
    <mergeCell ref="B63:D63"/>
    <mergeCell ref="A15:H15"/>
    <mergeCell ref="A3:H4"/>
    <mergeCell ref="C10:D10"/>
    <mergeCell ref="C12:D12"/>
    <mergeCell ref="C6:D6"/>
    <mergeCell ref="C7:D7"/>
    <mergeCell ref="E50:H50"/>
    <mergeCell ref="B55:D55"/>
    <mergeCell ref="E59:H59"/>
    <mergeCell ref="E63:H63"/>
    <mergeCell ref="B49:D49"/>
    <mergeCell ref="E44:F44"/>
    <mergeCell ref="E61:H61"/>
    <mergeCell ref="E60:H60"/>
    <mergeCell ref="E49:H49"/>
    <mergeCell ref="B59:D59"/>
    <mergeCell ref="B60:D60"/>
    <mergeCell ref="B58:D58"/>
    <mergeCell ref="E52:H52"/>
    <mergeCell ref="B51:D51"/>
    <mergeCell ref="B54:D54"/>
    <mergeCell ref="B53:D53"/>
    <mergeCell ref="E53:H53"/>
    <mergeCell ref="E38:F38"/>
    <mergeCell ref="C14:D14"/>
    <mergeCell ref="C9:D9"/>
    <mergeCell ref="A38:B38"/>
    <mergeCell ref="B48:D48"/>
    <mergeCell ref="E41:F41"/>
    <mergeCell ref="A40:B40"/>
    <mergeCell ref="A42:B42"/>
    <mergeCell ref="A44:B44"/>
    <mergeCell ref="A41:B41"/>
    <mergeCell ref="B61:D61"/>
    <mergeCell ref="B57:D57"/>
    <mergeCell ref="E45:F45"/>
    <mergeCell ref="A43:B43"/>
    <mergeCell ref="E48:H48"/>
    <mergeCell ref="E43:F43"/>
    <mergeCell ref="B56:D56"/>
    <mergeCell ref="E57:H57"/>
    <mergeCell ref="E54:H54"/>
    <mergeCell ref="A46:H47"/>
    <mergeCell ref="E39:F39"/>
    <mergeCell ref="E51:H51"/>
    <mergeCell ref="E58:H58"/>
    <mergeCell ref="B52:D52"/>
    <mergeCell ref="E56:H56"/>
    <mergeCell ref="E55:H55"/>
  </mergeCells>
  <pageMargins left="0.7" right="0.7" top="0.75" bottom="0.75" header="0.0" footer="0.0"/>
  <pageSetup paperSize="9" fitToWidth="0" fitToHeight="0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542969" style="0"/>
    <col min="2" max="2" customWidth="1" width="19.269531" style="0"/>
    <col min="3" max="3" customWidth="1" width="21.0" style="0"/>
    <col min="4" max="4" customWidth="1" width="15.0" style="0"/>
    <col min="5" max="5" customWidth="1" width="19.089844" style="0"/>
    <col min="6" max="6" customWidth="1" width="15.816406" style="0"/>
    <col min="7" max="7" customWidth="1" width="17.453125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8.7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8.75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38:H39"/>
    <mergeCell ref="B40:D40"/>
    <mergeCell ref="A37:B37"/>
    <mergeCell ref="C14:D14"/>
    <mergeCell ref="A1:H2"/>
    <mergeCell ref="E55:H55"/>
    <mergeCell ref="B46:D46"/>
    <mergeCell ref="E44:H44"/>
    <mergeCell ref="E51:H51"/>
    <mergeCell ref="A31:B31"/>
    <mergeCell ref="E30:F30"/>
    <mergeCell ref="A15:H15"/>
    <mergeCell ref="E36:F36"/>
    <mergeCell ref="C6:D6"/>
    <mergeCell ref="C5:D5"/>
    <mergeCell ref="A32:B32"/>
    <mergeCell ref="E49:H49"/>
    <mergeCell ref="B55:D55"/>
    <mergeCell ref="A30:B30"/>
    <mergeCell ref="B50:D50"/>
    <mergeCell ref="E34:F34"/>
    <mergeCell ref="E33:F33"/>
    <mergeCell ref="B49:D49"/>
    <mergeCell ref="E32:F32"/>
    <mergeCell ref="E31:F31"/>
    <mergeCell ref="E37:F37"/>
    <mergeCell ref="C8:D8"/>
    <mergeCell ref="C13:D13"/>
    <mergeCell ref="C12:D12"/>
    <mergeCell ref="C9:D9"/>
    <mergeCell ref="C10:D10"/>
    <mergeCell ref="C11:D11"/>
    <mergeCell ref="E52:H52"/>
    <mergeCell ref="B41:D41"/>
    <mergeCell ref="E42:H42"/>
    <mergeCell ref="B51:D51"/>
    <mergeCell ref="E45:H45"/>
    <mergeCell ref="B42:D42"/>
    <mergeCell ref="A34:B34"/>
    <mergeCell ref="E54:H54"/>
    <mergeCell ref="B47:D47"/>
    <mergeCell ref="E41:H41"/>
    <mergeCell ref="E40:H40"/>
    <mergeCell ref="C7:D7"/>
    <mergeCell ref="A36:B36"/>
    <mergeCell ref="B45:D45"/>
    <mergeCell ref="E53:H53"/>
    <mergeCell ref="B54:D54"/>
    <mergeCell ref="B43:D43"/>
    <mergeCell ref="E43:H43"/>
    <mergeCell ref="B44:D44"/>
    <mergeCell ref="E50:H50"/>
    <mergeCell ref="B53:D53"/>
    <mergeCell ref="E46:H46"/>
    <mergeCell ref="E48:H48"/>
    <mergeCell ref="B48:D48"/>
    <mergeCell ref="A33:B33"/>
    <mergeCell ref="E47:H47"/>
    <mergeCell ref="B52:D52"/>
    <mergeCell ref="A3:H4"/>
    <mergeCell ref="E35:F35"/>
  </mergeCells>
  <pageMargins left="0.7" right="0.7" top="0.75" bottom="0.75" header="0.0" footer="0.0"/>
  <pageSetup paperSize="9" fitToWidth="0" fitToHeight="0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542969" style="0"/>
    <col min="2" max="2" customWidth="1" width="15.816406" style="0"/>
    <col min="3" max="3" customWidth="1" width="21.089844" style="0"/>
    <col min="4" max="4" customWidth="1" width="18.089844" style="0"/>
    <col min="5" max="5" customWidth="1" width="21.089844" style="0"/>
    <col min="6" max="6" customWidth="1" width="18.542969" style="0"/>
    <col min="7" max="7" customWidth="1" width="20.089844" style="0"/>
    <col min="8" max="8" customWidth="1" width="17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81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81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81</v>
      </c>
      <c r="B23" s="103"/>
      <c r="C23" s="103"/>
      <c r="D23" s="103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81</v>
      </c>
      <c r="B24" s="103"/>
      <c r="C24" s="103"/>
      <c r="D24" s="103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81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81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81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2" t="s">
        <v>81</v>
      </c>
      <c r="B28" s="103"/>
      <c r="C28" s="103"/>
      <c r="D28" s="103"/>
      <c r="E28" s="100">
        <v>0.0</v>
      </c>
      <c r="F28" s="101">
        <v>0.0</v>
      </c>
      <c r="G28" s="101">
        <v>0.0</v>
      </c>
      <c r="H28" s="101">
        <v>0.0</v>
      </c>
      <c r="I28" s="68"/>
      <c r="J28" s="68"/>
      <c r="K28" s="68"/>
    </row>
    <row r="29" spans="8:8" ht="14.25" customHeight="1">
      <c r="A29" s="102" t="s">
        <v>63</v>
      </c>
      <c r="B29" s="103"/>
      <c r="C29" s="103"/>
      <c r="D29" s="103"/>
      <c r="E29" s="100">
        <v>0.0</v>
      </c>
      <c r="F29" s="101">
        <v>0.0</v>
      </c>
      <c r="G29" s="101">
        <v>0.0</v>
      </c>
      <c r="H29" s="101">
        <v>0.0</v>
      </c>
      <c r="I29" s="68"/>
      <c r="J29" s="68"/>
      <c r="K29" s="68"/>
    </row>
    <row r="30" spans="8:8" ht="14.25" customHeight="1">
      <c r="A30" s="102" t="s">
        <v>63</v>
      </c>
      <c r="B30" s="103"/>
      <c r="C30" s="103"/>
      <c r="D30" s="103"/>
      <c r="E30" s="100">
        <v>0.0</v>
      </c>
      <c r="F30" s="101">
        <v>0.0</v>
      </c>
      <c r="G30" s="101">
        <v>0.0</v>
      </c>
      <c r="H30" s="101">
        <v>0.0</v>
      </c>
      <c r="I30" s="68"/>
      <c r="J30" s="68"/>
      <c r="K30" s="68"/>
    </row>
    <row r="31" spans="8:8" ht="14.25" customHeight="1">
      <c r="A31" s="102" t="s">
        <v>63</v>
      </c>
      <c r="B31" s="104"/>
      <c r="C31" s="104"/>
      <c r="D31" s="104"/>
      <c r="E31" s="100">
        <v>0.0</v>
      </c>
      <c r="F31" s="101">
        <v>0.0</v>
      </c>
      <c r="G31" s="101">
        <v>0.0</v>
      </c>
      <c r="H31" s="101">
        <v>0.0</v>
      </c>
      <c r="I31" s="68"/>
      <c r="J31" s="68"/>
      <c r="K31" s="68"/>
    </row>
    <row r="32" spans="8:8" ht="14.25" customHeight="1">
      <c r="A32" s="102" t="s">
        <v>63</v>
      </c>
      <c r="B32" s="99"/>
      <c r="C32" s="99"/>
      <c r="D32" s="99"/>
      <c r="E32" s="100">
        <v>0.0</v>
      </c>
      <c r="F32" s="101">
        <v>0.0</v>
      </c>
      <c r="G32" s="101">
        <v>0.0</v>
      </c>
      <c r="H32" s="101">
        <v>0.0</v>
      </c>
      <c r="I32" s="68"/>
      <c r="J32" s="68"/>
      <c r="K32" s="68"/>
    </row>
    <row r="33" spans="8:8" ht="14.25" customHeight="1">
      <c r="A33" s="102" t="s">
        <v>63</v>
      </c>
      <c r="B33" s="103"/>
      <c r="C33" s="103"/>
      <c r="D33" s="103"/>
      <c r="E33" s="100">
        <v>0.0</v>
      </c>
      <c r="F33" s="101">
        <v>0.0</v>
      </c>
      <c r="G33" s="101">
        <v>0.0</v>
      </c>
      <c r="H33" s="101">
        <v>0.0</v>
      </c>
      <c r="I33" s="68"/>
      <c r="J33" s="68"/>
      <c r="K33" s="68"/>
    </row>
    <row r="34" spans="8:8" ht="14.25" customHeight="1">
      <c r="A34" s="102" t="s">
        <v>63</v>
      </c>
      <c r="B34" s="103"/>
      <c r="C34" s="103"/>
      <c r="D34" s="103"/>
      <c r="E34" s="100">
        <v>0.0</v>
      </c>
      <c r="F34" s="101">
        <v>0.0</v>
      </c>
      <c r="G34" s="101">
        <v>0.0</v>
      </c>
      <c r="H34" s="101">
        <v>0.0</v>
      </c>
      <c r="I34" s="68"/>
      <c r="J34" s="68"/>
      <c r="K34" s="68"/>
    </row>
    <row r="35" spans="8:8" ht="14.25" customHeight="1">
      <c r="A35" s="102" t="s">
        <v>63</v>
      </c>
      <c r="B35" s="103"/>
      <c r="C35" s="103"/>
      <c r="D35" s="103"/>
      <c r="E35" s="100">
        <v>0.0</v>
      </c>
      <c r="F35" s="101">
        <v>0.0</v>
      </c>
      <c r="G35" s="101">
        <v>0.0</v>
      </c>
      <c r="H35" s="101">
        <v>0.0</v>
      </c>
      <c r="I35" s="68"/>
      <c r="J35" s="68"/>
      <c r="K35" s="68"/>
    </row>
    <row r="36" spans="8:8" ht="14.25" customHeight="1">
      <c r="A36" s="105" t="s">
        <v>63</v>
      </c>
      <c r="B36" s="106"/>
      <c r="C36" s="106"/>
      <c r="D36" s="106"/>
      <c r="E36" s="107">
        <v>0.0</v>
      </c>
      <c r="F36" s="108">
        <v>0.0</v>
      </c>
      <c r="G36" s="109">
        <v>0.0</v>
      </c>
      <c r="H36" s="109">
        <v>0.0</v>
      </c>
      <c r="I36" s="68"/>
      <c r="J36" s="68"/>
      <c r="K36" s="68"/>
    </row>
    <row r="37" spans="8:8" ht="14.25" customHeight="1">
      <c r="A37" s="110" t="s">
        <v>64</v>
      </c>
      <c r="B37" s="111"/>
      <c r="C37" s="111"/>
      <c r="D37" s="111"/>
      <c r="E37" s="112">
        <f t="shared" si="6" ref="E37:H37">SUM(E5:E36)</f>
        <v>0.0</v>
      </c>
      <c r="F37" s="112">
        <f t="shared" si="6"/>
        <v>0.0</v>
      </c>
      <c r="G37" s="112">
        <f t="shared" si="6"/>
        <v>0.0</v>
      </c>
      <c r="H37" s="112">
        <f t="shared" si="6"/>
        <v>0.0</v>
      </c>
      <c r="I37" s="68"/>
      <c r="J37" s="68"/>
      <c r="K37" s="68"/>
    </row>
    <row r="38" spans="8:8" ht="14.25" customHeight="1">
      <c r="A38" s="116" t="s">
        <v>65</v>
      </c>
      <c r="B38" s="117"/>
      <c r="C38" s="118" t="s">
        <v>66</v>
      </c>
      <c r="D38" s="119"/>
      <c r="E38" s="120" t="s">
        <v>67</v>
      </c>
      <c r="F38" s="48"/>
      <c r="G38" s="121" t="s">
        <v>68</v>
      </c>
      <c r="H38" s="122" t="s">
        <v>66</v>
      </c>
    </row>
    <row r="39" spans="8:8" ht="14.25" customHeight="1">
      <c r="A39" s="123" t="s">
        <v>69</v>
      </c>
      <c r="B39" s="63"/>
      <c r="C39" s="124"/>
      <c r="D39" s="125"/>
      <c r="E39" s="78"/>
      <c r="F39" s="79"/>
      <c r="G39" s="126"/>
      <c r="H39" s="127"/>
    </row>
    <row r="40" spans="8:8" ht="15.0" customHeight="1">
      <c r="A40" s="128" t="s">
        <v>70</v>
      </c>
      <c r="B40" s="48"/>
      <c r="C40" s="129"/>
      <c r="D40" s="130"/>
      <c r="E40" s="84"/>
      <c r="F40" s="85"/>
      <c r="G40" s="131"/>
      <c r="H40" s="132"/>
    </row>
    <row r="41" spans="8:8" ht="14.25" customHeight="1">
      <c r="A41" s="128" t="s">
        <v>71</v>
      </c>
      <c r="B41" s="48"/>
      <c r="C41" s="133"/>
      <c r="D41" s="125"/>
      <c r="E41" s="134"/>
      <c r="F41" s="85"/>
      <c r="G41" s="131"/>
      <c r="H41" s="132"/>
    </row>
    <row r="42" spans="8:8" ht="14.25" customHeight="1">
      <c r="A42" s="135" t="s">
        <v>72</v>
      </c>
      <c r="B42" s="51"/>
      <c r="C42" s="136"/>
      <c r="D42" s="113"/>
      <c r="E42" s="137"/>
      <c r="F42" s="85"/>
      <c r="G42" s="83"/>
      <c r="H42" s="132"/>
    </row>
    <row r="43" spans="8:8" ht="14.25" customHeight="1">
      <c r="A43" s="128" t="s">
        <v>73</v>
      </c>
      <c r="B43" s="48"/>
      <c r="C43" s="138"/>
      <c r="D43" s="113"/>
      <c r="E43" s="139"/>
      <c r="F43" s="85"/>
      <c r="G43" s="83"/>
      <c r="H43" s="132"/>
    </row>
    <row r="44" spans="8:8" ht="14.25" customHeight="1">
      <c r="A44" s="128" t="s">
        <v>74</v>
      </c>
      <c r="B44" s="48"/>
      <c r="C44" s="140"/>
      <c r="D44" s="141"/>
      <c r="E44" s="139"/>
      <c r="F44" s="85"/>
      <c r="G44" s="83"/>
      <c r="H44" s="132"/>
    </row>
    <row r="45" spans="8:8" ht="14.25" customHeight="1">
      <c r="A45" s="128" t="s">
        <v>75</v>
      </c>
      <c r="B45" s="48"/>
      <c r="C45" s="142">
        <v>0.0</v>
      </c>
      <c r="D45" s="143"/>
      <c r="E45" s="144"/>
      <c r="F45" s="145"/>
      <c r="G45" s="146"/>
      <c r="H45" s="147"/>
    </row>
    <row r="46" spans="8:8" ht="14.25" customHeight="1">
      <c r="A46" s="148" t="s">
        <v>76</v>
      </c>
      <c r="B46" s="50"/>
      <c r="C46" s="50"/>
      <c r="D46" s="50"/>
      <c r="E46" s="50"/>
      <c r="F46" s="50"/>
      <c r="G46" s="50"/>
      <c r="H46" s="51"/>
    </row>
    <row r="47" spans="8:8" ht="15.0" customHeight="1">
      <c r="A47" s="61"/>
      <c r="B47" s="62"/>
      <c r="C47" s="62"/>
      <c r="D47" s="62"/>
      <c r="E47" s="62"/>
      <c r="F47" s="62"/>
      <c r="G47" s="62"/>
      <c r="H47" s="63"/>
    </row>
    <row r="48" spans="8:8" ht="14.25" customHeight="1">
      <c r="A48" s="149"/>
      <c r="B48" s="150" t="s">
        <v>77</v>
      </c>
      <c r="C48" s="47"/>
      <c r="D48" s="48"/>
      <c r="E48" s="150" t="s">
        <v>78</v>
      </c>
      <c r="F48" s="47"/>
      <c r="G48" s="47"/>
      <c r="H48" s="48"/>
    </row>
    <row r="49" spans="8:8" ht="14.25" customHeight="1">
      <c r="A49" s="149"/>
      <c r="B49" s="151" t="s">
        <v>79</v>
      </c>
      <c r="C49" s="47"/>
      <c r="D49" s="48"/>
      <c r="E49" s="152">
        <f>SUM(B9:B12)</f>
        <v>0.0</v>
      </c>
      <c r="F49" s="47"/>
      <c r="G49" s="47"/>
      <c r="H49" s="48"/>
    </row>
    <row r="50" spans="8:8" ht="14.25" customHeight="1">
      <c r="A50" s="149"/>
      <c r="B50" s="151" t="s">
        <v>52</v>
      </c>
      <c r="C50" s="47"/>
      <c r="D50" s="48"/>
      <c r="E50" s="152">
        <f>SUM(B6:B8)</f>
        <v>0.0</v>
      </c>
      <c r="F50" s="47"/>
      <c r="G50" s="47"/>
      <c r="H50" s="48"/>
    </row>
    <row r="51" spans="8:8" ht="14.25" customHeight="1">
      <c r="A51" s="149"/>
      <c r="B51" s="151" t="s">
        <v>80</v>
      </c>
      <c r="C51" s="47"/>
      <c r="D51" s="48"/>
      <c r="E51" s="153">
        <f>SUM(B13:B14)</f>
        <v>0.0</v>
      </c>
      <c r="F51" s="56"/>
      <c r="G51" s="56"/>
      <c r="H51" s="57"/>
    </row>
    <row r="52" spans="8:8" ht="14.25" customHeight="1">
      <c r="A52" s="68"/>
      <c r="B52" s="154" t="s">
        <v>61</v>
      </c>
      <c r="C52" s="47"/>
      <c r="D52" s="48"/>
      <c r="E52" s="60">
        <f>SUM(B17:B18)</f>
        <v>0.0</v>
      </c>
      <c r="F52" s="47"/>
      <c r="G52" s="47"/>
      <c r="H52" s="48"/>
    </row>
    <row r="53" spans="8:8" ht="14.25" customHeight="1">
      <c r="A53" s="68"/>
      <c r="B53" s="154" t="s">
        <v>62</v>
      </c>
      <c r="C53" s="47"/>
      <c r="D53" s="48"/>
      <c r="E53" s="60">
        <f>SUM(B19:B20)</f>
        <v>0.0</v>
      </c>
      <c r="F53" s="47"/>
      <c r="G53" s="47"/>
      <c r="H53" s="48"/>
    </row>
    <row r="54" spans="8:8" ht="14.25" customHeight="1">
      <c r="A54" s="68"/>
      <c r="B54" s="154" t="s">
        <v>81</v>
      </c>
      <c r="C54" s="47"/>
      <c r="D54" s="48"/>
      <c r="E54" s="60">
        <f t="shared" si="7" ref="E54:E61">B29</f>
        <v>0.0</v>
      </c>
      <c r="F54" s="47"/>
      <c r="G54" s="47"/>
      <c r="H54" s="48"/>
    </row>
    <row r="55" spans="8:8" ht="14.25" customHeight="1">
      <c r="A55" s="68"/>
      <c r="B55" s="154" t="s">
        <v>81</v>
      </c>
      <c r="C55" s="47"/>
      <c r="D55" s="48"/>
      <c r="E55" s="60">
        <f t="shared" si="7"/>
        <v>0.0</v>
      </c>
      <c r="F55" s="47"/>
      <c r="G55" s="47"/>
      <c r="H55" s="48"/>
    </row>
    <row r="56" spans="8:8" ht="14.25" customHeight="1">
      <c r="A56" s="68"/>
      <c r="B56" s="154" t="s">
        <v>81</v>
      </c>
      <c r="C56" s="47"/>
      <c r="D56" s="48"/>
      <c r="E56" s="60">
        <f t="shared" si="7"/>
        <v>0.0</v>
      </c>
      <c r="F56" s="47"/>
      <c r="G56" s="47"/>
      <c r="H56" s="48"/>
    </row>
    <row r="57" spans="8:8" ht="14.25" customHeight="1">
      <c r="A57" s="68"/>
      <c r="B57" s="154" t="s">
        <v>81</v>
      </c>
      <c r="C57" s="47"/>
      <c r="D57" s="48"/>
      <c r="E57" s="60">
        <f t="shared" si="7"/>
        <v>0.0</v>
      </c>
      <c r="F57" s="47"/>
      <c r="G57" s="47"/>
      <c r="H57" s="48"/>
    </row>
    <row r="58" spans="8:8" ht="14.25" customHeight="1">
      <c r="A58" s="68"/>
      <c r="B58" s="154" t="s">
        <v>81</v>
      </c>
      <c r="C58" s="47"/>
      <c r="D58" s="48"/>
      <c r="E58" s="60">
        <f t="shared" si="7"/>
        <v>0.0</v>
      </c>
      <c r="F58" s="47"/>
      <c r="G58" s="47"/>
      <c r="H58" s="48"/>
    </row>
    <row r="59" spans="8:8" ht="14.25" customHeight="1">
      <c r="A59" s="68"/>
      <c r="B59" s="154" t="s">
        <v>81</v>
      </c>
      <c r="C59" s="47"/>
      <c r="D59" s="48"/>
      <c r="E59" s="60">
        <f t="shared" si="7"/>
        <v>0.0</v>
      </c>
      <c r="F59" s="47"/>
      <c r="G59" s="47"/>
      <c r="H59" s="48"/>
    </row>
    <row r="60" spans="8:8" ht="14.25" customHeight="1">
      <c r="A60" s="68"/>
      <c r="B60" s="154" t="s">
        <v>81</v>
      </c>
      <c r="C60" s="47"/>
      <c r="D60" s="48"/>
      <c r="E60" s="60">
        <f t="shared" si="7"/>
        <v>0.0</v>
      </c>
      <c r="F60" s="47"/>
      <c r="G60" s="47"/>
      <c r="H60" s="48"/>
    </row>
    <row r="61" spans="8:8" ht="14.25" customHeight="1">
      <c r="A61" s="68"/>
      <c r="B61" s="154" t="s">
        <v>81</v>
      </c>
      <c r="C61" s="47"/>
      <c r="D61" s="48"/>
      <c r="E61" s="60">
        <f t="shared" si="7"/>
        <v>0.0</v>
      </c>
      <c r="F61" s="47"/>
      <c r="G61" s="47"/>
      <c r="H61" s="48"/>
    </row>
    <row r="62" spans="8:8" ht="14.25" customHeight="1">
      <c r="A62" s="68"/>
      <c r="B62" s="154" t="s">
        <v>82</v>
      </c>
      <c r="C62" s="47"/>
      <c r="D62" s="48"/>
      <c r="E62" s="60">
        <f>SUM(E49:H61)</f>
        <v>0.0</v>
      </c>
      <c r="F62" s="47"/>
      <c r="G62" s="47"/>
      <c r="H62" s="48"/>
    </row>
    <row r="63" spans="8:8" ht="14.25" customHeight="1">
      <c r="B63" s="154"/>
      <c r="C63" s="47"/>
      <c r="D63" s="48"/>
      <c r="E63" s="156"/>
      <c r="F63" s="47"/>
      <c r="G63" s="47"/>
      <c r="H63" s="48"/>
    </row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43:B43"/>
    <mergeCell ref="A1:H2"/>
    <mergeCell ref="A15:H15"/>
    <mergeCell ref="B51:D51"/>
    <mergeCell ref="E55:H55"/>
    <mergeCell ref="B59:D59"/>
    <mergeCell ref="E61:H61"/>
    <mergeCell ref="E49:H49"/>
    <mergeCell ref="E54:H54"/>
    <mergeCell ref="E56:H56"/>
    <mergeCell ref="B60:D60"/>
    <mergeCell ref="B61:D61"/>
    <mergeCell ref="B62:D62"/>
    <mergeCell ref="B63:D63"/>
    <mergeCell ref="B57:D57"/>
    <mergeCell ref="C6:D6"/>
    <mergeCell ref="E53:H53"/>
    <mergeCell ref="C7:D7"/>
    <mergeCell ref="B52:D52"/>
    <mergeCell ref="B54:D54"/>
    <mergeCell ref="E50:H50"/>
    <mergeCell ref="C5:D5"/>
    <mergeCell ref="E62:H62"/>
    <mergeCell ref="A45:B45"/>
    <mergeCell ref="A46:H47"/>
    <mergeCell ref="B48:D48"/>
    <mergeCell ref="B49:D49"/>
    <mergeCell ref="E63:H63"/>
    <mergeCell ref="E44:F44"/>
    <mergeCell ref="E45:F45"/>
    <mergeCell ref="E43:F43"/>
    <mergeCell ref="A41:B41"/>
    <mergeCell ref="E39:F39"/>
    <mergeCell ref="E41:F41"/>
    <mergeCell ref="E40:F40"/>
    <mergeCell ref="A42:B42"/>
    <mergeCell ref="A39:B39"/>
    <mergeCell ref="B58:D58"/>
    <mergeCell ref="E52:H52"/>
    <mergeCell ref="B50:D50"/>
    <mergeCell ref="C8:D8"/>
    <mergeCell ref="A3:H4"/>
    <mergeCell ref="B56:D56"/>
    <mergeCell ref="E48:H48"/>
    <mergeCell ref="B55:D55"/>
    <mergeCell ref="E57:H57"/>
    <mergeCell ref="E60:H60"/>
    <mergeCell ref="C11:D11"/>
    <mergeCell ref="C12:D12"/>
    <mergeCell ref="C13:D13"/>
    <mergeCell ref="C14:D14"/>
    <mergeCell ref="A38:B38"/>
    <mergeCell ref="E42:F42"/>
    <mergeCell ref="A44:B44"/>
    <mergeCell ref="E58:H58"/>
    <mergeCell ref="A40:B40"/>
    <mergeCell ref="E38:F38"/>
    <mergeCell ref="E59:H59"/>
    <mergeCell ref="B53:D53"/>
    <mergeCell ref="E51:H51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726562" style="0"/>
    <col min="2" max="2" customWidth="1" width="14.453125" style="0"/>
    <col min="3" max="3" customWidth="1" width="24.0" style="0"/>
    <col min="4" max="4" customWidth="1" width="18.089844" style="0"/>
    <col min="5" max="5" customWidth="1" width="20.542969" style="0"/>
    <col min="6" max="6" customWidth="1" width="22.816406" style="0"/>
    <col min="7" max="7" customWidth="1" width="21.089844" style="0"/>
    <col min="8" max="8" customWidth="1" width="19.816406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1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1.0" style="0"/>
    <col min="2" max="2" customWidth="1" width="18.816406" style="0"/>
    <col min="3" max="3" customWidth="1" width="27.089844" style="0"/>
    <col min="4" max="4" customWidth="1" width="20.0" style="0"/>
    <col min="5" max="5" customWidth="1" width="17.0" style="0"/>
    <col min="6" max="6" customWidth="1" width="18.816406" style="0"/>
    <col min="7" max="7" customWidth="1" width="19.0" style="0"/>
    <col min="8" max="8" customWidth="1" width="24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19.816406" style="0"/>
    <col min="2" max="2" customWidth="1" width="15.089844" style="0"/>
    <col min="3" max="3" customWidth="1" width="25.089844" style="0"/>
    <col min="4" max="4" customWidth="1" width="18.816406" style="0"/>
    <col min="5" max="5" customWidth="1" width="17.816406" style="0"/>
    <col min="6" max="6" customWidth="1" width="18.089844" style="0"/>
    <col min="7" max="7" customWidth="1" width="21.726562" style="0"/>
    <col min="8" max="8" customWidth="1" width="22.453125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3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4.089844" style="0"/>
    <col min="2" max="2" customWidth="1" width="18.453125" style="0"/>
    <col min="3" max="3" customWidth="1" width="22.542969" style="0"/>
    <col min="4" max="4" customWidth="1" width="17.453125" style="0"/>
    <col min="5" max="5" customWidth="1" width="21.453125" style="0"/>
    <col min="6" max="6" customWidth="1" width="18.816406" style="0"/>
    <col min="7" max="7" customWidth="1" width="17.726562" style="0"/>
    <col min="8" max="8" customWidth="1" width="22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5.0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A35:B35"/>
    <mergeCell ref="A1:H2"/>
    <mergeCell ref="A15:H15"/>
    <mergeCell ref="B43:D43"/>
    <mergeCell ref="E47:H47"/>
    <mergeCell ref="B51:D51"/>
    <mergeCell ref="E53:H53"/>
    <mergeCell ref="E41:H41"/>
    <mergeCell ref="E46:H46"/>
    <mergeCell ref="E48:H48"/>
    <mergeCell ref="B52:D52"/>
    <mergeCell ref="B53:D53"/>
    <mergeCell ref="B54:D54"/>
    <mergeCell ref="B55:D55"/>
    <mergeCell ref="B49:D49"/>
    <mergeCell ref="C6:D6"/>
    <mergeCell ref="E45:H45"/>
    <mergeCell ref="C7:D7"/>
    <mergeCell ref="B44:D44"/>
    <mergeCell ref="B46:D46"/>
    <mergeCell ref="E42:H42"/>
    <mergeCell ref="C5:D5"/>
    <mergeCell ref="E54:H54"/>
    <mergeCell ref="A37:B37"/>
    <mergeCell ref="A38:H39"/>
    <mergeCell ref="B40:D40"/>
    <mergeCell ref="B41:D41"/>
    <mergeCell ref="E55:H55"/>
    <mergeCell ref="E36:F36"/>
    <mergeCell ref="E37:F37"/>
    <mergeCell ref="E35:F35"/>
    <mergeCell ref="A33:B33"/>
    <mergeCell ref="E31:F31"/>
    <mergeCell ref="E33:F33"/>
    <mergeCell ref="E32:F32"/>
    <mergeCell ref="A34:B34"/>
    <mergeCell ref="A31:B31"/>
    <mergeCell ref="B50:D50"/>
    <mergeCell ref="E44:H44"/>
    <mergeCell ref="B42:D42"/>
    <mergeCell ref="C8:D8"/>
    <mergeCell ref="A3:H4"/>
    <mergeCell ref="B48:D48"/>
    <mergeCell ref="E40:H40"/>
    <mergeCell ref="B47:D47"/>
    <mergeCell ref="E49:H49"/>
    <mergeCell ref="E52:H52"/>
    <mergeCell ref="C11:D11"/>
    <mergeCell ref="C12:D12"/>
    <mergeCell ref="C13:D13"/>
    <mergeCell ref="C14:D14"/>
    <mergeCell ref="A30:B30"/>
    <mergeCell ref="E34:F34"/>
    <mergeCell ref="A36:B36"/>
    <mergeCell ref="E50:H50"/>
    <mergeCell ref="A32:B32"/>
    <mergeCell ref="E30:F30"/>
    <mergeCell ref="E51:H51"/>
    <mergeCell ref="B45:D45"/>
    <mergeCell ref="E43:H43"/>
    <mergeCell ref="C9:D9"/>
    <mergeCell ref="C10:D10"/>
  </mergeCells>
  <pageMargins left="0.7" right="0.7" top="0.75" bottom="0.75" header="0.0" footer="0.0"/>
  <pageSetup paperSize="9" fitToWidth="0" fitToHeight="0" orientation="landscape"/>
</worksheet>
</file>

<file path=xl/worksheets/sheet24.xml><?xml version="1.0" encoding="utf-8"?>
<worksheet xmlns:r="http://schemas.openxmlformats.org/officeDocument/2006/relationships" xmlns="http://schemas.openxmlformats.org/spreadsheetml/2006/main">
  <dimension ref="A1:I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453125" style="0"/>
    <col min="2" max="2" customWidth="1" width="17.269531" style="0"/>
    <col min="3" max="3" customWidth="1" width="19.269531" style="0"/>
    <col min="4" max="4" customWidth="1" width="16.542969" style="0"/>
    <col min="5" max="5" customWidth="1" width="22.269531" style="0"/>
    <col min="6" max="6" customWidth="1" width="17.269531" style="0"/>
    <col min="7" max="7" customWidth="1" width="16.269531" style="0"/>
    <col min="8" max="8" customWidth="1" width="23.269531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</row>
    <row r="2" spans="8:8" ht="14.25" customHeight="1">
      <c r="A2" s="61"/>
      <c r="B2" s="62"/>
      <c r="C2" s="62"/>
      <c r="D2" s="62"/>
      <c r="E2" s="62"/>
      <c r="F2" s="62"/>
      <c r="G2" s="62"/>
      <c r="H2" s="63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</row>
    <row r="4" spans="8:8" ht="14.25" customHeight="1">
      <c r="A4" s="61"/>
      <c r="B4" s="62"/>
      <c r="C4" s="62"/>
      <c r="D4" s="62"/>
      <c r="E4" s="62"/>
      <c r="F4" s="62"/>
      <c r="G4" s="62"/>
      <c r="H4" s="63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</row>
    <row r="6" spans="8:8" ht="14.25" customHeight="1">
      <c r="A6" s="76" t="s">
        <v>50</v>
      </c>
      <c r="B6" s="77"/>
      <c r="C6" s="78"/>
      <c r="D6" s="79"/>
      <c r="E6" s="80">
        <f t="shared" si="0" ref="E6:E14">PRODUCT(B6*C6)</f>
        <v>0.0</v>
      </c>
      <c r="F6" s="80">
        <f t="shared" si="1" ref="F6:F14">PRODUCT(E6*18)/118</f>
        <v>0.0</v>
      </c>
      <c r="G6" s="80">
        <f t="shared" si="2" ref="G6:G8">PRODUCT(B6*50)</f>
        <v>0.0</v>
      </c>
      <c r="H6" s="81">
        <f t="shared" si="3" ref="H6:H14">SUM(F6:G6)</f>
        <v>0.0</v>
      </c>
    </row>
    <row r="7" spans="8:8" ht="14.25" customHeight="1">
      <c r="A7" s="76" t="s">
        <v>51</v>
      </c>
      <c r="B7" s="77"/>
      <c r="C7" s="78"/>
      <c r="D7" s="79"/>
      <c r="E7" s="80">
        <f t="shared" si="0"/>
        <v>0.0</v>
      </c>
      <c r="F7" s="80">
        <f t="shared" si="1"/>
        <v>0.0</v>
      </c>
      <c r="G7" s="80">
        <f t="shared" si="2"/>
        <v>0.0</v>
      </c>
      <c r="H7" s="81">
        <f t="shared" si="3"/>
        <v>0.0</v>
      </c>
    </row>
    <row r="8" spans="8:8" ht="14.25" customHeight="1">
      <c r="A8" s="82" t="s">
        <v>52</v>
      </c>
      <c r="B8" s="83"/>
      <c r="C8" s="84"/>
      <c r="D8" s="85"/>
      <c r="E8" s="86">
        <f t="shared" si="0"/>
        <v>0.0</v>
      </c>
      <c r="F8" s="86">
        <f t="shared" si="1"/>
        <v>0.0</v>
      </c>
      <c r="G8" s="86">
        <f t="shared" si="2"/>
        <v>0.0</v>
      </c>
      <c r="H8" s="87">
        <f t="shared" si="3"/>
        <v>0.0</v>
      </c>
    </row>
    <row r="9" spans="8:8" ht="14.25" customHeight="1">
      <c r="A9" s="82" t="s">
        <v>53</v>
      </c>
      <c r="B9" s="83"/>
      <c r="C9" s="84"/>
      <c r="D9" s="85"/>
      <c r="E9" s="86">
        <f t="shared" si="0"/>
        <v>0.0</v>
      </c>
      <c r="F9" s="86">
        <f t="shared" si="1"/>
        <v>0.0</v>
      </c>
      <c r="G9" s="86">
        <f t="shared" si="4" ref="G9:G12">PRODUCT(B9*30)</f>
        <v>0.0</v>
      </c>
      <c r="H9" s="87">
        <f t="shared" si="3"/>
        <v>0.0</v>
      </c>
    </row>
    <row r="10" spans="8:8" ht="14.25" customHeight="1">
      <c r="A10" s="82" t="s">
        <v>54</v>
      </c>
      <c r="B10" s="83"/>
      <c r="C10" s="84"/>
      <c r="D10" s="85"/>
      <c r="E10" s="86">
        <f t="shared" si="0"/>
        <v>0.0</v>
      </c>
      <c r="F10" s="86">
        <f t="shared" si="1"/>
        <v>0.0</v>
      </c>
      <c r="G10" s="86">
        <f t="shared" si="4"/>
        <v>0.0</v>
      </c>
      <c r="H10" s="87">
        <f t="shared" si="3"/>
        <v>0.0</v>
      </c>
    </row>
    <row r="11" spans="8:8" ht="14.25" customHeight="1">
      <c r="A11" s="82" t="s">
        <v>55</v>
      </c>
      <c r="B11" s="83"/>
      <c r="C11" s="84"/>
      <c r="D11" s="85"/>
      <c r="E11" s="86">
        <f t="shared" si="0"/>
        <v>0.0</v>
      </c>
      <c r="F11" s="86">
        <f t="shared" si="1"/>
        <v>0.0</v>
      </c>
      <c r="G11" s="86">
        <f t="shared" si="4"/>
        <v>0.0</v>
      </c>
      <c r="H11" s="87">
        <f t="shared" si="3"/>
        <v>0.0</v>
      </c>
    </row>
    <row r="12" spans="8:8" ht="14.25" customHeight="1">
      <c r="A12" s="82" t="s">
        <v>55</v>
      </c>
      <c r="B12" s="83"/>
      <c r="C12" s="84"/>
      <c r="D12" s="85"/>
      <c r="E12" s="86">
        <f t="shared" si="0"/>
        <v>0.0</v>
      </c>
      <c r="F12" s="86">
        <f t="shared" si="1"/>
        <v>0.0</v>
      </c>
      <c r="G12" s="86">
        <f t="shared" si="4"/>
        <v>0.0</v>
      </c>
      <c r="H12" s="87">
        <f t="shared" si="3"/>
        <v>0.0</v>
      </c>
    </row>
    <row r="13" spans="8:8" ht="14.25" customHeight="1">
      <c r="A13" s="82" t="s">
        <v>56</v>
      </c>
      <c r="B13" s="83"/>
      <c r="C13" s="84"/>
      <c r="D13" s="85"/>
      <c r="E13" s="86">
        <f t="shared" si="0"/>
        <v>0.0</v>
      </c>
      <c r="F13" s="86">
        <f t="shared" si="1"/>
        <v>0.0</v>
      </c>
      <c r="G13" s="86">
        <f t="shared" si="5" ref="G13:G14">PRODUCT(B13*20)</f>
        <v>0.0</v>
      </c>
      <c r="H13" s="87">
        <f t="shared" si="3"/>
        <v>0.0</v>
      </c>
    </row>
    <row r="14" spans="8:8" ht="14.25" customHeight="1">
      <c r="A14" s="88" t="s">
        <v>56</v>
      </c>
      <c r="B14" s="83"/>
      <c r="C14" s="84"/>
      <c r="D14" s="85"/>
      <c r="E14" s="86">
        <f t="shared" si="0"/>
        <v>0.0</v>
      </c>
      <c r="F14" s="86">
        <f t="shared" si="1"/>
        <v>0.0</v>
      </c>
      <c r="G14" s="86">
        <f t="shared" si="5"/>
        <v>0.0</v>
      </c>
      <c r="H14" s="87">
        <f t="shared" si="3"/>
        <v>0.0</v>
      </c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</row>
    <row r="17" spans="8:8" ht="14.25" customHeight="1">
      <c r="A17" s="94" t="s">
        <v>61</v>
      </c>
      <c r="B17" s="95"/>
      <c r="C17" s="95"/>
      <c r="D17" s="95"/>
      <c r="E17" s="96">
        <f t="shared" si="6" ref="E17:E28">PRODUCT(B17*C17)</f>
        <v>0.0</v>
      </c>
      <c r="F17" s="97">
        <f t="shared" si="7" ref="F17:F28">PRODUCT(E17*18)/118</f>
        <v>0.0</v>
      </c>
      <c r="G17" s="97">
        <f t="shared" si="8" ref="G17:G28">PRODUCT(B17*D17)</f>
        <v>0.0</v>
      </c>
      <c r="H17" s="97">
        <f t="shared" si="9" ref="H17:H29">SUM(F17:G17)</f>
        <v>0.0</v>
      </c>
    </row>
    <row r="18" spans="8:8" ht="14.25" customHeight="1">
      <c r="A18" s="98" t="s">
        <v>61</v>
      </c>
      <c r="B18" s="99"/>
      <c r="C18" s="99"/>
      <c r="D18" s="99"/>
      <c r="E18" s="100">
        <f t="shared" si="6"/>
        <v>0.0</v>
      </c>
      <c r="F18" s="101">
        <f t="shared" si="7"/>
        <v>0.0</v>
      </c>
      <c r="G18" s="101">
        <f t="shared" si="8"/>
        <v>0.0</v>
      </c>
      <c r="H18" s="101">
        <f t="shared" si="9"/>
        <v>0.0</v>
      </c>
    </row>
    <row r="19" spans="8:8" ht="14.25" customHeight="1">
      <c r="A19" s="102" t="s">
        <v>62</v>
      </c>
      <c r="B19" s="103"/>
      <c r="C19" s="103"/>
      <c r="D19" s="103"/>
      <c r="E19" s="100">
        <f t="shared" si="6"/>
        <v>0.0</v>
      </c>
      <c r="F19" s="101">
        <f t="shared" si="7"/>
        <v>0.0</v>
      </c>
      <c r="G19" s="101">
        <f t="shared" si="8"/>
        <v>0.0</v>
      </c>
      <c r="H19" s="101">
        <f t="shared" si="9"/>
        <v>0.0</v>
      </c>
    </row>
    <row r="20" spans="8:8" ht="14.25" customHeight="1">
      <c r="A20" s="102" t="s">
        <v>62</v>
      </c>
      <c r="B20" s="103"/>
      <c r="C20" s="103"/>
      <c r="D20" s="103"/>
      <c r="E20" s="100">
        <f t="shared" si="6"/>
        <v>0.0</v>
      </c>
      <c r="F20" s="101">
        <f t="shared" si="7"/>
        <v>0.0</v>
      </c>
      <c r="G20" s="101">
        <f t="shared" si="8"/>
        <v>0.0</v>
      </c>
      <c r="H20" s="101">
        <f t="shared" si="9"/>
        <v>0.0</v>
      </c>
    </row>
    <row r="21" spans="8:8" ht="14.25" customHeight="1">
      <c r="A21" s="102" t="s">
        <v>63</v>
      </c>
      <c r="B21" s="103"/>
      <c r="C21" s="103"/>
      <c r="D21" s="103"/>
      <c r="E21" s="100">
        <f t="shared" si="6"/>
        <v>0.0</v>
      </c>
      <c r="F21" s="101">
        <f t="shared" si="7"/>
        <v>0.0</v>
      </c>
      <c r="G21" s="101">
        <f t="shared" si="8"/>
        <v>0.0</v>
      </c>
      <c r="H21" s="101">
        <f t="shared" si="9"/>
        <v>0.0</v>
      </c>
    </row>
    <row r="22" spans="8:8" ht="14.25" customHeight="1">
      <c r="A22" s="102" t="s">
        <v>63</v>
      </c>
      <c r="B22" s="103"/>
      <c r="C22" s="103"/>
      <c r="D22" s="103"/>
      <c r="E22" s="100">
        <f t="shared" si="6"/>
        <v>0.0</v>
      </c>
      <c r="F22" s="101">
        <f t="shared" si="7"/>
        <v>0.0</v>
      </c>
      <c r="G22" s="101">
        <f t="shared" si="8"/>
        <v>0.0</v>
      </c>
      <c r="H22" s="101">
        <f t="shared" si="9"/>
        <v>0.0</v>
      </c>
    </row>
    <row r="23" spans="8:8" ht="14.25" customHeight="1">
      <c r="A23" s="102" t="s">
        <v>63</v>
      </c>
      <c r="B23" s="104"/>
      <c r="C23" s="104"/>
      <c r="D23" s="104"/>
      <c r="E23" s="100">
        <f t="shared" si="6"/>
        <v>0.0</v>
      </c>
      <c r="F23" s="101">
        <f t="shared" si="7"/>
        <v>0.0</v>
      </c>
      <c r="G23" s="101">
        <f t="shared" si="8"/>
        <v>0.0</v>
      </c>
      <c r="H23" s="101">
        <f t="shared" si="9"/>
        <v>0.0</v>
      </c>
    </row>
    <row r="24" spans="8:8" ht="14.25" customHeight="1">
      <c r="A24" s="102" t="s">
        <v>63</v>
      </c>
      <c r="B24" s="99"/>
      <c r="C24" s="99"/>
      <c r="D24" s="99"/>
      <c r="E24" s="100">
        <f t="shared" si="6"/>
        <v>0.0</v>
      </c>
      <c r="F24" s="101">
        <f t="shared" si="7"/>
        <v>0.0</v>
      </c>
      <c r="G24" s="101">
        <f t="shared" si="8"/>
        <v>0.0</v>
      </c>
      <c r="H24" s="101">
        <f t="shared" si="9"/>
        <v>0.0</v>
      </c>
    </row>
    <row r="25" spans="8:8" ht="14.25" customHeight="1">
      <c r="A25" s="102" t="s">
        <v>63</v>
      </c>
      <c r="B25" s="103"/>
      <c r="C25" s="103"/>
      <c r="D25" s="103"/>
      <c r="E25" s="100">
        <f t="shared" si="6"/>
        <v>0.0</v>
      </c>
      <c r="F25" s="101">
        <f t="shared" si="7"/>
        <v>0.0</v>
      </c>
      <c r="G25" s="101">
        <f t="shared" si="8"/>
        <v>0.0</v>
      </c>
      <c r="H25" s="101">
        <f t="shared" si="9"/>
        <v>0.0</v>
      </c>
    </row>
    <row r="26" spans="8:8" ht="14.25" customHeight="1">
      <c r="A26" s="102" t="s">
        <v>63</v>
      </c>
      <c r="B26" s="103"/>
      <c r="C26" s="103"/>
      <c r="D26" s="103"/>
      <c r="E26" s="100">
        <f t="shared" si="6"/>
        <v>0.0</v>
      </c>
      <c r="F26" s="101">
        <f t="shared" si="7"/>
        <v>0.0</v>
      </c>
      <c r="G26" s="101">
        <f t="shared" si="8"/>
        <v>0.0</v>
      </c>
      <c r="H26" s="101">
        <f t="shared" si="9"/>
        <v>0.0</v>
      </c>
    </row>
    <row r="27" spans="8:8" ht="14.25" customHeight="1">
      <c r="A27" s="102" t="s">
        <v>63</v>
      </c>
      <c r="B27" s="103"/>
      <c r="C27" s="103"/>
      <c r="D27" s="103"/>
      <c r="E27" s="100">
        <f t="shared" si="6"/>
        <v>0.0</v>
      </c>
      <c r="F27" s="101">
        <f t="shared" si="7"/>
        <v>0.0</v>
      </c>
      <c r="G27" s="101">
        <f t="shared" si="8"/>
        <v>0.0</v>
      </c>
      <c r="H27" s="101">
        <f t="shared" si="9"/>
        <v>0.0</v>
      </c>
    </row>
    <row r="28" spans="8:8" ht="14.25" customHeight="1">
      <c r="A28" s="105" t="s">
        <v>63</v>
      </c>
      <c r="B28" s="106"/>
      <c r="C28" s="106"/>
      <c r="D28" s="106"/>
      <c r="E28" s="107">
        <f t="shared" si="6"/>
        <v>0.0</v>
      </c>
      <c r="F28" s="108">
        <f t="shared" si="7"/>
        <v>0.0</v>
      </c>
      <c r="G28" s="109">
        <f t="shared" si="8"/>
        <v>0.0</v>
      </c>
      <c r="H28" s="109">
        <f t="shared" si="9"/>
        <v>0.0</v>
      </c>
    </row>
    <row r="29" spans="8:8" ht="14.25" customHeight="1">
      <c r="A29" s="110" t="s">
        <v>64</v>
      </c>
      <c r="B29" s="111"/>
      <c r="C29" s="111"/>
      <c r="D29" s="111"/>
      <c r="E29" s="112">
        <f t="shared" si="10" ref="E29:G29">SUM(E6:E28)</f>
        <v>0.0</v>
      </c>
      <c r="F29" s="113">
        <f t="shared" si="10"/>
        <v>0.0</v>
      </c>
      <c r="G29" s="114">
        <f t="shared" si="10"/>
        <v>0.0</v>
      </c>
      <c r="H29" s="115">
        <f t="shared" si="9"/>
        <v>0.0</v>
      </c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</row>
    <row r="46" spans="8:8" ht="14.25" customHeight="1">
      <c r="A46" s="68"/>
      <c r="B46" s="154" t="s">
        <v>81</v>
      </c>
      <c r="C46" s="47"/>
      <c r="D46" s="48"/>
      <c r="E46" s="60">
        <f t="shared" si="11" ref="E46:E53">B21</f>
        <v>0.0</v>
      </c>
      <c r="F46" s="47"/>
      <c r="G46" s="47"/>
      <c r="H46" s="48"/>
    </row>
    <row r="47" spans="8:8" ht="14.25" customHeight="1">
      <c r="A47" s="68"/>
      <c r="B47" s="154" t="s">
        <v>81</v>
      </c>
      <c r="C47" s="47"/>
      <c r="D47" s="48"/>
      <c r="E47" s="60">
        <f t="shared" si="11"/>
        <v>0.0</v>
      </c>
      <c r="F47" s="47"/>
      <c r="G47" s="47"/>
      <c r="H47" s="48"/>
    </row>
    <row r="48" spans="8:8" ht="14.25" customHeight="1">
      <c r="A48" s="68"/>
      <c r="B48" s="154" t="s">
        <v>81</v>
      </c>
      <c r="C48" s="47"/>
      <c r="D48" s="48"/>
      <c r="E48" s="60">
        <f t="shared" si="11"/>
        <v>0.0</v>
      </c>
      <c r="F48" s="47"/>
      <c r="G48" s="47"/>
      <c r="H48" s="48"/>
    </row>
    <row r="49" spans="8:8" ht="14.25" customHeight="1">
      <c r="A49" s="68"/>
      <c r="B49" s="154" t="s">
        <v>81</v>
      </c>
      <c r="C49" s="47"/>
      <c r="D49" s="48"/>
      <c r="E49" s="60">
        <f t="shared" si="11"/>
        <v>0.0</v>
      </c>
      <c r="F49" s="47"/>
      <c r="G49" s="47"/>
      <c r="H49" s="48"/>
    </row>
    <row r="50" spans="8:8" ht="14.25" customHeight="1">
      <c r="A50" s="68"/>
      <c r="B50" s="154" t="s">
        <v>81</v>
      </c>
      <c r="C50" s="47"/>
      <c r="D50" s="48"/>
      <c r="E50" s="60">
        <f t="shared" si="11"/>
        <v>0.0</v>
      </c>
      <c r="F50" s="47"/>
      <c r="G50" s="47"/>
      <c r="H50" s="48"/>
    </row>
    <row r="51" spans="8:8" ht="14.25" customHeight="1">
      <c r="A51" s="68"/>
      <c r="B51" s="154" t="s">
        <v>81</v>
      </c>
      <c r="C51" s="47"/>
      <c r="D51" s="48"/>
      <c r="E51" s="60">
        <f t="shared" si="11"/>
        <v>0.0</v>
      </c>
      <c r="F51" s="47"/>
      <c r="G51" s="47"/>
      <c r="H51" s="48"/>
    </row>
    <row r="52" spans="8:8" ht="14.25" customHeight="1">
      <c r="B52" s="154" t="s">
        <v>81</v>
      </c>
      <c r="C52" s="47"/>
      <c r="D52" s="48"/>
      <c r="E52" s="60">
        <f t="shared" si="11"/>
        <v>0.0</v>
      </c>
      <c r="F52" s="47"/>
      <c r="G52" s="47"/>
      <c r="H52" s="48"/>
    </row>
    <row r="53" spans="8:8" ht="14.25" customHeight="1">
      <c r="B53" s="154" t="s">
        <v>81</v>
      </c>
      <c r="C53" s="47"/>
      <c r="D53" s="48"/>
      <c r="E53" s="60">
        <f t="shared" si="11"/>
        <v>0.0</v>
      </c>
      <c r="F53" s="47"/>
      <c r="G53" s="47"/>
      <c r="H53" s="48"/>
    </row>
    <row r="54" spans="8:8" ht="14.25" customHeight="1">
      <c r="B54" s="154" t="s">
        <v>82</v>
      </c>
      <c r="C54" s="47"/>
      <c r="D54" s="48"/>
      <c r="E54" s="60">
        <f>SUM(E41:H53)</f>
        <v>0.0</v>
      </c>
      <c r="F54" s="47"/>
      <c r="G54" s="47"/>
      <c r="H54" s="48"/>
    </row>
    <row r="55" spans="8:8" ht="14.25" customHeight="1">
      <c r="B55" s="154"/>
      <c r="C55" s="47"/>
      <c r="D55" s="48"/>
      <c r="E55" s="156"/>
      <c r="F55" s="47"/>
      <c r="G55" s="47"/>
      <c r="H55" s="48"/>
    </row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62">
    <mergeCell ref="E40:H40"/>
    <mergeCell ref="C6:D6"/>
    <mergeCell ref="C13:D13"/>
    <mergeCell ref="C12:D12"/>
    <mergeCell ref="C11:D11"/>
    <mergeCell ref="C10:D10"/>
    <mergeCell ref="C9:D9"/>
    <mergeCell ref="C5:D5"/>
    <mergeCell ref="E47:H47"/>
    <mergeCell ref="A33:B33"/>
    <mergeCell ref="B51:D51"/>
    <mergeCell ref="E35:F35"/>
    <mergeCell ref="B53:D53"/>
    <mergeCell ref="E53:H53"/>
    <mergeCell ref="E34:F34"/>
    <mergeCell ref="E31:F31"/>
    <mergeCell ref="A15:H15"/>
    <mergeCell ref="B50:D50"/>
    <mergeCell ref="A38:H39"/>
    <mergeCell ref="C7:D7"/>
    <mergeCell ref="B40:D40"/>
    <mergeCell ref="C8:D8"/>
    <mergeCell ref="A35:B35"/>
    <mergeCell ref="B41:D41"/>
    <mergeCell ref="A30:B30"/>
    <mergeCell ref="E46:H46"/>
    <mergeCell ref="B47:D47"/>
    <mergeCell ref="E30:F30"/>
    <mergeCell ref="A31:B31"/>
    <mergeCell ref="C14:D14"/>
    <mergeCell ref="A32:B32"/>
    <mergeCell ref="B46:D46"/>
    <mergeCell ref="E32:F32"/>
    <mergeCell ref="B42:D42"/>
    <mergeCell ref="B45:D45"/>
    <mergeCell ref="A34:B34"/>
    <mergeCell ref="E33:F33"/>
    <mergeCell ref="E54:H54"/>
    <mergeCell ref="E44:H44"/>
    <mergeCell ref="B48:D48"/>
    <mergeCell ref="E55:H55"/>
    <mergeCell ref="B55:D55"/>
    <mergeCell ref="A1:H2"/>
    <mergeCell ref="E41:H41"/>
    <mergeCell ref="E49:H49"/>
    <mergeCell ref="B43:D43"/>
    <mergeCell ref="E42:H42"/>
    <mergeCell ref="B49:D49"/>
    <mergeCell ref="E50:H50"/>
    <mergeCell ref="E51:H51"/>
    <mergeCell ref="E52:H52"/>
    <mergeCell ref="A36:B36"/>
    <mergeCell ref="A3:H4"/>
    <mergeCell ref="A37:B37"/>
    <mergeCell ref="B54:D54"/>
    <mergeCell ref="E43:H43"/>
    <mergeCell ref="E45:H45"/>
    <mergeCell ref="B52:D52"/>
    <mergeCell ref="E48:H48"/>
    <mergeCell ref="B44:D44"/>
    <mergeCell ref="E36:F36"/>
    <mergeCell ref="E37:F37"/>
  </mergeCells>
  <pageMargins left="0.7" right="0.7" top="0.75" bottom="0.75" header="0.0" footer="0.0"/>
  <pageSetup paperSize="9" fitToWidth="0" fitToHeight="0" orientation="landscape"/>
</worksheet>
</file>

<file path=xl/worksheets/sheet25.xml><?xml version="1.0" encoding="utf-8"?>
<worksheet xmlns:r="http://schemas.openxmlformats.org/officeDocument/2006/relationships" xmlns="http://schemas.openxmlformats.org/spreadsheetml/2006/main">
  <dimension ref="A1:L100"/>
  <sheetViews>
    <sheetView workbookViewId="0">
      <selection activeCell="A1" sqref="A1:H2"/>
    </sheetView>
  </sheetViews>
  <sheetFormatPr defaultRowHeight="15.0" customHeight="1" defaultColWidth="14"/>
  <cols>
    <col min="1" max="1" customWidth="1" width="22.816406" style="0"/>
    <col min="2" max="2" customWidth="1" width="16.089844" style="0"/>
    <col min="3" max="3" customWidth="1" width="23.816406" style="0"/>
    <col min="4" max="4" customWidth="1" width="18.269531" style="0"/>
    <col min="5" max="5" customWidth="1" width="16.816406" style="0"/>
    <col min="6" max="6" customWidth="1" width="20.542969" style="0"/>
    <col min="7" max="7" customWidth="1" width="18.816406" style="0"/>
    <col min="8" max="8" customWidth="1" width="24.542969" style="0"/>
    <col min="9" max="11" customWidth="1" width="8.7265625" style="0"/>
  </cols>
  <sheetData>
    <row r="1" spans="8:8" ht="14.25" customHeight="1">
      <c r="A1" s="67" t="s">
        <v>42</v>
      </c>
      <c r="B1" s="50"/>
      <c r="C1" s="50"/>
      <c r="D1" s="50"/>
      <c r="E1" s="50"/>
      <c r="F1" s="50"/>
      <c r="G1" s="50"/>
      <c r="H1" s="51"/>
      <c r="I1" s="68"/>
      <c r="J1" s="68"/>
      <c r="K1" s="68"/>
    </row>
    <row r="2" spans="8:8" ht="14.25" customHeight="1">
      <c r="A2" s="61"/>
      <c r="B2" s="62"/>
      <c r="C2" s="62"/>
      <c r="D2" s="62"/>
      <c r="E2" s="62"/>
      <c r="F2" s="62"/>
      <c r="G2" s="62"/>
      <c r="H2" s="63"/>
      <c r="I2" s="68"/>
      <c r="J2" s="68"/>
      <c r="K2" s="68"/>
    </row>
    <row r="3" spans="8:8" ht="14.25" customHeight="1">
      <c r="A3" s="69" t="s">
        <v>43</v>
      </c>
      <c r="B3" s="6"/>
      <c r="C3" s="6"/>
      <c r="D3" s="6"/>
      <c r="E3" s="6"/>
      <c r="F3" s="6"/>
      <c r="G3" s="6"/>
      <c r="H3" s="70"/>
      <c r="I3" s="68"/>
      <c r="J3" s="68"/>
      <c r="K3" s="68"/>
    </row>
    <row r="4" spans="8:8" ht="14.25" customHeight="1">
      <c r="A4" s="61"/>
      <c r="B4" s="62"/>
      <c r="C4" s="62"/>
      <c r="D4" s="62"/>
      <c r="E4" s="62"/>
      <c r="F4" s="62"/>
      <c r="G4" s="62"/>
      <c r="H4" s="63"/>
      <c r="I4" s="68"/>
      <c r="J4" s="68"/>
      <c r="K4" s="68"/>
    </row>
    <row r="5" spans="8:8" ht="14.25" customHeight="1">
      <c r="A5" s="71" t="s">
        <v>44</v>
      </c>
      <c r="B5" s="72" t="s">
        <v>45</v>
      </c>
      <c r="C5" s="73" t="s">
        <v>46</v>
      </c>
      <c r="D5" s="48"/>
      <c r="E5" s="72" t="s">
        <v>47</v>
      </c>
      <c r="F5" s="74" t="s">
        <v>48</v>
      </c>
      <c r="G5" s="72" t="s">
        <v>49</v>
      </c>
      <c r="H5" s="75" t="s">
        <v>7</v>
      </c>
      <c r="I5" s="68"/>
      <c r="J5" s="68"/>
      <c r="K5" s="68"/>
    </row>
    <row r="6" spans="8:8" ht="14.25" customHeight="1">
      <c r="A6" s="76" t="s">
        <v>50</v>
      </c>
      <c r="B6" s="77"/>
      <c r="C6" s="78"/>
      <c r="D6" s="79"/>
      <c r="E6" s="80">
        <v>0.0</v>
      </c>
      <c r="F6" s="80">
        <v>0.0</v>
      </c>
      <c r="G6" s="80">
        <v>0.0</v>
      </c>
      <c r="H6" s="81">
        <v>0.0</v>
      </c>
      <c r="I6" s="68"/>
      <c r="J6" s="68"/>
      <c r="K6" s="68"/>
    </row>
    <row r="7" spans="8:8" ht="14.25" customHeight="1">
      <c r="A7" s="76" t="s">
        <v>51</v>
      </c>
      <c r="B7" s="77"/>
      <c r="C7" s="78"/>
      <c r="D7" s="79"/>
      <c r="E7" s="80">
        <v>0.0</v>
      </c>
      <c r="F7" s="80">
        <v>0.0</v>
      </c>
      <c r="G7" s="80">
        <v>0.0</v>
      </c>
      <c r="H7" s="81">
        <v>0.0</v>
      </c>
      <c r="I7" s="68"/>
      <c r="J7" s="68"/>
      <c r="K7" s="68"/>
    </row>
    <row r="8" spans="8:8" ht="14.25" customHeight="1">
      <c r="A8" s="82" t="s">
        <v>52</v>
      </c>
      <c r="B8" s="83"/>
      <c r="C8" s="84"/>
      <c r="D8" s="85"/>
      <c r="E8" s="86">
        <v>0.0</v>
      </c>
      <c r="F8" s="86">
        <v>0.0</v>
      </c>
      <c r="G8" s="86">
        <v>0.0</v>
      </c>
      <c r="H8" s="87">
        <v>0.0</v>
      </c>
      <c r="I8" s="68"/>
      <c r="J8" s="68"/>
      <c r="K8" s="68"/>
    </row>
    <row r="9" spans="8:8" ht="14.25" customHeight="1">
      <c r="A9" s="82" t="s">
        <v>53</v>
      </c>
      <c r="B9" s="83"/>
      <c r="C9" s="84"/>
      <c r="D9" s="85"/>
      <c r="E9" s="86">
        <v>0.0</v>
      </c>
      <c r="F9" s="86">
        <v>0.0</v>
      </c>
      <c r="G9" s="86">
        <v>0.0</v>
      </c>
      <c r="H9" s="87">
        <v>0.0</v>
      </c>
      <c r="I9" s="68"/>
      <c r="J9" s="68"/>
      <c r="K9" s="68"/>
    </row>
    <row r="10" spans="8:8" ht="14.25" customHeight="1">
      <c r="A10" s="82" t="s">
        <v>54</v>
      </c>
      <c r="B10" s="83"/>
      <c r="C10" s="84"/>
      <c r="D10" s="85"/>
      <c r="E10" s="86">
        <v>0.0</v>
      </c>
      <c r="F10" s="86">
        <v>0.0</v>
      </c>
      <c r="G10" s="86">
        <v>0.0</v>
      </c>
      <c r="H10" s="87">
        <v>0.0</v>
      </c>
      <c r="I10" s="68"/>
      <c r="J10" s="68"/>
      <c r="K10" s="68"/>
    </row>
    <row r="11" spans="8:8" ht="14.25" customHeight="1">
      <c r="A11" s="82" t="s">
        <v>55</v>
      </c>
      <c r="B11" s="83"/>
      <c r="C11" s="84"/>
      <c r="D11" s="85"/>
      <c r="E11" s="86">
        <v>0.0</v>
      </c>
      <c r="F11" s="86">
        <v>0.0</v>
      </c>
      <c r="G11" s="86">
        <v>0.0</v>
      </c>
      <c r="H11" s="87">
        <v>0.0</v>
      </c>
      <c r="I11" s="68"/>
      <c r="J11" s="68"/>
      <c r="K11" s="68"/>
    </row>
    <row r="12" spans="8:8" ht="14.25" customHeight="1">
      <c r="A12" s="82" t="s">
        <v>55</v>
      </c>
      <c r="B12" s="83"/>
      <c r="C12" s="84"/>
      <c r="D12" s="85"/>
      <c r="E12" s="86">
        <v>0.0</v>
      </c>
      <c r="F12" s="86">
        <v>0.0</v>
      </c>
      <c r="G12" s="86">
        <v>0.0</v>
      </c>
      <c r="H12" s="87">
        <v>0.0</v>
      </c>
      <c r="I12" s="68"/>
      <c r="J12" s="68"/>
      <c r="K12" s="68"/>
    </row>
    <row r="13" spans="8:8" ht="14.25" customHeight="1">
      <c r="A13" s="82" t="s">
        <v>56</v>
      </c>
      <c r="B13" s="83"/>
      <c r="C13" s="84"/>
      <c r="D13" s="85"/>
      <c r="E13" s="86">
        <v>0.0</v>
      </c>
      <c r="F13" s="86">
        <v>0.0</v>
      </c>
      <c r="G13" s="86">
        <v>0.0</v>
      </c>
      <c r="H13" s="87">
        <v>0.0</v>
      </c>
      <c r="I13" s="68"/>
      <c r="J13" s="68"/>
      <c r="K13" s="68"/>
    </row>
    <row r="14" spans="8:8" ht="14.25" customHeight="1">
      <c r="A14" s="88" t="s">
        <v>56</v>
      </c>
      <c r="B14" s="83"/>
      <c r="C14" s="84"/>
      <c r="D14" s="85"/>
      <c r="E14" s="86">
        <v>0.0</v>
      </c>
      <c r="F14" s="86">
        <v>0.0</v>
      </c>
      <c r="G14" s="86">
        <v>0.0</v>
      </c>
      <c r="H14" s="87">
        <v>0.0</v>
      </c>
      <c r="I14" s="68"/>
      <c r="J14" s="68"/>
      <c r="K14" s="68"/>
    </row>
    <row r="15" spans="8:8" ht="14.25" customHeight="1">
      <c r="A15" s="89" t="s">
        <v>57</v>
      </c>
      <c r="B15" s="47"/>
      <c r="C15" s="47"/>
      <c r="D15" s="47"/>
      <c r="E15" s="47"/>
      <c r="F15" s="47"/>
      <c r="G15" s="47"/>
      <c r="H15" s="48"/>
      <c r="I15" s="68"/>
      <c r="J15" s="68"/>
      <c r="K15" s="68"/>
    </row>
    <row r="16" spans="8:8" ht="14.25" customHeight="1">
      <c r="A16" s="90" t="s">
        <v>44</v>
      </c>
      <c r="B16" s="91" t="s">
        <v>45</v>
      </c>
      <c r="C16" s="91" t="s">
        <v>58</v>
      </c>
      <c r="D16" s="91" t="s">
        <v>49</v>
      </c>
      <c r="E16" s="92" t="s">
        <v>47</v>
      </c>
      <c r="F16" s="92" t="s">
        <v>59</v>
      </c>
      <c r="G16" s="92" t="s">
        <v>49</v>
      </c>
      <c r="H16" s="93" t="s">
        <v>60</v>
      </c>
      <c r="I16" s="68"/>
      <c r="J16" s="68"/>
      <c r="K16" s="68"/>
    </row>
    <row r="17" spans="8:8" ht="14.25" customHeight="1">
      <c r="A17" s="94" t="s">
        <v>61</v>
      </c>
      <c r="B17" s="95"/>
      <c r="C17" s="95"/>
      <c r="D17" s="95"/>
      <c r="E17" s="96">
        <v>0.0</v>
      </c>
      <c r="F17" s="97">
        <v>0.0</v>
      </c>
      <c r="G17" s="97">
        <v>0.0</v>
      </c>
      <c r="H17" s="97">
        <v>0.0</v>
      </c>
      <c r="I17" s="68"/>
      <c r="J17" s="68"/>
      <c r="K17" s="68"/>
    </row>
    <row r="18" spans="8:8" ht="14.25" customHeight="1">
      <c r="A18" s="98" t="s">
        <v>61</v>
      </c>
      <c r="B18" s="99"/>
      <c r="C18" s="99"/>
      <c r="D18" s="99"/>
      <c r="E18" s="100">
        <v>0.0</v>
      </c>
      <c r="F18" s="101">
        <v>0.0</v>
      </c>
      <c r="G18" s="101">
        <v>0.0</v>
      </c>
      <c r="H18" s="101">
        <v>0.0</v>
      </c>
      <c r="I18" s="68"/>
      <c r="J18" s="68"/>
      <c r="K18" s="68"/>
    </row>
    <row r="19" spans="8:8" ht="14.25" customHeight="1">
      <c r="A19" s="102" t="s">
        <v>62</v>
      </c>
      <c r="B19" s="103"/>
      <c r="C19" s="103"/>
      <c r="D19" s="103"/>
      <c r="E19" s="100">
        <v>0.0</v>
      </c>
      <c r="F19" s="101">
        <v>0.0</v>
      </c>
      <c r="G19" s="101">
        <v>0.0</v>
      </c>
      <c r="H19" s="101">
        <v>0.0</v>
      </c>
      <c r="I19" s="68"/>
      <c r="J19" s="68"/>
      <c r="K19" s="68"/>
    </row>
    <row r="20" spans="8:8" ht="14.25" customHeight="1">
      <c r="A20" s="102" t="s">
        <v>62</v>
      </c>
      <c r="B20" s="103"/>
      <c r="C20" s="103"/>
      <c r="D20" s="103"/>
      <c r="E20" s="100">
        <v>0.0</v>
      </c>
      <c r="F20" s="101">
        <v>0.0</v>
      </c>
      <c r="G20" s="101">
        <v>0.0</v>
      </c>
      <c r="H20" s="101">
        <v>0.0</v>
      </c>
      <c r="I20" s="68"/>
      <c r="J20" s="68"/>
      <c r="K20" s="68"/>
    </row>
    <row r="21" spans="8:8" ht="14.25" customHeight="1">
      <c r="A21" s="102" t="s">
        <v>63</v>
      </c>
      <c r="B21" s="103"/>
      <c r="C21" s="103"/>
      <c r="D21" s="103"/>
      <c r="E21" s="100">
        <v>0.0</v>
      </c>
      <c r="F21" s="101">
        <v>0.0</v>
      </c>
      <c r="G21" s="101">
        <v>0.0</v>
      </c>
      <c r="H21" s="101">
        <v>0.0</v>
      </c>
      <c r="I21" s="68"/>
      <c r="J21" s="68"/>
      <c r="K21" s="68"/>
    </row>
    <row r="22" spans="8:8" ht="14.25" customHeight="1">
      <c r="A22" s="102" t="s">
        <v>63</v>
      </c>
      <c r="B22" s="103"/>
      <c r="C22" s="103"/>
      <c r="D22" s="103"/>
      <c r="E22" s="100">
        <v>0.0</v>
      </c>
      <c r="F22" s="101">
        <v>0.0</v>
      </c>
      <c r="G22" s="101">
        <v>0.0</v>
      </c>
      <c r="H22" s="101">
        <v>0.0</v>
      </c>
      <c r="I22" s="68"/>
      <c r="J22" s="68"/>
      <c r="K22" s="68"/>
    </row>
    <row r="23" spans="8:8" ht="14.25" customHeight="1">
      <c r="A23" s="102" t="s">
        <v>63</v>
      </c>
      <c r="B23" s="104"/>
      <c r="C23" s="104"/>
      <c r="D23" s="104"/>
      <c r="E23" s="100">
        <v>0.0</v>
      </c>
      <c r="F23" s="101">
        <v>0.0</v>
      </c>
      <c r="G23" s="101">
        <v>0.0</v>
      </c>
      <c r="H23" s="101">
        <v>0.0</v>
      </c>
      <c r="I23" s="68"/>
      <c r="J23" s="68"/>
      <c r="K23" s="68"/>
    </row>
    <row r="24" spans="8:8" ht="14.25" customHeight="1">
      <c r="A24" s="102" t="s">
        <v>63</v>
      </c>
      <c r="B24" s="99"/>
      <c r="C24" s="99"/>
      <c r="D24" s="99"/>
      <c r="E24" s="100">
        <v>0.0</v>
      </c>
      <c r="F24" s="101">
        <v>0.0</v>
      </c>
      <c r="G24" s="101">
        <v>0.0</v>
      </c>
      <c r="H24" s="101">
        <v>0.0</v>
      </c>
      <c r="I24" s="68"/>
      <c r="J24" s="68"/>
      <c r="K24" s="68"/>
    </row>
    <row r="25" spans="8:8" ht="14.25" customHeight="1">
      <c r="A25" s="102" t="s">
        <v>63</v>
      </c>
      <c r="B25" s="103"/>
      <c r="C25" s="103"/>
      <c r="D25" s="103"/>
      <c r="E25" s="100">
        <v>0.0</v>
      </c>
      <c r="F25" s="101">
        <v>0.0</v>
      </c>
      <c r="G25" s="101">
        <v>0.0</v>
      </c>
      <c r="H25" s="101">
        <v>0.0</v>
      </c>
      <c r="I25" s="68"/>
      <c r="J25" s="68"/>
      <c r="K25" s="68"/>
    </row>
    <row r="26" spans="8:8" ht="14.25" customHeight="1">
      <c r="A26" s="102" t="s">
        <v>63</v>
      </c>
      <c r="B26" s="103"/>
      <c r="C26" s="103"/>
      <c r="D26" s="103"/>
      <c r="E26" s="100">
        <v>0.0</v>
      </c>
      <c r="F26" s="101">
        <v>0.0</v>
      </c>
      <c r="G26" s="101">
        <v>0.0</v>
      </c>
      <c r="H26" s="101">
        <v>0.0</v>
      </c>
      <c r="I26" s="68"/>
      <c r="J26" s="68"/>
      <c r="K26" s="68"/>
    </row>
    <row r="27" spans="8:8" ht="14.25" customHeight="1">
      <c r="A27" s="102" t="s">
        <v>63</v>
      </c>
      <c r="B27" s="103"/>
      <c r="C27" s="103"/>
      <c r="D27" s="103"/>
      <c r="E27" s="100">
        <v>0.0</v>
      </c>
      <c r="F27" s="101">
        <v>0.0</v>
      </c>
      <c r="G27" s="101">
        <v>0.0</v>
      </c>
      <c r="H27" s="101">
        <v>0.0</v>
      </c>
      <c r="I27" s="68"/>
      <c r="J27" s="68"/>
      <c r="K27" s="68"/>
    </row>
    <row r="28" spans="8:8" ht="14.25" customHeight="1">
      <c r="A28" s="105" t="s">
        <v>63</v>
      </c>
      <c r="B28" s="106"/>
      <c r="C28" s="106"/>
      <c r="D28" s="106"/>
      <c r="E28" s="107">
        <v>0.0</v>
      </c>
      <c r="F28" s="108">
        <v>0.0</v>
      </c>
      <c r="G28" s="109">
        <v>0.0</v>
      </c>
      <c r="H28" s="109">
        <v>0.0</v>
      </c>
      <c r="I28" s="68"/>
      <c r="J28" s="68"/>
      <c r="K28" s="68"/>
    </row>
    <row r="29" spans="8:8" ht="14.25" customHeight="1">
      <c r="A29" s="110" t="s">
        <v>64</v>
      </c>
      <c r="B29" s="111"/>
      <c r="C29" s="111"/>
      <c r="D29" s="111"/>
      <c r="E29" s="112">
        <v>0.0</v>
      </c>
      <c r="F29" s="113">
        <v>0.0</v>
      </c>
      <c r="G29" s="114">
        <v>0.0</v>
      </c>
      <c r="H29" s="115">
        <v>0.0</v>
      </c>
      <c r="I29" s="68"/>
      <c r="J29" s="68"/>
      <c r="K29" s="68"/>
    </row>
    <row r="30" spans="8:8" ht="14.25" customHeight="1">
      <c r="A30" s="116" t="s">
        <v>65</v>
      </c>
      <c r="B30" s="117"/>
      <c r="C30" s="118" t="s">
        <v>66</v>
      </c>
      <c r="D30" s="119"/>
      <c r="E30" s="120" t="s">
        <v>67</v>
      </c>
      <c r="F30" s="48"/>
      <c r="G30" s="121" t="s">
        <v>68</v>
      </c>
      <c r="H30" s="122" t="s">
        <v>66</v>
      </c>
      <c r="I30" s="68"/>
      <c r="J30" s="68"/>
      <c r="K30" s="68"/>
    </row>
    <row r="31" spans="8:8" ht="14.25" customHeight="1">
      <c r="A31" s="123" t="s">
        <v>69</v>
      </c>
      <c r="B31" s="63"/>
      <c r="C31" s="124"/>
      <c r="D31" s="125"/>
      <c r="E31" s="78"/>
      <c r="F31" s="79"/>
      <c r="G31" s="126"/>
      <c r="H31" s="127"/>
      <c r="I31" s="68"/>
      <c r="J31" s="68"/>
      <c r="K31" s="68"/>
    </row>
    <row r="32" spans="8:8" ht="14.25" customHeight="1">
      <c r="A32" s="128" t="s">
        <v>70</v>
      </c>
      <c r="B32" s="48"/>
      <c r="C32" s="129"/>
      <c r="D32" s="130"/>
      <c r="E32" s="84"/>
      <c r="F32" s="85"/>
      <c r="G32" s="131"/>
      <c r="H32" s="132"/>
      <c r="I32" s="68"/>
      <c r="J32" s="68"/>
      <c r="K32" s="68"/>
    </row>
    <row r="33" spans="8:8" ht="14.25" customHeight="1">
      <c r="A33" s="128" t="s">
        <v>71</v>
      </c>
      <c r="B33" s="48"/>
      <c r="C33" s="133"/>
      <c r="D33" s="125"/>
      <c r="E33" s="134"/>
      <c r="F33" s="85"/>
      <c r="G33" s="131"/>
      <c r="H33" s="132"/>
      <c r="I33" s="68"/>
      <c r="J33" s="68"/>
      <c r="K33" s="68"/>
    </row>
    <row r="34" spans="8:8" ht="14.25" customHeight="1">
      <c r="A34" s="135" t="s">
        <v>72</v>
      </c>
      <c r="B34" s="51"/>
      <c r="C34" s="136"/>
      <c r="D34" s="113"/>
      <c r="E34" s="137"/>
      <c r="F34" s="85"/>
      <c r="G34" s="83"/>
      <c r="H34" s="132"/>
      <c r="I34" s="68"/>
      <c r="J34" s="68"/>
      <c r="K34" s="68"/>
    </row>
    <row r="35" spans="8:8" ht="14.25" customHeight="1">
      <c r="A35" s="128" t="s">
        <v>73</v>
      </c>
      <c r="B35" s="48"/>
      <c r="C35" s="138"/>
      <c r="D35" s="113"/>
      <c r="E35" s="139"/>
      <c r="F35" s="85"/>
      <c r="G35" s="83"/>
      <c r="H35" s="132"/>
      <c r="I35" s="68"/>
      <c r="J35" s="68"/>
      <c r="K35" s="68"/>
    </row>
    <row r="36" spans="8:8" ht="14.25" customHeight="1">
      <c r="A36" s="128" t="s">
        <v>74</v>
      </c>
      <c r="B36" s="48"/>
      <c r="C36" s="140"/>
      <c r="D36" s="141"/>
      <c r="E36" s="139"/>
      <c r="F36" s="85"/>
      <c r="G36" s="83"/>
      <c r="H36" s="132"/>
      <c r="I36" s="68"/>
      <c r="J36" s="68"/>
      <c r="K36" s="68"/>
    </row>
    <row r="37" spans="8:8" ht="14.25" customHeight="1">
      <c r="A37" s="128" t="s">
        <v>75</v>
      </c>
      <c r="B37" s="48"/>
      <c r="C37" s="142">
        <v>0.0</v>
      </c>
      <c r="D37" s="143"/>
      <c r="E37" s="144"/>
      <c r="F37" s="145"/>
      <c r="G37" s="146"/>
      <c r="H37" s="147"/>
      <c r="I37" s="68"/>
      <c r="J37" s="68"/>
      <c r="K37" s="68"/>
    </row>
    <row r="38" spans="8:8" ht="14.25" customHeight="1">
      <c r="A38" s="148" t="s">
        <v>76</v>
      </c>
      <c r="B38" s="50"/>
      <c r="C38" s="50"/>
      <c r="D38" s="50"/>
      <c r="E38" s="50"/>
      <c r="F38" s="50"/>
      <c r="G38" s="50"/>
      <c r="H38" s="51"/>
      <c r="I38" s="68"/>
      <c r="J38" s="68"/>
      <c r="K38" s="68"/>
    </row>
    <row r="39" spans="8:8" ht="15.0" customHeight="1">
      <c r="A39" s="61"/>
      <c r="B39" s="62"/>
      <c r="C39" s="62"/>
      <c r="D39" s="62"/>
      <c r="E39" s="62"/>
      <c r="F39" s="62"/>
      <c r="G39" s="62"/>
      <c r="H39" s="63"/>
      <c r="I39" s="68"/>
      <c r="J39" s="68"/>
      <c r="K39" s="68"/>
    </row>
    <row r="40" spans="8:8" ht="14.25" customHeight="1">
      <c r="A40" s="149"/>
      <c r="B40" s="150" t="s">
        <v>77</v>
      </c>
      <c r="C40" s="47"/>
      <c r="D40" s="48"/>
      <c r="E40" s="150" t="s">
        <v>78</v>
      </c>
      <c r="F40" s="47"/>
      <c r="G40" s="47"/>
      <c r="H40" s="48"/>
      <c r="I40" s="68"/>
      <c r="J40" s="68"/>
      <c r="K40" s="68"/>
    </row>
    <row r="41" spans="8:8" ht="14.25" customHeight="1">
      <c r="A41" s="149"/>
      <c r="B41" s="151" t="s">
        <v>79</v>
      </c>
      <c r="C41" s="47"/>
      <c r="D41" s="48"/>
      <c r="E41" s="152">
        <f>SUM(B9:B12)</f>
        <v>0.0</v>
      </c>
      <c r="F41" s="47"/>
      <c r="G41" s="47"/>
      <c r="H41" s="48"/>
      <c r="I41" s="68"/>
      <c r="J41" s="68"/>
      <c r="K41" s="68"/>
    </row>
    <row r="42" spans="8:8" ht="14.25" customHeight="1">
      <c r="A42" s="149"/>
      <c r="B42" s="151" t="s">
        <v>52</v>
      </c>
      <c r="C42" s="47"/>
      <c r="D42" s="48"/>
      <c r="E42" s="152">
        <f>SUM(B6:B8)</f>
        <v>0.0</v>
      </c>
      <c r="F42" s="47"/>
      <c r="G42" s="47"/>
      <c r="H42" s="48"/>
      <c r="I42" s="68"/>
      <c r="J42" s="68"/>
      <c r="K42" s="68"/>
    </row>
    <row r="43" spans="8:8" ht="14.25" customHeight="1">
      <c r="A43" s="149"/>
      <c r="B43" s="151" t="s">
        <v>80</v>
      </c>
      <c r="C43" s="47"/>
      <c r="D43" s="48"/>
      <c r="E43" s="153">
        <f>SUM(B13:B14)</f>
        <v>0.0</v>
      </c>
      <c r="F43" s="56"/>
      <c r="G43" s="56"/>
      <c r="H43" s="57"/>
      <c r="I43" s="68"/>
      <c r="J43" s="68"/>
      <c r="K43" s="68"/>
    </row>
    <row r="44" spans="8:8" ht="14.25" customHeight="1">
      <c r="A44" s="68"/>
      <c r="B44" s="154" t="s">
        <v>61</v>
      </c>
      <c r="C44" s="47"/>
      <c r="D44" s="48"/>
      <c r="E44" s="60">
        <f>SUM(B17:B18)</f>
        <v>0.0</v>
      </c>
      <c r="F44" s="47"/>
      <c r="G44" s="47"/>
      <c r="H44" s="48"/>
      <c r="I44" s="68"/>
      <c r="J44" s="68"/>
      <c r="K44" s="68"/>
    </row>
    <row r="45" spans="8:8" ht="14.25" customHeight="1">
      <c r="A45" s="68"/>
      <c r="B45" s="154" t="s">
        <v>62</v>
      </c>
      <c r="C45" s="47"/>
      <c r="D45" s="48"/>
      <c r="E45" s="60">
        <f>SUM(B19:B20)</f>
        <v>0.0</v>
      </c>
      <c r="F45" s="47"/>
      <c r="G45" s="47"/>
      <c r="H45" s="48"/>
      <c r="I45" s="68"/>
      <c r="J45" s="68"/>
      <c r="K45" s="68"/>
    </row>
    <row r="46" spans="8:8" ht="14.25" customHeight="1">
      <c r="A46" s="68"/>
      <c r="B46" s="154" t="s">
        <v>81</v>
      </c>
      <c r="C46" s="47"/>
      <c r="D46" s="48"/>
      <c r="E46" s="60">
        <f t="shared" si="0" ref="E46:E53">B21</f>
        <v>0.0</v>
      </c>
      <c r="F46" s="47"/>
      <c r="G46" s="47"/>
      <c r="H46" s="48"/>
      <c r="I46" s="68"/>
      <c r="J46" s="68"/>
      <c r="K46" s="68"/>
    </row>
    <row r="47" spans="8:8" ht="14.25" customHeight="1">
      <c r="A47" s="68"/>
      <c r="B47" s="154" t="s">
        <v>81</v>
      </c>
      <c r="C47" s="47"/>
      <c r="D47" s="48"/>
      <c r="E47" s="60">
        <f t="shared" si="0"/>
        <v>0.0</v>
      </c>
      <c r="F47" s="47"/>
      <c r="G47" s="47"/>
      <c r="H47" s="48"/>
      <c r="I47" s="68"/>
      <c r="J47" s="68"/>
      <c r="K47" s="68"/>
    </row>
    <row r="48" spans="8:8" ht="14.25" customHeight="1">
      <c r="A48" s="68"/>
      <c r="B48" s="154" t="s">
        <v>81</v>
      </c>
      <c r="C48" s="47"/>
      <c r="D48" s="48"/>
      <c r="E48" s="60">
        <f t="shared" si="0"/>
        <v>0.0</v>
      </c>
      <c r="F48" s="47"/>
      <c r="G48" s="47"/>
      <c r="H48" s="48"/>
      <c r="I48" s="68"/>
      <c r="J48" s="68"/>
      <c r="K48" s="68"/>
    </row>
    <row r="49" spans="8:8" ht="14.25" customHeight="1">
      <c r="A49" s="68"/>
      <c r="B49" s="154" t="s">
        <v>81</v>
      </c>
      <c r="C49" s="47"/>
      <c r="D49" s="48"/>
      <c r="E49" s="60">
        <f t="shared" si="0"/>
        <v>0.0</v>
      </c>
      <c r="F49" s="47"/>
      <c r="G49" s="47"/>
      <c r="H49" s="48"/>
      <c r="I49" s="68"/>
      <c r="J49" s="68"/>
      <c r="K49" s="68"/>
    </row>
    <row r="50" spans="8:8" ht="14.25" customHeight="1">
      <c r="A50" s="68"/>
      <c r="B50" s="154" t="s">
        <v>81</v>
      </c>
      <c r="C50" s="47"/>
      <c r="D50" s="48"/>
      <c r="E50" s="60">
        <f t="shared" si="0"/>
        <v>0.0</v>
      </c>
      <c r="F50" s="47"/>
      <c r="G50" s="47"/>
      <c r="H50" s="48"/>
      <c r="I50" s="68"/>
      <c r="J50" s="68"/>
      <c r="K50" s="68"/>
    </row>
    <row r="51" spans="8:8" ht="14.25" customHeight="1">
      <c r="A51" s="68"/>
      <c r="B51" s="154" t="s">
        <v>81</v>
      </c>
      <c r="C51" s="47"/>
      <c r="D51" s="48"/>
      <c r="E51" s="60">
        <f t="shared" si="0"/>
        <v>0.0</v>
      </c>
      <c r="F51" s="47"/>
      <c r="G51" s="47"/>
      <c r="H51" s="48"/>
      <c r="I51" s="68"/>
      <c r="J51" s="68"/>
      <c r="K51" s="68"/>
    </row>
    <row r="52" spans="8:8" ht="14.25" customHeight="1">
      <c r="A52" s="68"/>
      <c r="B52" s="154" t="s">
        <v>81</v>
      </c>
      <c r="C52" s="47"/>
      <c r="D52" s="48"/>
      <c r="E52" s="60">
        <f t="shared" si="0"/>
        <v>0.0</v>
      </c>
      <c r="F52" s="47"/>
      <c r="G52" s="47"/>
      <c r="H52" s="48"/>
      <c r="I52" s="68"/>
      <c r="J52" s="68"/>
      <c r="K52" s="68"/>
    </row>
    <row r="53" spans="8:8" ht="14.25" customHeight="1">
      <c r="A53" s="68"/>
      <c r="B53" s="154" t="s">
        <v>81</v>
      </c>
      <c r="C53" s="47"/>
      <c r="D53" s="48"/>
      <c r="E53" s="60">
        <f t="shared" si="0"/>
        <v>0.0</v>
      </c>
      <c r="F53" s="47"/>
      <c r="G53" s="47"/>
      <c r="H53" s="48"/>
      <c r="I53" s="68"/>
      <c r="J53" s="68"/>
      <c r="K53" s="68"/>
    </row>
    <row r="54" spans="8:8" ht="14.25" customHeight="1">
      <c r="A54" s="68"/>
      <c r="B54" s="154" t="s">
        <v>82</v>
      </c>
      <c r="C54" s="47"/>
      <c r="D54" s="48"/>
      <c r="E54" s="155">
        <f>SUM(E41:H53)</f>
        <v>0.0</v>
      </c>
      <c r="F54" s="47"/>
      <c r="G54" s="47"/>
      <c r="H54" s="48"/>
      <c r="I54" s="68"/>
      <c r="J54" s="68"/>
      <c r="K54" s="68"/>
    </row>
    <row r="55" spans="8:8" ht="14.25" customHeight="1">
      <c r="A55" s="68"/>
      <c r="B55" s="154"/>
      <c r="C55" s="47"/>
      <c r="D55" s="48"/>
      <c r="E55" s="156"/>
      <c r="F55" s="47"/>
      <c r="G55" s="47"/>
      <c r="H55" s="48"/>
      <c r="I55" s="68"/>
      <c r="J55" s="68"/>
      <c r="K55" s="68"/>
    </row>
    <row r="56" spans="8:8" ht="14.2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</row>
    <row r="57" spans="8:8" ht="14.2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</row>
    <row r="58" spans="8:8" ht="14.2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</row>
    <row r="59" spans="8:8" ht="14.2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</row>
    <row r="60" spans="8:8" ht="14.2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</row>
    <row r="61" spans="8:8" ht="14.2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</row>
    <row r="62" spans="8:8" ht="14.2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</row>
    <row r="63" spans="8:8" ht="14.2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</row>
    <row r="64" spans="8:8" ht="14.2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</row>
    <row r="65" spans="8:8" ht="14.2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</row>
    <row r="66" spans="8:8" ht="14.2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</row>
    <row r="67" spans="8:8" ht="14.2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</row>
    <row r="68" spans="8:8" ht="14.2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</row>
    <row r="69" spans="8:8" ht="14.2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</row>
    <row r="70" spans="8:8" ht="14.2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</row>
    <row r="71" spans="8:8" ht="14.2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</row>
    <row r="72" spans="8:8" ht="14.2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</row>
    <row r="73" spans="8:8" ht="14.2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</row>
    <row r="74" spans="8:8" ht="14.2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</row>
    <row r="75" spans="8:8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</row>
    <row r="76" spans="8:8" ht="14.2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</row>
    <row r="77" spans="8:8" ht="14.2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</row>
    <row r="78" spans="8:8" ht="14.2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</row>
    <row r="79" spans="8:8" ht="14.2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</row>
    <row r="80" spans="8:8" ht="14.2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</row>
    <row r="81" spans="8:8" ht="14.2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</row>
    <row r="82" spans="8:8" ht="14.2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</row>
    <row r="83" spans="8:8" ht="14.2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</row>
    <row r="84" spans="8:8" ht="14.2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</row>
    <row r="85" spans="8:8" ht="14.2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</row>
    <row r="86" spans="8:8" ht="14.2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</row>
    <row r="87" spans="8:8" ht="14.2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</row>
    <row r="88" spans="8:8" ht="14.2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</row>
    <row r="89" spans="8:8" ht="14.2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</row>
    <row r="90" spans="8:8" ht="14.2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</row>
    <row r="91" spans="8:8" ht="14.2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</row>
    <row r="92" spans="8:8" ht="14.2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</row>
    <row r="93" spans="8:8" ht="14.2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</row>
    <row r="94" spans="8:8" ht="14.2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</row>
    <row r="95" spans="8:8" ht="14.2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</row>
    <row r="96" spans="8:8" ht="14.2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</row>
    <row r="97" spans="8:8" ht="14.2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</row>
    <row r="98" spans="8:8" ht="14.2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</row>
    <row r="99" spans="8:8" ht="14.2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</row>
    <row r="100" spans="8:8" ht="14.2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</row>
  </sheetData>
  <mergeCells count="62">
    <mergeCell ref="C8:D8"/>
    <mergeCell ref="C13:D13"/>
    <mergeCell ref="E48:H48"/>
    <mergeCell ref="E54:H54"/>
    <mergeCell ref="E55:H55"/>
    <mergeCell ref="E37:F37"/>
    <mergeCell ref="C6:D6"/>
    <mergeCell ref="A32:B32"/>
    <mergeCell ref="B54:D54"/>
    <mergeCell ref="B55:D55"/>
    <mergeCell ref="A3:H4"/>
    <mergeCell ref="E34:F34"/>
    <mergeCell ref="C5:D5"/>
    <mergeCell ref="E33:F33"/>
    <mergeCell ref="A34:B34"/>
    <mergeCell ref="E31:F31"/>
    <mergeCell ref="A33:B33"/>
    <mergeCell ref="A31:B31"/>
    <mergeCell ref="C7:D7"/>
    <mergeCell ref="E42:H42"/>
    <mergeCell ref="B52:D52"/>
    <mergeCell ref="E53:H53"/>
    <mergeCell ref="E36:F36"/>
    <mergeCell ref="E49:H49"/>
    <mergeCell ref="B40:D40"/>
    <mergeCell ref="C9:D9"/>
    <mergeCell ref="A37:B37"/>
    <mergeCell ref="E30:F30"/>
    <mergeCell ref="B41:D41"/>
    <mergeCell ref="B44:D44"/>
    <mergeCell ref="B45:D45"/>
    <mergeCell ref="C12:D12"/>
    <mergeCell ref="E45:H45"/>
    <mergeCell ref="A35:B35"/>
    <mergeCell ref="C11:D11"/>
    <mergeCell ref="E35:F35"/>
    <mergeCell ref="B42:D42"/>
    <mergeCell ref="A30:B30"/>
    <mergeCell ref="B43:D43"/>
    <mergeCell ref="B47:D47"/>
    <mergeCell ref="B48:D48"/>
    <mergeCell ref="B46:D46"/>
    <mergeCell ref="E40:H40"/>
    <mergeCell ref="C10:D10"/>
    <mergeCell ref="E41:H41"/>
    <mergeCell ref="A15:H15"/>
    <mergeCell ref="A38:H39"/>
    <mergeCell ref="B53:D53"/>
    <mergeCell ref="E46:H46"/>
    <mergeCell ref="E52:H52"/>
    <mergeCell ref="E51:H51"/>
    <mergeCell ref="E47:H47"/>
    <mergeCell ref="B50:D50"/>
    <mergeCell ref="B51:D51"/>
    <mergeCell ref="E43:H43"/>
    <mergeCell ref="E50:H50"/>
    <mergeCell ref="E44:H44"/>
    <mergeCell ref="B49:D49"/>
    <mergeCell ref="C14:D14"/>
    <mergeCell ref="A36:B36"/>
    <mergeCell ref="E32:F32"/>
    <mergeCell ref="A1:H2"/>
  </mergeCells>
  <pageMargins left="0.7" right="0.7" top="0.75" bottom="0.75" header="0.0" footer="0.0"/>
</worksheet>
</file>

<file path=xl/worksheets/sheet26.xml><?xml version="1.0" encoding="utf-8"?>
<worksheet xmlns:r="http://schemas.openxmlformats.org/officeDocument/2006/relationships" xmlns="http://schemas.openxmlformats.org/spreadsheetml/2006/main">
  <dimension ref="A1:H100"/>
  <sheetViews>
    <sheetView workbookViewId="0">
      <selection activeCell="A1" sqref="A1:G2"/>
    </sheetView>
  </sheetViews>
  <sheetFormatPr defaultRowHeight="15.0" customHeight="1" defaultColWidth="14"/>
  <cols>
    <col min="1" max="2" customWidth="1" width="8.7265625" style="0"/>
    <col min="3" max="3" customWidth="1" width="53.0" style="0"/>
    <col min="4" max="6" customWidth="1" width="8.7265625" style="0"/>
    <col min="7" max="7" customWidth="1" width="47.54297" style="0"/>
    <col min="8" max="11" customWidth="1" width="8.7265625" style="0"/>
  </cols>
  <sheetData>
    <row r="1" spans="8:8" ht="14.25" customHeight="1">
      <c r="A1" s="148" t="s">
        <v>76</v>
      </c>
      <c r="B1" s="50"/>
      <c r="C1" s="50"/>
      <c r="D1" s="50"/>
      <c r="E1" s="50"/>
      <c r="F1" s="50"/>
      <c r="G1" s="51"/>
    </row>
    <row r="2" spans="8:8" ht="14.25" customHeight="1">
      <c r="A2" s="61"/>
      <c r="B2" s="62"/>
      <c r="C2" s="62"/>
      <c r="D2" s="62"/>
      <c r="E2" s="62"/>
      <c r="F2" s="62"/>
      <c r="G2" s="63"/>
    </row>
    <row r="3" spans="8:8" ht="14.25" customHeight="1">
      <c r="A3" s="179" t="s">
        <v>77</v>
      </c>
      <c r="B3" s="47"/>
      <c r="C3" s="48"/>
      <c r="D3" s="179" t="s">
        <v>78</v>
      </c>
      <c r="E3" s="47"/>
      <c r="F3" s="47"/>
      <c r="G3" s="48"/>
    </row>
    <row r="4" spans="8:8" ht="41.25" customHeight="1">
      <c r="A4" s="180" t="s">
        <v>79</v>
      </c>
      <c r="B4" s="47"/>
      <c r="C4" s="48"/>
      <c r="D4" s="181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20868.0</v>
      </c>
      <c r="E4" s="47"/>
      <c r="F4" s="47"/>
      <c r="G4" s="48"/>
    </row>
    <row r="5" spans="8:8" ht="36.75" customHeight="1">
      <c r="A5" s="180" t="s">
        <v>52</v>
      </c>
      <c r="B5" s="47"/>
      <c r="C5" s="48"/>
      <c r="D5" s="181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250.0</v>
      </c>
      <c r="E5" s="47"/>
      <c r="F5" s="47"/>
      <c r="G5" s="48"/>
    </row>
    <row r="6" spans="8:8" ht="39.75" customHeight="1">
      <c r="A6" s="180" t="s">
        <v>56</v>
      </c>
      <c r="B6" s="47"/>
      <c r="C6" s="48"/>
      <c r="D6" s="181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3932.0</v>
      </c>
      <c r="E6" s="47"/>
      <c r="F6" s="47"/>
      <c r="G6" s="48"/>
    </row>
    <row r="7" spans="8:8" ht="38.25" customHeight="1">
      <c r="A7" s="182" t="s">
        <v>61</v>
      </c>
      <c r="B7" s="47"/>
      <c r="C7" s="48"/>
      <c r="D7" s="181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0.0</v>
      </c>
      <c r="E7" s="47"/>
      <c r="F7" s="47"/>
      <c r="G7" s="48"/>
    </row>
    <row r="8" spans="8:8" ht="39.75" customHeight="1">
      <c r="A8" s="182" t="s">
        <v>62</v>
      </c>
      <c r="B8" s="47"/>
      <c r="C8" s="48"/>
      <c r="D8" s="181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0.0</v>
      </c>
      <c r="E8" s="47"/>
      <c r="F8" s="47"/>
      <c r="G8" s="48"/>
    </row>
    <row r="9" spans="8:8" ht="38.25" customHeight="1">
      <c r="A9" s="182" t="s">
        <v>81</v>
      </c>
      <c r="B9" s="47"/>
      <c r="C9" s="48"/>
      <c r="D9" s="181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0.0</v>
      </c>
      <c r="E9" s="47"/>
      <c r="F9" s="47"/>
      <c r="G9" s="48"/>
    </row>
    <row r="10" spans="8:8" ht="37.5" customHeight="1">
      <c r="A10" s="182" t="s">
        <v>81</v>
      </c>
      <c r="B10" s="47"/>
      <c r="C10" s="48"/>
      <c r="D10" s="181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0.0</v>
      </c>
      <c r="E10" s="47"/>
      <c r="F10" s="47"/>
      <c r="G10" s="48"/>
    </row>
    <row r="11" spans="8:8" ht="38.25" customHeight="1">
      <c r="A11" s="182" t="s">
        <v>81</v>
      </c>
      <c r="B11" s="47"/>
      <c r="C11" s="48"/>
      <c r="D11" s="181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0.0</v>
      </c>
      <c r="E11" s="47"/>
      <c r="F11" s="47"/>
      <c r="G11" s="48"/>
    </row>
    <row r="12" spans="8:8" ht="36.0" customHeight="1">
      <c r="A12" s="182" t="s">
        <v>81</v>
      </c>
      <c r="B12" s="47"/>
      <c r="C12" s="48"/>
      <c r="D12" s="181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0.0</v>
      </c>
      <c r="E12" s="47"/>
      <c r="F12" s="47"/>
      <c r="G12" s="48"/>
    </row>
    <row r="13" spans="8:8" ht="37.5" customHeight="1">
      <c r="A13" s="182" t="s">
        <v>81</v>
      </c>
      <c r="B13" s="47"/>
      <c r="C13" s="48"/>
      <c r="D13" s="181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0.0</v>
      </c>
      <c r="E13" s="47"/>
      <c r="F13" s="47"/>
      <c r="G13" s="48"/>
    </row>
    <row r="14" spans="8:8" ht="14.25" customHeight="1">
      <c r="A14" s="182" t="s">
        <v>81</v>
      </c>
      <c r="B14" s="47"/>
      <c r="C14" s="48"/>
      <c r="D14" s="181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0.0</v>
      </c>
      <c r="E14" s="47"/>
      <c r="F14" s="47"/>
      <c r="G14" s="48"/>
    </row>
    <row r="15" spans="8:8" ht="14.25" customHeight="1">
      <c r="A15" s="182" t="s">
        <v>81</v>
      </c>
      <c r="B15" s="47"/>
      <c r="C15" s="48"/>
      <c r="D15" s="181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0.0</v>
      </c>
      <c r="E15" s="47"/>
      <c r="F15" s="47"/>
      <c r="G15" s="48"/>
    </row>
    <row r="16" spans="8:8" ht="14.25" customHeight="1">
      <c r="A16" s="182" t="s">
        <v>81</v>
      </c>
      <c r="B16" s="47"/>
      <c r="C16" s="48"/>
      <c r="D16" s="181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0.0</v>
      </c>
      <c r="E16" s="47"/>
      <c r="F16" s="47"/>
      <c r="G16" s="48"/>
    </row>
    <row r="17" spans="8:8" ht="14.25" customHeight="1">
      <c r="A17" s="182" t="s">
        <v>82</v>
      </c>
      <c r="B17" s="47"/>
      <c r="C17" s="48"/>
      <c r="D17" s="183">
        <f>SUM(D4:D16)</f>
        <v>25050.0</v>
      </c>
      <c r="E17" s="47"/>
      <c r="F17" s="47"/>
      <c r="G17" s="48"/>
    </row>
    <row r="18" spans="8:8" ht="14.25" customHeight="1"/>
    <row r="19" spans="8:8" ht="14.25" customHeight="1"/>
    <row r="20" spans="8:8" ht="14.25" customHeight="1"/>
    <row r="21" spans="8:8" ht="14.25" customHeight="1"/>
    <row r="22" spans="8:8" ht="14.25" customHeight="1"/>
    <row r="23" spans="8:8" ht="14.25" customHeight="1"/>
    <row r="24" spans="8:8" ht="14.25" customHeight="1"/>
    <row r="25" spans="8:8" ht="14.25" customHeight="1"/>
    <row r="26" spans="8:8" ht="14.25" customHeight="1"/>
    <row r="27" spans="8:8" ht="14.25" customHeight="1"/>
    <row r="28" spans="8:8" ht="14.25" customHeight="1"/>
    <row r="29" spans="8:8" ht="14.25" customHeight="1"/>
    <row r="30" spans="8:8" ht="14.25" customHeight="1"/>
    <row r="31" spans="8:8" ht="14.25" customHeight="1"/>
    <row r="32" spans="8:8" ht="14.25" customHeight="1"/>
    <row r="33" spans="8:8" ht="14.25" customHeight="1"/>
    <row r="34" spans="8:8" ht="14.25" customHeight="1"/>
    <row r="35" spans="8:8" ht="14.25" customHeight="1"/>
    <row r="36" spans="8:8" ht="14.25" customHeight="1"/>
    <row r="37" spans="8:8" ht="14.25" customHeight="1"/>
    <row r="38" spans="8:8" ht="14.25" customHeight="1"/>
    <row r="39" spans="8:8" ht="14.25" customHeight="1"/>
    <row r="40" spans="8:8" ht="14.25" customHeight="1"/>
    <row r="41" spans="8:8" ht="14.25" customHeight="1"/>
    <row r="42" spans="8:8" ht="14.25" customHeight="1"/>
    <row r="43" spans="8:8" ht="14.25" customHeight="1"/>
    <row r="44" spans="8:8" ht="14.25" customHeight="1"/>
    <row r="45" spans="8:8" ht="14.25" customHeight="1"/>
    <row r="46" spans="8:8" ht="14.25" customHeight="1"/>
    <row r="47" spans="8:8" ht="14.25" customHeight="1"/>
    <row r="48" spans="8:8" ht="14.25" customHeight="1"/>
    <row r="49" spans="8:8" ht="14.25" customHeight="1"/>
    <row r="50" spans="8:8" ht="14.25" customHeight="1"/>
    <row r="51" spans="8:8" ht="14.25" customHeight="1"/>
    <row r="52" spans="8:8" ht="14.25" customHeight="1"/>
    <row r="53" spans="8:8" ht="14.25" customHeight="1"/>
    <row r="54" spans="8:8" ht="14.25" customHeight="1"/>
    <row r="55" spans="8:8" ht="14.25" customHeight="1"/>
    <row r="56" spans="8:8" ht="14.25" customHeight="1"/>
    <row r="57" spans="8:8" ht="14.25" customHeight="1"/>
    <row r="58" spans="8:8" ht="14.25" customHeight="1"/>
    <row r="59" spans="8:8" ht="14.25" customHeight="1"/>
    <row r="60" spans="8:8" ht="14.25" customHeight="1"/>
    <row r="61" spans="8:8" ht="14.25" customHeight="1"/>
    <row r="62" spans="8:8" ht="14.25" customHeight="1"/>
    <row r="63" spans="8:8" ht="14.25" customHeight="1"/>
    <row r="64" spans="8:8" ht="14.25" customHeight="1"/>
    <row r="65" spans="8:8" ht="14.25" customHeight="1"/>
    <row r="66" spans="8:8" ht="14.25" customHeight="1"/>
    <row r="67" spans="8:8" ht="14.25" customHeight="1"/>
    <row r="68" spans="8:8" ht="14.25" customHeight="1"/>
    <row r="69" spans="8:8" ht="14.25" customHeight="1"/>
    <row r="70" spans="8:8" ht="14.25" customHeight="1"/>
    <row r="71" spans="8:8" ht="14.25" customHeight="1"/>
    <row r="72" spans="8:8" ht="14.25" customHeight="1"/>
    <row r="73" spans="8:8" ht="14.25" customHeight="1"/>
    <row r="74" spans="8:8" ht="14.25" customHeight="1"/>
    <row r="75" spans="8:8" ht="14.25" customHeight="1"/>
    <row r="76" spans="8:8" ht="14.25" customHeight="1"/>
    <row r="77" spans="8:8" ht="14.25" customHeight="1"/>
    <row r="78" spans="8:8" ht="14.25" customHeight="1"/>
    <row r="79" spans="8:8" ht="14.25" customHeight="1"/>
    <row r="80" spans="8:8" ht="14.25" customHeight="1"/>
    <row r="81" spans="8:8" ht="14.25" customHeight="1"/>
    <row r="82" spans="8:8" ht="14.25" customHeight="1"/>
    <row r="83" spans="8:8" ht="14.25" customHeight="1"/>
    <row r="84" spans="8:8" ht="14.25" customHeight="1"/>
    <row r="85" spans="8:8" ht="14.25" customHeight="1"/>
    <row r="86" spans="8:8" ht="14.25" customHeight="1"/>
    <row r="87" spans="8:8" ht="14.25" customHeight="1"/>
    <row r="88" spans="8:8" ht="14.25" customHeight="1"/>
    <row r="89" spans="8:8" ht="14.25" customHeight="1"/>
    <row r="90" spans="8:8" ht="14.25" customHeight="1"/>
    <row r="91" spans="8:8" ht="14.25" customHeight="1"/>
    <row r="92" spans="8:8" ht="14.25" customHeight="1"/>
    <row r="93" spans="8:8" ht="14.25" customHeight="1"/>
    <row r="94" spans="8:8" ht="14.25" customHeight="1"/>
    <row r="95" spans="8:8" ht="14.25" customHeight="1"/>
    <row r="96" spans="8:8" ht="14.25" customHeight="1"/>
    <row r="97" spans="8:8" ht="14.25" customHeight="1"/>
    <row r="98" spans="8:8" ht="14.25" customHeight="1"/>
    <row r="99" spans="8:8" ht="14.25" customHeight="1"/>
    <row r="100" spans="8:8" ht="14.25" customHeight="1"/>
  </sheetData>
  <mergeCells count="31">
    <mergeCell ref="D17:G17"/>
    <mergeCell ref="D9:G9"/>
    <mergeCell ref="D11:G11"/>
    <mergeCell ref="D13:G13"/>
    <mergeCell ref="D4:G4"/>
    <mergeCell ref="A16:C16"/>
    <mergeCell ref="A5:C5"/>
    <mergeCell ref="A14:C14"/>
    <mergeCell ref="A12:C12"/>
    <mergeCell ref="A13:C13"/>
    <mergeCell ref="A9:C9"/>
    <mergeCell ref="A6:C6"/>
    <mergeCell ref="A4:C4"/>
    <mergeCell ref="D6:G6"/>
    <mergeCell ref="D15:G15"/>
    <mergeCell ref="D7:G7"/>
    <mergeCell ref="D5:G5"/>
    <mergeCell ref="A1:G2"/>
    <mergeCell ref="D8:G8"/>
    <mergeCell ref="D16:G16"/>
    <mergeCell ref="D10:G10"/>
    <mergeCell ref="D12:G12"/>
    <mergeCell ref="D14:G14"/>
    <mergeCell ref="D3:G3"/>
    <mergeCell ref="A17:C17"/>
    <mergeCell ref="A7:C7"/>
    <mergeCell ref="A11:C11"/>
    <mergeCell ref="A10:C10"/>
    <mergeCell ref="A8:C8"/>
    <mergeCell ref="A3:C3"/>
    <mergeCell ref="A15:C15"/>
  </mergeCells>
  <pageMargins left="0.7" right="0.7" top="0.75" bottom="0.75" header="0.0" footer="0.0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pc</cp:lastModifiedBy>
  <dcterms:created xsi:type="dcterms:W3CDTF">2023-12-29T08:10:15Z</dcterms:created>
  <dcterms:modified xsi:type="dcterms:W3CDTF">2026-04-14T17:34:55Z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3f95b8d00a1a4c7cb509de8c828e9f99</vt:lpwstr>
  </property>
</Properties>
</file>