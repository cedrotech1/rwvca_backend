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WEEKLY &amp;MOTHLY REPORT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G18" i="1"/>
  <c r="E18" i="1"/>
  <c r="F18" i="1" s="1"/>
  <c r="G17" i="1"/>
  <c r="E17" i="1"/>
  <c r="F17" i="1" s="1"/>
  <c r="H17" i="1" s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18" i="1" l="1"/>
  <c r="G41" i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<sst xmlns="http://schemas.openxmlformats.org/spreadsheetml/2006/main" count="66" uniqueCount="36">
  <si>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ICPCs NAME</t>
  </si>
  <si>
    <t xml:space="preserve"> REPORT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</si>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</sst>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28" workbookViewId="0">
      <selection activeCell="B51" sqref="B5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0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1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2</v>
      </c>
      <c r="B5" s="2" t="s">
        <v>3</v>
      </c>
      <c r="C5" s="51" t="s">
        <v>4</v>
      </c>
      <c r="D5" s="52"/>
      <c r="E5" s="2" t="s">
        <v>5</v>
      </c>
      <c r="F5" s="3" t="s">
        <v>6</v>
      </c>
      <c r="G5" s="2" t="s">
        <v>7</v>
      </c>
      <c r="H5" s="4" t="s">
        <v>8</v>
      </c>
    </row>
    <row r="6" spans="1:8">
      <c r="A6" s="5" t="s">
        <v>9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10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11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12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13</v>
      </c>
      <c r="B10" s="11">
        <v>1530</v>
      </c>
      <c r="C10" s="55">
        <v>2124</v>
      </c>
      <c r="D10" s="56"/>
      <c r="E10" s="13">
        <f t="shared" si="3"/>
        <v>3249720</v>
      </c>
      <c r="F10" s="13">
        <f t="shared" si="4"/>
        <v>495720</v>
      </c>
      <c r="G10" s="13">
        <f>PRODUCT(B10*30)</f>
        <v>45900</v>
      </c>
      <c r="H10" s="14">
        <f t="shared" si="5"/>
        <v>541620</v>
      </c>
    </row>
    <row r="11" spans="1:8">
      <c r="A11" s="10" t="s">
        <v>14</v>
      </c>
      <c r="B11" s="11"/>
      <c r="C11" s="55">
        <v>1357</v>
      </c>
      <c r="D11" s="56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14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15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15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16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2</v>
      </c>
      <c r="B16" s="16" t="s">
        <v>3</v>
      </c>
      <c r="C16" s="16" t="s">
        <v>17</v>
      </c>
      <c r="D16" s="16" t="s">
        <v>7</v>
      </c>
      <c r="E16" s="17" t="s">
        <v>5</v>
      </c>
      <c r="F16" s="17" t="s">
        <v>18</v>
      </c>
      <c r="G16" s="17" t="s">
        <v>7</v>
      </c>
      <c r="H16" s="18" t="s">
        <v>19</v>
      </c>
    </row>
    <row r="17" spans="1:9">
      <c r="A17" s="19" t="s">
        <v>20</v>
      </c>
      <c r="B17" s="7">
        <v>320</v>
      </c>
      <c r="C17" s="20">
        <v>1770</v>
      </c>
      <c r="D17" s="20">
        <v>25</v>
      </c>
      <c r="E17" s="8">
        <f>PRODUCT(B17*C17)</f>
        <v>566400</v>
      </c>
      <c r="F17" s="8">
        <f t="shared" ref="F17:F22" si="6">PRODUCT(E17*18)/118</f>
        <v>86400</v>
      </c>
      <c r="G17" s="8">
        <f>PRODUCT(B17*D17)</f>
        <v>8000</v>
      </c>
      <c r="H17" s="9">
        <f>SUM(F17:G17)</f>
        <v>94400</v>
      </c>
    </row>
    <row r="18" spans="1:9">
      <c r="A18" s="21" t="s">
        <v>20</v>
      </c>
      <c r="B18" s="12">
        <v>1</v>
      </c>
      <c r="C18" s="22"/>
      <c r="D18" s="22">
        <v>16800</v>
      </c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16800</v>
      </c>
      <c r="H18" s="14">
        <f t="shared" ref="H18:H23" si="9">SUM(F18:G18)</f>
        <v>16800</v>
      </c>
    </row>
    <row r="19" spans="1:9">
      <c r="A19" s="10" t="s">
        <v>20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20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20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20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20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20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20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20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20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20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20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20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20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20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20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20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20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20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20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20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20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20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21</v>
      </c>
      <c r="B41" s="30"/>
      <c r="C41" s="31"/>
      <c r="D41" s="31"/>
      <c r="E41" s="32">
        <f>SUM(E6:E40)</f>
        <v>3816120</v>
      </c>
      <c r="F41" s="32">
        <f>SUM(F6:F40)</f>
        <v>582120</v>
      </c>
      <c r="G41" s="32">
        <f>SUM(G6:G40)</f>
        <v>70700</v>
      </c>
      <c r="H41" s="33">
        <f t="shared" si="19"/>
        <v>652820</v>
      </c>
    </row>
    <row r="42" spans="1:8">
      <c r="A42" s="60" t="s">
        <v>22</v>
      </c>
      <c r="B42" s="61"/>
      <c r="C42" s="34">
        <v>610340</v>
      </c>
      <c r="D42" s="35"/>
      <c r="E42" s="62" t="s">
        <v>23</v>
      </c>
      <c r="F42" s="62"/>
      <c r="G42" s="62"/>
      <c r="H42" s="62"/>
    </row>
    <row r="43" spans="1:8">
      <c r="A43" s="60" t="s">
        <v>24</v>
      </c>
      <c r="B43" s="61"/>
      <c r="C43" s="36">
        <v>42480</v>
      </c>
      <c r="D43" s="34" t="s">
        <v>25</v>
      </c>
      <c r="E43" s="63" t="s">
        <v>26</v>
      </c>
      <c r="F43" s="64"/>
      <c r="G43" s="34" t="s">
        <v>27</v>
      </c>
      <c r="H43" s="37" t="s">
        <v>28</v>
      </c>
    </row>
    <row r="44" spans="1:8">
      <c r="A44" s="60" t="s">
        <v>29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30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31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32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33</v>
      </c>
      <c r="B48" s="72"/>
      <c r="C48" s="46">
        <f>SUM(C42:C47)</f>
        <v>652820</v>
      </c>
      <c r="D48" s="47"/>
      <c r="E48" s="75"/>
      <c r="F48" s="76"/>
      <c r="G48" s="48"/>
      <c r="H48" s="49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2026-04-20T09:10:07Z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