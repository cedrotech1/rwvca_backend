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E7E281E9-EDA1-4B28-A0DF-CBEACB107869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F27" i="20"/>
  <c r="E27" i="20"/>
  <c r="G26" i="20"/>
  <c r="E26" i="20"/>
  <c r="F26" i="20" s="1"/>
  <c r="H26" i="20" s="1"/>
  <c r="H25" i="20"/>
  <c r="G25" i="20"/>
  <c r="F25" i="20"/>
  <c r="E25" i="20"/>
  <c r="G24" i="20"/>
  <c r="F24" i="20"/>
  <c r="H24" i="20" s="1"/>
  <c r="E24" i="20"/>
  <c r="G23" i="20"/>
  <c r="H23" i="20" s="1"/>
  <c r="F23" i="20"/>
  <c r="E23" i="20"/>
  <c r="G22" i="20"/>
  <c r="E22" i="20"/>
  <c r="F22" i="20" s="1"/>
  <c r="H22" i="20" s="1"/>
  <c r="G21" i="20"/>
  <c r="H21" i="20" s="1"/>
  <c r="F21" i="20"/>
  <c r="E21" i="20"/>
  <c r="G20" i="20"/>
  <c r="F20" i="20"/>
  <c r="H20" i="20" s="1"/>
  <c r="E20" i="20"/>
  <c r="H19" i="20"/>
  <c r="G19" i="20"/>
  <c r="F19" i="20"/>
  <c r="E19" i="20"/>
  <c r="G18" i="20"/>
  <c r="E18" i="20"/>
  <c r="F18" i="20" s="1"/>
  <c r="H18" i="20" s="1"/>
  <c r="G17" i="20"/>
  <c r="H17" i="20" s="1"/>
  <c r="F17" i="20"/>
  <c r="E17" i="20"/>
  <c r="G14" i="20"/>
  <c r="E14" i="20"/>
  <c r="F14" i="20" s="1"/>
  <c r="H14" i="20" s="1"/>
  <c r="H13" i="20"/>
  <c r="G13" i="20"/>
  <c r="F13" i="20"/>
  <c r="E13" i="20"/>
  <c r="G12" i="20"/>
  <c r="F12" i="20"/>
  <c r="H12" i="20" s="1"/>
  <c r="E12" i="20"/>
  <c r="G11" i="20"/>
  <c r="H11" i="20" s="1"/>
  <c r="F11" i="20"/>
  <c r="E11" i="20"/>
  <c r="G10" i="20"/>
  <c r="E10" i="20"/>
  <c r="F10" i="20" s="1"/>
  <c r="H10" i="20" s="1"/>
  <c r="G9" i="20"/>
  <c r="H9" i="20" s="1"/>
  <c r="F9" i="20"/>
  <c r="E9" i="20"/>
  <c r="G8" i="20"/>
  <c r="E8" i="20"/>
  <c r="F8" i="20" s="1"/>
  <c r="H8" i="20" s="1"/>
  <c r="H7" i="20"/>
  <c r="G7" i="20"/>
  <c r="F7" i="20"/>
  <c r="E7" i="20"/>
  <c r="G6" i="20"/>
  <c r="F6" i="20"/>
  <c r="E6" i="20"/>
  <c r="E53" i="19"/>
  <c r="D16" i="22" s="1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G25" i="19"/>
  <c r="E25" i="19"/>
  <c r="F25" i="19" s="1"/>
  <c r="H25" i="19" s="1"/>
  <c r="H24" i="19"/>
  <c r="G24" i="19"/>
  <c r="F24" i="19"/>
  <c r="E24" i="19"/>
  <c r="G23" i="19"/>
  <c r="E23" i="19"/>
  <c r="F23" i="19" s="1"/>
  <c r="H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G11" i="19"/>
  <c r="E11" i="19"/>
  <c r="F11" i="19" s="1"/>
  <c r="H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G7" i="19"/>
  <c r="G29" i="19" s="1"/>
  <c r="C21" i="1" s="1"/>
  <c r="E7" i="19"/>
  <c r="F7" i="19" s="1"/>
  <c r="H6" i="19"/>
  <c r="G6" i="19"/>
  <c r="F6" i="19"/>
  <c r="E6" i="19"/>
  <c r="E53" i="18"/>
  <c r="E52" i="18"/>
  <c r="E51" i="18"/>
  <c r="D14" i="22" s="1"/>
  <c r="E50" i="18"/>
  <c r="E49" i="18"/>
  <c r="E48" i="18"/>
  <c r="E47" i="18"/>
  <c r="E46" i="18"/>
  <c r="E45" i="18"/>
  <c r="E44" i="18"/>
  <c r="E43" i="18"/>
  <c r="E42" i="18"/>
  <c r="E41" i="18"/>
  <c r="H28" i="18"/>
  <c r="G28" i="18"/>
  <c r="F28" i="18"/>
  <c r="E28" i="18"/>
  <c r="G27" i="18"/>
  <c r="E27" i="18"/>
  <c r="F27" i="18" s="1"/>
  <c r="H27" i="18" s="1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E21" i="18"/>
  <c r="F21" i="18" s="1"/>
  <c r="H21" i="18" s="1"/>
  <c r="G20" i="18"/>
  <c r="F20" i="18"/>
  <c r="H20" i="18" s="1"/>
  <c r="E20" i="18"/>
  <c r="G19" i="18"/>
  <c r="E19" i="18"/>
  <c r="F19" i="18" s="1"/>
  <c r="H19" i="18" s="1"/>
  <c r="H18" i="18"/>
  <c r="G18" i="18"/>
  <c r="F18" i="18"/>
  <c r="E18" i="18"/>
  <c r="G17" i="18"/>
  <c r="F17" i="18"/>
  <c r="H17" i="18" s="1"/>
  <c r="E17" i="18"/>
  <c r="G14" i="18"/>
  <c r="H14" i="18" s="1"/>
  <c r="F14" i="18"/>
  <c r="E14" i="18"/>
  <c r="G13" i="18"/>
  <c r="E13" i="18"/>
  <c r="F13" i="18" s="1"/>
  <c r="H13" i="18" s="1"/>
  <c r="G12" i="18"/>
  <c r="F12" i="18"/>
  <c r="H12" i="18" s="1"/>
  <c r="E12" i="18"/>
  <c r="G11" i="18"/>
  <c r="F11" i="18"/>
  <c r="H11" i="18" s="1"/>
  <c r="E11" i="18"/>
  <c r="G10" i="18"/>
  <c r="F10" i="18"/>
  <c r="H10" i="18" s="1"/>
  <c r="E10" i="18"/>
  <c r="G9" i="18"/>
  <c r="E9" i="18"/>
  <c r="F9" i="18" s="1"/>
  <c r="H9" i="18" s="1"/>
  <c r="G8" i="18"/>
  <c r="F8" i="18"/>
  <c r="H8" i="18" s="1"/>
  <c r="E8" i="18"/>
  <c r="G7" i="18"/>
  <c r="F7" i="18"/>
  <c r="H7" i="18" s="1"/>
  <c r="E7" i="18"/>
  <c r="E29" i="18" s="1"/>
  <c r="G6" i="18"/>
  <c r="F6" i="18"/>
  <c r="E6" i="18"/>
  <c r="E53" i="17"/>
  <c r="E52" i="17"/>
  <c r="E51" i="17"/>
  <c r="E50" i="17"/>
  <c r="E49" i="17"/>
  <c r="E48" i="17"/>
  <c r="E47" i="17"/>
  <c r="E46" i="17"/>
  <c r="E45" i="17"/>
  <c r="E44" i="17"/>
  <c r="D7" i="22" s="1"/>
  <c r="E43" i="17"/>
  <c r="E42" i="17"/>
  <c r="E41" i="17"/>
  <c r="G28" i="17"/>
  <c r="E28" i="17"/>
  <c r="F28" i="17" s="1"/>
  <c r="H28" i="17" s="1"/>
  <c r="H27" i="17"/>
  <c r="G27" i="17"/>
  <c r="F27" i="17"/>
  <c r="E27" i="17"/>
  <c r="G26" i="17"/>
  <c r="E26" i="17"/>
  <c r="F26" i="17" s="1"/>
  <c r="H26" i="17" s="1"/>
  <c r="H25" i="17"/>
  <c r="G25" i="17"/>
  <c r="F25" i="17"/>
  <c r="E25" i="17"/>
  <c r="G24" i="17"/>
  <c r="E24" i="17"/>
  <c r="F24" i="17" s="1"/>
  <c r="H24" i="17" s="1"/>
  <c r="H23" i="17"/>
  <c r="G23" i="17"/>
  <c r="F23" i="17"/>
  <c r="E23" i="17"/>
  <c r="G22" i="17"/>
  <c r="E22" i="17"/>
  <c r="F22" i="17" s="1"/>
  <c r="H22" i="17" s="1"/>
  <c r="H21" i="17"/>
  <c r="G21" i="17"/>
  <c r="F21" i="17"/>
  <c r="E21" i="17"/>
  <c r="G20" i="17"/>
  <c r="E20" i="17"/>
  <c r="F20" i="17" s="1"/>
  <c r="H20" i="17" s="1"/>
  <c r="H19" i="17"/>
  <c r="G19" i="17"/>
  <c r="F19" i="17"/>
  <c r="E19" i="17"/>
  <c r="G18" i="17"/>
  <c r="E18" i="17"/>
  <c r="F18" i="17" s="1"/>
  <c r="H18" i="17" s="1"/>
  <c r="H17" i="17"/>
  <c r="G17" i="17"/>
  <c r="F17" i="17"/>
  <c r="E17" i="17"/>
  <c r="G14" i="17"/>
  <c r="E14" i="17"/>
  <c r="F14" i="17" s="1"/>
  <c r="H14" i="17" s="1"/>
  <c r="H13" i="17"/>
  <c r="G13" i="17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H9" i="17"/>
  <c r="G9" i="17"/>
  <c r="F9" i="17"/>
  <c r="E9" i="17"/>
  <c r="G8" i="17"/>
  <c r="E8" i="17"/>
  <c r="F8" i="17" s="1"/>
  <c r="H8" i="17" s="1"/>
  <c r="H7" i="17"/>
  <c r="G7" i="17"/>
  <c r="F7" i="17"/>
  <c r="E7" i="17"/>
  <c r="G6" i="17"/>
  <c r="G29" i="17" s="1"/>
  <c r="E6" i="17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G29" i="16"/>
  <c r="C17" i="1" s="1"/>
  <c r="G28" i="16"/>
  <c r="F28" i="16"/>
  <c r="H28" i="16" s="1"/>
  <c r="E28" i="16"/>
  <c r="G27" i="16"/>
  <c r="F27" i="16"/>
  <c r="H27" i="16" s="1"/>
  <c r="E27" i="16"/>
  <c r="G26" i="16"/>
  <c r="E26" i="16"/>
  <c r="F26" i="16" s="1"/>
  <c r="H26" i="16" s="1"/>
  <c r="G25" i="16"/>
  <c r="F25" i="16"/>
  <c r="H25" i="16" s="1"/>
  <c r="E25" i="16"/>
  <c r="G24" i="16"/>
  <c r="F24" i="16"/>
  <c r="H24" i="16" s="1"/>
  <c r="E24" i="16"/>
  <c r="G23" i="16"/>
  <c r="F23" i="16"/>
  <c r="H23" i="16" s="1"/>
  <c r="E23" i="16"/>
  <c r="G22" i="16"/>
  <c r="F22" i="16"/>
  <c r="H22" i="16" s="1"/>
  <c r="E22" i="16"/>
  <c r="G21" i="16"/>
  <c r="F21" i="16"/>
  <c r="H21" i="16" s="1"/>
  <c r="E21" i="16"/>
  <c r="G20" i="16"/>
  <c r="E20" i="16"/>
  <c r="F20" i="16" s="1"/>
  <c r="H20" i="16" s="1"/>
  <c r="G19" i="16"/>
  <c r="F19" i="16"/>
  <c r="H19" i="16" s="1"/>
  <c r="E19" i="16"/>
  <c r="G18" i="16"/>
  <c r="E18" i="16"/>
  <c r="F18" i="16" s="1"/>
  <c r="H18" i="16" s="1"/>
  <c r="H17" i="16"/>
  <c r="G17" i="16"/>
  <c r="F17" i="16"/>
  <c r="E17" i="16"/>
  <c r="G14" i="16"/>
  <c r="F14" i="16"/>
  <c r="H14" i="16" s="1"/>
  <c r="E14" i="16"/>
  <c r="H13" i="16"/>
  <c r="G13" i="16"/>
  <c r="F13" i="16"/>
  <c r="E13" i="16"/>
  <c r="G12" i="16"/>
  <c r="E12" i="16"/>
  <c r="F12" i="16" s="1"/>
  <c r="H12" i="16" s="1"/>
  <c r="G11" i="16"/>
  <c r="F11" i="16"/>
  <c r="E11" i="16"/>
  <c r="G10" i="16"/>
  <c r="F10" i="16"/>
  <c r="H10" i="16" s="1"/>
  <c r="E10" i="16"/>
  <c r="G9" i="16"/>
  <c r="F9" i="16"/>
  <c r="H9" i="16" s="1"/>
  <c r="E9" i="16"/>
  <c r="G8" i="16"/>
  <c r="E8" i="16"/>
  <c r="F8" i="16" s="1"/>
  <c r="H8" i="16" s="1"/>
  <c r="G7" i="16"/>
  <c r="F7" i="16"/>
  <c r="H7" i="16" s="1"/>
  <c r="E7" i="16"/>
  <c r="G6" i="16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62" i="15" s="1"/>
  <c r="E51" i="15"/>
  <c r="E50" i="15"/>
  <c r="E49" i="15"/>
  <c r="H14" i="15"/>
  <c r="G14" i="15"/>
  <c r="F14" i="15"/>
  <c r="E14" i="15"/>
  <c r="G13" i="15"/>
  <c r="F13" i="15"/>
  <c r="H13" i="15" s="1"/>
  <c r="E13" i="15"/>
  <c r="H12" i="15"/>
  <c r="G12" i="15"/>
  <c r="F12" i="15"/>
  <c r="E12" i="15"/>
  <c r="G11" i="15"/>
  <c r="F11" i="15"/>
  <c r="H11" i="15" s="1"/>
  <c r="E11" i="15"/>
  <c r="H10" i="15"/>
  <c r="G10" i="15"/>
  <c r="F10" i="15"/>
  <c r="E10" i="15"/>
  <c r="G9" i="15"/>
  <c r="F9" i="15"/>
  <c r="H9" i="15" s="1"/>
  <c r="E9" i="15"/>
  <c r="H8" i="15"/>
  <c r="G8" i="15"/>
  <c r="F8" i="15"/>
  <c r="E8" i="15"/>
  <c r="G7" i="15"/>
  <c r="G37" i="15" s="1"/>
  <c r="C16" i="1" s="1"/>
  <c r="F7" i="15"/>
  <c r="F37" i="15" s="1"/>
  <c r="B16" i="1" s="1"/>
  <c r="E7" i="15"/>
  <c r="E37" i="15" s="1"/>
  <c r="H6" i="15"/>
  <c r="G6" i="15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54" i="14" s="1"/>
  <c r="E41" i="14"/>
  <c r="G28" i="14"/>
  <c r="F28" i="14"/>
  <c r="H28" i="14" s="1"/>
  <c r="E28" i="14"/>
  <c r="G27" i="14"/>
  <c r="E27" i="14"/>
  <c r="F27" i="14" s="1"/>
  <c r="H27" i="14" s="1"/>
  <c r="H26" i="14"/>
  <c r="G26" i="14"/>
  <c r="F26" i="14"/>
  <c r="E26" i="14"/>
  <c r="G25" i="14"/>
  <c r="F25" i="14"/>
  <c r="H25" i="14" s="1"/>
  <c r="E25" i="14"/>
  <c r="G24" i="14"/>
  <c r="H24" i="14" s="1"/>
  <c r="F24" i="14"/>
  <c r="E24" i="14"/>
  <c r="G23" i="14"/>
  <c r="E23" i="14"/>
  <c r="F23" i="14" s="1"/>
  <c r="H23" i="14" s="1"/>
  <c r="G22" i="14"/>
  <c r="F22" i="14"/>
  <c r="E22" i="14"/>
  <c r="G21" i="14"/>
  <c r="F21" i="14"/>
  <c r="H21" i="14" s="1"/>
  <c r="E21" i="14"/>
  <c r="G20" i="14"/>
  <c r="F20" i="14"/>
  <c r="H20" i="14" s="1"/>
  <c r="E20" i="14"/>
  <c r="G19" i="14"/>
  <c r="E19" i="14"/>
  <c r="F19" i="14" s="1"/>
  <c r="H19" i="14" s="1"/>
  <c r="G18" i="14"/>
  <c r="F18" i="14"/>
  <c r="H18" i="14" s="1"/>
  <c r="E18" i="14"/>
  <c r="G17" i="14"/>
  <c r="F17" i="14"/>
  <c r="H17" i="14" s="1"/>
  <c r="E17" i="14"/>
  <c r="G14" i="14"/>
  <c r="F14" i="14"/>
  <c r="H14" i="14" s="1"/>
  <c r="E14" i="14"/>
  <c r="G13" i="14"/>
  <c r="F13" i="14"/>
  <c r="H13" i="14" s="1"/>
  <c r="E13" i="14"/>
  <c r="G12" i="14"/>
  <c r="F12" i="14"/>
  <c r="H12" i="14" s="1"/>
  <c r="E12" i="14"/>
  <c r="G11" i="14"/>
  <c r="F11" i="14"/>
  <c r="H11" i="14" s="1"/>
  <c r="E11" i="14"/>
  <c r="H10" i="14"/>
  <c r="G10" i="14"/>
  <c r="F10" i="14"/>
  <c r="E10" i="14"/>
  <c r="G9" i="14"/>
  <c r="E9" i="14"/>
  <c r="F9" i="14" s="1"/>
  <c r="H8" i="14"/>
  <c r="G8" i="14"/>
  <c r="F8" i="14"/>
  <c r="E8" i="14"/>
  <c r="G7" i="14"/>
  <c r="F7" i="14"/>
  <c r="H7" i="14" s="1"/>
  <c r="E7" i="14"/>
  <c r="H6" i="14"/>
  <c r="G6" i="14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H3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F37" i="13" s="1"/>
  <c r="E6" i="13"/>
  <c r="E37" i="13" s="1"/>
  <c r="E61" i="12"/>
  <c r="E60" i="12"/>
  <c r="E59" i="12"/>
  <c r="E58" i="12"/>
  <c r="E57" i="12"/>
  <c r="E56" i="12"/>
  <c r="E55" i="12"/>
  <c r="E54" i="12"/>
  <c r="E62" i="12" s="1"/>
  <c r="E53" i="12"/>
  <c r="E52" i="12"/>
  <c r="E51" i="12"/>
  <c r="E50" i="12"/>
  <c r="E49" i="12"/>
  <c r="G14" i="12"/>
  <c r="F14" i="12"/>
  <c r="H14" i="12" s="1"/>
  <c r="E14" i="12"/>
  <c r="G13" i="12"/>
  <c r="E13" i="12"/>
  <c r="F13" i="12" s="1"/>
  <c r="H13" i="12" s="1"/>
  <c r="G12" i="12"/>
  <c r="F12" i="12"/>
  <c r="H12" i="12" s="1"/>
  <c r="E12" i="12"/>
  <c r="G11" i="12"/>
  <c r="F11" i="12"/>
  <c r="H11" i="12" s="1"/>
  <c r="E11" i="12"/>
  <c r="G10" i="12"/>
  <c r="E10" i="12"/>
  <c r="F10" i="12" s="1"/>
  <c r="H10" i="12" s="1"/>
  <c r="H9" i="12"/>
  <c r="G9" i="12"/>
  <c r="E9" i="12"/>
  <c r="F9" i="12" s="1"/>
  <c r="G8" i="12"/>
  <c r="F8" i="12"/>
  <c r="H8" i="12" s="1"/>
  <c r="E8" i="12"/>
  <c r="H7" i="12"/>
  <c r="G7" i="12"/>
  <c r="G37" i="12" s="1"/>
  <c r="C14" i="1" s="1"/>
  <c r="F7" i="12"/>
  <c r="E7" i="12"/>
  <c r="G6" i="12"/>
  <c r="E6" i="12"/>
  <c r="F6" i="12" s="1"/>
  <c r="E61" i="11"/>
  <c r="E60" i="11"/>
  <c r="E59" i="11"/>
  <c r="E58" i="11"/>
  <c r="E57" i="11"/>
  <c r="E56" i="11"/>
  <c r="E55" i="11"/>
  <c r="E54" i="11"/>
  <c r="E53" i="11"/>
  <c r="E52" i="11"/>
  <c r="E51" i="11"/>
  <c r="E62" i="11" s="1"/>
  <c r="E50" i="11"/>
  <c r="E49" i="11"/>
  <c r="H14" i="11"/>
  <c r="G14" i="11"/>
  <c r="F14" i="11"/>
  <c r="E14" i="11"/>
  <c r="G13" i="11"/>
  <c r="E13" i="11"/>
  <c r="F13" i="11" s="1"/>
  <c r="H13" i="11" s="1"/>
  <c r="H12" i="11"/>
  <c r="G12" i="11"/>
  <c r="F12" i="11"/>
  <c r="E12" i="11"/>
  <c r="G11" i="11"/>
  <c r="E11" i="11"/>
  <c r="F11" i="11" s="1"/>
  <c r="H11" i="11" s="1"/>
  <c r="H10" i="11"/>
  <c r="G10" i="11"/>
  <c r="F10" i="11"/>
  <c r="E10" i="11"/>
  <c r="G9" i="11"/>
  <c r="E9" i="11"/>
  <c r="F9" i="11" s="1"/>
  <c r="H9" i="11" s="1"/>
  <c r="H8" i="11"/>
  <c r="G8" i="11"/>
  <c r="F8" i="11"/>
  <c r="E8" i="11"/>
  <c r="G7" i="11"/>
  <c r="G37" i="11" s="1"/>
  <c r="C13" i="1" s="1"/>
  <c r="E7" i="11"/>
  <c r="F7" i="11" s="1"/>
  <c r="H6" i="11"/>
  <c r="G6" i="11"/>
  <c r="F6" i="11"/>
  <c r="E6" i="1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F8" i="10"/>
  <c r="E8" i="10"/>
  <c r="G7" i="10"/>
  <c r="E7" i="10"/>
  <c r="F7" i="10" s="1"/>
  <c r="H7" i="10" s="1"/>
  <c r="G6" i="10"/>
  <c r="E6" i="10"/>
  <c r="F6" i="10" s="1"/>
  <c r="F37" i="10" s="1"/>
  <c r="B12" i="1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F14" i="9"/>
  <c r="H14" i="9" s="1"/>
  <c r="E14" i="9"/>
  <c r="G13" i="9"/>
  <c r="H13" i="9" s="1"/>
  <c r="F13" i="9"/>
  <c r="E13" i="9"/>
  <c r="G12" i="9"/>
  <c r="F12" i="9"/>
  <c r="H12" i="9" s="1"/>
  <c r="E12" i="9"/>
  <c r="H11" i="9"/>
  <c r="G11" i="9"/>
  <c r="F11" i="9"/>
  <c r="E11" i="9"/>
  <c r="G10" i="9"/>
  <c r="F10" i="9"/>
  <c r="H10" i="9" s="1"/>
  <c r="E10" i="9"/>
  <c r="G9" i="9"/>
  <c r="H9" i="9" s="1"/>
  <c r="F9" i="9"/>
  <c r="E9" i="9"/>
  <c r="G8" i="9"/>
  <c r="F8" i="9"/>
  <c r="H8" i="9" s="1"/>
  <c r="E8" i="9"/>
  <c r="H7" i="9"/>
  <c r="G7" i="9"/>
  <c r="F7" i="9"/>
  <c r="E7" i="9"/>
  <c r="G6" i="9"/>
  <c r="G37" i="9" s="1"/>
  <c r="F6" i="9"/>
  <c r="F37" i="9" s="1"/>
  <c r="E6" i="9"/>
  <c r="E37" i="9" s="1"/>
  <c r="E53" i="8"/>
  <c r="E52" i="8"/>
  <c r="E51" i="8"/>
  <c r="E50" i="8"/>
  <c r="E49" i="8"/>
  <c r="E48" i="8"/>
  <c r="E47" i="8"/>
  <c r="E46" i="8"/>
  <c r="E45" i="8"/>
  <c r="E54" i="8" s="1"/>
  <c r="E44" i="8"/>
  <c r="E43" i="8"/>
  <c r="E42" i="8"/>
  <c r="E41" i="8"/>
  <c r="G28" i="8"/>
  <c r="E28" i="8"/>
  <c r="F28" i="8" s="1"/>
  <c r="H28" i="8" s="1"/>
  <c r="G27" i="8"/>
  <c r="E27" i="8"/>
  <c r="F27" i="8" s="1"/>
  <c r="H27" i="8" s="1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E23" i="8"/>
  <c r="F23" i="8" s="1"/>
  <c r="H23" i="8" s="1"/>
  <c r="G22" i="8"/>
  <c r="E22" i="8"/>
  <c r="F22" i="8" s="1"/>
  <c r="H22" i="8" s="1"/>
  <c r="H21" i="8"/>
  <c r="G21" i="8"/>
  <c r="F21" i="8"/>
  <c r="E21" i="8"/>
  <c r="G20" i="8"/>
  <c r="E20" i="8"/>
  <c r="F20" i="8" s="1"/>
  <c r="H20" i="8" s="1"/>
  <c r="H19" i="8"/>
  <c r="G19" i="8"/>
  <c r="E19" i="8"/>
  <c r="F19" i="8" s="1"/>
  <c r="G18" i="8"/>
  <c r="F18" i="8"/>
  <c r="H18" i="8" s="1"/>
  <c r="E18" i="8"/>
  <c r="H17" i="8"/>
  <c r="G17" i="8"/>
  <c r="F17" i="8"/>
  <c r="E17" i="8"/>
  <c r="G14" i="8"/>
  <c r="E14" i="8"/>
  <c r="F14" i="8" s="1"/>
  <c r="H14" i="8" s="1"/>
  <c r="G13" i="8"/>
  <c r="F13" i="8"/>
  <c r="H13" i="8" s="1"/>
  <c r="E13" i="8"/>
  <c r="G12" i="8"/>
  <c r="F12" i="8"/>
  <c r="H12" i="8" s="1"/>
  <c r="E12" i="8"/>
  <c r="G11" i="8"/>
  <c r="F11" i="8"/>
  <c r="H11" i="8" s="1"/>
  <c r="E11" i="8"/>
  <c r="G10" i="8"/>
  <c r="E10" i="8"/>
  <c r="F10" i="8" s="1"/>
  <c r="H10" i="8" s="1"/>
  <c r="G9" i="8"/>
  <c r="G29" i="8" s="1"/>
  <c r="C9" i="1" s="1"/>
  <c r="E9" i="8"/>
  <c r="F9" i="8" s="1"/>
  <c r="H9" i="8" s="1"/>
  <c r="G8" i="8"/>
  <c r="F8" i="8"/>
  <c r="H8" i="8" s="1"/>
  <c r="E8" i="8"/>
  <c r="G7" i="8"/>
  <c r="F7" i="8"/>
  <c r="H7" i="8" s="1"/>
  <c r="E7" i="8"/>
  <c r="G6" i="8"/>
  <c r="F6" i="8"/>
  <c r="H6" i="8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G28" i="7"/>
  <c r="H28" i="7" s="1"/>
  <c r="F28" i="7"/>
  <c r="E28" i="7"/>
  <c r="G27" i="7"/>
  <c r="E27" i="7"/>
  <c r="F27" i="7" s="1"/>
  <c r="H27" i="7" s="1"/>
  <c r="G26" i="7"/>
  <c r="H26" i="7" s="1"/>
  <c r="F26" i="7"/>
  <c r="E26" i="7"/>
  <c r="G25" i="7"/>
  <c r="E25" i="7"/>
  <c r="F25" i="7" s="1"/>
  <c r="H25" i="7" s="1"/>
  <c r="G24" i="7"/>
  <c r="H24" i="7" s="1"/>
  <c r="F24" i="7"/>
  <c r="E24" i="7"/>
  <c r="G23" i="7"/>
  <c r="E23" i="7"/>
  <c r="F23" i="7" s="1"/>
  <c r="H23" i="7" s="1"/>
  <c r="G22" i="7"/>
  <c r="H22" i="7" s="1"/>
  <c r="F22" i="7"/>
  <c r="E22" i="7"/>
  <c r="H21" i="7"/>
  <c r="G21" i="7"/>
  <c r="E21" i="7"/>
  <c r="F21" i="7" s="1"/>
  <c r="G20" i="7"/>
  <c r="H20" i="7" s="1"/>
  <c r="F20" i="7"/>
  <c r="E20" i="7"/>
  <c r="G19" i="7"/>
  <c r="E19" i="7"/>
  <c r="F19" i="7" s="1"/>
  <c r="H19" i="7" s="1"/>
  <c r="G18" i="7"/>
  <c r="H18" i="7" s="1"/>
  <c r="F18" i="7"/>
  <c r="E18" i="7"/>
  <c r="G17" i="7"/>
  <c r="E17" i="7"/>
  <c r="F17" i="7" s="1"/>
  <c r="H17" i="7" s="1"/>
  <c r="G14" i="7"/>
  <c r="H14" i="7" s="1"/>
  <c r="F14" i="7"/>
  <c r="E14" i="7"/>
  <c r="G13" i="7"/>
  <c r="E13" i="7"/>
  <c r="F13" i="7" s="1"/>
  <c r="H13" i="7" s="1"/>
  <c r="G12" i="7"/>
  <c r="H12" i="7" s="1"/>
  <c r="F12" i="7"/>
  <c r="E12" i="7"/>
  <c r="H11" i="7"/>
  <c r="G11" i="7"/>
  <c r="E11" i="7"/>
  <c r="F11" i="7" s="1"/>
  <c r="G10" i="7"/>
  <c r="H10" i="7" s="1"/>
  <c r="F10" i="7"/>
  <c r="E10" i="7"/>
  <c r="G9" i="7"/>
  <c r="E9" i="7"/>
  <c r="F9" i="7" s="1"/>
  <c r="H9" i="7" s="1"/>
  <c r="G8" i="7"/>
  <c r="H8" i="7" s="1"/>
  <c r="F8" i="7"/>
  <c r="E8" i="7"/>
  <c r="G7" i="7"/>
  <c r="E7" i="7"/>
  <c r="F7" i="7" s="1"/>
  <c r="G6" i="7"/>
  <c r="H6" i="7" s="1"/>
  <c r="F6" i="7"/>
  <c r="E6" i="7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H28" i="5"/>
  <c r="G28" i="5"/>
  <c r="E28" i="5"/>
  <c r="F28" i="5" s="1"/>
  <c r="G27" i="5"/>
  <c r="F27" i="5"/>
  <c r="H27" i="5" s="1"/>
  <c r="E27" i="5"/>
  <c r="G26" i="5"/>
  <c r="H26" i="5" s="1"/>
  <c r="F26" i="5"/>
  <c r="E26" i="5"/>
  <c r="G25" i="5"/>
  <c r="E25" i="5"/>
  <c r="F25" i="5" s="1"/>
  <c r="H25" i="5" s="1"/>
  <c r="G24" i="5"/>
  <c r="F24" i="5"/>
  <c r="H24" i="5" s="1"/>
  <c r="E24" i="5"/>
  <c r="G23" i="5"/>
  <c r="F23" i="5"/>
  <c r="H23" i="5" s="1"/>
  <c r="E23" i="5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F19" i="5"/>
  <c r="H19" i="5" s="1"/>
  <c r="E19" i="5"/>
  <c r="G18" i="5"/>
  <c r="F18" i="5"/>
  <c r="H18" i="5" s="1"/>
  <c r="E18" i="5"/>
  <c r="G17" i="5"/>
  <c r="F17" i="5"/>
  <c r="H17" i="5" s="1"/>
  <c r="E17" i="5"/>
  <c r="G14" i="5"/>
  <c r="E14" i="5"/>
  <c r="F14" i="5" s="1"/>
  <c r="H14" i="5" s="1"/>
  <c r="G13" i="5"/>
  <c r="F13" i="5"/>
  <c r="H13" i="5" s="1"/>
  <c r="E13" i="5"/>
  <c r="G12" i="5"/>
  <c r="F12" i="5"/>
  <c r="H12" i="5" s="1"/>
  <c r="E12" i="5"/>
  <c r="G11" i="5"/>
  <c r="E11" i="5"/>
  <c r="F11" i="5" s="1"/>
  <c r="H11" i="5" s="1"/>
  <c r="G10" i="5"/>
  <c r="E10" i="5"/>
  <c r="F10" i="5" s="1"/>
  <c r="H10" i="5" s="1"/>
  <c r="G9" i="5"/>
  <c r="F9" i="5"/>
  <c r="H9" i="5" s="1"/>
  <c r="E9" i="5"/>
  <c r="G8" i="5"/>
  <c r="H8" i="5" s="1"/>
  <c r="F8" i="5"/>
  <c r="E8" i="5"/>
  <c r="G7" i="5"/>
  <c r="E7" i="5"/>
  <c r="F7" i="5" s="1"/>
  <c r="H7" i="5" s="1"/>
  <c r="G6" i="5"/>
  <c r="G29" i="5" s="1"/>
  <c r="C6" i="1" s="1"/>
  <c r="F6" i="5"/>
  <c r="E6" i="5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F14" i="4"/>
  <c r="H14" i="4" s="1"/>
  <c r="E14" i="4"/>
  <c r="H13" i="4"/>
  <c r="G13" i="4"/>
  <c r="E13" i="4"/>
  <c r="F13" i="4" s="1"/>
  <c r="G12" i="4"/>
  <c r="E12" i="4"/>
  <c r="F12" i="4" s="1"/>
  <c r="H12" i="4" s="1"/>
  <c r="G11" i="4"/>
  <c r="F11" i="4"/>
  <c r="H11" i="4" s="1"/>
  <c r="E11" i="4"/>
  <c r="G10" i="4"/>
  <c r="E10" i="4"/>
  <c r="F10" i="4" s="1"/>
  <c r="H10" i="4" s="1"/>
  <c r="G9" i="4"/>
  <c r="F9" i="4"/>
  <c r="H9" i="4" s="1"/>
  <c r="E9" i="4"/>
  <c r="G8" i="4"/>
  <c r="E8" i="4"/>
  <c r="F8" i="4" s="1"/>
  <c r="H8" i="4" s="1"/>
  <c r="G7" i="4"/>
  <c r="F7" i="4"/>
  <c r="H7" i="4" s="1"/>
  <c r="E7" i="4"/>
  <c r="G6" i="4"/>
  <c r="G37" i="4" s="1"/>
  <c r="C7" i="1" s="1"/>
  <c r="E6" i="4"/>
  <c r="E37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C37" i="3"/>
  <c r="E29" i="3"/>
  <c r="G28" i="3"/>
  <c r="F28" i="3"/>
  <c r="H28" i="3" s="1"/>
  <c r="E28" i="3"/>
  <c r="G27" i="3"/>
  <c r="F27" i="3"/>
  <c r="H27" i="3" s="1"/>
  <c r="E27" i="3"/>
  <c r="G26" i="3"/>
  <c r="F26" i="3"/>
  <c r="H26" i="3" s="1"/>
  <c r="E26" i="3"/>
  <c r="G25" i="3"/>
  <c r="F25" i="3"/>
  <c r="H25" i="3" s="1"/>
  <c r="E25" i="3"/>
  <c r="G24" i="3"/>
  <c r="F24" i="3"/>
  <c r="H24" i="3" s="1"/>
  <c r="E24" i="3"/>
  <c r="G23" i="3"/>
  <c r="E23" i="3"/>
  <c r="F23" i="3" s="1"/>
  <c r="H23" i="3" s="1"/>
  <c r="G22" i="3"/>
  <c r="F22" i="3"/>
  <c r="H22" i="3" s="1"/>
  <c r="E22" i="3"/>
  <c r="G21" i="3"/>
  <c r="E21" i="3"/>
  <c r="F21" i="3" s="1"/>
  <c r="H21" i="3" s="1"/>
  <c r="G20" i="3"/>
  <c r="F20" i="3"/>
  <c r="H20" i="3" s="1"/>
  <c r="E20" i="3"/>
  <c r="G19" i="3"/>
  <c r="F19" i="3"/>
  <c r="H19" i="3" s="1"/>
  <c r="E19" i="3"/>
  <c r="G18" i="3"/>
  <c r="F18" i="3"/>
  <c r="H18" i="3" s="1"/>
  <c r="E18" i="3"/>
  <c r="G17" i="3"/>
  <c r="F17" i="3"/>
  <c r="H17" i="3" s="1"/>
  <c r="E17" i="3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G10" i="3"/>
  <c r="F10" i="3"/>
  <c r="H10" i="3" s="1"/>
  <c r="E10" i="3"/>
  <c r="G9" i="3"/>
  <c r="F9" i="3"/>
  <c r="H9" i="3" s="1"/>
  <c r="E9" i="3"/>
  <c r="G8" i="3"/>
  <c r="F8" i="3"/>
  <c r="H8" i="3" s="1"/>
  <c r="E8" i="3"/>
  <c r="G7" i="3"/>
  <c r="G29" i="3" s="1"/>
  <c r="C8" i="1" s="1"/>
  <c r="F7" i="3"/>
  <c r="H7" i="3" s="1"/>
  <c r="E7" i="3"/>
  <c r="G6" i="3"/>
  <c r="F6" i="3"/>
  <c r="H6" i="3" s="1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H14" i="2"/>
  <c r="G14" i="2"/>
  <c r="E14" i="2"/>
  <c r="F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G37" i="2" s="1"/>
  <c r="C5" i="1" s="1"/>
  <c r="E7" i="2"/>
  <c r="F7" i="2" s="1"/>
  <c r="H7" i="2" s="1"/>
  <c r="G6" i="2"/>
  <c r="E6" i="2"/>
  <c r="F6" i="2" s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J16" i="1"/>
  <c r="I16" i="1"/>
  <c r="H16" i="1"/>
  <c r="G16" i="1"/>
  <c r="J15" i="1"/>
  <c r="I15" i="1"/>
  <c r="H15" i="1"/>
  <c r="G15" i="1"/>
  <c r="B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C11" i="1"/>
  <c r="B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4" i="6" s="1"/>
  <c r="G28" i="6"/>
  <c r="F28" i="6"/>
  <c r="H28" i="6" s="1"/>
  <c r="E28" i="6"/>
  <c r="H27" i="6"/>
  <c r="G27" i="6"/>
  <c r="F27" i="6"/>
  <c r="E27" i="6"/>
  <c r="G26" i="6"/>
  <c r="E26" i="6"/>
  <c r="F26" i="6" s="1"/>
  <c r="H26" i="6" s="1"/>
  <c r="H25" i="6"/>
  <c r="G25" i="6"/>
  <c r="F25" i="6"/>
  <c r="E25" i="6"/>
  <c r="G24" i="6"/>
  <c r="F24" i="6"/>
  <c r="H24" i="6" s="1"/>
  <c r="E24" i="6"/>
  <c r="H23" i="6"/>
  <c r="G23" i="6"/>
  <c r="F23" i="6"/>
  <c r="E23" i="6"/>
  <c r="G22" i="6"/>
  <c r="E22" i="6"/>
  <c r="F22" i="6" s="1"/>
  <c r="H22" i="6" s="1"/>
  <c r="H21" i="6"/>
  <c r="G21" i="6"/>
  <c r="F21" i="6"/>
  <c r="E21" i="6"/>
  <c r="G20" i="6"/>
  <c r="E20" i="6"/>
  <c r="F20" i="6" s="1"/>
  <c r="H20" i="6" s="1"/>
  <c r="H19" i="6"/>
  <c r="G19" i="6"/>
  <c r="F19" i="6"/>
  <c r="E19" i="6"/>
  <c r="G18" i="6"/>
  <c r="F18" i="6"/>
  <c r="H18" i="6" s="1"/>
  <c r="E18" i="6"/>
  <c r="H17" i="6"/>
  <c r="G17" i="6"/>
  <c r="F17" i="6"/>
  <c r="E17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F10" i="6"/>
  <c r="H10" i="6" s="1"/>
  <c r="E10" i="6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29" i="6" s="1"/>
  <c r="C10" i="1" s="1"/>
  <c r="F6" i="6"/>
  <c r="E6" i="6"/>
  <c r="H11" i="3" l="1"/>
  <c r="F29" i="3"/>
  <c r="E29" i="5"/>
  <c r="D15" i="22"/>
  <c r="D9" i="22"/>
  <c r="E37" i="2"/>
  <c r="E54" i="7"/>
  <c r="E29" i="14"/>
  <c r="E54" i="16"/>
  <c r="D8" i="22"/>
  <c r="E54" i="19"/>
  <c r="G29" i="1"/>
  <c r="F37" i="2"/>
  <c r="B5" i="1" s="1"/>
  <c r="F29" i="7"/>
  <c r="H6" i="12"/>
  <c r="H37" i="12" s="1"/>
  <c r="F37" i="12"/>
  <c r="B14" i="1" s="1"/>
  <c r="F14" i="1" s="1"/>
  <c r="F29" i="18"/>
  <c r="E29" i="19"/>
  <c r="E29" i="6"/>
  <c r="H29" i="1"/>
  <c r="F11" i="1"/>
  <c r="E62" i="10"/>
  <c r="H37" i="11"/>
  <c r="H11" i="16"/>
  <c r="F29" i="8"/>
  <c r="H6" i="6"/>
  <c r="F29" i="6"/>
  <c r="I29" i="1"/>
  <c r="H6" i="2"/>
  <c r="H37" i="2" s="1"/>
  <c r="H7" i="7"/>
  <c r="H6" i="10"/>
  <c r="H37" i="10" s="1"/>
  <c r="H7" i="11"/>
  <c r="F37" i="11"/>
  <c r="B13" i="1" s="1"/>
  <c r="F13" i="1" s="1"/>
  <c r="E37" i="11"/>
  <c r="G29" i="14"/>
  <c r="C19" i="1" s="1"/>
  <c r="F16" i="1"/>
  <c r="H9" i="14"/>
  <c r="F29" i="14"/>
  <c r="E54" i="18"/>
  <c r="D6" i="22"/>
  <c r="J29" i="1"/>
  <c r="C35" i="1"/>
  <c r="F29" i="5"/>
  <c r="H6" i="5"/>
  <c r="E29" i="8"/>
  <c r="H22" i="14"/>
  <c r="E29" i="17"/>
  <c r="F6" i="17"/>
  <c r="H7" i="19"/>
  <c r="F29" i="19"/>
  <c r="G29" i="7"/>
  <c r="C23" i="1" s="1"/>
  <c r="G37" i="10"/>
  <c r="C12" i="1" s="1"/>
  <c r="F12" i="1" s="1"/>
  <c r="H7" i="15"/>
  <c r="H37" i="15" s="1"/>
  <c r="F29" i="16"/>
  <c r="E62" i="4"/>
  <c r="E37" i="12"/>
  <c r="E29" i="20"/>
  <c r="E54" i="21"/>
  <c r="F29" i="20"/>
  <c r="H6" i="20"/>
  <c r="G29" i="20"/>
  <c r="C22" i="1" s="1"/>
  <c r="D10" i="22"/>
  <c r="F6" i="4"/>
  <c r="G29" i="18"/>
  <c r="C20" i="1" s="1"/>
  <c r="D11" i="22"/>
  <c r="E29" i="7"/>
  <c r="H6" i="9"/>
  <c r="H37" i="9" s="1"/>
  <c r="E37" i="10"/>
  <c r="E54" i="17"/>
  <c r="H6" i="18"/>
  <c r="E54" i="20"/>
  <c r="D4" i="22"/>
  <c r="D12" i="22"/>
  <c r="G37" i="13"/>
  <c r="C15" i="1" s="1"/>
  <c r="F15" i="1" s="1"/>
  <c r="E29" i="16"/>
  <c r="D5" i="22"/>
  <c r="D13" i="22"/>
  <c r="H29" i="14" l="1"/>
  <c r="B19" i="1"/>
  <c r="F19" i="1" s="1"/>
  <c r="B22" i="1"/>
  <c r="F22" i="1" s="1"/>
  <c r="H29" i="20"/>
  <c r="H29" i="5"/>
  <c r="B6" i="1"/>
  <c r="F6" i="1" s="1"/>
  <c r="C34" i="1"/>
  <c r="C37" i="1" s="1"/>
  <c r="F5" i="1"/>
  <c r="B21" i="1"/>
  <c r="F21" i="1" s="1"/>
  <c r="H29" i="19"/>
  <c r="C29" i="1"/>
  <c r="H29" i="6"/>
  <c r="B10" i="1"/>
  <c r="F10" i="1" s="1"/>
  <c r="D17" i="22"/>
  <c r="F29" i="17"/>
  <c r="H6" i="17"/>
  <c r="H29" i="8"/>
  <c r="B9" i="1"/>
  <c r="F9" i="1" s="1"/>
  <c r="H29" i="18"/>
  <c r="B20" i="1"/>
  <c r="F20" i="1" s="1"/>
  <c r="B23" i="1"/>
  <c r="F23" i="1" s="1"/>
  <c r="H29" i="7"/>
  <c r="F37" i="4"/>
  <c r="B7" i="1" s="1"/>
  <c r="F7" i="1" s="1"/>
  <c r="H6" i="4"/>
  <c r="H37" i="4" s="1"/>
  <c r="B8" i="1"/>
  <c r="F8" i="1" s="1"/>
  <c r="H29" i="3"/>
  <c r="B17" i="1"/>
  <c r="F17" i="1" s="1"/>
  <c r="H29" i="16"/>
  <c r="F29" i="1" l="1"/>
  <c r="C33" i="1" s="1"/>
  <c r="C36" i="1" s="1"/>
  <c r="H29" i="17"/>
  <c r="B18" i="1"/>
  <c r="F18" i="1" s="1"/>
  <c r="B29" i="1"/>
  <c r="C32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<sst xmlns="http://schemas.openxmlformats.org/spreadsheetml/2006/main" count="1502" uniqueCount="93">
  <si>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</si>
  <si>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</si>
  <si>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</si>
  <si>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</si>
  <si>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</si>
  <si>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</si>
  <si>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</si>
  <si>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</si>
  <si>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</si>
  <si>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</si>
  <si>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</si>
  <si>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</si>
  <si>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</si>
  <si>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</si>
  <si>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</si>
  <si>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</si>
  <si>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</si>
  <si>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</si>
  <si>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</si>
  <si>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</si>
  <si>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</si>
  <si>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</si>
  <si>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</si>
  <si>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</si>
  <si>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</si>
  <si>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</si>
  <si>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</si>
  <si>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</si>
  <si>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</si>
  <si>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</si>
  <si>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</si>
  <si>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</si>
  <si>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</si>
  <si>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</si>
  <si>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</si>
  <si>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</si>
  <si>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</si>
  <si>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</si>
  <si>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</si>
  <si>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</si>
  <si>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</si>
  <si>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</si>
  <si>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</si>
  <si>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</si>
  <si>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</si>
  <si>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</si>
  <si>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</si>
  <si>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</si>
  <si>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</si>
  <si>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</si>
  <si>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</si>
  <si>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</si>
  <si>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</si>
  <si>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</si>
  <si>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</si>
  <si>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</si>
  <si>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</si>
  <si>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</si>
  <si>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</si>
  <si>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</si>
  <si>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</si>
  <si>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</si>
  <si>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</si>
  <si>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</si>
  <si>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</si>
  <si>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</si>
  <si>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</si>
  <si>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</si>
  <si>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</si>
  <si>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</si>
  <si>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</si>
  <si>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</si>
  <si>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</si>
  <si>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</si>
  <si>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</si>
  <si>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</si>
  <si>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</si>
  <si>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</si>
  <si>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</si>
  <si>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</si>
  <si>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</si>
  <si>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</si>
  <si>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</si>
  <si>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</si>
  <si>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</si>
  <si>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</si>
  <si>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</si>
  <si>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</si>
  <si>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</si>
  <si>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</si>
  <si>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</si>
  <si>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</si>
  <si>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Weekly report From 09March2026- 15March2026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</si>
</sst>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4" fillId="0" borderId="37" xfId="1" applyNumberFormat="1" applyFont="1" applyBorder="1" applyAlignment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" fillId="0" borderId="26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31" customHeight="1">
      <c r="A2" s="186" t="s">
        <v>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</row>
    <row r="3" spans="1:13" ht="15" customHeight="1">
      <c r="A3" s="186"/>
      <c r="B3" s="187"/>
      <c r="C3" s="187"/>
      <c r="D3" s="187"/>
      <c r="E3" s="187"/>
      <c r="F3" s="187"/>
      <c r="G3" s="187"/>
      <c r="H3" s="187"/>
      <c r="I3" s="187"/>
      <c r="J3" s="187"/>
      <c r="K3" s="187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3129975</v>
      </c>
      <c r="C10" s="21">
        <f>BUGESERA!G29</f>
        <v>289840</v>
      </c>
      <c r="D10" s="22"/>
      <c r="E10" s="23"/>
      <c r="F10" s="18">
        <f t="shared" si="0"/>
        <v>3419815</v>
      </c>
      <c r="G10" s="20">
        <f>BUGESERA!C33</f>
        <v>0</v>
      </c>
      <c r="H10" s="21">
        <f>BUGESERA!C31</f>
        <v>3201655</v>
      </c>
      <c r="I10" s="21">
        <f>BUGESERA!C34</f>
        <v>0</v>
      </c>
      <c r="J10" s="21">
        <f>BUGESERA!C32</f>
        <v>218160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13775976</v>
      </c>
      <c r="C29" s="40">
        <f t="shared" si="1"/>
        <v>1262870</v>
      </c>
      <c r="D29" s="41">
        <f t="shared" si="1"/>
        <v>0</v>
      </c>
      <c r="E29" s="40">
        <f t="shared" si="1"/>
        <v>0</v>
      </c>
      <c r="F29" s="40">
        <f t="shared" si="1"/>
        <v>15038846</v>
      </c>
      <c r="G29" s="41">
        <f t="shared" si="1"/>
        <v>0</v>
      </c>
      <c r="H29" s="41">
        <f t="shared" si="1"/>
        <v>3201655</v>
      </c>
      <c r="I29" s="41">
        <f t="shared" si="1"/>
        <v>0</v>
      </c>
      <c r="J29" s="42">
        <f t="shared" si="1"/>
        <v>218160</v>
      </c>
      <c r="K29" s="11"/>
      <c r="M29" s="43"/>
    </row>
    <row r="30" spans="1:13" ht="14">
      <c r="A30" s="194"/>
      <c r="B30" s="194"/>
      <c r="C30" s="194"/>
      <c r="D30" s="195"/>
      <c r="E30" s="203" t="s">
        <v>32</v>
      </c>
      <c r="F30" s="204"/>
      <c r="G30" s="204"/>
      <c r="H30" s="204"/>
      <c r="I30" s="205"/>
      <c r="J30" s="188"/>
      <c r="K30" s="189"/>
    </row>
    <row r="31" spans="1:13">
      <c r="A31" s="201" t="s">
        <v>33</v>
      </c>
      <c r="B31" s="202"/>
      <c r="C31" s="202"/>
      <c r="D31" s="202"/>
      <c r="E31" s="206"/>
      <c r="F31" s="207"/>
      <c r="G31" s="207"/>
      <c r="H31" s="207"/>
      <c r="I31" s="208"/>
      <c r="J31" s="190"/>
      <c r="K31" s="191"/>
    </row>
    <row r="32" spans="1:13" ht="14">
      <c r="A32" s="218" t="s">
        <v>34</v>
      </c>
      <c r="B32" s="219"/>
      <c r="C32" s="225">
        <f>SUM(B29:C29)</f>
        <v>15038846</v>
      </c>
      <c r="D32" s="226"/>
      <c r="E32" s="206"/>
      <c r="F32" s="207"/>
      <c r="G32" s="207"/>
      <c r="H32" s="207"/>
      <c r="I32" s="208"/>
      <c r="J32" s="190"/>
      <c r="K32" s="191"/>
    </row>
    <row r="33" spans="1:11" ht="14">
      <c r="A33" s="218" t="s">
        <v>35</v>
      </c>
      <c r="B33" s="219"/>
      <c r="C33" s="196">
        <f>SUM(F29,G29)</f>
        <v>15038846</v>
      </c>
      <c r="D33" s="222"/>
      <c r="E33" s="206"/>
      <c r="F33" s="207"/>
      <c r="G33" s="207"/>
      <c r="H33" s="207"/>
      <c r="I33" s="208"/>
      <c r="J33" s="190"/>
      <c r="K33" s="191"/>
    </row>
    <row r="34" spans="1:11" ht="14">
      <c r="A34" s="223" t="s">
        <v>36</v>
      </c>
      <c r="B34" s="224"/>
      <c r="C34" s="196">
        <f>SUM(H29,J29,I29)</f>
        <v>3419815</v>
      </c>
      <c r="D34" s="197"/>
      <c r="E34" s="206"/>
      <c r="F34" s="207"/>
      <c r="G34" s="207"/>
      <c r="H34" s="207"/>
      <c r="I34" s="208"/>
      <c r="J34" s="190"/>
      <c r="K34" s="191"/>
    </row>
    <row r="35" spans="1:11" ht="14">
      <c r="A35" s="218" t="s">
        <v>37</v>
      </c>
      <c r="B35" s="219"/>
      <c r="C35" s="196">
        <f>SUM(D29:E29)</f>
        <v>0</v>
      </c>
      <c r="D35" s="197"/>
      <c r="E35" s="209"/>
      <c r="F35" s="210"/>
      <c r="G35" s="210"/>
      <c r="H35" s="210"/>
      <c r="I35" s="211"/>
      <c r="J35" s="190"/>
      <c r="K35" s="191"/>
    </row>
    <row r="36" spans="1:11" ht="14">
      <c r="A36" s="218" t="s">
        <v>38</v>
      </c>
      <c r="B36" s="219"/>
      <c r="C36" s="196">
        <f t="shared" ref="C36" si="2">SUM(C33,C35)</f>
        <v>15038846</v>
      </c>
      <c r="D36" s="197"/>
      <c r="E36" s="212" t="s">
        <v>39</v>
      </c>
      <c r="F36" s="213"/>
      <c r="G36" s="213"/>
      <c r="H36" s="213"/>
      <c r="I36" s="214"/>
      <c r="J36" s="190"/>
      <c r="K36" s="191"/>
    </row>
    <row r="37" spans="1:11" ht="14">
      <c r="A37" s="220" t="s">
        <v>40</v>
      </c>
      <c r="B37" s="221"/>
      <c r="C37" s="196">
        <f>SUM(C34:C35)</f>
        <v>3419815</v>
      </c>
      <c r="D37" s="197"/>
      <c r="E37" s="215"/>
      <c r="F37" s="216"/>
      <c r="G37" s="216"/>
      <c r="H37" s="216"/>
      <c r="I37" s="217"/>
      <c r="J37" s="190"/>
      <c r="K37" s="191"/>
    </row>
    <row r="38" spans="1:11" ht="25.5">
      <c r="A38" s="198" t="s">
        <v>41</v>
      </c>
      <c r="B38" s="199"/>
      <c r="C38" s="199"/>
      <c r="D38" s="199"/>
      <c r="E38" s="199"/>
      <c r="F38" s="199"/>
      <c r="G38" s="199"/>
      <c r="H38" s="199"/>
      <c r="I38" s="200"/>
      <c r="J38" s="192"/>
      <c r="K38" s="193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C36:D36"/>
    <mergeCell ref="A34:B34"/>
    <mergeCell ref="A35:B35"/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  <mergeCell ref="C35:D35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48" t="s">
        <v>42</v>
      </c>
      <c r="B1" s="249"/>
      <c r="C1" s="249"/>
      <c r="D1" s="249"/>
      <c r="E1" s="249"/>
      <c r="F1" s="249"/>
      <c r="G1" s="249"/>
      <c r="H1" s="250"/>
    </row>
    <row r="2" spans="1:8">
      <c r="A2" s="251"/>
      <c r="B2" s="252"/>
      <c r="C2" s="252"/>
      <c r="D2" s="252"/>
      <c r="E2" s="252"/>
      <c r="F2" s="252"/>
      <c r="G2" s="252"/>
      <c r="H2" s="253"/>
    </row>
    <row r="3" spans="1:8">
      <c r="A3" s="233" t="s">
        <v>43</v>
      </c>
      <c r="B3" s="234"/>
      <c r="C3" s="234"/>
      <c r="D3" s="234"/>
      <c r="E3" s="234"/>
      <c r="F3" s="234"/>
      <c r="G3" s="234"/>
      <c r="H3" s="235"/>
    </row>
    <row r="4" spans="1:8">
      <c r="A4" s="236"/>
      <c r="B4" s="237"/>
      <c r="C4" s="237"/>
      <c r="D4" s="237"/>
      <c r="E4" s="237"/>
      <c r="F4" s="237"/>
      <c r="G4" s="237"/>
      <c r="H4" s="238"/>
    </row>
    <row r="5" spans="1:8" ht="15">
      <c r="A5" s="45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64">
        <v>7670</v>
      </c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64">
        <v>4720</v>
      </c>
      <c r="D7" s="165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19">
        <v>3304</v>
      </c>
      <c r="D9" s="120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19">
        <v>2124</v>
      </c>
      <c r="D10" s="120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19">
        <v>1357</v>
      </c>
      <c r="D13" s="120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52" t="s">
        <v>66</v>
      </c>
      <c r="B38" s="153"/>
      <c r="C38" s="84" t="s">
        <v>67</v>
      </c>
      <c r="D38" s="85"/>
      <c r="E38" s="174" t="s">
        <v>68</v>
      </c>
      <c r="F38" s="175"/>
      <c r="G38" s="86" t="s">
        <v>69</v>
      </c>
      <c r="H38" s="87" t="s">
        <v>67</v>
      </c>
    </row>
    <row r="39" spans="1:8" ht="15">
      <c r="A39" s="166" t="s">
        <v>70</v>
      </c>
      <c r="B39" s="167"/>
      <c r="C39" s="88"/>
      <c r="D39" s="89"/>
      <c r="E39" s="168"/>
      <c r="F39" s="168"/>
      <c r="G39" s="90"/>
      <c r="H39" s="91"/>
    </row>
    <row r="40" spans="1:8" ht="15">
      <c r="A40" s="169" t="s">
        <v>71</v>
      </c>
      <c r="B40" s="170"/>
      <c r="C40" s="92"/>
      <c r="D40" s="93"/>
      <c r="E40" s="173"/>
      <c r="F40" s="173"/>
      <c r="G40" s="94"/>
      <c r="H40" s="95"/>
    </row>
    <row r="41" spans="1:8" ht="15">
      <c r="A41" s="169" t="s">
        <v>72</v>
      </c>
      <c r="B41" s="170"/>
      <c r="C41" s="96"/>
      <c r="D41" s="89"/>
      <c r="E41" s="130"/>
      <c r="F41" s="130"/>
      <c r="G41" s="94"/>
      <c r="H41" s="95"/>
    </row>
    <row r="42" spans="1:8" ht="15">
      <c r="A42" s="171" t="s">
        <v>73</v>
      </c>
      <c r="B42" s="172"/>
      <c r="C42" s="97"/>
      <c r="D42" s="98"/>
      <c r="E42" s="129"/>
      <c r="F42" s="130"/>
      <c r="G42" s="53"/>
      <c r="H42" s="95"/>
    </row>
    <row r="43" spans="1:8" ht="15">
      <c r="A43" s="121" t="s">
        <v>74</v>
      </c>
      <c r="B43" s="122"/>
      <c r="C43" s="99"/>
      <c r="D43" s="98"/>
      <c r="E43" s="131"/>
      <c r="F43" s="132"/>
      <c r="G43" s="53"/>
      <c r="H43" s="95"/>
    </row>
    <row r="44" spans="1:8" ht="15">
      <c r="A44" s="121" t="s">
        <v>75</v>
      </c>
      <c r="B44" s="122"/>
      <c r="C44" s="100"/>
      <c r="D44" s="48"/>
      <c r="E44" s="131"/>
      <c r="F44" s="132"/>
      <c r="G44" s="53"/>
      <c r="H44" s="95"/>
    </row>
    <row r="45" spans="1:8" ht="15">
      <c r="A45" s="121" t="s">
        <v>76</v>
      </c>
      <c r="B45" s="122"/>
      <c r="C45" s="101">
        <f>SUM(C39:C44)</f>
        <v>0</v>
      </c>
      <c r="D45" s="102"/>
      <c r="E45" s="157"/>
      <c r="F45" s="158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15" customHeight="1">
      <c r="A48" s="105"/>
      <c r="B48" s="239" t="s">
        <v>78</v>
      </c>
      <c r="C48" s="240"/>
      <c r="D48" s="241"/>
      <c r="E48" s="239" t="s">
        <v>79</v>
      </c>
      <c r="F48" s="240"/>
      <c r="G48" s="240"/>
      <c r="H48" s="241"/>
    </row>
    <row r="49" spans="1:8" ht="22" customHeight="1">
      <c r="A49" s="105"/>
      <c r="B49" s="148" t="s">
        <v>80</v>
      </c>
      <c r="C49" s="149"/>
      <c r="D49" s="150"/>
      <c r="E49" s="145">
        <f>SUM(B9:B12)</f>
        <v>27923</v>
      </c>
      <c r="F49" s="146"/>
      <c r="G49" s="146"/>
      <c r="H49" s="147"/>
    </row>
    <row r="50" spans="1:8" ht="22.5" customHeight="1">
      <c r="A50" s="105"/>
      <c r="B50" s="148" t="s">
        <v>52</v>
      </c>
      <c r="C50" s="149"/>
      <c r="D50" s="150"/>
      <c r="E50" s="145">
        <f>SUM(B6:B8)</f>
        <v>480</v>
      </c>
      <c r="F50" s="146"/>
      <c r="G50" s="146"/>
      <c r="H50" s="147"/>
    </row>
    <row r="51" spans="1:8" ht="24.65" customHeight="1">
      <c r="A51" s="105"/>
      <c r="B51" s="148" t="s">
        <v>81</v>
      </c>
      <c r="C51" s="149"/>
      <c r="D51" s="150"/>
      <c r="E51" s="136">
        <f>SUM(B13:B14)</f>
        <v>5567</v>
      </c>
      <c r="F51" s="137"/>
      <c r="G51" s="137"/>
      <c r="H51" s="138"/>
    </row>
    <row r="52" spans="1:8" ht="22" customHeight="1">
      <c r="B52" s="227" t="s">
        <v>61</v>
      </c>
      <c r="C52" s="228"/>
      <c r="D52" s="229"/>
      <c r="E52" s="123">
        <f>SUM(B17:B18)</f>
        <v>0</v>
      </c>
      <c r="F52" s="124"/>
      <c r="G52" s="124"/>
      <c r="H52" s="125"/>
    </row>
    <row r="53" spans="1:8" ht="22" customHeight="1">
      <c r="B53" s="227" t="s">
        <v>62</v>
      </c>
      <c r="C53" s="228"/>
      <c r="D53" s="229"/>
      <c r="E53" s="123">
        <f>SUM(B19:B20)</f>
        <v>0</v>
      </c>
      <c r="F53" s="124"/>
      <c r="G53" s="124"/>
      <c r="H53" s="125"/>
    </row>
    <row r="54" spans="1:8" ht="22" customHeight="1">
      <c r="B54" s="227" t="s">
        <v>63</v>
      </c>
      <c r="C54" s="228"/>
      <c r="D54" s="229"/>
      <c r="E54" s="123">
        <f>B29</f>
        <v>0</v>
      </c>
      <c r="F54" s="159"/>
      <c r="G54" s="159"/>
      <c r="H54" s="160"/>
    </row>
    <row r="55" spans="1:8" ht="22" customHeight="1">
      <c r="B55" s="227" t="s">
        <v>63</v>
      </c>
      <c r="C55" s="228"/>
      <c r="D55" s="229"/>
      <c r="E55" s="123">
        <f t="shared" ref="E55:E61" si="6">B30</f>
        <v>0</v>
      </c>
      <c r="F55" s="159"/>
      <c r="G55" s="159"/>
      <c r="H55" s="160"/>
    </row>
    <row r="56" spans="1:8" ht="22" customHeight="1">
      <c r="B56" s="227" t="s">
        <v>63</v>
      </c>
      <c r="C56" s="228"/>
      <c r="D56" s="229"/>
      <c r="E56" s="123">
        <f t="shared" si="6"/>
        <v>0</v>
      </c>
      <c r="F56" s="159"/>
      <c r="G56" s="159"/>
      <c r="H56" s="160"/>
    </row>
    <row r="57" spans="1:8" ht="22" customHeight="1">
      <c r="B57" s="227" t="s">
        <v>63</v>
      </c>
      <c r="C57" s="228"/>
      <c r="D57" s="229"/>
      <c r="E57" s="123">
        <f t="shared" si="6"/>
        <v>0</v>
      </c>
      <c r="F57" s="159"/>
      <c r="G57" s="159"/>
      <c r="H57" s="160"/>
    </row>
    <row r="58" spans="1:8" ht="24.65" customHeight="1">
      <c r="B58" s="227" t="s">
        <v>63</v>
      </c>
      <c r="C58" s="228"/>
      <c r="D58" s="229"/>
      <c r="E58" s="123">
        <f t="shared" si="6"/>
        <v>0</v>
      </c>
      <c r="F58" s="159"/>
      <c r="G58" s="159"/>
      <c r="H58" s="160"/>
    </row>
    <row r="59" spans="1:8" ht="25" customHeight="1">
      <c r="B59" s="227" t="s">
        <v>63</v>
      </c>
      <c r="C59" s="228"/>
      <c r="D59" s="229"/>
      <c r="E59" s="123">
        <f t="shared" si="6"/>
        <v>0</v>
      </c>
      <c r="F59" s="159"/>
      <c r="G59" s="159"/>
      <c r="H59" s="160"/>
    </row>
    <row r="60" spans="1:8" ht="17.5">
      <c r="B60" s="227" t="s">
        <v>63</v>
      </c>
      <c r="C60" s="228"/>
      <c r="D60" s="229"/>
      <c r="E60" s="123">
        <f t="shared" si="6"/>
        <v>0</v>
      </c>
      <c r="F60" s="159"/>
      <c r="G60" s="159"/>
      <c r="H60" s="160"/>
    </row>
    <row r="61" spans="1:8" ht="17.5">
      <c r="B61" s="227" t="s">
        <v>63</v>
      </c>
      <c r="C61" s="228"/>
      <c r="D61" s="229"/>
      <c r="E61" s="123">
        <f t="shared" si="6"/>
        <v>0</v>
      </c>
      <c r="F61" s="159"/>
      <c r="G61" s="159"/>
      <c r="H61" s="160"/>
    </row>
    <row r="62" spans="1:8" ht="27.5">
      <c r="B62" s="242" t="s">
        <v>82</v>
      </c>
      <c r="C62" s="243"/>
      <c r="D62" s="244"/>
      <c r="E62" s="245">
        <f>SUM(E49:H61)</f>
        <v>33970</v>
      </c>
      <c r="F62" s="246"/>
      <c r="G62" s="246"/>
      <c r="H62" s="247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>
        <v>7670</v>
      </c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>
        <v>2124</v>
      </c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4.5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f>SUM(C31:C36)</f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83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>
        <v>15000</v>
      </c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>
        <v>9000</v>
      </c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>
        <v>7670</v>
      </c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>
        <v>4130</v>
      </c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>
        <v>2124</v>
      </c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>
        <v>3540</v>
      </c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>
        <v>2006</v>
      </c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>
        <v>1357</v>
      </c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52" t="s">
        <v>66</v>
      </c>
      <c r="B38" s="153"/>
      <c r="C38" s="84" t="s">
        <v>67</v>
      </c>
      <c r="D38" s="85"/>
      <c r="E38" s="174" t="s">
        <v>68</v>
      </c>
      <c r="F38" s="175"/>
      <c r="G38" s="86" t="s">
        <v>69</v>
      </c>
      <c r="H38" s="87" t="s">
        <v>67</v>
      </c>
    </row>
    <row r="39" spans="1:8" ht="14.5">
      <c r="A39" s="166" t="s">
        <v>70</v>
      </c>
      <c r="B39" s="167"/>
      <c r="C39" s="88"/>
      <c r="D39" s="89"/>
      <c r="E39" s="168"/>
      <c r="F39" s="168"/>
      <c r="G39" s="90"/>
      <c r="H39" s="91"/>
    </row>
    <row r="40" spans="1:8" ht="14.5">
      <c r="A40" s="169" t="s">
        <v>71</v>
      </c>
      <c r="B40" s="170"/>
      <c r="C40" s="92"/>
      <c r="D40" s="93"/>
      <c r="E40" s="173"/>
      <c r="F40" s="173"/>
      <c r="G40" s="94"/>
      <c r="H40" s="95"/>
    </row>
    <row r="41" spans="1:8" ht="14.5">
      <c r="A41" s="169" t="s">
        <v>72</v>
      </c>
      <c r="B41" s="170"/>
      <c r="C41" s="96"/>
      <c r="D41" s="89"/>
      <c r="E41" s="130"/>
      <c r="F41" s="130"/>
      <c r="G41" s="94"/>
      <c r="H41" s="95"/>
    </row>
    <row r="42" spans="1:8" ht="14.5">
      <c r="A42" s="171" t="s">
        <v>73</v>
      </c>
      <c r="B42" s="172"/>
      <c r="C42" s="97"/>
      <c r="D42" s="98"/>
      <c r="E42" s="129"/>
      <c r="F42" s="130"/>
      <c r="G42" s="53"/>
      <c r="H42" s="95"/>
    </row>
    <row r="43" spans="1:8" ht="14.5">
      <c r="A43" s="121" t="s">
        <v>74</v>
      </c>
      <c r="B43" s="122"/>
      <c r="C43" s="99"/>
      <c r="D43" s="98"/>
      <c r="E43" s="131"/>
      <c r="F43" s="132"/>
      <c r="G43" s="53"/>
      <c r="H43" s="95"/>
    </row>
    <row r="44" spans="1:8" ht="14.5">
      <c r="A44" s="121" t="s">
        <v>75</v>
      </c>
      <c r="B44" s="122"/>
      <c r="C44" s="100"/>
      <c r="D44" s="48"/>
      <c r="E44" s="131"/>
      <c r="F44" s="132"/>
      <c r="G44" s="53"/>
      <c r="H44" s="95"/>
    </row>
    <row r="45" spans="1:8" ht="14.5">
      <c r="A45" s="121" t="s">
        <v>76</v>
      </c>
      <c r="B45" s="122"/>
      <c r="C45" s="101">
        <f>SUM(C39:C44)</f>
        <v>0</v>
      </c>
      <c r="D45" s="102"/>
      <c r="E45" s="157"/>
      <c r="F45" s="158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54" t="s">
        <v>78</v>
      </c>
      <c r="C48" s="155"/>
      <c r="D48" s="156"/>
      <c r="E48" s="154" t="s">
        <v>79</v>
      </c>
      <c r="F48" s="155"/>
      <c r="G48" s="155"/>
      <c r="H48" s="156"/>
    </row>
    <row r="49" spans="1:8" ht="18.5">
      <c r="A49" s="105"/>
      <c r="B49" s="148" t="s">
        <v>80</v>
      </c>
      <c r="C49" s="149"/>
      <c r="D49" s="150"/>
      <c r="E49" s="145">
        <f>SUM(B9:B12)</f>
        <v>0</v>
      </c>
      <c r="F49" s="146"/>
      <c r="G49" s="146"/>
      <c r="H49" s="147"/>
    </row>
    <row r="50" spans="1:8" ht="18.5">
      <c r="A50" s="105"/>
      <c r="B50" s="148" t="s">
        <v>52</v>
      </c>
      <c r="C50" s="149"/>
      <c r="D50" s="150"/>
      <c r="E50" s="145">
        <f>SUM(B6:B8)</f>
        <v>0</v>
      </c>
      <c r="F50" s="146"/>
      <c r="G50" s="146"/>
      <c r="H50" s="147"/>
    </row>
    <row r="51" spans="1:8" ht="18.5">
      <c r="A51" s="105"/>
      <c r="B51" s="148" t="s">
        <v>81</v>
      </c>
      <c r="C51" s="149"/>
      <c r="D51" s="150"/>
      <c r="E51" s="136">
        <f>SUM(B13:B14)</f>
        <v>0</v>
      </c>
      <c r="F51" s="137"/>
      <c r="G51" s="137"/>
      <c r="H51" s="138"/>
    </row>
    <row r="52" spans="1:8" ht="17.5">
      <c r="B52" s="126" t="s">
        <v>61</v>
      </c>
      <c r="C52" s="127"/>
      <c r="D52" s="128"/>
      <c r="E52" s="123">
        <f>SUM(B17:B18)</f>
        <v>0</v>
      </c>
      <c r="F52" s="124"/>
      <c r="G52" s="124"/>
      <c r="H52" s="125"/>
    </row>
    <row r="53" spans="1:8" ht="17.5">
      <c r="B53" s="126" t="s">
        <v>62</v>
      </c>
      <c r="C53" s="127"/>
      <c r="D53" s="128"/>
      <c r="E53" s="123">
        <f>SUM(B19:B20)</f>
        <v>0</v>
      </c>
      <c r="F53" s="124"/>
      <c r="G53" s="124"/>
      <c r="H53" s="125"/>
    </row>
    <row r="54" spans="1:8" ht="17.5">
      <c r="B54" s="126" t="s">
        <v>63</v>
      </c>
      <c r="C54" s="127"/>
      <c r="D54" s="128"/>
      <c r="E54" s="123">
        <f>B29</f>
        <v>0</v>
      </c>
      <c r="F54" s="159"/>
      <c r="G54" s="159"/>
      <c r="H54" s="160"/>
    </row>
    <row r="55" spans="1:8" ht="17.5">
      <c r="B55" s="126" t="s">
        <v>63</v>
      </c>
      <c r="C55" s="127"/>
      <c r="D55" s="128"/>
      <c r="E55" s="123">
        <f t="shared" ref="E55:E61" si="6">B30</f>
        <v>0</v>
      </c>
      <c r="F55" s="159"/>
      <c r="G55" s="159"/>
      <c r="H55" s="160"/>
    </row>
    <row r="56" spans="1:8" ht="17.5">
      <c r="B56" s="126" t="s">
        <v>63</v>
      </c>
      <c r="C56" s="127"/>
      <c r="D56" s="128"/>
      <c r="E56" s="123">
        <f t="shared" si="6"/>
        <v>0</v>
      </c>
      <c r="F56" s="159"/>
      <c r="G56" s="159"/>
      <c r="H56" s="160"/>
    </row>
    <row r="57" spans="1:8" ht="17.5">
      <c r="B57" s="126" t="s">
        <v>63</v>
      </c>
      <c r="C57" s="127"/>
      <c r="D57" s="128"/>
      <c r="E57" s="123">
        <f t="shared" si="6"/>
        <v>0</v>
      </c>
      <c r="F57" s="159"/>
      <c r="G57" s="159"/>
      <c r="H57" s="160"/>
    </row>
    <row r="58" spans="1:8" ht="17.5">
      <c r="B58" s="126" t="s">
        <v>63</v>
      </c>
      <c r="C58" s="127"/>
      <c r="D58" s="128"/>
      <c r="E58" s="123">
        <f t="shared" si="6"/>
        <v>0</v>
      </c>
      <c r="F58" s="159"/>
      <c r="G58" s="159"/>
      <c r="H58" s="160"/>
    </row>
    <row r="59" spans="1:8" ht="17.5">
      <c r="B59" s="126" t="s">
        <v>63</v>
      </c>
      <c r="C59" s="127"/>
      <c r="D59" s="128"/>
      <c r="E59" s="123">
        <f t="shared" si="6"/>
        <v>0</v>
      </c>
      <c r="F59" s="159"/>
      <c r="G59" s="159"/>
      <c r="H59" s="160"/>
    </row>
    <row r="60" spans="1:8" ht="17.5">
      <c r="B60" s="126" t="s">
        <v>63</v>
      </c>
      <c r="C60" s="127"/>
      <c r="D60" s="128"/>
      <c r="E60" s="123">
        <f t="shared" si="6"/>
        <v>0</v>
      </c>
      <c r="F60" s="159"/>
      <c r="G60" s="159"/>
      <c r="H60" s="160"/>
    </row>
    <row r="61" spans="1:8" ht="17.5">
      <c r="B61" s="126" t="s">
        <v>63</v>
      </c>
      <c r="C61" s="127"/>
      <c r="D61" s="128"/>
      <c r="E61" s="123">
        <f t="shared" si="6"/>
        <v>0</v>
      </c>
      <c r="F61" s="159"/>
      <c r="G61" s="159"/>
      <c r="H61" s="160"/>
    </row>
    <row r="62" spans="1:8" ht="23">
      <c r="B62" s="126" t="s">
        <v>82</v>
      </c>
      <c r="C62" s="127"/>
      <c r="D62" s="128"/>
      <c r="E62" s="254">
        <f>SUM(E49:H61)</f>
        <v>0</v>
      </c>
      <c r="F62" s="255"/>
      <c r="G62" s="255"/>
      <c r="H62" s="256"/>
    </row>
    <row r="63" spans="1:8" ht="17.5">
      <c r="B63" s="126"/>
      <c r="C63" s="127"/>
      <c r="D63" s="128"/>
      <c r="E63" s="133"/>
      <c r="F63" s="134"/>
      <c r="G63" s="134"/>
      <c r="H63" s="135"/>
    </row>
  </sheetData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4.5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topLeftCell="A17" zoomScale="91" workbookViewId="0">
      <selection activeCell="A3" sqref="A3:H4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92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>
        <v>7670</v>
      </c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>
        <v>4720</v>
      </c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19">
        <v>2006</v>
      </c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>
        <v>3304</v>
      </c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7506</v>
      </c>
      <c r="C10" s="119">
        <v>2124</v>
      </c>
      <c r="D10" s="120"/>
      <c r="E10" s="54">
        <f t="shared" si="0"/>
        <v>15942744</v>
      </c>
      <c r="F10" s="54">
        <f t="shared" si="1"/>
        <v>2431944</v>
      </c>
      <c r="G10" s="54">
        <f t="shared" si="4"/>
        <v>225180</v>
      </c>
      <c r="H10" s="55">
        <f t="shared" si="3"/>
        <v>2657124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>
        <v>2593</v>
      </c>
      <c r="C13" s="119">
        <v>1357</v>
      </c>
      <c r="D13" s="120"/>
      <c r="E13" s="54">
        <f t="shared" si="0"/>
        <v>3518701</v>
      </c>
      <c r="F13" s="54">
        <f t="shared" si="1"/>
        <v>536751</v>
      </c>
      <c r="G13" s="54">
        <f>PRODUCT(B13*20)</f>
        <v>51860</v>
      </c>
      <c r="H13" s="55">
        <f t="shared" si="3"/>
        <v>588611</v>
      </c>
    </row>
    <row r="14" spans="1:8" ht="14.5">
      <c r="A14" s="109" t="s">
        <v>56</v>
      </c>
      <c r="B14" s="53"/>
      <c r="C14" s="119">
        <v>1357</v>
      </c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>
        <v>320</v>
      </c>
      <c r="C21" s="70">
        <v>3304</v>
      </c>
      <c r="D21" s="70">
        <v>40</v>
      </c>
      <c r="E21" s="67">
        <f t="shared" si="6"/>
        <v>1057280</v>
      </c>
      <c r="F21" s="68">
        <f t="shared" si="5"/>
        <v>161280</v>
      </c>
      <c r="G21" s="68">
        <f t="shared" si="7"/>
        <v>12800</v>
      </c>
      <c r="H21" s="68">
        <f t="shared" si="8"/>
        <v>174080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20518725</v>
      </c>
      <c r="F29" s="80">
        <f t="shared" si="12"/>
        <v>3129975</v>
      </c>
      <c r="G29" s="81">
        <f t="shared" si="12"/>
        <v>289840</v>
      </c>
      <c r="H29" s="82">
        <f t="shared" si="11"/>
        <v>3419815</v>
      </c>
    </row>
    <row r="30" spans="1:8" ht="14.5">
      <c r="A30" s="152" t="s">
        <v>66</v>
      </c>
      <c r="B30" s="153"/>
      <c r="C30" s="84"/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>
      <c r="A31" s="166" t="s">
        <v>70</v>
      </c>
      <c r="B31" s="167"/>
      <c r="C31" s="88">
        <v>3201655</v>
      </c>
      <c r="D31" s="89"/>
      <c r="E31" s="168"/>
      <c r="F31" s="168"/>
      <c r="G31" s="90"/>
      <c r="H31" s="91"/>
    </row>
    <row r="32" spans="1:8" ht="14.5">
      <c r="A32" s="169" t="s">
        <v>71</v>
      </c>
      <c r="B32" s="170"/>
      <c r="C32" s="92">
        <v>218160</v>
      </c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7506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2593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320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10419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>
        <v>2124</v>
      </c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>
        <v>1357</v>
      </c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4.5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>
        <v>2124</v>
      </c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4.5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9">
        <v>2124</v>
      </c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52" t="s">
        <v>66</v>
      </c>
      <c r="B38" s="153"/>
      <c r="C38" s="84" t="s">
        <v>67</v>
      </c>
      <c r="D38" s="85"/>
      <c r="E38" s="174" t="s">
        <v>68</v>
      </c>
      <c r="F38" s="175"/>
      <c r="G38" s="86" t="s">
        <v>69</v>
      </c>
      <c r="H38" s="87" t="s">
        <v>67</v>
      </c>
    </row>
    <row r="39" spans="1:8" ht="15">
      <c r="A39" s="166" t="s">
        <v>70</v>
      </c>
      <c r="B39" s="167"/>
      <c r="C39" s="88"/>
      <c r="D39" s="89"/>
      <c r="E39" s="168"/>
      <c r="F39" s="168"/>
      <c r="G39" s="90"/>
      <c r="H39" s="91"/>
    </row>
    <row r="40" spans="1:8" ht="15">
      <c r="A40" s="169" t="s">
        <v>71</v>
      </c>
      <c r="B40" s="170"/>
      <c r="C40" s="92"/>
      <c r="D40" s="93"/>
      <c r="E40" s="173"/>
      <c r="F40" s="173"/>
      <c r="G40" s="94"/>
      <c r="H40" s="95"/>
    </row>
    <row r="41" spans="1:8" ht="15">
      <c r="A41" s="169" t="s">
        <v>72</v>
      </c>
      <c r="B41" s="170"/>
      <c r="C41" s="96"/>
      <c r="D41" s="89"/>
      <c r="E41" s="130"/>
      <c r="F41" s="130"/>
      <c r="G41" s="94"/>
      <c r="H41" s="95"/>
    </row>
    <row r="42" spans="1:8" ht="15">
      <c r="A42" s="171" t="s">
        <v>73</v>
      </c>
      <c r="B42" s="172"/>
      <c r="C42" s="97"/>
      <c r="D42" s="98"/>
      <c r="E42" s="129"/>
      <c r="F42" s="130"/>
      <c r="G42" s="53"/>
      <c r="H42" s="95"/>
    </row>
    <row r="43" spans="1:8" ht="15">
      <c r="A43" s="121" t="s">
        <v>74</v>
      </c>
      <c r="B43" s="122"/>
      <c r="C43" s="99"/>
      <c r="D43" s="98"/>
      <c r="E43" s="131"/>
      <c r="F43" s="132"/>
      <c r="G43" s="53"/>
      <c r="H43" s="95"/>
    </row>
    <row r="44" spans="1:8" ht="15">
      <c r="A44" s="121" t="s">
        <v>75</v>
      </c>
      <c r="B44" s="122"/>
      <c r="C44" s="100"/>
      <c r="D44" s="48"/>
      <c r="E44" s="131"/>
      <c r="F44" s="132"/>
      <c r="G44" s="53"/>
      <c r="H44" s="95"/>
    </row>
    <row r="45" spans="1:8" ht="15">
      <c r="A45" s="121" t="s">
        <v>76</v>
      </c>
      <c r="B45" s="122"/>
      <c r="C45" s="101">
        <v>0</v>
      </c>
      <c r="D45" s="102"/>
      <c r="E45" s="157"/>
      <c r="F45" s="158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54" t="s">
        <v>78</v>
      </c>
      <c r="C48" s="155"/>
      <c r="D48" s="156"/>
      <c r="E48" s="154" t="s">
        <v>79</v>
      </c>
      <c r="F48" s="155"/>
      <c r="G48" s="155"/>
      <c r="H48" s="156"/>
    </row>
    <row r="49" spans="1:8" ht="18.5">
      <c r="A49" s="105"/>
      <c r="B49" s="148" t="s">
        <v>80</v>
      </c>
      <c r="C49" s="149"/>
      <c r="D49" s="150"/>
      <c r="E49" s="145">
        <f>SUM(B9:B12)</f>
        <v>0</v>
      </c>
      <c r="F49" s="146"/>
      <c r="G49" s="146"/>
      <c r="H49" s="147"/>
    </row>
    <row r="50" spans="1:8" ht="18.5">
      <c r="A50" s="105"/>
      <c r="B50" s="148" t="s">
        <v>52</v>
      </c>
      <c r="C50" s="149"/>
      <c r="D50" s="150"/>
      <c r="E50" s="145">
        <f>SUM(B6:B8)</f>
        <v>0</v>
      </c>
      <c r="F50" s="146"/>
      <c r="G50" s="146"/>
      <c r="H50" s="147"/>
    </row>
    <row r="51" spans="1:8" ht="18.5">
      <c r="A51" s="105"/>
      <c r="B51" s="148" t="s">
        <v>81</v>
      </c>
      <c r="C51" s="149"/>
      <c r="D51" s="150"/>
      <c r="E51" s="136">
        <f>SUM(B13:B14)</f>
        <v>0</v>
      </c>
      <c r="F51" s="137"/>
      <c r="G51" s="137"/>
      <c r="H51" s="138"/>
    </row>
    <row r="52" spans="1:8" ht="17.5">
      <c r="B52" s="227" t="s">
        <v>61</v>
      </c>
      <c r="C52" s="228"/>
      <c r="D52" s="229"/>
      <c r="E52" s="123">
        <f>SUM(B17:B18)</f>
        <v>0</v>
      </c>
      <c r="F52" s="124"/>
      <c r="G52" s="124"/>
      <c r="H52" s="125"/>
    </row>
    <row r="53" spans="1:8" ht="17.5">
      <c r="B53" s="227" t="s">
        <v>62</v>
      </c>
      <c r="C53" s="228"/>
      <c r="D53" s="229"/>
      <c r="E53" s="123">
        <f>SUM(B19:B20)</f>
        <v>0</v>
      </c>
      <c r="F53" s="124"/>
      <c r="G53" s="124"/>
      <c r="H53" s="125"/>
    </row>
    <row r="54" spans="1:8" ht="17.5">
      <c r="B54" s="227" t="s">
        <v>63</v>
      </c>
      <c r="C54" s="228"/>
      <c r="D54" s="229"/>
      <c r="E54" s="123">
        <f>B29</f>
        <v>0</v>
      </c>
      <c r="F54" s="159"/>
      <c r="G54" s="159"/>
      <c r="H54" s="160"/>
    </row>
    <row r="55" spans="1:8" ht="17.5">
      <c r="B55" s="227" t="s">
        <v>63</v>
      </c>
      <c r="C55" s="228"/>
      <c r="D55" s="229"/>
      <c r="E55" s="123">
        <f t="shared" ref="E55:E61" si="6">B30</f>
        <v>0</v>
      </c>
      <c r="F55" s="159"/>
      <c r="G55" s="159"/>
      <c r="H55" s="160"/>
    </row>
    <row r="56" spans="1:8" ht="17.5">
      <c r="B56" s="227" t="s">
        <v>63</v>
      </c>
      <c r="C56" s="228"/>
      <c r="D56" s="229"/>
      <c r="E56" s="123">
        <f t="shared" si="6"/>
        <v>0</v>
      </c>
      <c r="F56" s="159"/>
      <c r="G56" s="159"/>
      <c r="H56" s="160"/>
    </row>
    <row r="57" spans="1:8" ht="17.5">
      <c r="B57" s="227" t="s">
        <v>63</v>
      </c>
      <c r="C57" s="228"/>
      <c r="D57" s="229"/>
      <c r="E57" s="123">
        <f t="shared" si="6"/>
        <v>0</v>
      </c>
      <c r="F57" s="159"/>
      <c r="G57" s="159"/>
      <c r="H57" s="160"/>
    </row>
    <row r="58" spans="1:8" ht="17.5">
      <c r="B58" s="227" t="s">
        <v>63</v>
      </c>
      <c r="C58" s="228"/>
      <c r="D58" s="229"/>
      <c r="E58" s="123">
        <f t="shared" si="6"/>
        <v>0</v>
      </c>
      <c r="F58" s="159"/>
      <c r="G58" s="159"/>
      <c r="H58" s="160"/>
    </row>
    <row r="59" spans="1:8" ht="17.5">
      <c r="B59" s="227" t="s">
        <v>63</v>
      </c>
      <c r="C59" s="228"/>
      <c r="D59" s="229"/>
      <c r="E59" s="123">
        <f t="shared" si="6"/>
        <v>0</v>
      </c>
      <c r="F59" s="159"/>
      <c r="G59" s="159"/>
      <c r="H59" s="160"/>
    </row>
    <row r="60" spans="1:8" ht="17.5">
      <c r="B60" s="227" t="s">
        <v>63</v>
      </c>
      <c r="C60" s="228"/>
      <c r="D60" s="229"/>
      <c r="E60" s="123">
        <f t="shared" si="6"/>
        <v>0</v>
      </c>
      <c r="F60" s="159"/>
      <c r="G60" s="159"/>
      <c r="H60" s="160"/>
    </row>
    <row r="61" spans="1:8" ht="17.5">
      <c r="B61" s="227" t="s">
        <v>63</v>
      </c>
      <c r="C61" s="228"/>
      <c r="D61" s="229"/>
      <c r="E61" s="123">
        <f t="shared" si="6"/>
        <v>0</v>
      </c>
      <c r="F61" s="159"/>
      <c r="G61" s="159"/>
      <c r="H61" s="160"/>
    </row>
    <row r="62" spans="1:8" ht="17.5">
      <c r="B62" s="227" t="s">
        <v>82</v>
      </c>
      <c r="C62" s="228"/>
      <c r="D62" s="229"/>
      <c r="E62" s="151">
        <f>SUM(E49:H61)</f>
        <v>0</v>
      </c>
      <c r="F62" s="124"/>
      <c r="G62" s="124"/>
      <c r="H62" s="12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>
        <v>1357</v>
      </c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52" t="s">
        <v>66</v>
      </c>
      <c r="B38" s="153"/>
      <c r="C38" s="84" t="s">
        <v>67</v>
      </c>
      <c r="D38" s="85"/>
      <c r="E38" s="267" t="s">
        <v>68</v>
      </c>
      <c r="F38" s="268"/>
      <c r="G38" s="86" t="s">
        <v>69</v>
      </c>
      <c r="H38" s="87" t="s">
        <v>67</v>
      </c>
    </row>
    <row r="39" spans="1:8" ht="14.5">
      <c r="A39" s="259" t="s">
        <v>70</v>
      </c>
      <c r="B39" s="260"/>
      <c r="C39" s="88"/>
      <c r="D39" s="89"/>
      <c r="E39" s="264"/>
      <c r="F39" s="265"/>
      <c r="G39" s="90"/>
      <c r="H39" s="91"/>
    </row>
    <row r="40" spans="1:8" ht="14.5">
      <c r="A40" s="169" t="s">
        <v>71</v>
      </c>
      <c r="B40" s="170"/>
      <c r="C40" s="92"/>
      <c r="D40" s="93"/>
      <c r="E40" s="119"/>
      <c r="F40" s="120"/>
      <c r="G40" s="94"/>
      <c r="H40" s="95"/>
    </row>
    <row r="41" spans="1:8" ht="14.5">
      <c r="A41" s="169" t="s">
        <v>72</v>
      </c>
      <c r="B41" s="170"/>
      <c r="C41" s="96"/>
      <c r="D41" s="89"/>
      <c r="E41" s="261"/>
      <c r="F41" s="129"/>
      <c r="G41" s="94"/>
      <c r="H41" s="95"/>
    </row>
    <row r="42" spans="1:8" ht="14.5">
      <c r="A42" s="169" t="s">
        <v>73</v>
      </c>
      <c r="B42" s="170"/>
      <c r="C42" s="97"/>
      <c r="D42" s="98"/>
      <c r="E42" s="266"/>
      <c r="F42" s="129"/>
      <c r="G42" s="53"/>
      <c r="H42" s="95"/>
    </row>
    <row r="43" spans="1:8" ht="14.5">
      <c r="A43" s="169" t="s">
        <v>74</v>
      </c>
      <c r="B43" s="170"/>
      <c r="C43" s="99"/>
      <c r="D43" s="98"/>
      <c r="E43" s="262"/>
      <c r="F43" s="131"/>
      <c r="G43" s="53"/>
      <c r="H43" s="95"/>
    </row>
    <row r="44" spans="1:8" ht="14.5">
      <c r="A44" s="169" t="s">
        <v>75</v>
      </c>
      <c r="B44" s="170"/>
      <c r="C44" s="100"/>
      <c r="D44" s="48"/>
      <c r="E44" s="262"/>
      <c r="F44" s="131"/>
      <c r="G44" s="53"/>
      <c r="H44" s="95"/>
    </row>
    <row r="45" spans="1:8" ht="14.5">
      <c r="A45" s="169" t="s">
        <v>76</v>
      </c>
      <c r="B45" s="170"/>
      <c r="C45" s="101">
        <v>0</v>
      </c>
      <c r="D45" s="102"/>
      <c r="E45" s="263"/>
      <c r="F45" s="157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54" t="s">
        <v>78</v>
      </c>
      <c r="C48" s="155"/>
      <c r="D48" s="156"/>
      <c r="E48" s="154" t="s">
        <v>79</v>
      </c>
      <c r="F48" s="155"/>
      <c r="G48" s="155"/>
      <c r="H48" s="156"/>
    </row>
    <row r="49" spans="1:8" ht="18.5">
      <c r="A49" s="105"/>
      <c r="B49" s="148" t="s">
        <v>80</v>
      </c>
      <c r="C49" s="149"/>
      <c r="D49" s="150"/>
      <c r="E49" s="145">
        <f>SUM(B9:B12)</f>
        <v>0</v>
      </c>
      <c r="F49" s="257"/>
      <c r="G49" s="257"/>
      <c r="H49" s="258"/>
    </row>
    <row r="50" spans="1:8" ht="18.5">
      <c r="A50" s="105"/>
      <c r="B50" s="148" t="s">
        <v>52</v>
      </c>
      <c r="C50" s="149"/>
      <c r="D50" s="150"/>
      <c r="E50" s="145">
        <f>SUM(B6:B8)</f>
        <v>0</v>
      </c>
      <c r="F50" s="257"/>
      <c r="G50" s="257"/>
      <c r="H50" s="258"/>
    </row>
    <row r="51" spans="1:8" ht="18.5">
      <c r="A51" s="105"/>
      <c r="B51" s="148" t="s">
        <v>81</v>
      </c>
      <c r="C51" s="149"/>
      <c r="D51" s="150"/>
      <c r="E51" s="145">
        <f>SUM(B13:B14)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23">
        <f>SUM(B17:B18)</f>
        <v>0</v>
      </c>
      <c r="F52" s="159"/>
      <c r="G52" s="159"/>
      <c r="H52" s="160"/>
    </row>
    <row r="53" spans="1:8" ht="17.5">
      <c r="A53" s="44"/>
      <c r="B53" s="227" t="s">
        <v>62</v>
      </c>
      <c r="C53" s="228"/>
      <c r="D53" s="229"/>
      <c r="E53" s="123">
        <f>SUM(B19:B20)</f>
        <v>0</v>
      </c>
      <c r="F53" s="159"/>
      <c r="G53" s="159"/>
      <c r="H53" s="160"/>
    </row>
    <row r="54" spans="1:8" ht="17.5">
      <c r="A54" s="44"/>
      <c r="B54" s="227" t="s">
        <v>63</v>
      </c>
      <c r="C54" s="228"/>
      <c r="D54" s="229"/>
      <c r="E54" s="123">
        <f>B29</f>
        <v>0</v>
      </c>
      <c r="F54" s="159"/>
      <c r="G54" s="159"/>
      <c r="H54" s="160"/>
    </row>
    <row r="55" spans="1:8" ht="17.5">
      <c r="A55" s="44"/>
      <c r="B55" s="227" t="s">
        <v>63</v>
      </c>
      <c r="C55" s="228"/>
      <c r="D55" s="229"/>
      <c r="E55" s="123">
        <f t="shared" ref="E55:E61" si="6">B30</f>
        <v>0</v>
      </c>
      <c r="F55" s="159"/>
      <c r="G55" s="159"/>
      <c r="H55" s="160"/>
    </row>
    <row r="56" spans="1:8" ht="17.5">
      <c r="A56" s="44"/>
      <c r="B56" s="227" t="s">
        <v>63</v>
      </c>
      <c r="C56" s="228"/>
      <c r="D56" s="229"/>
      <c r="E56" s="123">
        <f t="shared" si="6"/>
        <v>0</v>
      </c>
      <c r="F56" s="159"/>
      <c r="G56" s="159"/>
      <c r="H56" s="160"/>
    </row>
    <row r="57" spans="1:8" ht="17.5">
      <c r="A57" s="44"/>
      <c r="B57" s="227" t="s">
        <v>63</v>
      </c>
      <c r="C57" s="228"/>
      <c r="D57" s="229"/>
      <c r="E57" s="123">
        <f t="shared" si="6"/>
        <v>0</v>
      </c>
      <c r="F57" s="159"/>
      <c r="G57" s="159"/>
      <c r="H57" s="160"/>
    </row>
    <row r="58" spans="1:8" ht="17.5">
      <c r="A58" s="44"/>
      <c r="B58" s="227" t="s">
        <v>63</v>
      </c>
      <c r="C58" s="228"/>
      <c r="D58" s="229"/>
      <c r="E58" s="123">
        <f t="shared" si="6"/>
        <v>0</v>
      </c>
      <c r="F58" s="159"/>
      <c r="G58" s="159"/>
      <c r="H58" s="160"/>
    </row>
    <row r="59" spans="1:8" ht="17.5">
      <c r="A59" s="44"/>
      <c r="B59" s="227" t="s">
        <v>63</v>
      </c>
      <c r="C59" s="228"/>
      <c r="D59" s="229"/>
      <c r="E59" s="123">
        <f t="shared" si="6"/>
        <v>0</v>
      </c>
      <c r="F59" s="159"/>
      <c r="G59" s="159"/>
      <c r="H59" s="160"/>
    </row>
    <row r="60" spans="1:8" ht="17.5">
      <c r="A60" s="44"/>
      <c r="B60" s="227" t="s">
        <v>63</v>
      </c>
      <c r="C60" s="228"/>
      <c r="D60" s="229"/>
      <c r="E60" s="123">
        <f t="shared" si="6"/>
        <v>0</v>
      </c>
      <c r="F60" s="159"/>
      <c r="G60" s="159"/>
      <c r="H60" s="160"/>
    </row>
    <row r="61" spans="1:8" ht="17.5">
      <c r="A61" s="44"/>
      <c r="B61" s="227" t="s">
        <v>63</v>
      </c>
      <c r="C61" s="228"/>
      <c r="D61" s="229"/>
      <c r="E61" s="123">
        <f t="shared" si="6"/>
        <v>0</v>
      </c>
      <c r="F61" s="159"/>
      <c r="G61" s="159"/>
      <c r="H61" s="160"/>
    </row>
    <row r="62" spans="1:8" ht="17.5">
      <c r="A62" s="44"/>
      <c r="B62" s="227" t="s">
        <v>82</v>
      </c>
      <c r="C62" s="228"/>
      <c r="D62" s="229"/>
      <c r="E62" s="151">
        <f>SUM(E49:H61)</f>
        <v>0</v>
      </c>
      <c r="F62" s="124"/>
      <c r="G62" s="124"/>
      <c r="H62" s="125"/>
    </row>
    <row r="63" spans="1:8" ht="17.5">
      <c r="B63" s="126"/>
      <c r="C63" s="127"/>
      <c r="D63" s="128"/>
      <c r="E63" s="133"/>
      <c r="F63" s="134"/>
      <c r="G63" s="134"/>
      <c r="H63" s="135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52" t="s">
        <v>66</v>
      </c>
      <c r="B38" s="153"/>
      <c r="C38" s="84" t="s">
        <v>67</v>
      </c>
      <c r="D38" s="85"/>
      <c r="E38" s="174" t="s">
        <v>68</v>
      </c>
      <c r="F38" s="175"/>
      <c r="G38" s="86" t="s">
        <v>69</v>
      </c>
      <c r="H38" s="87" t="s">
        <v>67</v>
      </c>
    </row>
    <row r="39" spans="1:8" ht="14.5">
      <c r="A39" s="166" t="s">
        <v>70</v>
      </c>
      <c r="B39" s="167"/>
      <c r="C39" s="88"/>
      <c r="D39" s="89"/>
      <c r="E39" s="168"/>
      <c r="F39" s="168"/>
      <c r="G39" s="90"/>
      <c r="H39" s="91"/>
    </row>
    <row r="40" spans="1:8" ht="14.5">
      <c r="A40" s="169" t="s">
        <v>71</v>
      </c>
      <c r="B40" s="170"/>
      <c r="C40" s="92"/>
      <c r="D40" s="93"/>
      <c r="E40" s="173"/>
      <c r="F40" s="173"/>
      <c r="G40" s="94"/>
      <c r="H40" s="95"/>
    </row>
    <row r="41" spans="1:8" ht="14.5">
      <c r="A41" s="169" t="s">
        <v>72</v>
      </c>
      <c r="B41" s="170"/>
      <c r="C41" s="96"/>
      <c r="D41" s="89"/>
      <c r="E41" s="130"/>
      <c r="F41" s="130"/>
      <c r="G41" s="94"/>
      <c r="H41" s="95"/>
    </row>
    <row r="42" spans="1:8" ht="14.5">
      <c r="A42" s="171" t="s">
        <v>73</v>
      </c>
      <c r="B42" s="172"/>
      <c r="C42" s="97"/>
      <c r="D42" s="98"/>
      <c r="E42" s="129"/>
      <c r="F42" s="130"/>
      <c r="G42" s="53"/>
      <c r="H42" s="95"/>
    </row>
    <row r="43" spans="1:8" ht="14.5">
      <c r="A43" s="121" t="s">
        <v>74</v>
      </c>
      <c r="B43" s="122"/>
      <c r="C43" s="99"/>
      <c r="D43" s="98"/>
      <c r="E43" s="131"/>
      <c r="F43" s="132"/>
      <c r="G43" s="53"/>
      <c r="H43" s="95"/>
    </row>
    <row r="44" spans="1:8" ht="14.5">
      <c r="A44" s="121" t="s">
        <v>75</v>
      </c>
      <c r="B44" s="122"/>
      <c r="C44" s="100"/>
      <c r="D44" s="48"/>
      <c r="E44" s="131"/>
      <c r="F44" s="132"/>
      <c r="G44" s="53"/>
      <c r="H44" s="95"/>
    </row>
    <row r="45" spans="1:8" ht="14.5">
      <c r="A45" s="121" t="s">
        <v>76</v>
      </c>
      <c r="B45" s="122"/>
      <c r="C45" s="101">
        <v>0</v>
      </c>
      <c r="D45" s="102"/>
      <c r="E45" s="157"/>
      <c r="F45" s="158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54" t="s">
        <v>78</v>
      </c>
      <c r="C48" s="155"/>
      <c r="D48" s="156"/>
      <c r="E48" s="154" t="s">
        <v>79</v>
      </c>
      <c r="F48" s="155"/>
      <c r="G48" s="155"/>
      <c r="H48" s="156"/>
    </row>
    <row r="49" spans="1:8" ht="18.5">
      <c r="A49" s="105"/>
      <c r="B49" s="148" t="s">
        <v>80</v>
      </c>
      <c r="C49" s="149"/>
      <c r="D49" s="150"/>
      <c r="E49" s="145">
        <f>SUM(B9:B12)</f>
        <v>0</v>
      </c>
      <c r="F49" s="146"/>
      <c r="G49" s="146"/>
      <c r="H49" s="147"/>
    </row>
    <row r="50" spans="1:8" ht="18.5">
      <c r="A50" s="105"/>
      <c r="B50" s="148" t="s">
        <v>52</v>
      </c>
      <c r="C50" s="149"/>
      <c r="D50" s="150"/>
      <c r="E50" s="145">
        <f>SUM(B6:B8)</f>
        <v>0</v>
      </c>
      <c r="F50" s="146"/>
      <c r="G50" s="146"/>
      <c r="H50" s="147"/>
    </row>
    <row r="51" spans="1:8" ht="18.5">
      <c r="A51" s="105"/>
      <c r="B51" s="148" t="s">
        <v>81</v>
      </c>
      <c r="C51" s="149"/>
      <c r="D51" s="150"/>
      <c r="E51" s="136">
        <f>SUM(B13:B14)</f>
        <v>0</v>
      </c>
      <c r="F51" s="137"/>
      <c r="G51" s="137"/>
      <c r="H51" s="138"/>
    </row>
    <row r="52" spans="1:8" ht="17.5">
      <c r="A52" s="44"/>
      <c r="B52" s="227" t="s">
        <v>61</v>
      </c>
      <c r="C52" s="228"/>
      <c r="D52" s="229"/>
      <c r="E52" s="123">
        <f>SUM(B17:B18)</f>
        <v>0</v>
      </c>
      <c r="F52" s="124"/>
      <c r="G52" s="124"/>
      <c r="H52" s="125"/>
    </row>
    <row r="53" spans="1:8" ht="17.5">
      <c r="A53" s="44"/>
      <c r="B53" s="227" t="s">
        <v>62</v>
      </c>
      <c r="C53" s="228"/>
      <c r="D53" s="229"/>
      <c r="E53" s="123">
        <f>SUM(B19:B20)</f>
        <v>0</v>
      </c>
      <c r="F53" s="124"/>
      <c r="G53" s="124"/>
      <c r="H53" s="125"/>
    </row>
    <row r="54" spans="1:8" ht="17.5">
      <c r="A54" s="44"/>
      <c r="B54" s="227" t="s">
        <v>63</v>
      </c>
      <c r="C54" s="228"/>
      <c r="D54" s="229"/>
      <c r="E54" s="123">
        <f>B29</f>
        <v>0</v>
      </c>
      <c r="F54" s="159"/>
      <c r="G54" s="159"/>
      <c r="H54" s="160"/>
    </row>
    <row r="55" spans="1:8" ht="17.5">
      <c r="A55" s="44"/>
      <c r="B55" s="227" t="s">
        <v>63</v>
      </c>
      <c r="C55" s="228"/>
      <c r="D55" s="229"/>
      <c r="E55" s="123">
        <f t="shared" ref="E55:E61" si="6">B30</f>
        <v>0</v>
      </c>
      <c r="F55" s="159"/>
      <c r="G55" s="159"/>
      <c r="H55" s="160"/>
    </row>
    <row r="56" spans="1:8" ht="17.5">
      <c r="A56" s="44"/>
      <c r="B56" s="227" t="s">
        <v>63</v>
      </c>
      <c r="C56" s="228"/>
      <c r="D56" s="229"/>
      <c r="E56" s="123">
        <f t="shared" si="6"/>
        <v>0</v>
      </c>
      <c r="F56" s="159"/>
      <c r="G56" s="159"/>
      <c r="H56" s="160"/>
    </row>
    <row r="57" spans="1:8" ht="17.5">
      <c r="A57" s="44"/>
      <c r="B57" s="227" t="s">
        <v>63</v>
      </c>
      <c r="C57" s="228"/>
      <c r="D57" s="229"/>
      <c r="E57" s="123">
        <f t="shared" si="6"/>
        <v>0</v>
      </c>
      <c r="F57" s="159"/>
      <c r="G57" s="159"/>
      <c r="H57" s="160"/>
    </row>
    <row r="58" spans="1:8" ht="17.5">
      <c r="A58" s="44"/>
      <c r="B58" s="227" t="s">
        <v>63</v>
      </c>
      <c r="C58" s="228"/>
      <c r="D58" s="229"/>
      <c r="E58" s="123">
        <f t="shared" si="6"/>
        <v>0</v>
      </c>
      <c r="F58" s="159"/>
      <c r="G58" s="159"/>
      <c r="H58" s="160"/>
    </row>
    <row r="59" spans="1:8" ht="17.5">
      <c r="A59" s="44"/>
      <c r="B59" s="227" t="s">
        <v>63</v>
      </c>
      <c r="C59" s="228"/>
      <c r="D59" s="229"/>
      <c r="E59" s="123">
        <f t="shared" si="6"/>
        <v>0</v>
      </c>
      <c r="F59" s="159"/>
      <c r="G59" s="159"/>
      <c r="H59" s="160"/>
    </row>
    <row r="60" spans="1:8" ht="17.5">
      <c r="A60" s="44"/>
      <c r="B60" s="227" t="s">
        <v>63</v>
      </c>
      <c r="C60" s="228"/>
      <c r="D60" s="229"/>
      <c r="E60" s="123">
        <f t="shared" si="6"/>
        <v>0</v>
      </c>
      <c r="F60" s="159"/>
      <c r="G60" s="159"/>
      <c r="H60" s="160"/>
    </row>
    <row r="61" spans="1:8" ht="17.5">
      <c r="A61" s="44"/>
      <c r="B61" s="227" t="s">
        <v>63</v>
      </c>
      <c r="C61" s="228"/>
      <c r="D61" s="229"/>
      <c r="E61" s="123">
        <f t="shared" si="6"/>
        <v>0</v>
      </c>
      <c r="F61" s="159"/>
      <c r="G61" s="159"/>
      <c r="H61" s="160"/>
    </row>
    <row r="62" spans="1:8" ht="17.5">
      <c r="A62" s="44"/>
      <c r="B62" s="227" t="s">
        <v>82</v>
      </c>
      <c r="C62" s="228"/>
      <c r="D62" s="229"/>
      <c r="E62" s="151">
        <f>SUM(E49:H61)</f>
        <v>0</v>
      </c>
      <c r="F62" s="124"/>
      <c r="G62" s="124"/>
      <c r="H62" s="125"/>
    </row>
    <row r="63" spans="1:8" ht="17.5">
      <c r="B63" s="126"/>
      <c r="C63" s="127"/>
      <c r="D63" s="128"/>
      <c r="E63" s="133"/>
      <c r="F63" s="134"/>
      <c r="G63" s="134"/>
      <c r="H63" s="135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52" t="s">
        <v>66</v>
      </c>
      <c r="B38" s="153"/>
      <c r="C38" s="84" t="s">
        <v>67</v>
      </c>
      <c r="D38" s="85"/>
      <c r="E38" s="174" t="s">
        <v>68</v>
      </c>
      <c r="F38" s="175"/>
      <c r="G38" s="86" t="s">
        <v>69</v>
      </c>
      <c r="H38" s="87" t="s">
        <v>67</v>
      </c>
    </row>
    <row r="39" spans="1:8" ht="14.5" customHeight="1">
      <c r="A39" s="166" t="s">
        <v>70</v>
      </c>
      <c r="B39" s="167"/>
      <c r="C39" s="88"/>
      <c r="D39" s="89"/>
      <c r="E39" s="168"/>
      <c r="F39" s="168"/>
      <c r="G39" s="90"/>
      <c r="H39" s="91"/>
    </row>
    <row r="40" spans="1:8" ht="15" customHeight="1">
      <c r="A40" s="169" t="s">
        <v>71</v>
      </c>
      <c r="B40" s="170"/>
      <c r="C40" s="92"/>
      <c r="D40" s="93"/>
      <c r="E40" s="173"/>
      <c r="F40" s="173"/>
      <c r="G40" s="94"/>
      <c r="H40" s="95"/>
    </row>
    <row r="41" spans="1:8" ht="15">
      <c r="A41" s="169" t="s">
        <v>72</v>
      </c>
      <c r="B41" s="170"/>
      <c r="C41" s="96"/>
      <c r="D41" s="89"/>
      <c r="E41" s="130"/>
      <c r="F41" s="130"/>
      <c r="G41" s="94"/>
      <c r="H41" s="95"/>
    </row>
    <row r="42" spans="1:8" ht="15">
      <c r="A42" s="171" t="s">
        <v>73</v>
      </c>
      <c r="B42" s="172"/>
      <c r="C42" s="97"/>
      <c r="D42" s="98"/>
      <c r="E42" s="129"/>
      <c r="F42" s="130"/>
      <c r="G42" s="53"/>
      <c r="H42" s="95"/>
    </row>
    <row r="43" spans="1:8" ht="15">
      <c r="A43" s="121" t="s">
        <v>74</v>
      </c>
      <c r="B43" s="122"/>
      <c r="C43" s="99"/>
      <c r="D43" s="98"/>
      <c r="E43" s="131"/>
      <c r="F43" s="132"/>
      <c r="G43" s="53"/>
      <c r="H43" s="95"/>
    </row>
    <row r="44" spans="1:8" ht="15">
      <c r="A44" s="121" t="s">
        <v>75</v>
      </c>
      <c r="B44" s="122"/>
      <c r="C44" s="100"/>
      <c r="D44" s="48"/>
      <c r="E44" s="131"/>
      <c r="F44" s="132"/>
      <c r="G44" s="53"/>
      <c r="H44" s="95"/>
    </row>
    <row r="45" spans="1:8" ht="15">
      <c r="A45" s="121" t="s">
        <v>76</v>
      </c>
      <c r="B45" s="122"/>
      <c r="C45" s="101">
        <v>0</v>
      </c>
      <c r="D45" s="102"/>
      <c r="E45" s="157"/>
      <c r="F45" s="158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54" t="s">
        <v>78</v>
      </c>
      <c r="C48" s="155"/>
      <c r="D48" s="156"/>
      <c r="E48" s="154" t="s">
        <v>79</v>
      </c>
      <c r="F48" s="155"/>
      <c r="G48" s="155"/>
      <c r="H48" s="156"/>
    </row>
    <row r="49" spans="1:8" ht="18.5">
      <c r="A49" s="105"/>
      <c r="B49" s="148" t="s">
        <v>80</v>
      </c>
      <c r="C49" s="149"/>
      <c r="D49" s="150"/>
      <c r="E49" s="145">
        <f>SUM(B9:B12)</f>
        <v>0</v>
      </c>
      <c r="F49" s="146"/>
      <c r="G49" s="146"/>
      <c r="H49" s="147"/>
    </row>
    <row r="50" spans="1:8" ht="18.5">
      <c r="A50" s="105"/>
      <c r="B50" s="148" t="s">
        <v>52</v>
      </c>
      <c r="C50" s="149"/>
      <c r="D50" s="150"/>
      <c r="E50" s="145">
        <f>SUM(B6:B8)</f>
        <v>0</v>
      </c>
      <c r="F50" s="146"/>
      <c r="G50" s="146"/>
      <c r="H50" s="147"/>
    </row>
    <row r="51" spans="1:8" ht="18.5">
      <c r="A51" s="105"/>
      <c r="B51" s="148" t="s">
        <v>81</v>
      </c>
      <c r="C51" s="149"/>
      <c r="D51" s="150"/>
      <c r="E51" s="136">
        <f>SUM(B13:B14)</f>
        <v>0</v>
      </c>
      <c r="F51" s="137"/>
      <c r="G51" s="137"/>
      <c r="H51" s="138"/>
    </row>
    <row r="52" spans="1:8" ht="17.5">
      <c r="B52" s="227" t="s">
        <v>61</v>
      </c>
      <c r="C52" s="228"/>
      <c r="D52" s="229"/>
      <c r="E52" s="123">
        <f>SUM(B17:B18)</f>
        <v>0</v>
      </c>
      <c r="F52" s="124"/>
      <c r="G52" s="124"/>
      <c r="H52" s="125"/>
    </row>
    <row r="53" spans="1:8" ht="17.5">
      <c r="B53" s="227" t="s">
        <v>62</v>
      </c>
      <c r="C53" s="228"/>
      <c r="D53" s="229"/>
      <c r="E53" s="123">
        <f>SUM(B19:B20)</f>
        <v>0</v>
      </c>
      <c r="F53" s="124"/>
      <c r="G53" s="124"/>
      <c r="H53" s="125"/>
    </row>
    <row r="54" spans="1:8" ht="17.5">
      <c r="B54" s="227" t="s">
        <v>63</v>
      </c>
      <c r="C54" s="228"/>
      <c r="D54" s="229"/>
      <c r="E54" s="123">
        <f>B29</f>
        <v>0</v>
      </c>
      <c r="F54" s="159"/>
      <c r="G54" s="159"/>
      <c r="H54" s="160"/>
    </row>
    <row r="55" spans="1:8" ht="17.5">
      <c r="B55" s="227" t="s">
        <v>63</v>
      </c>
      <c r="C55" s="228"/>
      <c r="D55" s="229"/>
      <c r="E55" s="123">
        <f t="shared" ref="E55:E61" si="6">B30</f>
        <v>0</v>
      </c>
      <c r="F55" s="159"/>
      <c r="G55" s="159"/>
      <c r="H55" s="160"/>
    </row>
    <row r="56" spans="1:8" ht="17.5">
      <c r="B56" s="227" t="s">
        <v>63</v>
      </c>
      <c r="C56" s="228"/>
      <c r="D56" s="229"/>
      <c r="E56" s="123">
        <f t="shared" si="6"/>
        <v>0</v>
      </c>
      <c r="F56" s="159"/>
      <c r="G56" s="159"/>
      <c r="H56" s="160"/>
    </row>
    <row r="57" spans="1:8" ht="17.5">
      <c r="B57" s="227" t="s">
        <v>63</v>
      </c>
      <c r="C57" s="228"/>
      <c r="D57" s="229"/>
      <c r="E57" s="123">
        <f t="shared" si="6"/>
        <v>0</v>
      </c>
      <c r="F57" s="159"/>
      <c r="G57" s="159"/>
      <c r="H57" s="160"/>
    </row>
    <row r="58" spans="1:8" ht="17.5">
      <c r="B58" s="227" t="s">
        <v>63</v>
      </c>
      <c r="C58" s="228"/>
      <c r="D58" s="229"/>
      <c r="E58" s="123">
        <f t="shared" si="6"/>
        <v>0</v>
      </c>
      <c r="F58" s="159"/>
      <c r="G58" s="159"/>
      <c r="H58" s="160"/>
    </row>
    <row r="59" spans="1:8" ht="17.5">
      <c r="B59" s="227" t="s">
        <v>63</v>
      </c>
      <c r="C59" s="228"/>
      <c r="D59" s="229"/>
      <c r="E59" s="123">
        <f t="shared" si="6"/>
        <v>0</v>
      </c>
      <c r="F59" s="159"/>
      <c r="G59" s="159"/>
      <c r="H59" s="160"/>
    </row>
    <row r="60" spans="1:8" ht="17.5">
      <c r="B60" s="227" t="s">
        <v>63</v>
      </c>
      <c r="C60" s="228"/>
      <c r="D60" s="229"/>
      <c r="E60" s="123">
        <f t="shared" si="6"/>
        <v>0</v>
      </c>
      <c r="F60" s="159"/>
      <c r="G60" s="159"/>
      <c r="H60" s="160"/>
    </row>
    <row r="61" spans="1:8" ht="17.5">
      <c r="B61" s="227" t="s">
        <v>63</v>
      </c>
      <c r="C61" s="228"/>
      <c r="D61" s="229"/>
      <c r="E61" s="123">
        <f t="shared" si="6"/>
        <v>0</v>
      </c>
      <c r="F61" s="159"/>
      <c r="G61" s="159"/>
      <c r="H61" s="160"/>
    </row>
    <row r="62" spans="1:8" ht="17.5">
      <c r="B62" s="227" t="s">
        <v>82</v>
      </c>
      <c r="C62" s="228"/>
      <c r="D62" s="229"/>
      <c r="E62" s="151">
        <f>SUM(E49:H61)</f>
        <v>0</v>
      </c>
      <c r="F62" s="124"/>
      <c r="G62" s="124"/>
      <c r="H62" s="12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52" t="s">
        <v>66</v>
      </c>
      <c r="B38" s="153"/>
      <c r="C38" s="84" t="s">
        <v>67</v>
      </c>
      <c r="D38" s="85"/>
      <c r="E38" s="174" t="s">
        <v>68</v>
      </c>
      <c r="F38" s="175"/>
      <c r="G38" s="86" t="s">
        <v>69</v>
      </c>
      <c r="H38" s="87" t="s">
        <v>67</v>
      </c>
    </row>
    <row r="39" spans="1:8" ht="14.5" customHeight="1">
      <c r="A39" s="166" t="s">
        <v>70</v>
      </c>
      <c r="B39" s="167"/>
      <c r="C39" s="88"/>
      <c r="D39" s="89"/>
      <c r="E39" s="168"/>
      <c r="F39" s="168"/>
      <c r="G39" s="90"/>
      <c r="H39" s="91"/>
    </row>
    <row r="40" spans="1:8" ht="15" customHeight="1">
      <c r="A40" s="169" t="s">
        <v>71</v>
      </c>
      <c r="B40" s="170"/>
      <c r="C40" s="92"/>
      <c r="D40" s="93"/>
      <c r="E40" s="173"/>
      <c r="F40" s="173"/>
      <c r="G40" s="94"/>
      <c r="H40" s="95"/>
    </row>
    <row r="41" spans="1:8" ht="14.5">
      <c r="A41" s="169" t="s">
        <v>72</v>
      </c>
      <c r="B41" s="170"/>
      <c r="C41" s="96"/>
      <c r="D41" s="89"/>
      <c r="E41" s="130"/>
      <c r="F41" s="130"/>
      <c r="G41" s="94"/>
      <c r="H41" s="95"/>
    </row>
    <row r="42" spans="1:8" ht="14.5">
      <c r="A42" s="171" t="s">
        <v>73</v>
      </c>
      <c r="B42" s="172"/>
      <c r="C42" s="97"/>
      <c r="D42" s="98"/>
      <c r="E42" s="129"/>
      <c r="F42" s="130"/>
      <c r="G42" s="53"/>
      <c r="H42" s="95"/>
    </row>
    <row r="43" spans="1:8" ht="14.5">
      <c r="A43" s="121" t="s">
        <v>74</v>
      </c>
      <c r="B43" s="122"/>
      <c r="C43" s="99"/>
      <c r="D43" s="98"/>
      <c r="E43" s="131"/>
      <c r="F43" s="132"/>
      <c r="G43" s="53"/>
      <c r="H43" s="95"/>
    </row>
    <row r="44" spans="1:8" ht="14.5">
      <c r="A44" s="121" t="s">
        <v>75</v>
      </c>
      <c r="B44" s="122"/>
      <c r="C44" s="100"/>
      <c r="D44" s="48"/>
      <c r="E44" s="131"/>
      <c r="F44" s="132"/>
      <c r="G44" s="53"/>
      <c r="H44" s="95"/>
    </row>
    <row r="45" spans="1:8" ht="14.5">
      <c r="A45" s="121" t="s">
        <v>76</v>
      </c>
      <c r="B45" s="122"/>
      <c r="C45" s="101">
        <v>0</v>
      </c>
      <c r="D45" s="102"/>
      <c r="E45" s="157"/>
      <c r="F45" s="158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54" t="s">
        <v>78</v>
      </c>
      <c r="C48" s="155"/>
      <c r="D48" s="156"/>
      <c r="E48" s="154" t="s">
        <v>79</v>
      </c>
      <c r="F48" s="155"/>
      <c r="G48" s="155"/>
      <c r="H48" s="156"/>
    </row>
    <row r="49" spans="1:8" ht="18.5">
      <c r="A49" s="105"/>
      <c r="B49" s="148" t="s">
        <v>80</v>
      </c>
      <c r="C49" s="149"/>
      <c r="D49" s="150"/>
      <c r="E49" s="145">
        <f>SUM(B11:B14)</f>
        <v>0</v>
      </c>
      <c r="F49" s="257"/>
      <c r="G49" s="257"/>
      <c r="H49" s="258"/>
    </row>
    <row r="50" spans="1:8" ht="18.5">
      <c r="A50" s="44"/>
      <c r="B50" s="148" t="s">
        <v>52</v>
      </c>
      <c r="C50" s="149"/>
      <c r="D50" s="150"/>
      <c r="E50" s="145">
        <f>SUM(B8:B10)</f>
        <v>0</v>
      </c>
      <c r="F50" s="257"/>
      <c r="G50" s="257"/>
      <c r="H50" s="258"/>
    </row>
    <row r="51" spans="1:8" ht="18.5">
      <c r="A51" s="44"/>
      <c r="B51" s="148" t="s">
        <v>81</v>
      </c>
      <c r="C51" s="149"/>
      <c r="D51" s="150"/>
      <c r="E51" s="145">
        <f>SUM(B15:B16)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23">
        <f>SUM(B19:B20)</f>
        <v>0</v>
      </c>
      <c r="F52" s="159"/>
      <c r="G52" s="159"/>
      <c r="H52" s="160"/>
    </row>
    <row r="53" spans="1:8" ht="17.5">
      <c r="A53" s="44"/>
      <c r="B53" s="227" t="s">
        <v>62</v>
      </c>
      <c r="C53" s="228"/>
      <c r="D53" s="229"/>
      <c r="E53" s="123">
        <f>SUM(B29:B30)</f>
        <v>0</v>
      </c>
      <c r="F53" s="159"/>
      <c r="G53" s="159"/>
      <c r="H53" s="160"/>
    </row>
    <row r="54" spans="1:8" ht="17.5">
      <c r="A54" s="44"/>
      <c r="B54" s="227" t="s">
        <v>63</v>
      </c>
      <c r="C54" s="228"/>
      <c r="D54" s="229"/>
      <c r="E54" s="123">
        <f t="shared" ref="E54:E60" si="6">B31</f>
        <v>0</v>
      </c>
      <c r="F54" s="159"/>
      <c r="G54" s="159"/>
      <c r="H54" s="160"/>
    </row>
    <row r="55" spans="1:8" ht="17.5">
      <c r="A55" s="44"/>
      <c r="B55" s="227" t="s">
        <v>63</v>
      </c>
      <c r="C55" s="228"/>
      <c r="D55" s="229"/>
      <c r="E55" s="123">
        <f t="shared" si="6"/>
        <v>0</v>
      </c>
      <c r="F55" s="159"/>
      <c r="G55" s="159"/>
      <c r="H55" s="160"/>
    </row>
    <row r="56" spans="1:8" ht="17.5">
      <c r="A56" s="44"/>
      <c r="B56" s="227" t="s">
        <v>63</v>
      </c>
      <c r="C56" s="228"/>
      <c r="D56" s="229"/>
      <c r="E56" s="123">
        <f t="shared" si="6"/>
        <v>0</v>
      </c>
      <c r="F56" s="159"/>
      <c r="G56" s="159"/>
      <c r="H56" s="160"/>
    </row>
    <row r="57" spans="1:8" ht="17.5">
      <c r="A57" s="44"/>
      <c r="B57" s="227" t="s">
        <v>63</v>
      </c>
      <c r="C57" s="228"/>
      <c r="D57" s="229"/>
      <c r="E57" s="123">
        <f t="shared" si="6"/>
        <v>0</v>
      </c>
      <c r="F57" s="159"/>
      <c r="G57" s="159"/>
      <c r="H57" s="160"/>
    </row>
    <row r="58" spans="1:8" ht="17.5">
      <c r="A58" s="44"/>
      <c r="B58" s="227" t="s">
        <v>63</v>
      </c>
      <c r="C58" s="228"/>
      <c r="D58" s="229"/>
      <c r="E58" s="123">
        <f t="shared" si="6"/>
        <v>0</v>
      </c>
      <c r="F58" s="159"/>
      <c r="G58" s="159"/>
      <c r="H58" s="160"/>
    </row>
    <row r="59" spans="1:8" ht="17.5">
      <c r="A59" s="44"/>
      <c r="B59" s="227" t="s">
        <v>63</v>
      </c>
      <c r="C59" s="228"/>
      <c r="D59" s="229"/>
      <c r="E59" s="123">
        <f t="shared" si="6"/>
        <v>0</v>
      </c>
      <c r="F59" s="159"/>
      <c r="G59" s="159"/>
      <c r="H59" s="160"/>
    </row>
    <row r="60" spans="1:8" ht="17.5">
      <c r="A60" s="44"/>
      <c r="B60" s="227" t="s">
        <v>63</v>
      </c>
      <c r="C60" s="228"/>
      <c r="D60" s="229"/>
      <c r="E60" s="123">
        <f t="shared" si="6"/>
        <v>0</v>
      </c>
      <c r="F60" s="159"/>
      <c r="G60" s="159"/>
      <c r="H60" s="160"/>
    </row>
    <row r="61" spans="1:8" ht="17.5">
      <c r="A61" s="44"/>
      <c r="B61" s="227" t="s">
        <v>63</v>
      </c>
      <c r="C61" s="228"/>
      <c r="D61" s="229"/>
      <c r="E61" s="123">
        <f t="shared" ref="E61" si="7">B45</f>
        <v>0</v>
      </c>
      <c r="F61" s="159"/>
      <c r="G61" s="159"/>
      <c r="H61" s="160"/>
    </row>
    <row r="62" spans="1:8" ht="17.5">
      <c r="A62" s="44"/>
      <c r="B62" s="227" t="s">
        <v>82</v>
      </c>
      <c r="C62" s="228"/>
      <c r="D62" s="229"/>
      <c r="E62" s="151">
        <f>SUM(E49:H61)</f>
        <v>0</v>
      </c>
      <c r="F62" s="124"/>
      <c r="G62" s="124"/>
      <c r="H62" s="125"/>
    </row>
    <row r="63" spans="1:8" ht="17.5">
      <c r="B63" s="126"/>
      <c r="C63" s="127"/>
      <c r="D63" s="128"/>
      <c r="E63" s="133"/>
      <c r="F63" s="134"/>
      <c r="G63" s="134"/>
      <c r="H63" s="135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 customHeight="1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5" customHeight="1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9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9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52" t="s">
        <v>66</v>
      </c>
      <c r="B38" s="153"/>
      <c r="C38" s="84" t="s">
        <v>67</v>
      </c>
      <c r="D38" s="85"/>
      <c r="E38" s="174" t="s">
        <v>68</v>
      </c>
      <c r="F38" s="175"/>
      <c r="G38" s="86" t="s">
        <v>69</v>
      </c>
      <c r="H38" s="87" t="s">
        <v>67</v>
      </c>
    </row>
    <row r="39" spans="1:8" ht="14.5" customHeight="1">
      <c r="A39" s="166" t="s">
        <v>70</v>
      </c>
      <c r="B39" s="167"/>
      <c r="C39" s="88"/>
      <c r="D39" s="89"/>
      <c r="E39" s="168"/>
      <c r="F39" s="168"/>
      <c r="G39" s="90"/>
      <c r="H39" s="91"/>
    </row>
    <row r="40" spans="1:8" ht="15" customHeight="1">
      <c r="A40" s="169" t="s">
        <v>71</v>
      </c>
      <c r="B40" s="170"/>
      <c r="C40" s="92"/>
      <c r="D40" s="93"/>
      <c r="E40" s="173"/>
      <c r="F40" s="173"/>
      <c r="G40" s="94"/>
      <c r="H40" s="95"/>
    </row>
    <row r="41" spans="1:8" ht="14.5">
      <c r="A41" s="169" t="s">
        <v>72</v>
      </c>
      <c r="B41" s="170"/>
      <c r="C41" s="96"/>
      <c r="D41" s="89"/>
      <c r="E41" s="130"/>
      <c r="F41" s="130"/>
      <c r="G41" s="94"/>
      <c r="H41" s="95"/>
    </row>
    <row r="42" spans="1:8" ht="14.5">
      <c r="A42" s="171" t="s">
        <v>73</v>
      </c>
      <c r="B42" s="172"/>
      <c r="C42" s="97"/>
      <c r="D42" s="98"/>
      <c r="E42" s="129"/>
      <c r="F42" s="130"/>
      <c r="G42" s="53"/>
      <c r="H42" s="95"/>
    </row>
    <row r="43" spans="1:8" ht="14.5">
      <c r="A43" s="121" t="s">
        <v>74</v>
      </c>
      <c r="B43" s="122"/>
      <c r="C43" s="99"/>
      <c r="D43" s="98"/>
      <c r="E43" s="131"/>
      <c r="F43" s="132"/>
      <c r="G43" s="53"/>
      <c r="H43" s="95"/>
    </row>
    <row r="44" spans="1:8" ht="14.5">
      <c r="A44" s="121" t="s">
        <v>75</v>
      </c>
      <c r="B44" s="122"/>
      <c r="C44" s="100"/>
      <c r="D44" s="48"/>
      <c r="E44" s="131"/>
      <c r="F44" s="132"/>
      <c r="G44" s="53"/>
      <c r="H44" s="95"/>
    </row>
    <row r="45" spans="1:8" ht="14.5">
      <c r="A45" s="121" t="s">
        <v>76</v>
      </c>
      <c r="B45" s="122"/>
      <c r="C45" s="101">
        <v>0</v>
      </c>
      <c r="D45" s="102"/>
      <c r="E45" s="157"/>
      <c r="F45" s="158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54" t="s">
        <v>78</v>
      </c>
      <c r="C48" s="155"/>
      <c r="D48" s="156"/>
      <c r="E48" s="154" t="s">
        <v>79</v>
      </c>
      <c r="F48" s="155"/>
      <c r="G48" s="155"/>
      <c r="H48" s="156"/>
    </row>
    <row r="49" spans="1:8" ht="18.5">
      <c r="A49" s="105"/>
      <c r="B49" s="148" t="s">
        <v>80</v>
      </c>
      <c r="C49" s="149"/>
      <c r="D49" s="150"/>
      <c r="E49" s="145">
        <f>SUM(B9:B12)</f>
        <v>0</v>
      </c>
      <c r="F49" s="146"/>
      <c r="G49" s="146"/>
      <c r="H49" s="147"/>
    </row>
    <row r="50" spans="1:8" ht="18.5">
      <c r="A50" s="105"/>
      <c r="B50" s="148" t="s">
        <v>52</v>
      </c>
      <c r="C50" s="149"/>
      <c r="D50" s="150"/>
      <c r="E50" s="145">
        <f>SUM(B6:B8)</f>
        <v>0</v>
      </c>
      <c r="F50" s="146"/>
      <c r="G50" s="146"/>
      <c r="H50" s="147"/>
    </row>
    <row r="51" spans="1:8" ht="18.5">
      <c r="A51" s="105"/>
      <c r="B51" s="148" t="s">
        <v>81</v>
      </c>
      <c r="C51" s="149"/>
      <c r="D51" s="150"/>
      <c r="E51" s="136">
        <f>SUM(B13:B14)</f>
        <v>0</v>
      </c>
      <c r="F51" s="137"/>
      <c r="G51" s="137"/>
      <c r="H51" s="138"/>
    </row>
    <row r="52" spans="1:8" ht="17.5">
      <c r="A52" s="44"/>
      <c r="B52" s="227" t="s">
        <v>61</v>
      </c>
      <c r="C52" s="228"/>
      <c r="D52" s="229"/>
      <c r="E52" s="123">
        <f>SUM(B17:B18)</f>
        <v>0</v>
      </c>
      <c r="F52" s="124"/>
      <c r="G52" s="124"/>
      <c r="H52" s="125"/>
    </row>
    <row r="53" spans="1:8" ht="17.5">
      <c r="A53" s="44"/>
      <c r="B53" s="227" t="s">
        <v>62</v>
      </c>
      <c r="C53" s="228"/>
      <c r="D53" s="229"/>
      <c r="E53" s="123">
        <f>SUM(B19:B20)</f>
        <v>0</v>
      </c>
      <c r="F53" s="124"/>
      <c r="G53" s="124"/>
      <c r="H53" s="125"/>
    </row>
    <row r="54" spans="1:8" ht="17.5">
      <c r="A54" s="44"/>
      <c r="B54" s="227" t="s">
        <v>63</v>
      </c>
      <c r="C54" s="228"/>
      <c r="D54" s="229"/>
      <c r="E54" s="123">
        <f>B29</f>
        <v>0</v>
      </c>
      <c r="F54" s="159"/>
      <c r="G54" s="159"/>
      <c r="H54" s="160"/>
    </row>
    <row r="55" spans="1:8" ht="17.5">
      <c r="A55" s="44"/>
      <c r="B55" s="227" t="s">
        <v>63</v>
      </c>
      <c r="C55" s="228"/>
      <c r="D55" s="229"/>
      <c r="E55" s="123">
        <f t="shared" ref="E55:E61" si="6">B30</f>
        <v>0</v>
      </c>
      <c r="F55" s="159"/>
      <c r="G55" s="159"/>
      <c r="H55" s="160"/>
    </row>
    <row r="56" spans="1:8" ht="17.5">
      <c r="A56" s="44"/>
      <c r="B56" s="227" t="s">
        <v>63</v>
      </c>
      <c r="C56" s="228"/>
      <c r="D56" s="229"/>
      <c r="E56" s="123">
        <f t="shared" si="6"/>
        <v>0</v>
      </c>
      <c r="F56" s="159"/>
      <c r="G56" s="159"/>
      <c r="H56" s="160"/>
    </row>
    <row r="57" spans="1:8" ht="17.5">
      <c r="A57" s="44"/>
      <c r="B57" s="227" t="s">
        <v>63</v>
      </c>
      <c r="C57" s="228"/>
      <c r="D57" s="229"/>
      <c r="E57" s="123">
        <f t="shared" si="6"/>
        <v>0</v>
      </c>
      <c r="F57" s="159"/>
      <c r="G57" s="159"/>
      <c r="H57" s="160"/>
    </row>
    <row r="58" spans="1:8" ht="17.5">
      <c r="A58" s="44"/>
      <c r="B58" s="227" t="s">
        <v>63</v>
      </c>
      <c r="C58" s="228"/>
      <c r="D58" s="229"/>
      <c r="E58" s="123">
        <f t="shared" si="6"/>
        <v>0</v>
      </c>
      <c r="F58" s="159"/>
      <c r="G58" s="159"/>
      <c r="H58" s="160"/>
    </row>
    <row r="59" spans="1:8" ht="17.5">
      <c r="A59" s="44"/>
      <c r="B59" s="227" t="s">
        <v>63</v>
      </c>
      <c r="C59" s="228"/>
      <c r="D59" s="229"/>
      <c r="E59" s="123">
        <f t="shared" si="6"/>
        <v>0</v>
      </c>
      <c r="F59" s="159"/>
      <c r="G59" s="159"/>
      <c r="H59" s="160"/>
    </row>
    <row r="60" spans="1:8" ht="17.5">
      <c r="A60" s="44"/>
      <c r="B60" s="227" t="s">
        <v>63</v>
      </c>
      <c r="C60" s="228"/>
      <c r="D60" s="229"/>
      <c r="E60" s="123">
        <f t="shared" si="6"/>
        <v>0</v>
      </c>
      <c r="F60" s="159"/>
      <c r="G60" s="159"/>
      <c r="H60" s="160"/>
    </row>
    <row r="61" spans="1:8" ht="17.5">
      <c r="A61" s="44"/>
      <c r="B61" s="227" t="s">
        <v>63</v>
      </c>
      <c r="C61" s="228"/>
      <c r="D61" s="229"/>
      <c r="E61" s="123">
        <f t="shared" si="6"/>
        <v>0</v>
      </c>
      <c r="F61" s="159"/>
      <c r="G61" s="159"/>
      <c r="H61" s="160"/>
    </row>
    <row r="62" spans="1:8" ht="17.5">
      <c r="A62" s="44"/>
      <c r="B62" s="227" t="s">
        <v>82</v>
      </c>
      <c r="C62" s="228"/>
      <c r="D62" s="229"/>
      <c r="E62" s="151">
        <f>SUM(E49:H61)</f>
        <v>0</v>
      </c>
      <c r="F62" s="124"/>
      <c r="G62" s="124"/>
      <c r="H62" s="125"/>
    </row>
    <row r="63" spans="1:8" ht="17.5">
      <c r="B63" s="126"/>
      <c r="C63" s="127"/>
      <c r="D63" s="128"/>
      <c r="E63" s="133"/>
      <c r="F63" s="134"/>
      <c r="G63" s="134"/>
      <c r="H63" s="135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 customHeight="1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5" customHeight="1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 customHeight="1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5" customHeight="1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273">
        <f>SUM(B9:B12)</f>
        <v>0</v>
      </c>
      <c r="F41" s="274"/>
      <c r="G41" s="274"/>
      <c r="H41" s="275"/>
    </row>
    <row r="42" spans="1:8" ht="18.5">
      <c r="A42" s="105"/>
      <c r="B42" s="148" t="s">
        <v>52</v>
      </c>
      <c r="C42" s="149"/>
      <c r="D42" s="150"/>
      <c r="E42" s="273">
        <f>SUM(B6:B8)</f>
        <v>0</v>
      </c>
      <c r="F42" s="274"/>
      <c r="G42" s="274"/>
      <c r="H42" s="275"/>
    </row>
    <row r="43" spans="1:8" ht="18.5">
      <c r="A43" s="105"/>
      <c r="B43" s="148" t="s">
        <v>81</v>
      </c>
      <c r="C43" s="149"/>
      <c r="D43" s="150"/>
      <c r="E43" s="270">
        <f>SUM(B13:B14)</f>
        <v>0</v>
      </c>
      <c r="F43" s="271"/>
      <c r="G43" s="271"/>
      <c r="H43" s="272"/>
    </row>
    <row r="44" spans="1:8" ht="17.5">
      <c r="B44" s="126" t="s">
        <v>61</v>
      </c>
      <c r="C44" s="127"/>
      <c r="D44" s="128"/>
      <c r="E44" s="269">
        <f>SUM(B17:B18)</f>
        <v>0</v>
      </c>
      <c r="F44" s="134"/>
      <c r="G44" s="134"/>
      <c r="H44" s="135"/>
    </row>
    <row r="45" spans="1:8" ht="17.5">
      <c r="B45" s="126" t="s">
        <v>62</v>
      </c>
      <c r="C45" s="127"/>
      <c r="D45" s="128"/>
      <c r="E45" s="269">
        <f>SUM(B19:B20)</f>
        <v>0</v>
      </c>
      <c r="F45" s="134"/>
      <c r="G45" s="134"/>
      <c r="H45" s="135"/>
    </row>
    <row r="46" spans="1:8" ht="17.5">
      <c r="B46" s="126" t="s">
        <v>63</v>
      </c>
      <c r="C46" s="127"/>
      <c r="D46" s="128"/>
      <c r="E46" s="269">
        <f>B21</f>
        <v>0</v>
      </c>
      <c r="F46" s="276"/>
      <c r="G46" s="276"/>
      <c r="H46" s="277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6"/>
      <c r="G47" s="276"/>
      <c r="H47" s="277"/>
    </row>
    <row r="48" spans="1:8" ht="17.5">
      <c r="B48" s="126" t="s">
        <v>63</v>
      </c>
      <c r="C48" s="127"/>
      <c r="D48" s="128"/>
      <c r="E48" s="269">
        <f t="shared" si="13"/>
        <v>0</v>
      </c>
      <c r="F48" s="276"/>
      <c r="G48" s="276"/>
      <c r="H48" s="277"/>
    </row>
    <row r="49" spans="2:8" ht="17.5">
      <c r="B49" s="126" t="s">
        <v>63</v>
      </c>
      <c r="C49" s="127"/>
      <c r="D49" s="128"/>
      <c r="E49" s="269">
        <f t="shared" si="13"/>
        <v>0</v>
      </c>
      <c r="F49" s="276"/>
      <c r="G49" s="276"/>
      <c r="H49" s="277"/>
    </row>
    <row r="50" spans="2:8" ht="17.5">
      <c r="B50" s="126" t="s">
        <v>63</v>
      </c>
      <c r="C50" s="127"/>
      <c r="D50" s="128"/>
      <c r="E50" s="269">
        <f t="shared" si="13"/>
        <v>0</v>
      </c>
      <c r="F50" s="276"/>
      <c r="G50" s="276"/>
      <c r="H50" s="277"/>
    </row>
    <row r="51" spans="2:8" ht="17.5">
      <c r="B51" s="126" t="s">
        <v>63</v>
      </c>
      <c r="C51" s="127"/>
      <c r="D51" s="128"/>
      <c r="E51" s="269">
        <f t="shared" si="13"/>
        <v>0</v>
      </c>
      <c r="F51" s="276"/>
      <c r="G51" s="276"/>
      <c r="H51" s="277"/>
    </row>
    <row r="52" spans="2:8" ht="17.5">
      <c r="B52" s="126" t="s">
        <v>63</v>
      </c>
      <c r="C52" s="127"/>
      <c r="D52" s="128"/>
      <c r="E52" s="269">
        <f t="shared" si="13"/>
        <v>0</v>
      </c>
      <c r="F52" s="276"/>
      <c r="G52" s="276"/>
      <c r="H52" s="277"/>
    </row>
    <row r="53" spans="2:8" ht="17.5">
      <c r="B53" s="126" t="s">
        <v>63</v>
      </c>
      <c r="C53" s="127"/>
      <c r="D53" s="128"/>
      <c r="E53" s="269">
        <f t="shared" si="13"/>
        <v>0</v>
      </c>
      <c r="F53" s="276"/>
      <c r="G53" s="276"/>
      <c r="H53" s="277"/>
    </row>
    <row r="54" spans="2:8" ht="17.5">
      <c r="B54" s="126" t="s">
        <v>82</v>
      </c>
      <c r="C54" s="127"/>
      <c r="D54" s="128"/>
      <c r="E54" s="133">
        <f>SUM(E41:H53)</f>
        <v>0</v>
      </c>
      <c r="F54" s="134"/>
      <c r="G54" s="134"/>
      <c r="H54" s="13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 customHeight="1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5" customHeight="1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 customHeight="1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5" customHeight="1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126" t="s">
        <v>61</v>
      </c>
      <c r="C44" s="127"/>
      <c r="D44" s="128"/>
      <c r="E44" s="123">
        <f>SUM(B17:B18)</f>
        <v>0</v>
      </c>
      <c r="F44" s="124"/>
      <c r="G44" s="124"/>
      <c r="H44" s="125"/>
    </row>
    <row r="45" spans="1:8" ht="17.5">
      <c r="B45" s="126" t="s">
        <v>62</v>
      </c>
      <c r="C45" s="127"/>
      <c r="D45" s="128"/>
      <c r="E45" s="123">
        <f>SUM(B19:B20)</f>
        <v>0</v>
      </c>
      <c r="F45" s="124"/>
      <c r="G45" s="124"/>
      <c r="H45" s="125"/>
    </row>
    <row r="46" spans="1:8" ht="17.5">
      <c r="B46" s="126" t="s">
        <v>63</v>
      </c>
      <c r="C46" s="127"/>
      <c r="D46" s="128"/>
      <c r="E46" s="123">
        <f>B21</f>
        <v>0</v>
      </c>
      <c r="F46" s="159"/>
      <c r="G46" s="159"/>
      <c r="H46" s="160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59"/>
      <c r="G47" s="159"/>
      <c r="H47" s="160"/>
    </row>
    <row r="48" spans="1:8" ht="17.5">
      <c r="B48" s="126" t="s">
        <v>63</v>
      </c>
      <c r="C48" s="127"/>
      <c r="D48" s="128"/>
      <c r="E48" s="123">
        <f t="shared" si="13"/>
        <v>0</v>
      </c>
      <c r="F48" s="159"/>
      <c r="G48" s="159"/>
      <c r="H48" s="160"/>
    </row>
    <row r="49" spans="2:8" ht="17.5">
      <c r="B49" s="126" t="s">
        <v>63</v>
      </c>
      <c r="C49" s="127"/>
      <c r="D49" s="128"/>
      <c r="E49" s="123">
        <f t="shared" si="13"/>
        <v>0</v>
      </c>
      <c r="F49" s="159"/>
      <c r="G49" s="159"/>
      <c r="H49" s="160"/>
    </row>
    <row r="50" spans="2:8" ht="17.5">
      <c r="B50" s="126" t="s">
        <v>63</v>
      </c>
      <c r="C50" s="127"/>
      <c r="D50" s="128"/>
      <c r="E50" s="123">
        <f t="shared" si="13"/>
        <v>0</v>
      </c>
      <c r="F50" s="159"/>
      <c r="G50" s="159"/>
      <c r="H50" s="160"/>
    </row>
    <row r="51" spans="2:8" ht="17.5">
      <c r="B51" s="126" t="s">
        <v>63</v>
      </c>
      <c r="C51" s="127"/>
      <c r="D51" s="128"/>
      <c r="E51" s="123">
        <f t="shared" si="13"/>
        <v>0</v>
      </c>
      <c r="F51" s="159"/>
      <c r="G51" s="159"/>
      <c r="H51" s="160"/>
    </row>
    <row r="52" spans="2:8" ht="17.5">
      <c r="B52" s="126" t="s">
        <v>63</v>
      </c>
      <c r="C52" s="127"/>
      <c r="D52" s="128"/>
      <c r="E52" s="123">
        <f t="shared" si="13"/>
        <v>0</v>
      </c>
      <c r="F52" s="159"/>
      <c r="G52" s="159"/>
      <c r="H52" s="160"/>
    </row>
    <row r="53" spans="2:8" ht="17.5">
      <c r="B53" s="126" t="s">
        <v>63</v>
      </c>
      <c r="C53" s="127"/>
      <c r="D53" s="128"/>
      <c r="E53" s="123">
        <f t="shared" si="13"/>
        <v>0</v>
      </c>
      <c r="F53" s="159"/>
      <c r="G53" s="159"/>
      <c r="H53" s="160"/>
    </row>
    <row r="54" spans="2:8" ht="17.5">
      <c r="B54" s="126" t="s">
        <v>82</v>
      </c>
      <c r="C54" s="127"/>
      <c r="D54" s="128"/>
      <c r="E54" s="151">
        <f>SUM(E41:H53)</f>
        <v>0</v>
      </c>
      <c r="F54" s="124"/>
      <c r="G54" s="124"/>
      <c r="H54" s="12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4.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64"/>
      <c r="D6" s="165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64"/>
      <c r="D7" s="165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9"/>
      <c r="D8" s="120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9"/>
      <c r="D9" s="120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9"/>
      <c r="D10" s="120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9"/>
      <c r="D11" s="120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9"/>
      <c r="D12" s="120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9"/>
      <c r="D13" s="120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9"/>
      <c r="D14" s="120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4.5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4.5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4.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4.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4.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4.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4.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273">
        <f>SUM(B9:B12)</f>
        <v>0</v>
      </c>
      <c r="F41" s="274"/>
      <c r="G41" s="274"/>
      <c r="H41" s="275"/>
    </row>
    <row r="42" spans="1:8" ht="18.5">
      <c r="A42" s="105"/>
      <c r="B42" s="148" t="s">
        <v>52</v>
      </c>
      <c r="C42" s="149"/>
      <c r="D42" s="150"/>
      <c r="E42" s="273">
        <f>SUM(B6:B8)</f>
        <v>0</v>
      </c>
      <c r="F42" s="274"/>
      <c r="G42" s="274"/>
      <c r="H42" s="275"/>
    </row>
    <row r="43" spans="1:8" ht="18.5">
      <c r="A43" s="105"/>
      <c r="B43" s="148" t="s">
        <v>81</v>
      </c>
      <c r="C43" s="149"/>
      <c r="D43" s="150"/>
      <c r="E43" s="270">
        <f>SUM(B13:B14)</f>
        <v>0</v>
      </c>
      <c r="F43" s="271"/>
      <c r="G43" s="271"/>
      <c r="H43" s="272"/>
    </row>
    <row r="44" spans="1:8" ht="17.5">
      <c r="B44" s="126" t="s">
        <v>61</v>
      </c>
      <c r="C44" s="127"/>
      <c r="D44" s="128"/>
      <c r="E44" s="269">
        <f>SUM(B17:B18)</f>
        <v>0</v>
      </c>
      <c r="F44" s="134"/>
      <c r="G44" s="134"/>
      <c r="H44" s="135"/>
    </row>
    <row r="45" spans="1:8" ht="17.5">
      <c r="B45" s="126" t="s">
        <v>62</v>
      </c>
      <c r="C45" s="127"/>
      <c r="D45" s="128"/>
      <c r="E45" s="269">
        <f>SUM(B19:B20)</f>
        <v>0</v>
      </c>
      <c r="F45" s="134"/>
      <c r="G45" s="134"/>
      <c r="H45" s="135"/>
    </row>
    <row r="46" spans="1:8" ht="17.5">
      <c r="B46" s="126" t="s">
        <v>63</v>
      </c>
      <c r="C46" s="127"/>
      <c r="D46" s="128"/>
      <c r="E46" s="269">
        <f>B21</f>
        <v>0</v>
      </c>
      <c r="F46" s="276"/>
      <c r="G46" s="276"/>
      <c r="H46" s="277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6"/>
      <c r="G47" s="276"/>
      <c r="H47" s="277"/>
    </row>
    <row r="48" spans="1:8" ht="17.5">
      <c r="B48" s="126" t="s">
        <v>63</v>
      </c>
      <c r="C48" s="127"/>
      <c r="D48" s="128"/>
      <c r="E48" s="269">
        <f t="shared" si="13"/>
        <v>0</v>
      </c>
      <c r="F48" s="276"/>
      <c r="G48" s="276"/>
      <c r="H48" s="277"/>
    </row>
    <row r="49" spans="2:8" ht="17.5">
      <c r="B49" s="126" t="s">
        <v>63</v>
      </c>
      <c r="C49" s="127"/>
      <c r="D49" s="128"/>
      <c r="E49" s="269">
        <f t="shared" si="13"/>
        <v>0</v>
      </c>
      <c r="F49" s="276"/>
      <c r="G49" s="276"/>
      <c r="H49" s="277"/>
    </row>
    <row r="50" spans="2:8" ht="17.5">
      <c r="B50" s="126" t="s">
        <v>63</v>
      </c>
      <c r="C50" s="127"/>
      <c r="D50" s="128"/>
      <c r="E50" s="269">
        <f t="shared" si="13"/>
        <v>0</v>
      </c>
      <c r="F50" s="276"/>
      <c r="G50" s="276"/>
      <c r="H50" s="277"/>
    </row>
    <row r="51" spans="2:8" ht="17.5">
      <c r="B51" s="126" t="s">
        <v>63</v>
      </c>
      <c r="C51" s="127"/>
      <c r="D51" s="128"/>
      <c r="E51" s="269">
        <f t="shared" si="13"/>
        <v>0</v>
      </c>
      <c r="F51" s="276"/>
      <c r="G51" s="276"/>
      <c r="H51" s="277"/>
    </row>
    <row r="52" spans="2:8" ht="17.5">
      <c r="B52" s="126" t="s">
        <v>63</v>
      </c>
      <c r="C52" s="127"/>
      <c r="D52" s="128"/>
      <c r="E52" s="269">
        <f t="shared" si="13"/>
        <v>0</v>
      </c>
      <c r="F52" s="276"/>
      <c r="G52" s="276"/>
      <c r="H52" s="277"/>
    </row>
    <row r="53" spans="2:8" ht="17.5">
      <c r="B53" s="126" t="s">
        <v>63</v>
      </c>
      <c r="C53" s="127"/>
      <c r="D53" s="128"/>
      <c r="E53" s="269">
        <f t="shared" si="13"/>
        <v>0</v>
      </c>
      <c r="F53" s="276"/>
      <c r="G53" s="276"/>
      <c r="H53" s="277"/>
    </row>
    <row r="54" spans="2:8" ht="17.5">
      <c r="B54" s="126" t="s">
        <v>82</v>
      </c>
      <c r="C54" s="127"/>
      <c r="D54" s="128"/>
      <c r="E54" s="133">
        <f>SUM(E41:H53)</f>
        <v>0</v>
      </c>
      <c r="F54" s="134"/>
      <c r="G54" s="134"/>
      <c r="H54" s="135"/>
    </row>
    <row r="55" spans="2:8" ht="17.5">
      <c r="B55" s="126"/>
      <c r="C55" s="127"/>
      <c r="D55" s="128"/>
      <c r="E55" s="133"/>
      <c r="F55" s="134"/>
      <c r="G55" s="134"/>
      <c r="H55" s="135"/>
    </row>
  </sheetData>
  <sheetProtection password="C8CD" sheet="1" objects="1" scenarios="1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13" t="s">
        <v>42</v>
      </c>
      <c r="B1" s="114"/>
      <c r="C1" s="114"/>
      <c r="D1" s="114"/>
      <c r="E1" s="114"/>
      <c r="F1" s="114"/>
      <c r="G1" s="114"/>
      <c r="H1" s="115"/>
    </row>
    <row r="2" spans="1:8">
      <c r="A2" s="116"/>
      <c r="B2" s="117"/>
      <c r="C2" s="117"/>
      <c r="D2" s="117"/>
      <c r="E2" s="117"/>
      <c r="F2" s="117"/>
      <c r="G2" s="117"/>
      <c r="H2" s="118"/>
    </row>
    <row r="3" spans="1:8">
      <c r="A3" s="139" t="s">
        <v>43</v>
      </c>
      <c r="B3" s="140"/>
      <c r="C3" s="140"/>
      <c r="D3" s="140"/>
      <c r="E3" s="140"/>
      <c r="F3" s="140"/>
      <c r="G3" s="140"/>
      <c r="H3" s="141"/>
    </row>
    <row r="4" spans="1:8">
      <c r="A4" s="142"/>
      <c r="B4" s="143"/>
      <c r="C4" s="143"/>
      <c r="D4" s="143"/>
      <c r="E4" s="143"/>
      <c r="F4" s="143"/>
      <c r="G4" s="143"/>
      <c r="H4" s="144"/>
    </row>
    <row r="5" spans="1:8" ht="15">
      <c r="A5" s="106" t="s">
        <v>44</v>
      </c>
      <c r="B5" s="45" t="s">
        <v>45</v>
      </c>
      <c r="C5" s="176" t="s">
        <v>46</v>
      </c>
      <c r="D5" s="177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64"/>
      <c r="D6" s="165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64"/>
      <c r="D7" s="165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19"/>
      <c r="D8" s="120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19"/>
      <c r="D9" s="120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19"/>
      <c r="D10" s="120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19"/>
      <c r="D11" s="120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19"/>
      <c r="D12" s="120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19"/>
      <c r="D13" s="120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19"/>
      <c r="D14" s="120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61" t="s">
        <v>57</v>
      </c>
      <c r="B15" s="162"/>
      <c r="C15" s="162"/>
      <c r="D15" s="162"/>
      <c r="E15" s="162"/>
      <c r="F15" s="162"/>
      <c r="G15" s="162"/>
      <c r="H15" s="163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52" t="s">
        <v>66</v>
      </c>
      <c r="B30" s="153"/>
      <c r="C30" s="84" t="s">
        <v>67</v>
      </c>
      <c r="D30" s="85"/>
      <c r="E30" s="174" t="s">
        <v>68</v>
      </c>
      <c r="F30" s="175"/>
      <c r="G30" s="86" t="s">
        <v>69</v>
      </c>
      <c r="H30" s="87" t="s">
        <v>67</v>
      </c>
    </row>
    <row r="31" spans="1:8" ht="15">
      <c r="A31" s="166" t="s">
        <v>70</v>
      </c>
      <c r="B31" s="167"/>
      <c r="C31" s="88"/>
      <c r="D31" s="89"/>
      <c r="E31" s="168"/>
      <c r="F31" s="168"/>
      <c r="G31" s="90"/>
      <c r="H31" s="91"/>
    </row>
    <row r="32" spans="1:8" ht="15">
      <c r="A32" s="169" t="s">
        <v>71</v>
      </c>
      <c r="B32" s="170"/>
      <c r="C32" s="92"/>
      <c r="D32" s="93"/>
      <c r="E32" s="173"/>
      <c r="F32" s="173"/>
      <c r="G32" s="94"/>
      <c r="H32" s="95"/>
    </row>
    <row r="33" spans="1:8" ht="15">
      <c r="A33" s="169" t="s">
        <v>72</v>
      </c>
      <c r="B33" s="170"/>
      <c r="C33" s="96"/>
      <c r="D33" s="89"/>
      <c r="E33" s="130"/>
      <c r="F33" s="130"/>
      <c r="G33" s="94"/>
      <c r="H33" s="95"/>
    </row>
    <row r="34" spans="1:8" ht="15">
      <c r="A34" s="171" t="s">
        <v>73</v>
      </c>
      <c r="B34" s="172"/>
      <c r="C34" s="97"/>
      <c r="D34" s="98"/>
      <c r="E34" s="129"/>
      <c r="F34" s="130"/>
      <c r="G34" s="53"/>
      <c r="H34" s="95"/>
    </row>
    <row r="35" spans="1:8" ht="15">
      <c r="A35" s="121" t="s">
        <v>74</v>
      </c>
      <c r="B35" s="122"/>
      <c r="C35" s="99"/>
      <c r="D35" s="98"/>
      <c r="E35" s="131"/>
      <c r="F35" s="132"/>
      <c r="G35" s="53"/>
      <c r="H35" s="95"/>
    </row>
    <row r="36" spans="1:8" ht="15">
      <c r="A36" s="121" t="s">
        <v>75</v>
      </c>
      <c r="B36" s="122"/>
      <c r="C36" s="100"/>
      <c r="D36" s="48"/>
      <c r="E36" s="131"/>
      <c r="F36" s="132"/>
      <c r="G36" s="53"/>
      <c r="H36" s="95"/>
    </row>
    <row r="37" spans="1:8" ht="15">
      <c r="A37" s="121" t="s">
        <v>76</v>
      </c>
      <c r="B37" s="122"/>
      <c r="C37" s="101">
        <v>0</v>
      </c>
      <c r="D37" s="102"/>
      <c r="E37" s="157"/>
      <c r="F37" s="158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54" t="s">
        <v>78</v>
      </c>
      <c r="C40" s="155"/>
      <c r="D40" s="156"/>
      <c r="E40" s="154" t="s">
        <v>79</v>
      </c>
      <c r="F40" s="155"/>
      <c r="G40" s="155"/>
      <c r="H40" s="156"/>
    </row>
    <row r="41" spans="1:8" ht="18.5">
      <c r="A41" s="105"/>
      <c r="B41" s="148" t="s">
        <v>80</v>
      </c>
      <c r="C41" s="149"/>
      <c r="D41" s="150"/>
      <c r="E41" s="145">
        <f>SUM(B9:B12)</f>
        <v>0</v>
      </c>
      <c r="F41" s="146"/>
      <c r="G41" s="146"/>
      <c r="H41" s="147"/>
    </row>
    <row r="42" spans="1:8" ht="18.5">
      <c r="A42" s="105"/>
      <c r="B42" s="148" t="s">
        <v>52</v>
      </c>
      <c r="C42" s="149"/>
      <c r="D42" s="150"/>
      <c r="E42" s="145">
        <f>SUM(B6:B8)</f>
        <v>0</v>
      </c>
      <c r="F42" s="146"/>
      <c r="G42" s="146"/>
      <c r="H42" s="147"/>
    </row>
    <row r="43" spans="1:8" ht="18.5">
      <c r="A43" s="105"/>
      <c r="B43" s="148" t="s">
        <v>81</v>
      </c>
      <c r="C43" s="149"/>
      <c r="D43" s="150"/>
      <c r="E43" s="136">
        <f>SUM(B13:B14)</f>
        <v>0</v>
      </c>
      <c r="F43" s="137"/>
      <c r="G43" s="137"/>
      <c r="H43" s="138"/>
    </row>
    <row r="44" spans="1:8" ht="17.5">
      <c r="B44" s="227" t="s">
        <v>61</v>
      </c>
      <c r="C44" s="228"/>
      <c r="D44" s="229"/>
      <c r="E44" s="123">
        <f>SUM(B17:B18)</f>
        <v>0</v>
      </c>
      <c r="F44" s="124"/>
      <c r="G44" s="124"/>
      <c r="H44" s="125"/>
    </row>
    <row r="45" spans="1:8" ht="17.5">
      <c r="B45" s="227" t="s">
        <v>62</v>
      </c>
      <c r="C45" s="228"/>
      <c r="D45" s="229"/>
      <c r="E45" s="123">
        <f>SUM(B19:B20)</f>
        <v>0</v>
      </c>
      <c r="F45" s="124"/>
      <c r="G45" s="124"/>
      <c r="H45" s="125"/>
    </row>
    <row r="46" spans="1:8" ht="17.5">
      <c r="B46" s="227" t="s">
        <v>63</v>
      </c>
      <c r="C46" s="228"/>
      <c r="D46" s="229"/>
      <c r="E46" s="123">
        <f>B21</f>
        <v>0</v>
      </c>
      <c r="F46" s="159"/>
      <c r="G46" s="159"/>
      <c r="H46" s="160"/>
    </row>
    <row r="47" spans="1:8" ht="17.5">
      <c r="B47" s="227" t="s">
        <v>63</v>
      </c>
      <c r="C47" s="228"/>
      <c r="D47" s="229"/>
      <c r="E47" s="123">
        <f t="shared" ref="E47:E53" si="0">B22</f>
        <v>0</v>
      </c>
      <c r="F47" s="159"/>
      <c r="G47" s="159"/>
      <c r="H47" s="160"/>
    </row>
    <row r="48" spans="1:8" ht="17.5">
      <c r="B48" s="227" t="s">
        <v>63</v>
      </c>
      <c r="C48" s="228"/>
      <c r="D48" s="229"/>
      <c r="E48" s="123">
        <f t="shared" si="0"/>
        <v>0</v>
      </c>
      <c r="F48" s="159"/>
      <c r="G48" s="159"/>
      <c r="H48" s="160"/>
    </row>
    <row r="49" spans="2:8" ht="17.5">
      <c r="B49" s="227" t="s">
        <v>63</v>
      </c>
      <c r="C49" s="228"/>
      <c r="D49" s="229"/>
      <c r="E49" s="123">
        <f t="shared" si="0"/>
        <v>0</v>
      </c>
      <c r="F49" s="159"/>
      <c r="G49" s="159"/>
      <c r="H49" s="160"/>
    </row>
    <row r="50" spans="2:8" ht="17.5">
      <c r="B50" s="227" t="s">
        <v>63</v>
      </c>
      <c r="C50" s="228"/>
      <c r="D50" s="229"/>
      <c r="E50" s="123">
        <f t="shared" si="0"/>
        <v>0</v>
      </c>
      <c r="F50" s="159"/>
      <c r="G50" s="159"/>
      <c r="H50" s="160"/>
    </row>
    <row r="51" spans="2:8" ht="17.5">
      <c r="B51" s="227" t="s">
        <v>63</v>
      </c>
      <c r="C51" s="228"/>
      <c r="D51" s="229"/>
      <c r="E51" s="123">
        <f t="shared" si="0"/>
        <v>0</v>
      </c>
      <c r="F51" s="159"/>
      <c r="G51" s="159"/>
      <c r="H51" s="160"/>
    </row>
    <row r="52" spans="2:8" ht="17.5">
      <c r="B52" s="227" t="s">
        <v>63</v>
      </c>
      <c r="C52" s="228"/>
      <c r="D52" s="229"/>
      <c r="E52" s="123">
        <f t="shared" si="0"/>
        <v>0</v>
      </c>
      <c r="F52" s="159"/>
      <c r="G52" s="159"/>
      <c r="H52" s="160"/>
    </row>
    <row r="53" spans="2:8" ht="17.5">
      <c r="B53" s="227" t="s">
        <v>63</v>
      </c>
      <c r="C53" s="228"/>
      <c r="D53" s="229"/>
      <c r="E53" s="123">
        <f t="shared" si="0"/>
        <v>0</v>
      </c>
      <c r="F53" s="159"/>
      <c r="G53" s="159"/>
      <c r="H53" s="160"/>
    </row>
    <row r="54" spans="2:8" ht="21">
      <c r="B54" s="227" t="s">
        <v>82</v>
      </c>
      <c r="C54" s="228"/>
      <c r="D54" s="229"/>
      <c r="E54" s="278">
        <f>SUM(E41:H53)</f>
        <v>0</v>
      </c>
      <c r="F54" s="279"/>
      <c r="G54" s="279"/>
      <c r="H54" s="280"/>
    </row>
    <row r="55" spans="2:8" ht="17.5">
      <c r="B55" s="227"/>
      <c r="C55" s="228"/>
      <c r="D55" s="229"/>
      <c r="E55" s="230"/>
      <c r="F55" s="231"/>
      <c r="G55" s="231"/>
      <c r="H55" s="232"/>
    </row>
  </sheetData>
  <sheetProtection password="C8CD" sheet="1" objects="1" scenarios="1" formatCells="0"/>
  <mergeCells count="62">
    <mergeCell ref="C8:D8"/>
    <mergeCell ref="C9:D9"/>
    <mergeCell ref="C7:D7"/>
    <mergeCell ref="C10:D10"/>
    <mergeCell ref="A38:H39"/>
    <mergeCell ref="E49:H49"/>
    <mergeCell ref="E30:F30"/>
    <mergeCell ref="A33:B33"/>
    <mergeCell ref="E45:H45"/>
    <mergeCell ref="B53:D53"/>
    <mergeCell ref="E52:H52"/>
    <mergeCell ref="E51:H51"/>
    <mergeCell ref="E48:H48"/>
    <mergeCell ref="E50:H50"/>
    <mergeCell ref="B51:D51"/>
    <mergeCell ref="E46:H46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47:D47"/>
    <mergeCell ref="E43:H43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C5:D5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78" t="s">
        <v>77</v>
      </c>
      <c r="B1" s="179"/>
      <c r="C1" s="179"/>
      <c r="D1" s="179"/>
      <c r="E1" s="179"/>
      <c r="F1" s="179"/>
      <c r="G1" s="180"/>
    </row>
    <row r="2" spans="1:7">
      <c r="A2" s="181"/>
      <c r="B2" s="182"/>
      <c r="C2" s="182"/>
      <c r="D2" s="182"/>
      <c r="E2" s="182"/>
      <c r="F2" s="182"/>
      <c r="G2" s="183"/>
    </row>
    <row r="3" spans="1:7" ht="28">
      <c r="A3" s="290" t="s">
        <v>78</v>
      </c>
      <c r="B3" s="291"/>
      <c r="C3" s="292"/>
      <c r="D3" s="290" t="s">
        <v>79</v>
      </c>
      <c r="E3" s="291"/>
      <c r="F3" s="291"/>
      <c r="G3" s="292"/>
    </row>
    <row r="4" spans="1:7" ht="41.5" customHeight="1">
      <c r="A4" s="293" t="s">
        <v>80</v>
      </c>
      <c r="B4" s="294"/>
      <c r="C4" s="295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35429</v>
      </c>
      <c r="E4" s="282"/>
      <c r="F4" s="282"/>
      <c r="G4" s="283"/>
    </row>
    <row r="5" spans="1:7" ht="37" customHeight="1">
      <c r="A5" s="293" t="s">
        <v>52</v>
      </c>
      <c r="B5" s="294"/>
      <c r="C5" s="295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480</v>
      </c>
      <c r="E5" s="282"/>
      <c r="F5" s="282"/>
      <c r="G5" s="283"/>
    </row>
    <row r="6" spans="1:7" ht="40" customHeight="1">
      <c r="A6" s="293" t="s">
        <v>56</v>
      </c>
      <c r="B6" s="294"/>
      <c r="C6" s="295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8160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320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87">
        <f>SUM(D4:D16)</f>
        <v>44389</v>
      </c>
      <c r="E17" s="288"/>
      <c r="F17" s="288"/>
      <c r="G17" s="289"/>
    </row>
  </sheetData>
  <sheetProtection password="C8CD" sheet="1" objects="1" scenarios="1"/>
  <mergeCells count="31"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2026-03-18T17:26:56Z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5e47aafe40f1407db48ce1caa5bbbef2</vt:lpwstr>
  </property>
  <property fmtid="{D5CDD505-2E9C-101B-9397-08002B2CF9AE}" pid="4" name="KSOProductBuildVer">
    <vt:lpwstr>3081-11.37.10</vt:lpwstr>
  </property>
</Properties>
</file>