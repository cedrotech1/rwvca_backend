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<sst xmlns="http://schemas.openxmlformats.org/spreadsheetml/2006/main" count="66" uniqueCount="37">
  <si>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ICPCs MUSANZE</t>
  </si>
  <si>
    <t>WEEKLY REPORT OF 01-10/05/2026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</si>
  <si>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</si>
  <si>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</si>
  <si>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</si>
  <si>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</si>
  <si>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</si>
  <si>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</si>
  <si>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</si>
  <si>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</si>
  <si>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</si>
  <si>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</si>
  <si>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</si>
  <si>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</si>
  <si>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</si>
  <si>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</si>
  <si>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</si>
  <si>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</si>
  <si>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</si>
  <si>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</si>
  <si>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>IBIPANDE BYA PINUS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</si>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</sst>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1" workbookViewId="0">
      <selection activeCell="C43" sqref="C43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200</v>
      </c>
      <c r="C6" s="21">
        <v>8850</v>
      </c>
      <c r="D6" s="22"/>
      <c r="E6" s="23">
        <f t="shared" ref="E6" si="0">PRODUCT(B6*C6)</f>
        <v>1770000</v>
      </c>
      <c r="F6" s="23">
        <f t="shared" ref="F6" si="1">PRODUCT(E6*18)/118</f>
        <v>270000</v>
      </c>
      <c r="G6" s="23">
        <f>PRODUCT(B6*50)</f>
        <v>10000</v>
      </c>
      <c r="H6" s="24">
        <f t="shared" ref="H6" si="2">SUM(F6:G6)</f>
        <v>280000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>
        <v>40</v>
      </c>
      <c r="C9" s="27">
        <v>4700</v>
      </c>
      <c r="D9" s="28"/>
      <c r="E9" s="29">
        <f t="shared" si="3"/>
        <v>188000</v>
      </c>
      <c r="F9" s="29">
        <f t="shared" si="4"/>
        <v>28677.9661016949</v>
      </c>
      <c r="G9" s="29">
        <f>PRODUCT(B9*30)</f>
        <v>1200</v>
      </c>
      <c r="H9" s="30">
        <f t="shared" si="5"/>
        <v>29877.9661016949</v>
      </c>
    </row>
    <row r="10" spans="1:8">
      <c r="A10" s="25" t="s">
        <v>13</v>
      </c>
      <c r="B10" s="26">
        <v>350</v>
      </c>
      <c r="C10" s="27">
        <v>2124</v>
      </c>
      <c r="D10" s="28"/>
      <c r="E10" s="29">
        <f t="shared" si="3"/>
        <v>743400</v>
      </c>
      <c r="F10" s="29">
        <f t="shared" si="4"/>
        <v>113400</v>
      </c>
      <c r="G10" s="29">
        <f>PRODUCT(B10*30)</f>
        <v>10500</v>
      </c>
      <c r="H10" s="30">
        <f t="shared" si="5"/>
        <v>123900</v>
      </c>
    </row>
    <row r="11" spans="1:8">
      <c r="A11" s="25" t="s">
        <v>14</v>
      </c>
      <c r="B11" s="26">
        <v>200</v>
      </c>
      <c r="C11" s="27">
        <v>1180</v>
      </c>
      <c r="D11" s="28"/>
      <c r="E11" s="29">
        <f t="shared" si="3"/>
        <v>236000</v>
      </c>
      <c r="F11" s="29">
        <f t="shared" si="4"/>
        <v>36000</v>
      </c>
      <c r="G11" s="29">
        <f>PRODUCT(B11*20)</f>
        <v>4000</v>
      </c>
      <c r="H11" s="30">
        <f t="shared" si="5"/>
        <v>40000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320</v>
      </c>
      <c r="C17" s="39">
        <v>2360</v>
      </c>
      <c r="D17" s="39">
        <v>25</v>
      </c>
      <c r="E17" s="23">
        <f>PRODUCT(B17*C17)</f>
        <v>755200</v>
      </c>
      <c r="F17" s="23">
        <f t="shared" ref="F17:F22" si="6">PRODUCT(E17*18)/118</f>
        <v>115200</v>
      </c>
      <c r="G17" s="23">
        <f>PRODUCT(B17*D17)</f>
        <v>8000</v>
      </c>
      <c r="H17" s="24">
        <f>SUM(F17:G17)</f>
        <v>123200</v>
      </c>
    </row>
    <row r="18" spans="1:9">
      <c r="A18" s="40" t="s">
        <v>21</v>
      </c>
      <c r="B18" s="28">
        <v>6</v>
      </c>
      <c r="C18" s="41">
        <v>60000</v>
      </c>
      <c r="D18" s="41">
        <v>50</v>
      </c>
      <c r="E18" s="29">
        <f t="shared" ref="E18:E23" si="7">PRODUCT(B18*C18)</f>
        <v>360000</v>
      </c>
      <c r="F18" s="29">
        <f t="shared" si="6"/>
        <v>54915.2542372881</v>
      </c>
      <c r="G18" s="29">
        <f t="shared" ref="G18:G23" si="8">PRODUCT(B18*D18)</f>
        <v>300</v>
      </c>
      <c r="H18" s="30">
        <f t="shared" ref="H18:H23" si="9">SUM(F18:G18)</f>
        <v>55215.2542372881</v>
      </c>
    </row>
    <row r="19" spans="1:9">
      <c r="A19" s="25" t="s">
        <v>21</v>
      </c>
      <c r="B19" s="26">
        <v>1</v>
      </c>
      <c r="C19" s="42"/>
      <c r="D19" s="42">
        <v>2400</v>
      </c>
      <c r="E19" s="29">
        <f t="shared" si="7"/>
        <v>0</v>
      </c>
      <c r="F19" s="29">
        <f t="shared" si="6"/>
        <v>0</v>
      </c>
      <c r="G19" s="29">
        <f t="shared" si="8"/>
        <v>2400</v>
      </c>
      <c r="H19" s="30">
        <f t="shared" si="9"/>
        <v>2400</v>
      </c>
    </row>
    <row r="20" spans="1:9">
      <c r="A20" s="25" t="s">
        <v>21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21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21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21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21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21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21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21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21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21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21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21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21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21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21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21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21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21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21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21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21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22</v>
      </c>
      <c r="B41" s="50"/>
      <c r="C41" s="51"/>
      <c r="D41" s="51"/>
      <c r="E41" s="52">
        <f>SUM(E6:E40)</f>
        <v>4052600</v>
      </c>
      <c r="F41" s="52">
        <f>SUM(F6:F40)</f>
        <v>618193.220338983</v>
      </c>
      <c r="G41" s="52">
        <f>SUM(G6:G40)</f>
        <v>36400</v>
      </c>
      <c r="H41" s="53">
        <f t="shared" si="19"/>
        <v>654593.220338983</v>
      </c>
    </row>
    <row r="42" ht="15.25" spans="1:8">
      <c r="A42" s="54" t="s">
        <v>23</v>
      </c>
      <c r="B42" s="55"/>
      <c r="C42" s="56">
        <v>498760</v>
      </c>
      <c r="D42" s="57"/>
      <c r="E42" s="58" t="s">
        <v>24</v>
      </c>
      <c r="F42" s="58"/>
      <c r="G42" s="58"/>
      <c r="H42" s="58"/>
    </row>
    <row r="43" spans="1:8">
      <c r="A43" s="54" t="s">
        <v>25</v>
      </c>
      <c r="B43" s="55"/>
      <c r="C43" s="59">
        <v>155833</v>
      </c>
      <c r="D43" s="56" t="s">
        <v>26</v>
      </c>
      <c r="E43" s="60" t="s">
        <v>27</v>
      </c>
      <c r="F43" s="61"/>
      <c r="G43" s="56" t="s">
        <v>28</v>
      </c>
      <c r="H43" s="62" t="s">
        <v>29</v>
      </c>
    </row>
    <row r="44" ht="15.25" spans="1:8">
      <c r="A44" s="54" t="s">
        <v>30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31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32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33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34</v>
      </c>
      <c r="B48" s="76"/>
      <c r="C48" s="81">
        <f>SUM(C42:C47)</f>
        <v>654593</v>
      </c>
      <c r="D48" s="82"/>
      <c r="E48" s="83"/>
      <c r="F48" s="84"/>
      <c r="G48" s="85"/>
      <c r="H48" s="86"/>
    </row>
    <row r="49" spans="2:2">
      <c r="B49" s="1" t="s">
        <v>35</v>
      </c>
    </row>
    <row r="50" spans="2:2">
      <c r="B50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2026-05-11T09:03:51Z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C3E6E8635E7E40E39D41BA1E57BB4EB2_13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