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<sst xmlns="http://schemas.openxmlformats.org/spreadsheetml/2006/main" count="65" uniqueCount="47">
  <si>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</si>
  <si>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</si>
  <si>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</si>
  <si>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</si>
  <si>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</si>
  <si>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</si>
  <si>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</si>
  <si>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</si>
  <si>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</si>
  <si>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</si>
  <si>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</si>
  <si>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</si>
  <si>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</si>
  <si>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</si>
  <si>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</si>
  <si>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</si>
  <si>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</si>
  <si>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</si>
  <si>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</si>
  <si>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</si>
  <si>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</si>
  <si>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</si>
  <si>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</si>
  <si>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</si>
  <si>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</si>
  <si>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</si>
  <si>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</si>
  <si>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</si>
  <si>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</si>
  <si>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</si>
  <si>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</si>
  <si>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</si>
  <si>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</si>
  <si>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</si>
  <si>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</si>
  <si>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</si>
  <si>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</si>
  <si>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</si>
  <si>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</si>
  <si>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</si>
  <si>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</si>
  <si>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</si>
  <si>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</si>
  <si>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</si>
  <si>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</si>
  <si>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</si>
  <si>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WEEKLY REPORT ON 13/07/-19/07/2026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</si>
</sst>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6" zoomScale="110" zoomScaleNormal="110" workbookViewId="0">
      <selection activeCell="L44" sqref="L4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700</v>
      </c>
      <c r="C8" s="61">
        <v>2360</v>
      </c>
      <c r="D8" s="62"/>
      <c r="E8" s="13">
        <f t="shared" si="3"/>
        <v>1652000</v>
      </c>
      <c r="F8" s="13">
        <f t="shared" si="4"/>
        <v>252000</v>
      </c>
      <c r="G8" s="13">
        <f>PRODUCT(B8*50)</f>
        <v>35000</v>
      </c>
      <c r="H8" s="14">
        <f t="shared" si="5"/>
        <v>287000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1946</v>
      </c>
      <c r="C10" s="61">
        <v>2360</v>
      </c>
      <c r="D10" s="62"/>
      <c r="E10" s="13">
        <f t="shared" si="3"/>
        <v>4592560</v>
      </c>
      <c r="F10" s="13">
        <f t="shared" si="4"/>
        <v>700560</v>
      </c>
      <c r="G10" s="13">
        <f>PRODUCT(B10*30)</f>
        <v>58380</v>
      </c>
      <c r="H10" s="14">
        <f t="shared" si="5"/>
        <v>758940</v>
      </c>
    </row>
    <row r="11" spans="1:8">
      <c r="A11" s="10" t="s">
        <v>12</v>
      </c>
      <c r="B11" s="11">
        <v>150</v>
      </c>
      <c r="C11" s="61">
        <v>1534</v>
      </c>
      <c r="D11" s="62"/>
      <c r="E11" s="13">
        <f t="shared" si="3"/>
        <v>230100</v>
      </c>
      <c r="F11" s="13">
        <f t="shared" si="4"/>
        <v>35100</v>
      </c>
      <c r="G11" s="13">
        <f>PRODUCT(B11*20)</f>
        <v>3000</v>
      </c>
      <c r="H11" s="14">
        <f t="shared" si="5"/>
        <v>38100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>
        <v>400</v>
      </c>
      <c r="C17" s="22">
        <v>1770</v>
      </c>
      <c r="D17" s="22">
        <v>50</v>
      </c>
      <c r="E17" s="8">
        <f>PRODUCT(B17*C17)</f>
        <v>708000</v>
      </c>
      <c r="F17" s="8">
        <f t="shared" ref="F17:F22" si="6">PRODUCT(E17*18)/118</f>
        <v>108000</v>
      </c>
      <c r="G17" s="8">
        <f>PRODUCT(B17*D17)</f>
        <v>20000</v>
      </c>
      <c r="H17" s="9">
        <f>SUM(F17:G17)</f>
        <v>128000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7182660</v>
      </c>
      <c r="F41" s="36">
        <f>SUM(F6:F40)</f>
        <v>1095660</v>
      </c>
      <c r="G41" s="36">
        <f>SUM(G6:G40)</f>
        <v>116380</v>
      </c>
      <c r="H41" s="37">
        <f t="shared" si="19"/>
        <v>1212040</v>
      </c>
    </row>
    <row r="42" spans="1:8">
      <c r="A42" s="83" t="s">
        <v>34</v>
      </c>
      <c r="B42" s="84"/>
      <c r="C42" s="38">
        <v>1212040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1212040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2026-07-20T08:19:01Z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