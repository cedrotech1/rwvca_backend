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5530" windowHeight="4320"/>
  </bookViews>
  <sheets>
    <sheet name="BUDGET YEAR 2026 UPDATED" sheetId="29" r:id="rId1"/>
  </sheets>
  <calcPr calcId="162913"/>
</workbook>
</file>

<file path=xl/calcChain.xml><?xml version="1.0" encoding="utf-8"?>
<calcChain xmlns="http://schemas.openxmlformats.org/spreadsheetml/2006/main">
  <c r="E100" i="29" l="1"/>
  <c r="F79" i="29"/>
  <c r="F90" i="29"/>
  <c r="F13" i="29"/>
  <c r="D16" i="29" l="1"/>
  <c r="E16" i="29"/>
  <c r="G31" i="29" l="1"/>
  <c r="G38" i="29"/>
  <c r="G54" i="29"/>
  <c r="G56" i="29"/>
  <c r="G82" i="29"/>
  <c r="G87" i="29"/>
  <c r="G92" i="29"/>
  <c r="G106" i="29"/>
  <c r="G113" i="29"/>
  <c r="G118" i="29"/>
  <c r="G119" i="29"/>
  <c r="G124" i="29"/>
  <c r="G125" i="29"/>
  <c r="G134" i="29"/>
  <c r="G19" i="29"/>
  <c r="G21" i="29"/>
  <c r="D52" i="29" l="1"/>
  <c r="D59" i="29" s="1"/>
  <c r="D56" i="29"/>
  <c r="E56" i="29" s="1"/>
  <c r="D108" i="29"/>
  <c r="E108" i="29"/>
  <c r="F108" i="29"/>
  <c r="D104" i="29"/>
  <c r="F55" i="29"/>
  <c r="G55" i="29" s="1"/>
  <c r="E55" i="29"/>
  <c r="E106" i="29"/>
  <c r="D103" i="29"/>
  <c r="E103" i="29" s="1"/>
  <c r="G107" i="29"/>
  <c r="E107" i="29"/>
  <c r="D31" i="29"/>
  <c r="D134" i="29"/>
  <c r="D135" i="29" s="1"/>
  <c r="F103" i="29"/>
  <c r="G103" i="29" s="1"/>
  <c r="F131" i="29"/>
  <c r="E131" i="29"/>
  <c r="F101" i="29"/>
  <c r="G101" i="29" s="1"/>
  <c r="E101" i="29"/>
  <c r="E134" i="29" l="1"/>
  <c r="F102" i="29"/>
  <c r="G102" i="29" s="1"/>
  <c r="E102" i="29"/>
  <c r="F100" i="29"/>
  <c r="E104" i="29"/>
  <c r="D98" i="29"/>
  <c r="E90" i="29"/>
  <c r="E98" i="29" s="1"/>
  <c r="F91" i="29"/>
  <c r="G91" i="29" s="1"/>
  <c r="E91" i="29"/>
  <c r="E92" i="29"/>
  <c r="F93" i="29"/>
  <c r="G93" i="29" s="1"/>
  <c r="E93" i="29"/>
  <c r="D41" i="29"/>
  <c r="E31" i="29"/>
  <c r="E54" i="29"/>
  <c r="D63" i="29"/>
  <c r="E63" i="29"/>
  <c r="F62" i="29"/>
  <c r="G62" i="29" s="1"/>
  <c r="E62" i="29"/>
  <c r="G61" i="29"/>
  <c r="E61" i="29"/>
  <c r="D88" i="29"/>
  <c r="E87" i="29"/>
  <c r="G86" i="29"/>
  <c r="E86" i="29"/>
  <c r="E88" i="29" s="1"/>
  <c r="D71" i="29"/>
  <c r="G65" i="29"/>
  <c r="E65" i="29"/>
  <c r="F66" i="29"/>
  <c r="G66" i="29" s="1"/>
  <c r="E66" i="29"/>
  <c r="F67" i="29"/>
  <c r="G67" i="29" s="1"/>
  <c r="E67" i="29"/>
  <c r="G68" i="29"/>
  <c r="E68" i="29"/>
  <c r="F70" i="29"/>
  <c r="G70" i="29" s="1"/>
  <c r="E70" i="29"/>
  <c r="D75" i="29"/>
  <c r="E75" i="29" s="1"/>
  <c r="F75" i="29"/>
  <c r="G75" i="29" s="1"/>
  <c r="F80" i="29"/>
  <c r="G80" i="29" s="1"/>
  <c r="E80" i="29"/>
  <c r="F83" i="29"/>
  <c r="E83" i="29"/>
  <c r="F78" i="29"/>
  <c r="G78" i="29" s="1"/>
  <c r="E78" i="29"/>
  <c r="G77" i="29"/>
  <c r="E77" i="29"/>
  <c r="F81" i="29"/>
  <c r="G81" i="29" s="1"/>
  <c r="E81" i="29"/>
  <c r="F94" i="29"/>
  <c r="G94" i="29" s="1"/>
  <c r="E94" i="29"/>
  <c r="F96" i="29"/>
  <c r="G96" i="29" s="1"/>
  <c r="E96" i="29"/>
  <c r="F97" i="29"/>
  <c r="G97" i="29" s="1"/>
  <c r="E97" i="29"/>
  <c r="F95" i="29"/>
  <c r="G95" i="29" s="1"/>
  <c r="E95" i="29"/>
  <c r="D116" i="29"/>
  <c r="F112" i="29"/>
  <c r="G112" i="29" s="1"/>
  <c r="F111" i="29"/>
  <c r="G111" i="29" s="1"/>
  <c r="E112" i="29"/>
  <c r="E111" i="29"/>
  <c r="E116" i="29" s="1"/>
  <c r="F110" i="29"/>
  <c r="G110" i="29" s="1"/>
  <c r="E110" i="29"/>
  <c r="E113" i="29"/>
  <c r="D127" i="29"/>
  <c r="D130" i="29" s="1"/>
  <c r="F115" i="29"/>
  <c r="G115" i="29" s="1"/>
  <c r="E115" i="29"/>
  <c r="F114" i="29"/>
  <c r="G114" i="29" s="1"/>
  <c r="E114" i="29"/>
  <c r="E124" i="29"/>
  <c r="E125" i="29"/>
  <c r="F98" i="29" l="1"/>
  <c r="G90" i="29"/>
  <c r="F88" i="29"/>
  <c r="F116" i="29"/>
  <c r="G100" i="29"/>
  <c r="F104" i="29"/>
  <c r="F127" i="29"/>
  <c r="D84" i="29"/>
  <c r="F71" i="29"/>
  <c r="F63" i="29"/>
  <c r="E127" i="29"/>
  <c r="D136" i="29" l="1"/>
  <c r="G127" i="29"/>
  <c r="D120" i="29"/>
  <c r="F120" i="29"/>
  <c r="D118" i="29"/>
  <c r="E118" i="29" l="1"/>
  <c r="E119" i="29"/>
  <c r="F122" i="29"/>
  <c r="E122" i="29"/>
  <c r="F123" i="29"/>
  <c r="G123" i="29" s="1"/>
  <c r="E123" i="29"/>
  <c r="F126" i="29"/>
  <c r="G126" i="29" s="1"/>
  <c r="E126" i="29"/>
  <c r="F128" i="29"/>
  <c r="G128" i="29" s="1"/>
  <c r="E128" i="29"/>
  <c r="F129" i="29"/>
  <c r="E133" i="29"/>
  <c r="E135" i="29" s="1"/>
  <c r="F18" i="29"/>
  <c r="F12" i="29"/>
  <c r="F22" i="29"/>
  <c r="G22" i="29" s="1"/>
  <c r="E22" i="29"/>
  <c r="E21" i="29"/>
  <c r="E19" i="29"/>
  <c r="E130" i="29" l="1"/>
  <c r="G18" i="29"/>
  <c r="E129" i="29"/>
  <c r="G129" i="29"/>
  <c r="G122" i="29"/>
  <c r="F130" i="29"/>
  <c r="E120" i="29"/>
  <c r="G133" i="29"/>
  <c r="F135" i="29"/>
  <c r="F16" i="29"/>
  <c r="G16" i="29" s="1"/>
  <c r="F15" i="29"/>
  <c r="F40" i="29" l="1"/>
  <c r="G40" i="29" s="1"/>
  <c r="E40" i="29"/>
  <c r="F37" i="29"/>
  <c r="G37" i="29" s="1"/>
  <c r="F36" i="29"/>
  <c r="G36" i="29" s="1"/>
  <c r="F35" i="29"/>
  <c r="G35" i="29" s="1"/>
  <c r="F34" i="29"/>
  <c r="G34" i="29" s="1"/>
  <c r="F33" i="29"/>
  <c r="G33" i="29" s="1"/>
  <c r="E34" i="29" l="1"/>
  <c r="E35" i="29"/>
  <c r="E36" i="29"/>
  <c r="E37" i="29"/>
  <c r="E38" i="29"/>
  <c r="E33" i="29"/>
  <c r="D49" i="29"/>
  <c r="D72" i="29" s="1"/>
  <c r="D137" i="29" s="1"/>
  <c r="F46" i="29"/>
  <c r="G46" i="29" s="1"/>
  <c r="E46" i="29"/>
  <c r="F17" i="29"/>
  <c r="G17" i="29" s="1"/>
  <c r="E17" i="29"/>
  <c r="F20" i="29" l="1"/>
  <c r="G20" i="29" s="1"/>
  <c r="D20" i="29"/>
  <c r="D24" i="29" s="1"/>
  <c r="D25" i="29" s="1"/>
  <c r="D138" i="29" s="1"/>
  <c r="E18" i="29"/>
  <c r="E20" i="29" l="1"/>
  <c r="C98" i="29"/>
  <c r="G98" i="29" s="1"/>
  <c r="C135" i="29" l="1"/>
  <c r="G135" i="29" s="1"/>
  <c r="C130" i="29"/>
  <c r="G130" i="29" s="1"/>
  <c r="C120" i="29"/>
  <c r="G120" i="29" s="1"/>
  <c r="C116" i="29"/>
  <c r="G116" i="29" s="1"/>
  <c r="C108" i="29"/>
  <c r="G108" i="29" s="1"/>
  <c r="C104" i="29"/>
  <c r="G104" i="29" s="1"/>
  <c r="C79" i="29"/>
  <c r="C76" i="29"/>
  <c r="C69" i="29"/>
  <c r="C63" i="29"/>
  <c r="G63" i="29" s="1"/>
  <c r="C88" i="29"/>
  <c r="G88" i="29" s="1"/>
  <c r="C58" i="29"/>
  <c r="C57" i="29"/>
  <c r="C53" i="29"/>
  <c r="C52" i="29"/>
  <c r="C51" i="29"/>
  <c r="C48" i="29"/>
  <c r="C47" i="29"/>
  <c r="C45" i="29"/>
  <c r="C44" i="29"/>
  <c r="C43" i="29"/>
  <c r="C39" i="29"/>
  <c r="C32" i="29"/>
  <c r="C30" i="29"/>
  <c r="C23" i="29"/>
  <c r="C15" i="29"/>
  <c r="C14" i="29"/>
  <c r="C13" i="29"/>
  <c r="E43" i="29" l="1"/>
  <c r="F43" i="29"/>
  <c r="F44" i="29"/>
  <c r="G44" i="29" s="1"/>
  <c r="E44" i="29"/>
  <c r="E79" i="29"/>
  <c r="E48" i="29"/>
  <c r="F48" i="29"/>
  <c r="G48" i="29" s="1"/>
  <c r="G76" i="29"/>
  <c r="E76" i="29"/>
  <c r="E84" i="29" s="1"/>
  <c r="E136" i="29" s="1"/>
  <c r="C84" i="29"/>
  <c r="C136" i="29" s="1"/>
  <c r="F14" i="29"/>
  <c r="E14" i="29"/>
  <c r="G52" i="29"/>
  <c r="E52" i="29"/>
  <c r="E15" i="29"/>
  <c r="G15" i="29"/>
  <c r="G53" i="29"/>
  <c r="E53" i="29"/>
  <c r="F23" i="29"/>
  <c r="G23" i="29" s="1"/>
  <c r="E23" i="29"/>
  <c r="G57" i="29"/>
  <c r="E57" i="29"/>
  <c r="G39" i="29"/>
  <c r="E39" i="29"/>
  <c r="C71" i="29"/>
  <c r="G71" i="29" s="1"/>
  <c r="G69" i="29"/>
  <c r="E69" i="29"/>
  <c r="E71" i="29" s="1"/>
  <c r="G45" i="29"/>
  <c r="E45" i="29"/>
  <c r="G47" i="29"/>
  <c r="E47" i="29"/>
  <c r="G13" i="29"/>
  <c r="E13" i="29"/>
  <c r="E24" i="29" s="1"/>
  <c r="E25" i="29" s="1"/>
  <c r="F51" i="29"/>
  <c r="E51" i="29"/>
  <c r="C29" i="29"/>
  <c r="F30" i="29"/>
  <c r="G30" i="29" s="1"/>
  <c r="E30" i="29"/>
  <c r="E58" i="29"/>
  <c r="F58" i="29"/>
  <c r="G58" i="29" s="1"/>
  <c r="F32" i="29"/>
  <c r="G32" i="29" s="1"/>
  <c r="E32" i="29"/>
  <c r="C24" i="29"/>
  <c r="C25" i="29" s="1"/>
  <c r="C49" i="29"/>
  <c r="C59" i="29"/>
  <c r="G14" i="29" l="1"/>
  <c r="F24" i="29"/>
  <c r="C72" i="29"/>
  <c r="C137" i="29" s="1"/>
  <c r="G51" i="29"/>
  <c r="F59" i="29"/>
  <c r="G43" i="29"/>
  <c r="F49" i="29"/>
  <c r="G49" i="29" s="1"/>
  <c r="G79" i="29"/>
  <c r="F84" i="29"/>
  <c r="E59" i="29"/>
  <c r="C41" i="29"/>
  <c r="F29" i="29"/>
  <c r="E29" i="29"/>
  <c r="E41" i="29" s="1"/>
  <c r="E49" i="29"/>
  <c r="E137" i="29" l="1"/>
  <c r="C138" i="29"/>
  <c r="F25" i="29"/>
  <c r="G24" i="29"/>
  <c r="G29" i="29"/>
  <c r="F41" i="29"/>
  <c r="G41" i="29" s="1"/>
  <c r="E72" i="29"/>
  <c r="G84" i="29"/>
  <c r="F136" i="29"/>
  <c r="G59" i="29"/>
  <c r="F72" i="29"/>
  <c r="G72" i="29" s="1"/>
  <c r="G25" i="29" l="1"/>
  <c r="G136" i="29"/>
  <c r="F137" i="29"/>
  <c r="G137" i="29" s="1"/>
  <c r="F138" i="29" l="1"/>
  <c r="G138" i="29" s="1"/>
</calcChain>
</file>

<file path=xl/comments1.xml><?xml version="1.0" encoding="utf-8"?>
<comments xmlns="http://schemas.openxmlformats.org/spreadsheetml/2006/main">
  <authors>
    <author>HP</author>
  </authors>
  <commentList>
    <comment ref="H2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Main raison:
1.New purchase order via MINEDUC and RTB
2.Inputs &amp;VAT
3.Membership fees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refer to current expense</t>
        </r>
      </text>
    </comment>
    <comment ref="F3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increase due to current expense</t>
        </r>
      </text>
    </comment>
    <comment ref="H4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Wage payable </t>
        </r>
      </text>
    </comment>
    <comment ref="C4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Bishenyi only:3k per month
Gisozi =5k per month
Kimironko=5k per month
RWVCA=10K per month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Fuel consumption</t>
        </r>
      </text>
    </comment>
    <comment ref="F5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due to current expense</t>
        </r>
      </text>
    </comment>
    <comment ref="F5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refer to current expense</t>
        </r>
      </text>
    </comment>
    <comment ref="F5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increase refer to current expense</t>
        </r>
      </text>
    </comment>
    <comment ref="F5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 refer to current expense</t>
        </r>
      </text>
    </comment>
    <comment ref="F5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Budger decrease due to current expense</t>
        </r>
      </text>
    </comment>
    <comment ref="H5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1.Stafff food
2.Car wash
3.Decoration and stationaries</t>
        </r>
      </text>
    </comment>
    <comment ref="H6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Mission Allowances</t>
        </r>
      </text>
    </comment>
    <comment ref="F6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Activity ended</t>
        </r>
      </text>
    </comment>
    <comment ref="F6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Tarrif increased</t>
        </r>
      </text>
    </comment>
    <comment ref="F7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increase  due to errears </t>
        </r>
      </text>
    </comment>
    <comment ref="F7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Contract ended</t>
        </r>
      </text>
    </comment>
    <comment ref="F8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increase due Visit planned for 2 consultant</t>
        </r>
      </text>
    </comment>
    <comment ref="G8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83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New budget added</t>
        </r>
      </text>
    </comment>
    <comment ref="H8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MAIN RAISON:
1.German consultant
2.Consultant for recovery</t>
        </r>
      </text>
    </comment>
    <comment ref="F8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Decrease refer to cost used in semester 1</t>
        </r>
      </text>
    </comment>
    <comment ref="H8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Transport fees</t>
        </r>
      </text>
    </comment>
    <comment ref="F90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VAT payable increase due to VAT collected</t>
        </r>
      </text>
    </comment>
    <comment ref="F92" authorId="0" shapeId="0">
      <text>
        <r>
          <rPr>
            <b/>
            <sz val="9"/>
            <color indexed="81"/>
            <rFont val="Tahoma"/>
            <family val="2"/>
          </rPr>
          <t>HP
Inama nyinshi byatumye expesnes yiyongera</t>
        </r>
      </text>
    </comment>
    <comment ref="F9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increase due to revision declaration</t>
        </r>
      </text>
    </comment>
    <comment ref="H9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Main Raison:
VAT Payable</t>
        </r>
      </text>
    </comment>
    <comment ref="F10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due to current expense</t>
        </r>
      </text>
    </comment>
    <comment ref="H10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Main Raison:
Activities achieved (award)
Social activities</t>
        </r>
      </text>
    </comment>
    <comment ref="F11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Activity ended</t>
        </r>
      </text>
    </comment>
    <comment ref="H11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RAISON:
Validation project</t>
        </r>
      </text>
    </comment>
    <comment ref="F11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due to Membership contr and shares</t>
        </r>
      </text>
    </comment>
    <comment ref="F119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incres due to 2nd purchase order</t>
        </r>
      </text>
    </comment>
    <comment ref="F12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based on used cost for 6 months</t>
        </r>
      </text>
    </comment>
    <comment ref="F12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based on used cost for 6 months</t>
        </r>
      </text>
    </comment>
    <comment ref="F12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activity ended</t>
        </r>
      </text>
    </comment>
    <comment ref="D13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Subscription fees for software accounting</t>
        </r>
      </text>
    </comment>
    <comment ref="F13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Budget decrease due to current expenses</t>
        </r>
      </text>
    </comment>
    <comment ref="H13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MAIN RAISON:
1.New activities
2.VAT
</t>
        </r>
      </text>
    </comment>
  </commentList>
</comments>
</file>

<file path=xl/sharedStrings.xml><?xml version="1.0" encoding="utf-8"?>
<sst xmlns="http://schemas.openxmlformats.org/spreadsheetml/2006/main" count="296" uniqueCount="188">
  <si>
    <t>DETAILS</t>
  </si>
  <si>
    <t>A</t>
  </si>
  <si>
    <t>B</t>
  </si>
  <si>
    <t>C</t>
  </si>
  <si>
    <t>D</t>
  </si>
  <si>
    <t>E</t>
  </si>
  <si>
    <t>GENERAL &amp; ADMINISTATIVES COSTS</t>
  </si>
  <si>
    <t>SUB TOTAL STAFF COSTS</t>
  </si>
  <si>
    <t>SUB TOTAL UTILITIES COST</t>
  </si>
  <si>
    <t xml:space="preserve">Prepared by </t>
  </si>
  <si>
    <t>BALANCE CARRIED FORWARD</t>
  </si>
  <si>
    <t>Jean Claude Nkomezumutima</t>
  </si>
  <si>
    <t>Marthe Dushimirimana</t>
  </si>
  <si>
    <t>Executive Director</t>
  </si>
  <si>
    <t>Email:rwvca2018@gmail.com</t>
  </si>
  <si>
    <t>Website:www.rwvca.org.rw</t>
  </si>
  <si>
    <t>F</t>
  </si>
  <si>
    <t>G</t>
  </si>
  <si>
    <t>I</t>
  </si>
  <si>
    <t>SHARES PAID BY MEMBERS</t>
  </si>
  <si>
    <t>J</t>
  </si>
  <si>
    <t>K</t>
  </si>
  <si>
    <t>NEW BUDGET REVISED(EXPENDITURES)</t>
  </si>
  <si>
    <t>Accountant</t>
  </si>
  <si>
    <t>VAT COLLECTED</t>
  </si>
  <si>
    <t>RTB FUND (RPL)</t>
  </si>
  <si>
    <t>H</t>
  </si>
  <si>
    <t>TOTAL REVENUS PLANNED TO RECEIVE</t>
  </si>
  <si>
    <t>Approuved by</t>
  </si>
  <si>
    <t>Chairman</t>
  </si>
  <si>
    <t>Adbul Rahaman Karemera</t>
  </si>
  <si>
    <t>Verified by</t>
  </si>
  <si>
    <t>II.EXPENSES PLANNED</t>
  </si>
  <si>
    <t>SUB TOTAL OFFICE</t>
  </si>
  <si>
    <t>SUB TOTAL SITTING ALLOWANCES AND MISSION FEES</t>
  </si>
  <si>
    <t>SUB TOTAL TAXES</t>
  </si>
  <si>
    <t>SUB TOTAL PROCUREMENT OF MATERIALS AND EQUIPMENTS</t>
  </si>
  <si>
    <t>SUB TOTAL EXTERNAL CONSULTANT</t>
  </si>
  <si>
    <t>SUB TOTAL IT EQUIPEMENT AND COMMUNICATION MATERIALS</t>
  </si>
  <si>
    <t>SUB TOTAL SOCIAL ACTIVITIES</t>
  </si>
  <si>
    <t>SUB TOTAL MEETINGS&amp;VALIDATION&amp;WORKSHOPS&amp;TRAINING</t>
  </si>
  <si>
    <t>SUB TOTAL SUPPLIERS INVOICES/GUARANTEE</t>
  </si>
  <si>
    <t>SUB TOTAL MEMBERSHIP ACTIVITIES</t>
  </si>
  <si>
    <t>SUB TOTAL OTHERS EXPENSES</t>
  </si>
  <si>
    <t xml:space="preserve">SUB TOTAL TRANSPORTATION/TRAVEL COST </t>
  </si>
  <si>
    <t>BUDGET</t>
  </si>
  <si>
    <t>PERFORMANCE SECURITY PAYBACK</t>
  </si>
  <si>
    <t>OTHER REVENUE (Refund,VAT received from purchases)</t>
  </si>
  <si>
    <t>REVENUE FROM MINECOFIN (last invoice)</t>
  </si>
  <si>
    <t>SUB TOTAL REVENUES PLANNED</t>
  </si>
  <si>
    <t xml:space="preserve"> ESTIMATED BALANCE END OF THE YEAR 2026</t>
  </si>
  <si>
    <t>I.REVENUES EXPECTED</t>
  </si>
  <si>
    <t>OPERATING AND OTHER EXPENSES</t>
  </si>
  <si>
    <t>1.1 STAFF COSTS</t>
  </si>
  <si>
    <t>1.2 UTILITIES</t>
  </si>
  <si>
    <t>1.3 OFFICE</t>
  </si>
  <si>
    <t>1.1.2 TAX  AND CONTRIBUTIONS</t>
  </si>
  <si>
    <t>1.1.3 WAGES (Casual workers+interns)</t>
  </si>
  <si>
    <t>1.1.4 LUMP SUM</t>
  </si>
  <si>
    <t>1.1.5 MOTIVATION STAFF (13eme mois include WHT)</t>
  </si>
  <si>
    <t>1.1.6 CAPACITY BUILDING (STAFF)Software like quick book and others</t>
  </si>
  <si>
    <t>1.1.7 ROTATION OF MRO</t>
  </si>
  <si>
    <t>1.1.8 STAFF TRAINING ON IT</t>
  </si>
  <si>
    <t>1.1.9 STAFF PHYSICAL MEETING</t>
  </si>
  <si>
    <t>1.1.10 MEDICAL INSURANCE</t>
  </si>
  <si>
    <t>1.1.11 STAFF AIRTIME</t>
  </si>
  <si>
    <t>1.1.12 RETREAT OF HQ EMPLOYEES</t>
  </si>
  <si>
    <t>1.1.1 NET SALARIES</t>
  </si>
  <si>
    <t>1.2.1 WATER</t>
  </si>
  <si>
    <t>1.2.2 ELECTRICITY</t>
  </si>
  <si>
    <t>1.2.3 FUEL</t>
  </si>
  <si>
    <t>1.2.4 VEHICLE INSURANCE (2 car)</t>
  </si>
  <si>
    <t>1.2.5 CLEANING SERVICE FEES(GUTWARA IMYANDA)</t>
  </si>
  <si>
    <t>1.2.6 SECURITY FEES</t>
  </si>
  <si>
    <t>1.3.1 INTERNET</t>
  </si>
  <si>
    <t>1.3.2 OFFICE STATIONARIES(Paper,bic,cartouche)</t>
  </si>
  <si>
    <t>1.3.4 POSTAGES &amp; FAXES (IPOSITA)</t>
  </si>
  <si>
    <t>1.3.5 RENTAL EXPENSES</t>
  </si>
  <si>
    <t>1.3.7 CAR WASH</t>
  </si>
  <si>
    <t>1.3.8 REPAIR AND MAINTENANCE VEHICLES</t>
  </si>
  <si>
    <t>1.4 SITTING ALLOWANCES AND MISSION FEES</t>
  </si>
  <si>
    <t>1.4.2 SITTING-ALLOWANCES(EXCO+BOARD)</t>
  </si>
  <si>
    <t>1.5 PROCUREMENT OF MATERIALS AND EQUIPMENTS</t>
  </si>
  <si>
    <t>1.5.1 KITCHEN MATERIALS</t>
  </si>
  <si>
    <t>1.5.2 PURCHASE CURTAINS FOR OFFICES</t>
  </si>
  <si>
    <t>1.5.4 PURCHASE OFFICE FURNITURES(Chairs,Tables,..)</t>
  </si>
  <si>
    <t>1.5.5 PUBLICATION FEES</t>
  </si>
  <si>
    <t>1.5.6  PURCHASE COVER FOR VEHICLE</t>
  </si>
  <si>
    <t>TOTAL GENERAL &amp; ADMINISTATIVES COSTS</t>
  </si>
  <si>
    <t>2.1 EXTERNAL CONSULTANT</t>
  </si>
  <si>
    <t>2.1.1 COORDINATION CONSTRUCTION ACTIVITY</t>
  </si>
  <si>
    <t>2.1.2 LEGAL SERVICE(Loyer,huissier)</t>
  </si>
  <si>
    <t>2.1.5 COMPANY EXPERT IN FINANCE(Internal Controller)</t>
  </si>
  <si>
    <t>2.1.6 REVISING RWVCA's DOCUMENTS(management support)</t>
  </si>
  <si>
    <t>2.1.7 AUDIT FEES</t>
  </si>
  <si>
    <t>2.1.4 PROJECT STUDIES</t>
  </si>
  <si>
    <t xml:space="preserve">2.2 TRANSPORTATION/TRAVEL COST </t>
  </si>
  <si>
    <t>2.2.1 VISITING MROs&amp;M&amp;E (Internal control&amp;data collection)</t>
  </si>
  <si>
    <t xml:space="preserve">2.2.2 OTHER TRANSPORT </t>
  </si>
  <si>
    <t>2.3 TAXES</t>
  </si>
  <si>
    <t>2.3.1 TAXES EXPENSES (VAT)</t>
  </si>
  <si>
    <t>2.3.2 TAX CLEARANCE</t>
  </si>
  <si>
    <t>2.3.3 SITTING ALLOWANCES 30%</t>
  </si>
  <si>
    <t>2.3.4 WITHOLDING TAX 15%</t>
  </si>
  <si>
    <t>2.3.5 TRADING LICENSE</t>
  </si>
  <si>
    <t>2.3.6 PROPERTY TAX</t>
  </si>
  <si>
    <t>2.3.7 CIT</t>
  </si>
  <si>
    <t>2.4 IT EQUIPEMENT AND COMMUNICATION MATERIALS</t>
  </si>
  <si>
    <t>2.4.1 PROMOTIONAL MATERIALS</t>
  </si>
  <si>
    <t>2.4.3 MEDIA HOUSE(Visibility of RWVCA)</t>
  </si>
  <si>
    <t>2.4.4 HOSTING SERVICE&amp;DEVELOPMENT APPLICATION</t>
  </si>
  <si>
    <t>2.5 SOCIAL ACTIVITIES</t>
  </si>
  <si>
    <t>2.5.2 WARDS  BEST MEMBERS</t>
  </si>
  <si>
    <t>2.6 MEETINGS&amp;VALIDATION&amp;WORKSHOPS&amp;TRAINING</t>
  </si>
  <si>
    <t>2.6.1 GENERAL ASSEMBLY MEETING +INDUCTION(130 participants)</t>
  </si>
  <si>
    <t>2.6.2 MEETING (ICPCs President) 48 Participants</t>
  </si>
  <si>
    <t>2.6.3 MEETING ( 121 Timber Suppliers)</t>
  </si>
  <si>
    <t>2.6.4 VALIDATION  PROJECT FEASABILITY</t>
  </si>
  <si>
    <t>2.6.5  RWVCA Wood Sector forum</t>
  </si>
  <si>
    <t xml:space="preserve">2.6.7 PREPARATORY MEETING FOR ELECTION </t>
  </si>
  <si>
    <t>2.7 SUPPLIERS INVOICES/GUARANTEE</t>
  </si>
  <si>
    <t>2.7.1 PYT SCHOOL DESKS SUPPLIERS (Guarentee+Adendum)</t>
  </si>
  <si>
    <t>2.8 MEMBERSHIP ACTIVITIES</t>
  </si>
  <si>
    <t>2.8.1 IDENTIFY KEY POTENTIAL MEMBERS +SITES</t>
  </si>
  <si>
    <t>2.8.2 PURCHASE SHARES</t>
  </si>
  <si>
    <t xml:space="preserve">2.8.3 REPRESENTATION FEES </t>
  </si>
  <si>
    <t>2.8.4 ROBBING FEES</t>
  </si>
  <si>
    <t>2.8.5 CAPACITY BUILDING( Membership mobilisation)</t>
  </si>
  <si>
    <t>2.8.6 ELECTION (District,Province and National level)</t>
  </si>
  <si>
    <t>2.8.7 AWARENESS OF TMS</t>
  </si>
  <si>
    <t>2.8.9 MEMBERSHIP CONTRIBUTION (PSF)</t>
  </si>
  <si>
    <t>2.9 OTHER EXPENSES</t>
  </si>
  <si>
    <t>2.9.1 BANK CHARGES</t>
  </si>
  <si>
    <t>TOTAL OPERATING AND OTHER EXPENSES</t>
  </si>
  <si>
    <t>GROSS EXPENSES (GENERAL ADMINISTRATIVE  AND OPERATING)</t>
  </si>
  <si>
    <t>2.3.8 IQP CIT PREPAYMENT</t>
  </si>
  <si>
    <t>BUDGET EXECUTION FOR 6 MONTHS</t>
  </si>
  <si>
    <t>NEW BUDGET REVISED</t>
  </si>
  <si>
    <t xml:space="preserve">IMPLEMENTATION  </t>
  </si>
  <si>
    <t>RECEIVED/RWVCA</t>
  </si>
  <si>
    <t xml:space="preserve">BALANCE </t>
  </si>
  <si>
    <t>NEW BUDGET REVISED (INCOME)</t>
  </si>
  <si>
    <t>DIFFERENCE</t>
  </si>
  <si>
    <t>NEW PURCHASE ORDER III</t>
  </si>
  <si>
    <t>Done at Kigali,June,2026</t>
  </si>
  <si>
    <t>BUDGET BEFORE REVISION(EXPENDITURES)</t>
  </si>
  <si>
    <t>BUDGET BEFORE REVISION (INCOME)</t>
  </si>
  <si>
    <t>BUDGET FOR THE YEAR 2026 REVISED</t>
  </si>
  <si>
    <t>2.1.8 Hosting German expert (Air ticket and accomodation for presentation studies findings)</t>
  </si>
  <si>
    <t>OTHER RESOURCES(RSSB)</t>
  </si>
  <si>
    <t>RTB  EXPENSES (RPL)</t>
  </si>
  <si>
    <t>EXPENSES/RWVCA</t>
  </si>
  <si>
    <t>NEW BUDGET REVISED (EXPENSES)</t>
  </si>
  <si>
    <t>2.7.2 PAYMENT SUPPLIERS  INVOICES ( 2 Purchase order received in March 2026)</t>
  </si>
  <si>
    <t>2.5.1 SOCIAL ACTIVITIES PARTICIPATION(Commemoration Genocide against Tutsi,death)</t>
  </si>
  <si>
    <t>2.1.9 Consultancy for recovery to MINECOFIN</t>
  </si>
  <si>
    <t>1.4.1 MISSION FEES (Visiting MRO,M&amp;E,RPL preparation)</t>
  </si>
  <si>
    <t>1.3.3 PROVISION STAFFFOOD&amp;COMMITEE(Meals&amp;water and hygiene)</t>
  </si>
  <si>
    <t>2.4.2 IT EQUIPMENTS(up grade camera,screen,video conference and repair)</t>
  </si>
  <si>
    <t>2.9.2 OTHERS EXTRA EXPENSES(MISSELANEOUS EXPENSES):Subscription software,parking metal fabrication</t>
  </si>
  <si>
    <t>1.3.6 DECORATION (Flowers,..)</t>
  </si>
  <si>
    <t>ACCOUNT RECEIVABLES(Prepayments,Rbst loon,fees)</t>
  </si>
  <si>
    <t>BUDGET INCREASE OR DECREASE (%)</t>
  </si>
  <si>
    <t>INCREASE</t>
  </si>
  <si>
    <t>CONSTANT</t>
  </si>
  <si>
    <t>DECREASE</t>
  </si>
  <si>
    <t>%</t>
  </si>
  <si>
    <t>DECREASE 4%</t>
  </si>
  <si>
    <t>NEW BUDGER INCREASE 1%</t>
  </si>
  <si>
    <t>NEW BUDGET INCREASE 12%</t>
  </si>
  <si>
    <t>STATUS</t>
  </si>
  <si>
    <t>ANNUAL MEMBERSHIP CONTRIBUTION</t>
  </si>
  <si>
    <t>OTHER MEMBERSHIP CONTRIBUTION</t>
  </si>
  <si>
    <t>NEW BUDGET INCREASE 11%</t>
  </si>
  <si>
    <t>NEW BUDGET DECREASE 2 %</t>
  </si>
  <si>
    <t>NEW BUDGET DECREASE 19%</t>
  </si>
  <si>
    <t>NEW BUDGET DECREASE 10%</t>
  </si>
  <si>
    <t>NEW BUDGET DECREASE 18%</t>
  </si>
  <si>
    <t>NEW BUDGET DECREASE 40%</t>
  </si>
  <si>
    <t>NEW BUDGET DECREASE 20%</t>
  </si>
  <si>
    <t>NEW BUDGET DECREASE 67%</t>
  </si>
  <si>
    <t>NEW BUDGET DECREASE  0.22%</t>
  </si>
  <si>
    <t>NEW BUDGET DECREASE 3%</t>
  </si>
  <si>
    <t>NEW BUDGET DECREASE 47%</t>
  </si>
  <si>
    <t>1.5.3 OFFICE EQUIPMENT (Laptop,printer)</t>
  </si>
  <si>
    <t>NEW BUDGET BALANCE INCREASE 52%</t>
  </si>
  <si>
    <t>2.1.3 EXPERT/CONSULTANT(STRATEGIC PLAN)</t>
  </si>
  <si>
    <t>NEW BUDGET INCREASE 52%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</si>
</sst>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Tahoma"/>
      <family val="2"/>
    </font>
    <font>
      <sz val="8"/>
      <color theme="1"/>
      <name val="Book Antiqua"/>
      <family val="1"/>
    </font>
    <font>
      <b/>
      <sz val="8"/>
      <color theme="1"/>
      <name val="Book Antiqua"/>
      <family val="1"/>
    </font>
    <font>
      <b/>
      <u/>
      <sz val="8"/>
      <color theme="1"/>
      <name val="Book Antiqua"/>
      <family val="1"/>
    </font>
    <font>
      <sz val="8"/>
      <name val="Book Antiqua"/>
      <family val="1"/>
    </font>
    <font>
      <b/>
      <sz val="8"/>
      <name val="Book Antiqua"/>
      <family val="1"/>
    </font>
    <font>
      <sz val="8"/>
      <color rgb="FFFF0000"/>
      <name val="Book Antiqua"/>
      <family val="1"/>
    </font>
    <font>
      <sz val="8"/>
      <color rgb="FF00B0F0"/>
      <name val="Book Antiqua"/>
      <family val="1"/>
    </font>
    <font>
      <b/>
      <sz val="8"/>
      <color rgb="FF00B0F0"/>
      <name val="Book Antiqua"/>
      <family val="1"/>
    </font>
    <font>
      <b/>
      <strike/>
      <sz val="8"/>
      <color theme="1"/>
      <name val="Book Antiqua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3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165" fontId="5" fillId="0" borderId="0" xfId="1" applyNumberFormat="1" applyFont="1"/>
    <xf numFmtId="0" fontId="5" fillId="0" borderId="0" xfId="0" applyFont="1" applyAlignment="1">
      <alignment vertical="center"/>
    </xf>
    <xf numFmtId="41" fontId="5" fillId="0" borderId="0" xfId="2" applyFont="1"/>
    <xf numFmtId="0" fontId="6" fillId="0" borderId="0" xfId="0" applyFont="1"/>
    <xf numFmtId="165" fontId="6" fillId="2" borderId="1" xfId="1" applyNumberFormat="1" applyFont="1" applyFill="1" applyBorder="1" applyAlignment="1">
      <alignment vertical="center" wrapText="1"/>
    </xf>
    <xf numFmtId="165" fontId="6" fillId="3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41" fontId="5" fillId="0" borderId="1" xfId="2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165" fontId="5" fillId="0" borderId="2" xfId="1" applyNumberFormat="1" applyFont="1" applyFill="1" applyBorder="1" applyAlignment="1">
      <alignment vertical="center"/>
    </xf>
    <xf numFmtId="41" fontId="5" fillId="0" borderId="1" xfId="2" applyFont="1" applyBorder="1" applyAlignment="1">
      <alignment vertical="center"/>
    </xf>
    <xf numFmtId="165" fontId="5" fillId="0" borderId="2" xfId="1" applyNumberFormat="1" applyFont="1" applyBorder="1" applyAlignment="1">
      <alignment vertical="center"/>
    </xf>
    <xf numFmtId="0" fontId="5" fillId="3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vertical="center" wrapText="1"/>
    </xf>
    <xf numFmtId="165" fontId="6" fillId="0" borderId="2" xfId="1" applyNumberFormat="1" applyFont="1" applyBorder="1" applyAlignment="1">
      <alignment vertical="center"/>
    </xf>
    <xf numFmtId="165" fontId="6" fillId="3" borderId="2" xfId="1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 wrapText="1"/>
    </xf>
    <xf numFmtId="165" fontId="6" fillId="6" borderId="2" xfId="1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65" fontId="5" fillId="3" borderId="2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165" fontId="5" fillId="3" borderId="2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5" fillId="0" borderId="2" xfId="0" applyFont="1" applyBorder="1"/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165" fontId="6" fillId="8" borderId="5" xfId="1" applyNumberFormat="1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5" fontId="5" fillId="0" borderId="5" xfId="1" applyNumberFormat="1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165" fontId="6" fillId="0" borderId="5" xfId="1" applyNumberFormat="1" applyFont="1" applyBorder="1" applyAlignment="1">
      <alignment vertical="center"/>
    </xf>
    <xf numFmtId="0" fontId="5" fillId="3" borderId="1" xfId="0" applyFont="1" applyFill="1" applyBorder="1"/>
    <xf numFmtId="0" fontId="8" fillId="3" borderId="1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41" fontId="5" fillId="0" borderId="5" xfId="2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vertical="center"/>
    </xf>
    <xf numFmtId="165" fontId="5" fillId="3" borderId="1" xfId="1" applyNumberFormat="1" applyFont="1" applyFill="1" applyBorder="1" applyAlignment="1">
      <alignment vertical="center"/>
    </xf>
    <xf numFmtId="41" fontId="5" fillId="3" borderId="1" xfId="2" applyFont="1" applyFill="1" applyBorder="1" applyAlignment="1">
      <alignment horizontal="center" vertical="center" wrapText="1"/>
    </xf>
    <xf numFmtId="165" fontId="6" fillId="0" borderId="1" xfId="1" applyNumberFormat="1" applyFont="1" applyBorder="1" applyAlignment="1">
      <alignment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165" fontId="6" fillId="8" borderId="1" xfId="1" applyNumberFormat="1" applyFont="1" applyFill="1" applyBorder="1" applyAlignment="1">
      <alignment vertical="center"/>
    </xf>
    <xf numFmtId="165" fontId="6" fillId="5" borderId="1" xfId="1" applyNumberFormat="1" applyFont="1" applyFill="1" applyBorder="1" applyAlignment="1">
      <alignment vertical="center"/>
    </xf>
    <xf numFmtId="165" fontId="6" fillId="9" borderId="1" xfId="1" applyNumberFormat="1" applyFont="1" applyFill="1" applyBorder="1" applyAlignment="1">
      <alignment vertical="center"/>
    </xf>
    <xf numFmtId="165" fontId="5" fillId="0" borderId="0" xfId="1" applyNumberFormat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5" fontId="5" fillId="0" borderId="0" xfId="0" applyNumberFormat="1" applyFont="1"/>
    <xf numFmtId="0" fontId="5" fillId="3" borderId="0" xfId="0" applyFont="1" applyFill="1" applyAlignment="1">
      <alignment wrapText="1"/>
    </xf>
    <xf numFmtId="41" fontId="5" fillId="0" borderId="0" xfId="2" applyFont="1" applyAlignment="1">
      <alignment vertical="center"/>
    </xf>
    <xf numFmtId="41" fontId="4" fillId="6" borderId="1" xfId="2" applyFont="1" applyFill="1" applyBorder="1" applyAlignment="1">
      <alignment vertical="center"/>
    </xf>
    <xf numFmtId="41" fontId="4" fillId="0" borderId="1" xfId="2" applyFont="1" applyBorder="1" applyAlignment="1">
      <alignment vertical="center" wrapText="1"/>
    </xf>
    <xf numFmtId="41" fontId="4" fillId="0" borderId="1" xfId="2" applyFont="1" applyBorder="1" applyAlignment="1">
      <alignment vertical="center"/>
    </xf>
    <xf numFmtId="41" fontId="4" fillId="2" borderId="1" xfId="2" applyFont="1" applyFill="1" applyBorder="1" applyAlignment="1">
      <alignment vertical="center"/>
    </xf>
    <xf numFmtId="41" fontId="4" fillId="2" borderId="1" xfId="2" applyFont="1" applyFill="1" applyBorder="1" applyAlignment="1">
      <alignment vertical="center" wrapText="1"/>
    </xf>
    <xf numFmtId="41" fontId="4" fillId="0" borderId="1" xfId="2" applyFont="1" applyBorder="1" applyAlignment="1">
      <alignment horizontal="center" vertical="center"/>
    </xf>
    <xf numFmtId="41" fontId="5" fillId="0" borderId="0" xfId="2" applyFont="1" applyAlignment="1">
      <alignment horizontal="left" vertical="center"/>
    </xf>
    <xf numFmtId="41" fontId="5" fillId="4" borderId="1" xfId="2" applyFont="1" applyFill="1" applyBorder="1" applyAlignment="1">
      <alignment vertical="center"/>
    </xf>
    <xf numFmtId="41" fontId="5" fillId="4" borderId="1" xfId="2" applyFont="1" applyFill="1" applyBorder="1"/>
    <xf numFmtId="41" fontId="5" fillId="6" borderId="1" xfId="2" applyFont="1" applyFill="1" applyBorder="1" applyAlignment="1">
      <alignment vertical="center"/>
    </xf>
    <xf numFmtId="41" fontId="5" fillId="11" borderId="1" xfId="2" applyFont="1" applyFill="1" applyBorder="1" applyAlignment="1">
      <alignment vertical="center"/>
    </xf>
    <xf numFmtId="41" fontId="5" fillId="11" borderId="1" xfId="2" applyFont="1" applyFill="1" applyBorder="1"/>
    <xf numFmtId="41" fontId="5" fillId="7" borderId="1" xfId="2" applyFont="1" applyFill="1" applyBorder="1" applyAlignment="1">
      <alignment vertical="center"/>
    </xf>
    <xf numFmtId="41" fontId="5" fillId="7" borderId="1" xfId="2" applyFont="1" applyFill="1" applyBorder="1"/>
    <xf numFmtId="41" fontId="5" fillId="8" borderId="1" xfId="2" applyFont="1" applyFill="1" applyBorder="1" applyAlignment="1">
      <alignment vertical="center"/>
    </xf>
    <xf numFmtId="41" fontId="5" fillId="9" borderId="1" xfId="2" applyFont="1" applyFill="1" applyBorder="1" applyAlignment="1">
      <alignment vertical="center"/>
    </xf>
    <xf numFmtId="41" fontId="6" fillId="0" borderId="1" xfId="2" applyFont="1" applyBorder="1" applyAlignment="1">
      <alignment vertical="center"/>
    </xf>
    <xf numFmtId="41" fontId="11" fillId="0" borderId="1" xfId="2" applyFont="1" applyBorder="1" applyAlignment="1">
      <alignment vertical="center"/>
    </xf>
    <xf numFmtId="41" fontId="6" fillId="0" borderId="1" xfId="2" applyFont="1" applyBorder="1"/>
    <xf numFmtId="41" fontId="6" fillId="4" borderId="1" xfId="2" applyFont="1" applyFill="1" applyBorder="1" applyAlignment="1">
      <alignment vertical="center"/>
    </xf>
    <xf numFmtId="41" fontId="12" fillId="0" borderId="1" xfId="2" applyFont="1" applyBorder="1" applyAlignment="1">
      <alignment vertical="center"/>
    </xf>
    <xf numFmtId="41" fontId="4" fillId="6" borderId="1" xfId="2" applyFont="1" applyFill="1" applyBorder="1" applyAlignment="1">
      <alignment vertical="center" wrapText="1"/>
    </xf>
    <xf numFmtId="41" fontId="4" fillId="6" borderId="1" xfId="2" applyFont="1" applyFill="1" applyBorder="1" applyAlignment="1">
      <alignment horizontal="center" vertical="center"/>
    </xf>
    <xf numFmtId="41" fontId="10" fillId="0" borderId="1" xfId="2" applyFont="1" applyBorder="1" applyAlignment="1">
      <alignment vertical="center"/>
    </xf>
    <xf numFmtId="41" fontId="6" fillId="3" borderId="1" xfId="2" applyFont="1" applyFill="1" applyBorder="1" applyAlignment="1">
      <alignment vertical="center"/>
    </xf>
    <xf numFmtId="41" fontId="12" fillId="3" borderId="1" xfId="2" applyFont="1" applyFill="1" applyBorder="1" applyAlignment="1">
      <alignment vertical="center"/>
    </xf>
    <xf numFmtId="41" fontId="5" fillId="6" borderId="1" xfId="2" applyFont="1" applyFill="1" applyBorder="1" applyAlignment="1">
      <alignment wrapText="1"/>
    </xf>
    <xf numFmtId="41" fontId="11" fillId="0" borderId="1" xfId="2" applyFont="1" applyBorder="1" applyAlignment="1">
      <alignment vertical="center" wrapText="1"/>
    </xf>
    <xf numFmtId="41" fontId="11" fillId="0" borderId="1" xfId="2" applyFont="1" applyBorder="1" applyAlignment="1">
      <alignment horizontal="center" vertical="center"/>
    </xf>
    <xf numFmtId="41" fontId="5" fillId="0" borderId="1" xfId="2" applyFont="1" applyBorder="1" applyAlignment="1">
      <alignment horizontal="center" vertical="center"/>
    </xf>
    <xf numFmtId="41" fontId="5" fillId="4" borderId="1" xfId="2" applyFont="1" applyFill="1" applyBorder="1" applyAlignment="1">
      <alignment horizontal="center" vertical="center"/>
    </xf>
    <xf numFmtId="41" fontId="5" fillId="7" borderId="1" xfId="2" applyFont="1" applyFill="1" applyBorder="1" applyAlignment="1">
      <alignment horizontal="center" vertical="center"/>
    </xf>
    <xf numFmtId="41" fontId="4" fillId="6" borderId="1" xfId="2" applyFont="1" applyFill="1" applyBorder="1" applyAlignment="1">
      <alignment horizontal="right" vertical="center"/>
    </xf>
    <xf numFmtId="41" fontId="4" fillId="0" borderId="1" xfId="2" applyFont="1" applyBorder="1" applyAlignment="1">
      <alignment horizontal="right" vertical="center"/>
    </xf>
    <xf numFmtId="41" fontId="13" fillId="7" borderId="1" xfId="2" applyFont="1" applyFill="1" applyBorder="1" applyAlignment="1">
      <alignment horizontal="right" vertical="center"/>
    </xf>
    <xf numFmtId="41" fontId="6" fillId="7" borderId="1" xfId="2" applyFont="1" applyFill="1" applyBorder="1" applyAlignment="1">
      <alignment horizontal="right" vertical="center"/>
    </xf>
    <xf numFmtId="41" fontId="5" fillId="8" borderId="1" xfId="2" applyFont="1" applyFill="1" applyBorder="1" applyAlignment="1">
      <alignment horizontal="center" vertical="center"/>
    </xf>
    <xf numFmtId="41" fontId="5" fillId="11" borderId="1" xfId="2" applyFont="1" applyFill="1" applyBorder="1" applyAlignment="1">
      <alignment horizontal="center" vertical="center"/>
    </xf>
    <xf numFmtId="41" fontId="6" fillId="6" borderId="1" xfId="2" applyFont="1" applyFill="1" applyBorder="1" applyAlignment="1">
      <alignment horizontal="right" vertical="center"/>
    </xf>
    <xf numFmtId="41" fontId="6" fillId="11" borderId="1" xfId="2" applyFont="1" applyFill="1" applyBorder="1" applyAlignment="1">
      <alignment horizontal="right" vertical="center" indent="1"/>
    </xf>
    <xf numFmtId="41" fontId="5" fillId="11" borderId="1" xfId="2" applyFont="1" applyFill="1" applyBorder="1" applyAlignment="1">
      <alignment horizontal="right" vertical="center"/>
    </xf>
    <xf numFmtId="41" fontId="6" fillId="11" borderId="1" xfId="2" applyFont="1" applyFill="1" applyBorder="1" applyAlignment="1">
      <alignment horizontal="right" vertical="center"/>
    </xf>
    <xf numFmtId="41" fontId="5" fillId="0" borderId="0" xfId="2" applyFont="1" applyBorder="1" applyAlignment="1">
      <alignment vertical="center"/>
    </xf>
    <xf numFmtId="41" fontId="5" fillId="9" borderId="1" xfId="2" applyFont="1" applyFill="1" applyBorder="1" applyAlignment="1">
      <alignment horizontal="center" vertical="center"/>
    </xf>
    <xf numFmtId="43" fontId="5" fillId="0" borderId="0" xfId="0" applyNumberFormat="1" applyFont="1"/>
    <xf numFmtId="41" fontId="12" fillId="0" borderId="1" xfId="2" applyFont="1" applyBorder="1" applyAlignment="1">
      <alignment horizontal="center" vertical="center"/>
    </xf>
    <xf numFmtId="0" fontId="12" fillId="0" borderId="1" xfId="2" applyNumberFormat="1" applyFont="1" applyBorder="1" applyAlignment="1">
      <alignment horizontal="right" vertical="center"/>
    </xf>
    <xf numFmtId="41" fontId="12" fillId="0" borderId="1" xfId="2" applyFont="1" applyBorder="1" applyAlignment="1">
      <alignment vertical="center" wrapText="1"/>
    </xf>
    <xf numFmtId="41" fontId="6" fillId="8" borderId="1" xfId="2" applyFont="1" applyFill="1" applyBorder="1" applyAlignment="1">
      <alignment vertical="center" wrapText="1"/>
    </xf>
    <xf numFmtId="41" fontId="5" fillId="5" borderId="1" xfId="2" applyFont="1" applyFill="1" applyBorder="1" applyAlignment="1">
      <alignment vertical="center"/>
    </xf>
    <xf numFmtId="41" fontId="5" fillId="5" borderId="1" xfId="2" applyFont="1" applyFill="1" applyBorder="1" applyAlignment="1">
      <alignment horizontal="center" vertical="center"/>
    </xf>
    <xf numFmtId="41" fontId="6" fillId="5" borderId="1" xfId="2" applyFont="1" applyFill="1" applyBorder="1" applyAlignment="1">
      <alignment vertical="center" wrapText="1"/>
    </xf>
    <xf numFmtId="41" fontId="5" fillId="0" borderId="1" xfId="2" applyFont="1" applyBorder="1" applyAlignment="1">
      <alignment vertical="top"/>
    </xf>
    <xf numFmtId="41" fontId="5" fillId="9" borderId="1" xfId="2" applyFont="1" applyFill="1" applyBorder="1" applyAlignment="1">
      <alignment vertical="center" wrapText="1"/>
    </xf>
    <xf numFmtId="41" fontId="4" fillId="10" borderId="2" xfId="2" applyFont="1" applyFill="1" applyBorder="1" applyAlignment="1">
      <alignment horizontal="center" vertical="center"/>
    </xf>
    <xf numFmtId="41" fontId="4" fillId="10" borderId="3" xfId="2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7" borderId="2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11" borderId="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3">
    <cellStyle name="Comma [0]" xfId="2" builtinId="6"/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0</xdr:rowOff>
    </xdr:from>
    <xdr:to>
      <xdr:col>1</xdr:col>
      <xdr:colOff>1066800</xdr:colOff>
      <xdr:row>4</xdr:row>
      <xdr:rowOff>69850</xdr:rowOff>
    </xdr:to>
    <xdr:pic>
      <xdr:nvPicPr>
        <xdr:cNvPr id="2" name="Picture 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27000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44450</xdr:colOff>
      <xdr:row>0</xdr:row>
      <xdr:rowOff>0</xdr:rowOff>
    </xdr:from>
    <xdr:to>
      <xdr:col>1</xdr:col>
      <xdr:colOff>1066800</xdr:colOff>
      <xdr:row>4</xdr:row>
      <xdr:rowOff>69850</xdr:rowOff>
    </xdr:to>
    <xdr:pic>
      <xdr:nvPicPr>
        <xdr:cNvPr id="4" name="Picture 3" descr="D:\RWCA documents\Logo\RWVCA logo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44450" y="0"/>
          <a:ext cx="1270000" cy="60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95250</xdr:colOff>
      <xdr:row>0</xdr:row>
      <xdr:rowOff>0</xdr:rowOff>
    </xdr:from>
    <xdr:to>
      <xdr:col>7</xdr:col>
      <xdr:colOff>1155700</xdr:colOff>
      <xdr:row>4</xdr:row>
      <xdr:rowOff>108511</xdr:rowOff>
    </xdr:to>
    <xdr:pic>
      <xdr:nvPicPr>
        <xdr:cNvPr id="6" name="Image1" descr="logo PSF-FSP (2)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242300" y="0"/>
          <a:ext cx="1060450" cy="641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47"/>
  <sheetViews>
    <sheetView tabSelected="1" topLeftCell="A127" workbookViewId="0">
      <selection activeCell="E67" sqref="E67"/>
    </sheetView>
  </sheetViews>
  <sheetFormatPr defaultColWidth="22.1796875" defaultRowHeight="10.5" x14ac:dyDescent="0.25"/>
  <cols>
    <col min="1" max="1" width="3.54296875" style="1" customWidth="1"/>
    <col min="2" max="2" width="32.7265625" style="2" customWidth="1"/>
    <col min="3" max="3" width="12.6328125" style="3" customWidth="1"/>
    <col min="4" max="4" width="16.453125" style="64" customWidth="1"/>
    <col min="5" max="5" width="14.6328125" style="5" customWidth="1"/>
    <col min="6" max="6" width="19.36328125" style="5" customWidth="1"/>
    <col min="7" max="7" width="17.26953125" style="64" customWidth="1"/>
    <col min="8" max="8" width="16.6328125" style="64" customWidth="1"/>
    <col min="9" max="16384" width="22.1796875" style="1"/>
  </cols>
  <sheetData>
    <row r="1" spans="1:8" x14ac:dyDescent="0.25">
      <c r="A1" s="1" t="s">
        <v>45</v>
      </c>
    </row>
    <row r="6" spans="1:8" ht="11" x14ac:dyDescent="0.3">
      <c r="A6" s="6" t="s">
        <v>14</v>
      </c>
      <c r="B6" s="6"/>
    </row>
    <row r="7" spans="1:8" ht="11" x14ac:dyDescent="0.3">
      <c r="A7" s="6" t="s">
        <v>15</v>
      </c>
      <c r="B7" s="6"/>
    </row>
    <row r="8" spans="1:8" ht="11" x14ac:dyDescent="0.3">
      <c r="A8" s="121" t="s">
        <v>147</v>
      </c>
      <c r="B8" s="121"/>
      <c r="C8" s="121"/>
      <c r="D8" s="121"/>
      <c r="E8" s="121"/>
      <c r="F8" s="121"/>
      <c r="G8" s="121"/>
      <c r="H8" s="121"/>
    </row>
    <row r="9" spans="1:8" ht="11" x14ac:dyDescent="0.3">
      <c r="A9" s="133"/>
      <c r="B9" s="133"/>
      <c r="C9" s="133"/>
    </row>
    <row r="10" spans="1:8" ht="30" customHeight="1" x14ac:dyDescent="0.25">
      <c r="A10" s="134" t="s">
        <v>0</v>
      </c>
      <c r="B10" s="134"/>
      <c r="C10" s="7" t="s">
        <v>146</v>
      </c>
      <c r="D10" s="119" t="s">
        <v>136</v>
      </c>
      <c r="E10" s="120"/>
      <c r="F10" s="65" t="s">
        <v>137</v>
      </c>
      <c r="G10" s="66" t="s">
        <v>162</v>
      </c>
      <c r="H10" s="67" t="s">
        <v>138</v>
      </c>
    </row>
    <row r="11" spans="1:8" ht="25" customHeight="1" x14ac:dyDescent="0.25">
      <c r="A11" s="135" t="s">
        <v>10</v>
      </c>
      <c r="B11" s="135"/>
      <c r="C11" s="8">
        <v>195678686</v>
      </c>
      <c r="D11" s="68" t="s">
        <v>139</v>
      </c>
      <c r="E11" s="69" t="s">
        <v>140</v>
      </c>
      <c r="F11" s="69" t="s">
        <v>141</v>
      </c>
      <c r="G11" s="98" t="s">
        <v>166</v>
      </c>
      <c r="H11" s="70" t="s">
        <v>170</v>
      </c>
    </row>
    <row r="12" spans="1:8" ht="25" customHeight="1" x14ac:dyDescent="0.25">
      <c r="A12" s="136" t="s">
        <v>51</v>
      </c>
      <c r="B12" s="137"/>
      <c r="C12" s="137"/>
      <c r="D12" s="72"/>
      <c r="E12" s="73"/>
      <c r="F12" s="84">
        <f>+C11</f>
        <v>195678686</v>
      </c>
      <c r="G12" s="72"/>
      <c r="H12" s="72"/>
    </row>
    <row r="13" spans="1:8" s="4" customFormat="1" ht="22.5" customHeight="1" x14ac:dyDescent="0.25">
      <c r="A13" s="12" t="s">
        <v>1</v>
      </c>
      <c r="B13" s="9" t="s">
        <v>24</v>
      </c>
      <c r="C13" s="13">
        <f>110000000*12</f>
        <v>1320000000</v>
      </c>
      <c r="D13" s="14">
        <v>743660126</v>
      </c>
      <c r="E13" s="14">
        <f t="shared" ref="E13:E23" si="0">+C13-D13</f>
        <v>576339874</v>
      </c>
      <c r="F13" s="82">
        <f>+D13*2</f>
        <v>1487320252</v>
      </c>
      <c r="G13" s="93">
        <f>+F13*100/C13</f>
        <v>112.67577666666666</v>
      </c>
      <c r="H13" s="82" t="s">
        <v>163</v>
      </c>
    </row>
    <row r="14" spans="1:8" s="4" customFormat="1" ht="22.5" customHeight="1" x14ac:dyDescent="0.25">
      <c r="A14" s="12" t="s">
        <v>2</v>
      </c>
      <c r="B14" s="9" t="s">
        <v>46</v>
      </c>
      <c r="C14" s="13">
        <f>150000000+104698091</f>
        <v>254698091</v>
      </c>
      <c r="D14" s="14">
        <v>75002521</v>
      </c>
      <c r="E14" s="14">
        <f t="shared" si="0"/>
        <v>179695570</v>
      </c>
      <c r="F14" s="14">
        <f>+C14</f>
        <v>254698091</v>
      </c>
      <c r="G14" s="94">
        <f>+F14*100/C14</f>
        <v>100</v>
      </c>
      <c r="H14" s="14" t="s">
        <v>164</v>
      </c>
    </row>
    <row r="15" spans="1:8" s="4" customFormat="1" ht="28.5" customHeight="1" x14ac:dyDescent="0.25">
      <c r="A15" s="12" t="s">
        <v>3</v>
      </c>
      <c r="B15" s="9" t="s">
        <v>172</v>
      </c>
      <c r="C15" s="15">
        <f>+(10678821+10242480)/2*12</f>
        <v>125527806</v>
      </c>
      <c r="D15" s="14">
        <v>68030452</v>
      </c>
      <c r="E15" s="14">
        <f t="shared" si="0"/>
        <v>57497354</v>
      </c>
      <c r="F15" s="82">
        <f>+D15*2</f>
        <v>136060904</v>
      </c>
      <c r="G15" s="93">
        <f t="shared" ref="G15:G24" si="1">+F15*100/C15</f>
        <v>108.39104763768435</v>
      </c>
      <c r="H15" s="82" t="s">
        <v>163</v>
      </c>
    </row>
    <row r="16" spans="1:8" s="4" customFormat="1" ht="22.5" customHeight="1" x14ac:dyDescent="0.25">
      <c r="A16" s="12" t="s">
        <v>4</v>
      </c>
      <c r="B16" s="9" t="s">
        <v>171</v>
      </c>
      <c r="C16" s="13">
        <v>40000000</v>
      </c>
      <c r="D16" s="14">
        <f>17875000+700000</f>
        <v>18575000</v>
      </c>
      <c r="E16" s="14">
        <f>+C16-D16</f>
        <v>21425000</v>
      </c>
      <c r="F16" s="14">
        <f>+C16</f>
        <v>40000000</v>
      </c>
      <c r="G16" s="94">
        <f t="shared" si="1"/>
        <v>100</v>
      </c>
      <c r="H16" s="14" t="s">
        <v>164</v>
      </c>
    </row>
    <row r="17" spans="1:8" s="4" customFormat="1" ht="22.5" customHeight="1" x14ac:dyDescent="0.25">
      <c r="A17" s="12" t="s">
        <v>5</v>
      </c>
      <c r="B17" s="9" t="s">
        <v>143</v>
      </c>
      <c r="C17" s="13">
        <v>27031440</v>
      </c>
      <c r="D17" s="14">
        <v>0</v>
      </c>
      <c r="E17" s="14">
        <f t="shared" si="0"/>
        <v>27031440</v>
      </c>
      <c r="F17" s="82">
        <f>11730000+22908000</f>
        <v>34638000</v>
      </c>
      <c r="G17" s="93">
        <f t="shared" si="1"/>
        <v>128.13967735348172</v>
      </c>
      <c r="H17" s="82" t="s">
        <v>163</v>
      </c>
    </row>
    <row r="18" spans="1:8" ht="20" customHeight="1" x14ac:dyDescent="0.25">
      <c r="A18" s="12" t="s">
        <v>16</v>
      </c>
      <c r="B18" s="9" t="s">
        <v>25</v>
      </c>
      <c r="C18" s="13">
        <v>28680000</v>
      </c>
      <c r="D18" s="14">
        <v>28680000</v>
      </c>
      <c r="E18" s="14">
        <f t="shared" si="0"/>
        <v>0</v>
      </c>
      <c r="F18" s="82">
        <f>+C18+143400000</f>
        <v>172080000</v>
      </c>
      <c r="G18" s="93">
        <f t="shared" si="1"/>
        <v>600</v>
      </c>
      <c r="H18" s="82" t="s">
        <v>163</v>
      </c>
    </row>
    <row r="19" spans="1:8" ht="20" customHeight="1" x14ac:dyDescent="0.25">
      <c r="A19" s="12" t="s">
        <v>17</v>
      </c>
      <c r="B19" s="9" t="s">
        <v>19</v>
      </c>
      <c r="C19" s="15">
        <v>14982257</v>
      </c>
      <c r="D19" s="14">
        <v>6100000</v>
      </c>
      <c r="E19" s="14">
        <f t="shared" si="0"/>
        <v>8882257</v>
      </c>
      <c r="F19" s="14">
        <v>14982257</v>
      </c>
      <c r="G19" s="94">
        <f t="shared" si="1"/>
        <v>100</v>
      </c>
      <c r="H19" s="14" t="s">
        <v>164</v>
      </c>
    </row>
    <row r="20" spans="1:8" ht="20" customHeight="1" x14ac:dyDescent="0.25">
      <c r="A20" s="12" t="s">
        <v>26</v>
      </c>
      <c r="B20" s="9" t="s">
        <v>48</v>
      </c>
      <c r="C20" s="15">
        <v>739041000</v>
      </c>
      <c r="D20" s="14">
        <f>+C20</f>
        <v>739041000</v>
      </c>
      <c r="E20" s="14">
        <f t="shared" si="0"/>
        <v>0</v>
      </c>
      <c r="F20" s="14">
        <f>+C20</f>
        <v>739041000</v>
      </c>
      <c r="G20" s="94">
        <f t="shared" si="1"/>
        <v>100</v>
      </c>
      <c r="H20" s="14" t="s">
        <v>164</v>
      </c>
    </row>
    <row r="21" spans="1:8" ht="20" customHeight="1" x14ac:dyDescent="0.25">
      <c r="A21" s="12" t="s">
        <v>18</v>
      </c>
      <c r="B21" s="26" t="s">
        <v>47</v>
      </c>
      <c r="C21" s="15">
        <v>115269958</v>
      </c>
      <c r="D21" s="14">
        <v>131537042</v>
      </c>
      <c r="E21" s="14">
        <f t="shared" si="0"/>
        <v>-16267084</v>
      </c>
      <c r="F21" s="82">
        <v>146537042</v>
      </c>
      <c r="G21" s="93">
        <f t="shared" si="1"/>
        <v>127.12509359984325</v>
      </c>
      <c r="H21" s="82" t="s">
        <v>163</v>
      </c>
    </row>
    <row r="22" spans="1:8" ht="20" customHeight="1" x14ac:dyDescent="0.25">
      <c r="A22" s="12" t="s">
        <v>20</v>
      </c>
      <c r="B22" s="26" t="s">
        <v>161</v>
      </c>
      <c r="C22" s="15">
        <v>17489361</v>
      </c>
      <c r="D22" s="14">
        <v>12778140</v>
      </c>
      <c r="E22" s="14">
        <f t="shared" si="0"/>
        <v>4711221</v>
      </c>
      <c r="F22" s="14">
        <f>+C22</f>
        <v>17489361</v>
      </c>
      <c r="G22" s="94">
        <f t="shared" si="1"/>
        <v>100</v>
      </c>
      <c r="H22" s="14" t="s">
        <v>164</v>
      </c>
    </row>
    <row r="23" spans="1:8" ht="20" customHeight="1" x14ac:dyDescent="0.25">
      <c r="A23" s="16" t="s">
        <v>21</v>
      </c>
      <c r="B23" s="9" t="s">
        <v>149</v>
      </c>
      <c r="C23" s="13">
        <f>440000+1351572</f>
        <v>1791572</v>
      </c>
      <c r="D23" s="14">
        <v>482423</v>
      </c>
      <c r="E23" s="14">
        <f t="shared" si="0"/>
        <v>1309149</v>
      </c>
      <c r="F23" s="14">
        <f>+C23</f>
        <v>1791572</v>
      </c>
      <c r="G23" s="94">
        <f t="shared" si="1"/>
        <v>100</v>
      </c>
      <c r="H23" s="14" t="s">
        <v>164</v>
      </c>
    </row>
    <row r="24" spans="1:8" ht="25" customHeight="1" x14ac:dyDescent="0.3">
      <c r="A24" s="16"/>
      <c r="B24" s="17" t="s">
        <v>49</v>
      </c>
      <c r="C24" s="18">
        <f>SUM(C13:C23)</f>
        <v>2684511485</v>
      </c>
      <c r="D24" s="81">
        <f>SUM(D13:D23)</f>
        <v>1823886704</v>
      </c>
      <c r="E24" s="83">
        <f>SUM(E13:E23)</f>
        <v>860624781</v>
      </c>
      <c r="F24" s="85">
        <f>SUM(F13:F23)</f>
        <v>3044638479</v>
      </c>
      <c r="G24" s="93">
        <f t="shared" si="1"/>
        <v>113.41499174103924</v>
      </c>
      <c r="H24" s="82" t="s">
        <v>163</v>
      </c>
    </row>
    <row r="25" spans="1:8" ht="25" customHeight="1" x14ac:dyDescent="0.25">
      <c r="A25" s="138" t="s">
        <v>27</v>
      </c>
      <c r="B25" s="138"/>
      <c r="C25" s="19">
        <f>+C24+C11</f>
        <v>2880190171</v>
      </c>
      <c r="D25" s="81">
        <f>+D24</f>
        <v>1823886704</v>
      </c>
      <c r="E25" s="81">
        <f>+E24</f>
        <v>860624781</v>
      </c>
      <c r="F25" s="85">
        <f>+F24+F12</f>
        <v>3240317165</v>
      </c>
      <c r="G25" s="110">
        <f>+F25*100/C25</f>
        <v>112.50358388227414</v>
      </c>
      <c r="H25" s="112" t="s">
        <v>173</v>
      </c>
    </row>
    <row r="26" spans="1:8" ht="25" customHeight="1" x14ac:dyDescent="0.25">
      <c r="A26" s="139" t="s">
        <v>32</v>
      </c>
      <c r="B26" s="140"/>
      <c r="C26" s="140"/>
      <c r="D26" s="72"/>
      <c r="E26" s="73"/>
      <c r="F26" s="73"/>
      <c r="G26" s="95"/>
      <c r="H26" s="72"/>
    </row>
    <row r="27" spans="1:8" ht="30" customHeight="1" x14ac:dyDescent="0.25">
      <c r="A27" s="20">
        <v>1</v>
      </c>
      <c r="B27" s="21" t="s">
        <v>6</v>
      </c>
      <c r="C27" s="22" t="s">
        <v>145</v>
      </c>
      <c r="D27" s="65" t="s">
        <v>151</v>
      </c>
      <c r="E27" s="86" t="s">
        <v>140</v>
      </c>
      <c r="F27" s="86" t="s">
        <v>152</v>
      </c>
      <c r="G27" s="97" t="s">
        <v>166</v>
      </c>
      <c r="H27" s="87" t="s">
        <v>142</v>
      </c>
    </row>
    <row r="28" spans="1:8" ht="20" customHeight="1" x14ac:dyDescent="0.25">
      <c r="A28" s="122" t="s">
        <v>53</v>
      </c>
      <c r="B28" s="123"/>
      <c r="C28" s="123"/>
      <c r="D28" s="77"/>
      <c r="E28" s="78"/>
      <c r="F28" s="78"/>
      <c r="G28" s="96"/>
      <c r="H28" s="77"/>
    </row>
    <row r="29" spans="1:8" ht="20" customHeight="1" x14ac:dyDescent="0.25">
      <c r="A29" s="11"/>
      <c r="B29" s="23" t="s">
        <v>67</v>
      </c>
      <c r="C29" s="24">
        <f>(20433089*12)-C30</f>
        <v>157531332</v>
      </c>
      <c r="D29" s="14">
        <v>78108354</v>
      </c>
      <c r="E29" s="14">
        <f>+C29-D29</f>
        <v>79422978</v>
      </c>
      <c r="F29" s="14">
        <f>+C29</f>
        <v>157531332</v>
      </c>
      <c r="G29" s="94">
        <f>+F29*100/C29</f>
        <v>100</v>
      </c>
      <c r="H29" s="14" t="s">
        <v>164</v>
      </c>
    </row>
    <row r="30" spans="1:8" ht="20" customHeight="1" x14ac:dyDescent="0.25">
      <c r="A30" s="11"/>
      <c r="B30" s="23" t="s">
        <v>56</v>
      </c>
      <c r="C30" s="24">
        <f>7305478*12</f>
        <v>87665736</v>
      </c>
      <c r="D30" s="14">
        <v>43637541</v>
      </c>
      <c r="E30" s="14">
        <f>+C30-D30</f>
        <v>44028195</v>
      </c>
      <c r="F30" s="14">
        <f>+C30</f>
        <v>87665736</v>
      </c>
      <c r="G30" s="94">
        <f t="shared" ref="G30:G93" si="2">+F30*100/C30</f>
        <v>100</v>
      </c>
      <c r="H30" s="14" t="s">
        <v>164</v>
      </c>
    </row>
    <row r="31" spans="1:8" ht="20" customHeight="1" x14ac:dyDescent="0.25">
      <c r="A31" s="11"/>
      <c r="B31" s="23" t="s">
        <v>57</v>
      </c>
      <c r="C31" s="15">
        <v>10060000</v>
      </c>
      <c r="D31" s="14">
        <f>158000+1618818+30000</f>
        <v>1806818</v>
      </c>
      <c r="E31" s="14">
        <f>+C31-D31</f>
        <v>8253182</v>
      </c>
      <c r="F31" s="82">
        <v>5000000</v>
      </c>
      <c r="G31" s="93">
        <f t="shared" si="2"/>
        <v>49.70178926441352</v>
      </c>
      <c r="H31" s="82" t="s">
        <v>165</v>
      </c>
    </row>
    <row r="32" spans="1:8" ht="20" customHeight="1" x14ac:dyDescent="0.25">
      <c r="A32" s="11"/>
      <c r="B32" s="25" t="s">
        <v>58</v>
      </c>
      <c r="C32" s="24">
        <f>1000000*12</f>
        <v>12000000</v>
      </c>
      <c r="D32" s="14">
        <v>6000000</v>
      </c>
      <c r="E32" s="14">
        <f>+C32-D32</f>
        <v>6000000</v>
      </c>
      <c r="F32" s="14">
        <f t="shared" ref="F32:F37" si="3">+C32</f>
        <v>12000000</v>
      </c>
      <c r="G32" s="94">
        <f t="shared" si="2"/>
        <v>100</v>
      </c>
      <c r="H32" s="14" t="s">
        <v>164</v>
      </c>
    </row>
    <row r="33" spans="1:8" ht="20" customHeight="1" x14ac:dyDescent="0.25">
      <c r="A33" s="11"/>
      <c r="B33" s="26" t="s">
        <v>59</v>
      </c>
      <c r="C33" s="24">
        <v>15408949</v>
      </c>
      <c r="D33" s="14">
        <v>0</v>
      </c>
      <c r="E33" s="10">
        <f>+C33-D33</f>
        <v>15408949</v>
      </c>
      <c r="F33" s="10">
        <f t="shared" si="3"/>
        <v>15408949</v>
      </c>
      <c r="G33" s="94">
        <f t="shared" si="2"/>
        <v>100</v>
      </c>
      <c r="H33" s="14" t="s">
        <v>164</v>
      </c>
    </row>
    <row r="34" spans="1:8" ht="35.15" customHeight="1" x14ac:dyDescent="0.25">
      <c r="A34" s="11"/>
      <c r="B34" s="26" t="s">
        <v>60</v>
      </c>
      <c r="C34" s="15">
        <v>2000000</v>
      </c>
      <c r="D34" s="14">
        <v>0</v>
      </c>
      <c r="E34" s="14">
        <f t="shared" ref="E34:E38" si="4">+C34-D34</f>
        <v>2000000</v>
      </c>
      <c r="F34" s="14">
        <f t="shared" si="3"/>
        <v>2000000</v>
      </c>
      <c r="G34" s="94">
        <f t="shared" si="2"/>
        <v>100</v>
      </c>
      <c r="H34" s="14" t="s">
        <v>164</v>
      </c>
    </row>
    <row r="35" spans="1:8" ht="20" customHeight="1" x14ac:dyDescent="0.25">
      <c r="A35" s="11"/>
      <c r="B35" s="26" t="s">
        <v>61</v>
      </c>
      <c r="C35" s="15">
        <v>2540928</v>
      </c>
      <c r="D35" s="14">
        <v>783954</v>
      </c>
      <c r="E35" s="14">
        <f t="shared" si="4"/>
        <v>1756974</v>
      </c>
      <c r="F35" s="14">
        <f t="shared" si="3"/>
        <v>2540928</v>
      </c>
      <c r="G35" s="94">
        <f t="shared" si="2"/>
        <v>100</v>
      </c>
      <c r="H35" s="14" t="s">
        <v>164</v>
      </c>
    </row>
    <row r="36" spans="1:8" ht="20" customHeight="1" x14ac:dyDescent="0.25">
      <c r="A36" s="11"/>
      <c r="B36" s="26" t="s">
        <v>62</v>
      </c>
      <c r="C36" s="15">
        <v>3494470</v>
      </c>
      <c r="D36" s="14">
        <v>0</v>
      </c>
      <c r="E36" s="10">
        <f t="shared" si="4"/>
        <v>3494470</v>
      </c>
      <c r="F36" s="10">
        <f t="shared" si="3"/>
        <v>3494470</v>
      </c>
      <c r="G36" s="94">
        <f t="shared" si="2"/>
        <v>100</v>
      </c>
      <c r="H36" s="14" t="s">
        <v>164</v>
      </c>
    </row>
    <row r="37" spans="1:8" ht="20" customHeight="1" x14ac:dyDescent="0.25">
      <c r="A37" s="11"/>
      <c r="B37" s="26" t="s">
        <v>63</v>
      </c>
      <c r="C37" s="15">
        <v>1538940</v>
      </c>
      <c r="D37" s="14">
        <v>0</v>
      </c>
      <c r="E37" s="10">
        <f t="shared" si="4"/>
        <v>1538940</v>
      </c>
      <c r="F37" s="10">
        <f t="shared" si="3"/>
        <v>1538940</v>
      </c>
      <c r="G37" s="94">
        <f t="shared" si="2"/>
        <v>100</v>
      </c>
      <c r="H37" s="14" t="s">
        <v>164</v>
      </c>
    </row>
    <row r="38" spans="1:8" ht="20" customHeight="1" x14ac:dyDescent="0.25">
      <c r="A38" s="11"/>
      <c r="B38" s="26" t="s">
        <v>64</v>
      </c>
      <c r="C38" s="27">
        <v>18200000</v>
      </c>
      <c r="D38" s="14">
        <v>16800000</v>
      </c>
      <c r="E38" s="14">
        <f t="shared" si="4"/>
        <v>1400000</v>
      </c>
      <c r="F38" s="14">
        <v>18200000</v>
      </c>
      <c r="G38" s="94">
        <f t="shared" si="2"/>
        <v>100</v>
      </c>
      <c r="H38" s="14" t="s">
        <v>164</v>
      </c>
    </row>
    <row r="39" spans="1:8" ht="20" customHeight="1" x14ac:dyDescent="0.25">
      <c r="A39" s="11"/>
      <c r="B39" s="26" t="s">
        <v>65</v>
      </c>
      <c r="C39" s="27">
        <f>590000*12</f>
        <v>7080000</v>
      </c>
      <c r="D39" s="14">
        <v>2970000</v>
      </c>
      <c r="E39" s="14">
        <f>+C39-D39</f>
        <v>4110000</v>
      </c>
      <c r="F39" s="82">
        <v>7170000</v>
      </c>
      <c r="G39" s="93">
        <f t="shared" si="2"/>
        <v>101.27118644067797</v>
      </c>
      <c r="H39" s="82" t="s">
        <v>163</v>
      </c>
    </row>
    <row r="40" spans="1:8" ht="20" customHeight="1" x14ac:dyDescent="0.25">
      <c r="A40" s="11"/>
      <c r="B40" s="9" t="s">
        <v>66</v>
      </c>
      <c r="C40" s="27">
        <v>3253050</v>
      </c>
      <c r="D40" s="14">
        <v>0</v>
      </c>
      <c r="E40" s="14">
        <f>+C40-D40</f>
        <v>3253050</v>
      </c>
      <c r="F40" s="14">
        <f>+C40</f>
        <v>3253050</v>
      </c>
      <c r="G40" s="94">
        <f t="shared" si="2"/>
        <v>100</v>
      </c>
      <c r="H40" s="14" t="s">
        <v>164</v>
      </c>
    </row>
    <row r="41" spans="1:8" ht="25" customHeight="1" x14ac:dyDescent="0.25">
      <c r="A41" s="28"/>
      <c r="B41" s="28" t="s">
        <v>7</v>
      </c>
      <c r="C41" s="18">
        <f>SUM(C29:C40)</f>
        <v>320773405</v>
      </c>
      <c r="D41" s="81">
        <f>SUM(D29:D40)</f>
        <v>150106667</v>
      </c>
      <c r="E41" s="81">
        <f>SUM(E29:E40)</f>
        <v>170666738</v>
      </c>
      <c r="F41" s="85">
        <f>SUM(F29:F40)</f>
        <v>315803405</v>
      </c>
      <c r="G41" s="93">
        <f t="shared" si="2"/>
        <v>98.450619682763289</v>
      </c>
      <c r="H41" s="92" t="s">
        <v>174</v>
      </c>
    </row>
    <row r="42" spans="1:8" ht="20" customHeight="1" x14ac:dyDescent="0.25">
      <c r="A42" s="122" t="s">
        <v>54</v>
      </c>
      <c r="B42" s="123"/>
      <c r="C42" s="123"/>
      <c r="D42" s="77"/>
      <c r="E42" s="78"/>
      <c r="F42" s="78"/>
      <c r="G42" s="99" t="s">
        <v>166</v>
      </c>
      <c r="H42" s="77"/>
    </row>
    <row r="43" spans="1:8" ht="20" customHeight="1" x14ac:dyDescent="0.25">
      <c r="A43" s="11"/>
      <c r="B43" s="23" t="s">
        <v>68</v>
      </c>
      <c r="C43" s="15">
        <f>50000*12</f>
        <v>600000</v>
      </c>
      <c r="D43" s="14">
        <v>103600</v>
      </c>
      <c r="E43" s="14">
        <f t="shared" ref="E43:E48" si="5">+C43-D43</f>
        <v>496400</v>
      </c>
      <c r="F43" s="14">
        <f>+C43</f>
        <v>600000</v>
      </c>
      <c r="G43" s="94">
        <f t="shared" si="2"/>
        <v>100</v>
      </c>
      <c r="H43" s="14" t="s">
        <v>164</v>
      </c>
    </row>
    <row r="44" spans="1:8" ht="20" customHeight="1" x14ac:dyDescent="0.25">
      <c r="A44" s="11"/>
      <c r="B44" s="23" t="s">
        <v>69</v>
      </c>
      <c r="C44" s="15">
        <f>50000*12</f>
        <v>600000</v>
      </c>
      <c r="D44" s="14">
        <v>364000</v>
      </c>
      <c r="E44" s="14">
        <f t="shared" si="5"/>
        <v>236000</v>
      </c>
      <c r="F44" s="14">
        <f>+C44</f>
        <v>600000</v>
      </c>
      <c r="G44" s="94">
        <f t="shared" si="2"/>
        <v>100</v>
      </c>
      <c r="H44" s="14" t="s">
        <v>164</v>
      </c>
    </row>
    <row r="45" spans="1:8" ht="20" customHeight="1" x14ac:dyDescent="0.25">
      <c r="A45" s="11"/>
      <c r="B45" s="23" t="s">
        <v>70</v>
      </c>
      <c r="C45" s="15">
        <f>1600000*12</f>
        <v>19200000</v>
      </c>
      <c r="D45" s="14">
        <v>6510000</v>
      </c>
      <c r="E45" s="14">
        <f t="shared" si="5"/>
        <v>12690000</v>
      </c>
      <c r="F45" s="82">
        <v>14000000</v>
      </c>
      <c r="G45" s="93">
        <f t="shared" si="2"/>
        <v>72.916666666666671</v>
      </c>
      <c r="H45" s="82" t="s">
        <v>165</v>
      </c>
    </row>
    <row r="46" spans="1:8" ht="20" customHeight="1" x14ac:dyDescent="0.25">
      <c r="A46" s="11"/>
      <c r="B46" s="23" t="s">
        <v>71</v>
      </c>
      <c r="C46" s="15">
        <v>5606244</v>
      </c>
      <c r="D46" s="14">
        <v>2587690</v>
      </c>
      <c r="E46" s="14">
        <f t="shared" si="5"/>
        <v>3018554</v>
      </c>
      <c r="F46" s="14">
        <f>+C46</f>
        <v>5606244</v>
      </c>
      <c r="G46" s="94">
        <f t="shared" si="2"/>
        <v>100</v>
      </c>
      <c r="H46" s="14" t="s">
        <v>164</v>
      </c>
    </row>
    <row r="47" spans="1:8" ht="25" customHeight="1" x14ac:dyDescent="0.25">
      <c r="A47" s="11"/>
      <c r="B47" s="23" t="s">
        <v>72</v>
      </c>
      <c r="C47" s="15">
        <f>10000*12</f>
        <v>120000</v>
      </c>
      <c r="D47" s="14">
        <v>75000</v>
      </c>
      <c r="E47" s="14">
        <f t="shared" si="5"/>
        <v>45000</v>
      </c>
      <c r="F47" s="82">
        <v>180000</v>
      </c>
      <c r="G47" s="93">
        <f t="shared" si="2"/>
        <v>150</v>
      </c>
      <c r="H47" s="82" t="s">
        <v>163</v>
      </c>
    </row>
    <row r="48" spans="1:8" ht="20" customHeight="1" x14ac:dyDescent="0.25">
      <c r="A48" s="11"/>
      <c r="B48" s="23" t="s">
        <v>73</v>
      </c>
      <c r="C48" s="15">
        <f>+(3000+5000+5000+10000)*12</f>
        <v>276000</v>
      </c>
      <c r="D48" s="14">
        <v>138000</v>
      </c>
      <c r="E48" s="14">
        <f t="shared" si="5"/>
        <v>138000</v>
      </c>
      <c r="F48" s="14">
        <f>+C48</f>
        <v>276000</v>
      </c>
      <c r="G48" s="94">
        <f t="shared" si="2"/>
        <v>100</v>
      </c>
      <c r="H48" s="14" t="s">
        <v>164</v>
      </c>
    </row>
    <row r="49" spans="1:9" ht="25" customHeight="1" x14ac:dyDescent="0.25">
      <c r="A49" s="141" t="s">
        <v>8</v>
      </c>
      <c r="B49" s="142"/>
      <c r="C49" s="18">
        <f>SUM(C43:C48)</f>
        <v>26402244</v>
      </c>
      <c r="D49" s="81">
        <f>SUM(D43:D48)</f>
        <v>9778290</v>
      </c>
      <c r="E49" s="81">
        <f>SUM(E43:E48)</f>
        <v>16623954</v>
      </c>
      <c r="F49" s="81">
        <f>SUM(F43:F48)</f>
        <v>21262244</v>
      </c>
      <c r="G49" s="93">
        <f t="shared" si="2"/>
        <v>80.531957813888852</v>
      </c>
      <c r="H49" s="92" t="s">
        <v>175</v>
      </c>
    </row>
    <row r="50" spans="1:9" ht="20" customHeight="1" x14ac:dyDescent="0.25">
      <c r="A50" s="122" t="s">
        <v>55</v>
      </c>
      <c r="B50" s="123"/>
      <c r="C50" s="123"/>
      <c r="D50" s="77"/>
      <c r="E50" s="78"/>
      <c r="F50" s="78"/>
      <c r="G50" s="100" t="s">
        <v>166</v>
      </c>
      <c r="H50" s="77"/>
    </row>
    <row r="51" spans="1:9" ht="20" customHeight="1" x14ac:dyDescent="0.25">
      <c r="A51" s="11"/>
      <c r="B51" s="23" t="s">
        <v>74</v>
      </c>
      <c r="C51" s="15">
        <f>50000*12</f>
        <v>600000</v>
      </c>
      <c r="D51" s="14">
        <v>300000</v>
      </c>
      <c r="E51" s="14">
        <f t="shared" ref="E51:E58" si="6">+C51-D51</f>
        <v>300000</v>
      </c>
      <c r="F51" s="14">
        <f>+C51</f>
        <v>600000</v>
      </c>
      <c r="G51" s="94">
        <f t="shared" si="2"/>
        <v>100</v>
      </c>
      <c r="H51" s="14" t="s">
        <v>164</v>
      </c>
    </row>
    <row r="52" spans="1:9" ht="25" customHeight="1" x14ac:dyDescent="0.25">
      <c r="A52" s="11"/>
      <c r="B52" s="26" t="s">
        <v>75</v>
      </c>
      <c r="C52" s="15">
        <f>200000*12</f>
        <v>2400000</v>
      </c>
      <c r="D52" s="14">
        <f>967600+50000+11500-2100</f>
        <v>1027000</v>
      </c>
      <c r="E52" s="14">
        <f t="shared" si="6"/>
        <v>1373000</v>
      </c>
      <c r="F52" s="82">
        <v>2000000</v>
      </c>
      <c r="G52" s="93">
        <f t="shared" si="2"/>
        <v>83.333333333333329</v>
      </c>
      <c r="H52" s="82" t="s">
        <v>165</v>
      </c>
    </row>
    <row r="53" spans="1:9" ht="30" customHeight="1" x14ac:dyDescent="0.25">
      <c r="A53" s="11"/>
      <c r="B53" s="26" t="s">
        <v>157</v>
      </c>
      <c r="C53" s="15">
        <f>1500000*12</f>
        <v>18000000</v>
      </c>
      <c r="D53" s="14">
        <v>6706810</v>
      </c>
      <c r="E53" s="14">
        <f t="shared" si="6"/>
        <v>11293190</v>
      </c>
      <c r="F53" s="82">
        <v>16000000</v>
      </c>
      <c r="G53" s="93">
        <f t="shared" si="2"/>
        <v>88.888888888888886</v>
      </c>
      <c r="H53" s="82" t="s">
        <v>165</v>
      </c>
    </row>
    <row r="54" spans="1:9" ht="20" customHeight="1" x14ac:dyDescent="0.25">
      <c r="A54" s="11"/>
      <c r="B54" s="25" t="s">
        <v>76</v>
      </c>
      <c r="C54" s="15">
        <v>30000</v>
      </c>
      <c r="D54" s="14">
        <v>32000</v>
      </c>
      <c r="E54" s="14">
        <f t="shared" si="6"/>
        <v>-2000</v>
      </c>
      <c r="F54" s="82">
        <v>50000</v>
      </c>
      <c r="G54" s="93">
        <f t="shared" si="2"/>
        <v>166.66666666666666</v>
      </c>
      <c r="H54" s="82" t="s">
        <v>163</v>
      </c>
    </row>
    <row r="55" spans="1:9" ht="20" customHeight="1" x14ac:dyDescent="0.25">
      <c r="A55" s="29"/>
      <c r="B55" s="26" t="s">
        <v>77</v>
      </c>
      <c r="C55" s="15">
        <v>16500000</v>
      </c>
      <c r="D55" s="14">
        <v>2208000</v>
      </c>
      <c r="E55" s="14">
        <f t="shared" si="6"/>
        <v>14292000</v>
      </c>
      <c r="F55" s="14">
        <f>+C55</f>
        <v>16500000</v>
      </c>
      <c r="G55" s="94">
        <f t="shared" si="2"/>
        <v>100</v>
      </c>
      <c r="H55" s="14" t="s">
        <v>164</v>
      </c>
    </row>
    <row r="56" spans="1:9" ht="20" customHeight="1" x14ac:dyDescent="0.25">
      <c r="A56" s="29"/>
      <c r="B56" s="26" t="s">
        <v>160</v>
      </c>
      <c r="C56" s="15">
        <v>1000000</v>
      </c>
      <c r="D56" s="14">
        <f>33000+20000+2100</f>
        <v>55100</v>
      </c>
      <c r="E56" s="14">
        <f t="shared" si="6"/>
        <v>944900</v>
      </c>
      <c r="F56" s="82">
        <v>500000</v>
      </c>
      <c r="G56" s="93">
        <f t="shared" si="2"/>
        <v>50</v>
      </c>
      <c r="H56" s="82" t="s">
        <v>165</v>
      </c>
    </row>
    <row r="57" spans="1:9" ht="20" customHeight="1" x14ac:dyDescent="0.25">
      <c r="A57" s="29"/>
      <c r="B57" s="26" t="s">
        <v>78</v>
      </c>
      <c r="C57" s="15">
        <f>250000*12</f>
        <v>3000000</v>
      </c>
      <c r="D57" s="14">
        <v>678500</v>
      </c>
      <c r="E57" s="10">
        <f t="shared" si="6"/>
        <v>2321500</v>
      </c>
      <c r="F57" s="82">
        <v>1500000</v>
      </c>
      <c r="G57" s="93">
        <f t="shared" si="2"/>
        <v>50</v>
      </c>
      <c r="H57" s="82" t="s">
        <v>165</v>
      </c>
    </row>
    <row r="58" spans="1:9" ht="20" customHeight="1" x14ac:dyDescent="0.25">
      <c r="A58" s="29"/>
      <c r="B58" s="26" t="s">
        <v>79</v>
      </c>
      <c r="C58" s="15">
        <f>100000*12</f>
        <v>1200000</v>
      </c>
      <c r="D58" s="14">
        <v>563155</v>
      </c>
      <c r="E58" s="14">
        <f t="shared" si="6"/>
        <v>636845</v>
      </c>
      <c r="F58" s="14">
        <f>+C58</f>
        <v>1200000</v>
      </c>
      <c r="G58" s="94">
        <f t="shared" si="2"/>
        <v>100</v>
      </c>
      <c r="H58" s="14" t="s">
        <v>164</v>
      </c>
    </row>
    <row r="59" spans="1:9" ht="20" customHeight="1" x14ac:dyDescent="0.25">
      <c r="A59" s="30"/>
      <c r="B59" s="31" t="s">
        <v>33</v>
      </c>
      <c r="C59" s="18">
        <f>SUM(C51:C58)</f>
        <v>42730000</v>
      </c>
      <c r="D59" s="81">
        <f>SUM(D51:D58)</f>
        <v>11570565</v>
      </c>
      <c r="E59" s="81">
        <f>SUM(E51:E58)</f>
        <v>31159435</v>
      </c>
      <c r="F59" s="81">
        <f>SUM(F51:F58)</f>
        <v>38350000</v>
      </c>
      <c r="G59" s="110">
        <f t="shared" si="2"/>
        <v>89.749590451673299</v>
      </c>
      <c r="H59" s="112" t="s">
        <v>176</v>
      </c>
      <c r="I59" s="109"/>
    </row>
    <row r="60" spans="1:9" ht="20" customHeight="1" x14ac:dyDescent="0.25">
      <c r="A60" s="122" t="s">
        <v>80</v>
      </c>
      <c r="B60" s="123"/>
      <c r="C60" s="123"/>
      <c r="D60" s="77"/>
      <c r="E60" s="78"/>
      <c r="F60" s="78"/>
      <c r="G60" s="99" t="s">
        <v>166</v>
      </c>
      <c r="H60" s="77"/>
    </row>
    <row r="61" spans="1:9" ht="20" customHeight="1" x14ac:dyDescent="0.25">
      <c r="A61" s="11"/>
      <c r="B61" s="26" t="s">
        <v>156</v>
      </c>
      <c r="C61" s="15">
        <v>4764000</v>
      </c>
      <c r="D61" s="14">
        <v>978840</v>
      </c>
      <c r="E61" s="14">
        <f>+C61-D61</f>
        <v>3785160</v>
      </c>
      <c r="F61" s="82">
        <v>3000000</v>
      </c>
      <c r="G61" s="93">
        <f t="shared" si="2"/>
        <v>62.97229219143577</v>
      </c>
      <c r="H61" s="82" t="s">
        <v>165</v>
      </c>
    </row>
    <row r="62" spans="1:9" ht="20" customHeight="1" x14ac:dyDescent="0.25">
      <c r="A62" s="11"/>
      <c r="B62" s="26" t="s">
        <v>81</v>
      </c>
      <c r="C62" s="15">
        <v>4900000</v>
      </c>
      <c r="D62" s="14">
        <v>2500000</v>
      </c>
      <c r="E62" s="14">
        <f>+C62-D62</f>
        <v>2400000</v>
      </c>
      <c r="F62" s="14">
        <f>+C62</f>
        <v>4900000</v>
      </c>
      <c r="G62" s="94">
        <f t="shared" si="2"/>
        <v>100</v>
      </c>
      <c r="H62" s="14" t="s">
        <v>164</v>
      </c>
    </row>
    <row r="63" spans="1:9" ht="30" customHeight="1" x14ac:dyDescent="0.25">
      <c r="A63" s="29"/>
      <c r="B63" s="31" t="s">
        <v>34</v>
      </c>
      <c r="C63" s="18">
        <f>SUM(C61:C62)</f>
        <v>9664000</v>
      </c>
      <c r="D63" s="81">
        <f>SUM(D61:D62)</f>
        <v>3478840</v>
      </c>
      <c r="E63" s="81">
        <f>SUM(E61:E62)</f>
        <v>6185160</v>
      </c>
      <c r="F63" s="85">
        <f>SUM(F61:F62)</f>
        <v>7900000</v>
      </c>
      <c r="G63" s="110">
        <f t="shared" si="2"/>
        <v>81.746688741721854</v>
      </c>
      <c r="H63" s="112" t="s">
        <v>177</v>
      </c>
    </row>
    <row r="64" spans="1:9" ht="20" customHeight="1" x14ac:dyDescent="0.25">
      <c r="A64" s="122" t="s">
        <v>82</v>
      </c>
      <c r="B64" s="123"/>
      <c r="C64" s="123"/>
      <c r="D64" s="77"/>
      <c r="E64" s="78"/>
      <c r="F64" s="78"/>
      <c r="G64" s="100" t="s">
        <v>166</v>
      </c>
      <c r="H64" s="77"/>
    </row>
    <row r="65" spans="1:8" ht="20" customHeight="1" x14ac:dyDescent="0.25">
      <c r="A65" s="32"/>
      <c r="B65" s="26" t="s">
        <v>83</v>
      </c>
      <c r="C65" s="15">
        <v>2000000</v>
      </c>
      <c r="D65" s="14">
        <v>0</v>
      </c>
      <c r="E65" s="14">
        <f t="shared" ref="E65:E70" si="7">+C65-D65</f>
        <v>2000000</v>
      </c>
      <c r="F65" s="82">
        <v>0</v>
      </c>
      <c r="G65" s="93">
        <f t="shared" si="2"/>
        <v>0</v>
      </c>
      <c r="H65" s="82" t="s">
        <v>165</v>
      </c>
    </row>
    <row r="66" spans="1:8" ht="20" customHeight="1" x14ac:dyDescent="0.25">
      <c r="A66" s="32"/>
      <c r="B66" s="26" t="s">
        <v>84</v>
      </c>
      <c r="C66" s="15">
        <v>1848278</v>
      </c>
      <c r="D66" s="14">
        <v>1231500</v>
      </c>
      <c r="E66" s="14">
        <f t="shared" si="7"/>
        <v>616778</v>
      </c>
      <c r="F66" s="82">
        <f>+D66</f>
        <v>1231500</v>
      </c>
      <c r="G66" s="93">
        <f t="shared" si="2"/>
        <v>66.629587107567147</v>
      </c>
      <c r="H66" s="82" t="s">
        <v>165</v>
      </c>
    </row>
    <row r="67" spans="1:8" ht="25" customHeight="1" x14ac:dyDescent="0.25">
      <c r="A67" s="32"/>
      <c r="B67" s="26" t="s">
        <v>184</v>
      </c>
      <c r="C67" s="15">
        <v>1500000</v>
      </c>
      <c r="D67" s="14">
        <v>0</v>
      </c>
      <c r="E67" s="14">
        <f t="shared" si="7"/>
        <v>1500000</v>
      </c>
      <c r="F67" s="88">
        <f>+C67</f>
        <v>1500000</v>
      </c>
      <c r="G67" s="94">
        <f t="shared" si="2"/>
        <v>100</v>
      </c>
      <c r="H67" s="14" t="s">
        <v>164</v>
      </c>
    </row>
    <row r="68" spans="1:8" ht="25" customHeight="1" x14ac:dyDescent="0.25">
      <c r="A68" s="32"/>
      <c r="B68" s="26" t="s">
        <v>85</v>
      </c>
      <c r="C68" s="24">
        <v>4500000</v>
      </c>
      <c r="D68" s="14">
        <v>940000</v>
      </c>
      <c r="E68" s="14">
        <f t="shared" si="7"/>
        <v>3560000</v>
      </c>
      <c r="F68" s="82">
        <v>940000</v>
      </c>
      <c r="G68" s="93">
        <f t="shared" si="2"/>
        <v>20.888888888888889</v>
      </c>
      <c r="H68" s="82" t="s">
        <v>165</v>
      </c>
    </row>
    <row r="69" spans="1:8" ht="20" customHeight="1" x14ac:dyDescent="0.25">
      <c r="A69" s="32"/>
      <c r="B69" s="26" t="s">
        <v>86</v>
      </c>
      <c r="C69" s="15">
        <f>60000*8</f>
        <v>480000</v>
      </c>
      <c r="D69" s="14">
        <v>0</v>
      </c>
      <c r="E69" s="14">
        <f t="shared" si="7"/>
        <v>480000</v>
      </c>
      <c r="F69" s="82">
        <v>400000</v>
      </c>
      <c r="G69" s="93">
        <f t="shared" si="2"/>
        <v>83.333333333333329</v>
      </c>
      <c r="H69" s="82" t="s">
        <v>163</v>
      </c>
    </row>
    <row r="70" spans="1:8" ht="20" customHeight="1" x14ac:dyDescent="0.25">
      <c r="A70" s="32"/>
      <c r="B70" s="26" t="s">
        <v>87</v>
      </c>
      <c r="C70" s="15">
        <v>3500000</v>
      </c>
      <c r="D70" s="14">
        <v>0</v>
      </c>
      <c r="E70" s="14">
        <f t="shared" si="7"/>
        <v>3500000</v>
      </c>
      <c r="F70" s="14">
        <f>+C70</f>
        <v>3500000</v>
      </c>
      <c r="G70" s="94">
        <f t="shared" si="2"/>
        <v>100</v>
      </c>
      <c r="H70" s="14" t="s">
        <v>164</v>
      </c>
    </row>
    <row r="71" spans="1:8" ht="25" customHeight="1" x14ac:dyDescent="0.25">
      <c r="A71" s="32"/>
      <c r="B71" s="31" t="s">
        <v>36</v>
      </c>
      <c r="C71" s="19">
        <f>SUM(C65:C70)</f>
        <v>13828278</v>
      </c>
      <c r="D71" s="81">
        <f>SUM(D65:D70)</f>
        <v>2171500</v>
      </c>
      <c r="E71" s="81">
        <f>SUM(E65:E70)</f>
        <v>11656778</v>
      </c>
      <c r="F71" s="85">
        <f>SUM(F65:F70)</f>
        <v>7571500</v>
      </c>
      <c r="G71" s="110">
        <f t="shared" si="2"/>
        <v>54.753744464784411</v>
      </c>
      <c r="H71" s="112" t="s">
        <v>178</v>
      </c>
    </row>
    <row r="72" spans="1:8" ht="25" customHeight="1" x14ac:dyDescent="0.25">
      <c r="A72" s="33"/>
      <c r="B72" s="34" t="s">
        <v>88</v>
      </c>
      <c r="C72" s="35">
        <f>+C71+C63+C59+C49+C41</f>
        <v>413397927</v>
      </c>
      <c r="D72" s="79">
        <f>+D71+D63+D59+D49+D41+0</f>
        <v>177105862</v>
      </c>
      <c r="E72" s="79">
        <f>+E71+E63+E59+E49+E41+0</f>
        <v>236292065</v>
      </c>
      <c r="F72" s="79">
        <f>+F71+F63+F59+F49+F41</f>
        <v>390887149</v>
      </c>
      <c r="G72" s="101">
        <f>+F72*100/C72</f>
        <v>94.554694997297361</v>
      </c>
      <c r="H72" s="79" t="s">
        <v>167</v>
      </c>
    </row>
    <row r="73" spans="1:8" ht="25" customHeight="1" x14ac:dyDescent="0.25">
      <c r="A73" s="36">
        <v>2</v>
      </c>
      <c r="B73" s="21" t="s">
        <v>52</v>
      </c>
      <c r="C73" s="22" t="s">
        <v>22</v>
      </c>
      <c r="D73" s="74" t="s">
        <v>151</v>
      </c>
      <c r="E73" s="74" t="s">
        <v>140</v>
      </c>
      <c r="F73" s="91" t="s">
        <v>152</v>
      </c>
      <c r="G73" s="103" t="s">
        <v>166</v>
      </c>
      <c r="H73" s="74"/>
    </row>
    <row r="74" spans="1:8" ht="20" customHeight="1" x14ac:dyDescent="0.25">
      <c r="A74" s="122" t="s">
        <v>89</v>
      </c>
      <c r="B74" s="123"/>
      <c r="C74" s="123"/>
      <c r="D74" s="75"/>
      <c r="E74" s="76"/>
      <c r="F74" s="76"/>
      <c r="G74" s="102"/>
      <c r="H74" s="75"/>
    </row>
    <row r="75" spans="1:8" ht="20" customHeight="1" x14ac:dyDescent="0.25">
      <c r="A75" s="11"/>
      <c r="B75" s="37" t="s">
        <v>90</v>
      </c>
      <c r="C75" s="24">
        <v>18000000</v>
      </c>
      <c r="D75" s="14">
        <f>7200000+6400000</f>
        <v>13600000</v>
      </c>
      <c r="E75" s="14">
        <f t="shared" ref="E75:E83" si="8">+C75-D75</f>
        <v>4400000</v>
      </c>
      <c r="F75" s="14">
        <f>+C75</f>
        <v>18000000</v>
      </c>
      <c r="G75" s="94">
        <f t="shared" si="2"/>
        <v>100</v>
      </c>
      <c r="H75" s="14" t="s">
        <v>164</v>
      </c>
    </row>
    <row r="76" spans="1:8" ht="20" customHeight="1" x14ac:dyDescent="0.25">
      <c r="A76" s="11"/>
      <c r="B76" s="37" t="s">
        <v>91</v>
      </c>
      <c r="C76" s="24">
        <f>+(590000*12)+500000</f>
        <v>7580000</v>
      </c>
      <c r="D76" s="14">
        <v>4855000</v>
      </c>
      <c r="E76" s="14">
        <f t="shared" si="8"/>
        <v>2725000</v>
      </c>
      <c r="F76" s="82">
        <v>9485000</v>
      </c>
      <c r="G76" s="93">
        <f t="shared" si="2"/>
        <v>125.13192612137203</v>
      </c>
      <c r="H76" s="82" t="s">
        <v>163</v>
      </c>
    </row>
    <row r="77" spans="1:8" ht="20" customHeight="1" x14ac:dyDescent="0.25">
      <c r="A77" s="11"/>
      <c r="B77" s="26" t="s">
        <v>186</v>
      </c>
      <c r="C77" s="15">
        <v>2500000</v>
      </c>
      <c r="D77" s="14">
        <v>0</v>
      </c>
      <c r="E77" s="14">
        <f t="shared" si="8"/>
        <v>2500000</v>
      </c>
      <c r="F77" s="82">
        <v>6000000</v>
      </c>
      <c r="G77" s="93">
        <f t="shared" si="2"/>
        <v>240</v>
      </c>
      <c r="H77" s="82" t="s">
        <v>164</v>
      </c>
    </row>
    <row r="78" spans="1:8" ht="30" customHeight="1" x14ac:dyDescent="0.25">
      <c r="A78" s="11"/>
      <c r="B78" s="37" t="s">
        <v>95</v>
      </c>
      <c r="C78" s="15">
        <v>15000000</v>
      </c>
      <c r="D78" s="14">
        <v>14695000</v>
      </c>
      <c r="E78" s="14">
        <f t="shared" si="8"/>
        <v>305000</v>
      </c>
      <c r="F78" s="82">
        <f>+D78</f>
        <v>14695000</v>
      </c>
      <c r="G78" s="93">
        <f t="shared" si="2"/>
        <v>97.966666666666669</v>
      </c>
      <c r="H78" s="82" t="s">
        <v>165</v>
      </c>
    </row>
    <row r="79" spans="1:8" ht="25" customHeight="1" x14ac:dyDescent="0.25">
      <c r="A79" s="11"/>
      <c r="B79" s="26" t="s">
        <v>92</v>
      </c>
      <c r="C79" s="15">
        <f>1500000*12</f>
        <v>18000000</v>
      </c>
      <c r="D79" s="14">
        <v>9000000</v>
      </c>
      <c r="E79" s="14">
        <f t="shared" si="8"/>
        <v>9000000</v>
      </c>
      <c r="F79" s="14">
        <f>+C79</f>
        <v>18000000</v>
      </c>
      <c r="G79" s="94">
        <f t="shared" si="2"/>
        <v>100</v>
      </c>
      <c r="H79" s="14" t="s">
        <v>164</v>
      </c>
    </row>
    <row r="80" spans="1:8" ht="25" customHeight="1" x14ac:dyDescent="0.25">
      <c r="A80" s="11"/>
      <c r="B80" s="26" t="s">
        <v>93</v>
      </c>
      <c r="C80" s="15">
        <v>1000000</v>
      </c>
      <c r="D80" s="14">
        <v>0</v>
      </c>
      <c r="E80" s="14">
        <f t="shared" si="8"/>
        <v>1000000</v>
      </c>
      <c r="F80" s="14">
        <f>+C80</f>
        <v>1000000</v>
      </c>
      <c r="G80" s="94">
        <f t="shared" si="2"/>
        <v>100</v>
      </c>
      <c r="H80" s="14" t="s">
        <v>164</v>
      </c>
    </row>
    <row r="81" spans="1:9" ht="20" customHeight="1" x14ac:dyDescent="0.25">
      <c r="A81" s="11"/>
      <c r="B81" s="38" t="s">
        <v>94</v>
      </c>
      <c r="C81" s="15">
        <v>6000000</v>
      </c>
      <c r="D81" s="14">
        <v>6000000</v>
      </c>
      <c r="E81" s="14">
        <f t="shared" si="8"/>
        <v>0</v>
      </c>
      <c r="F81" s="14">
        <f>+C81</f>
        <v>6000000</v>
      </c>
      <c r="G81" s="94">
        <f t="shared" si="2"/>
        <v>100</v>
      </c>
      <c r="H81" s="14" t="s">
        <v>164</v>
      </c>
    </row>
    <row r="82" spans="1:9" ht="34" customHeight="1" x14ac:dyDescent="0.25">
      <c r="A82" s="11"/>
      <c r="B82" s="38" t="s">
        <v>148</v>
      </c>
      <c r="C82" s="15">
        <v>2500000</v>
      </c>
      <c r="D82" s="14">
        <v>9138800</v>
      </c>
      <c r="E82" s="82">
        <v>13344880</v>
      </c>
      <c r="F82" s="14">
        <v>12348880</v>
      </c>
      <c r="G82" s="93">
        <f t="shared" si="2"/>
        <v>493.95519999999999</v>
      </c>
      <c r="H82" s="82" t="s">
        <v>163</v>
      </c>
    </row>
    <row r="83" spans="1:9" ht="20" customHeight="1" x14ac:dyDescent="0.25">
      <c r="A83" s="11"/>
      <c r="B83" s="38" t="s">
        <v>155</v>
      </c>
      <c r="C83" s="15">
        <v>0</v>
      </c>
      <c r="D83" s="14">
        <v>22034520</v>
      </c>
      <c r="E83" s="14">
        <f t="shared" si="8"/>
        <v>-22034520</v>
      </c>
      <c r="F83" s="82">
        <f>+D83</f>
        <v>22034520</v>
      </c>
      <c r="G83" s="111">
        <v>100</v>
      </c>
      <c r="H83" s="85" t="s">
        <v>163</v>
      </c>
    </row>
    <row r="84" spans="1:9" ht="20" customHeight="1" x14ac:dyDescent="0.25">
      <c r="A84" s="11"/>
      <c r="B84" s="39" t="s">
        <v>37</v>
      </c>
      <c r="C84" s="18">
        <f>SUM(C75:C83)</f>
        <v>70580000</v>
      </c>
      <c r="D84" s="81">
        <f>SUM(D75:D83)</f>
        <v>79323320</v>
      </c>
      <c r="E84" s="81">
        <f>SUM(E75:E83)</f>
        <v>11240360</v>
      </c>
      <c r="F84" s="81">
        <f>SUM(F75:F83)</f>
        <v>107563400</v>
      </c>
      <c r="G84" s="110">
        <f t="shared" si="2"/>
        <v>152.39926324737885</v>
      </c>
      <c r="H84" s="112" t="s">
        <v>187</v>
      </c>
      <c r="I84" s="109"/>
    </row>
    <row r="85" spans="1:9" ht="20" customHeight="1" x14ac:dyDescent="0.25">
      <c r="A85" s="122" t="s">
        <v>96</v>
      </c>
      <c r="B85" s="123"/>
      <c r="C85" s="123"/>
      <c r="D85" s="75"/>
      <c r="E85" s="76"/>
      <c r="F85" s="76"/>
      <c r="G85" s="104" t="s">
        <v>166</v>
      </c>
      <c r="H85" s="75"/>
    </row>
    <row r="86" spans="1:9" ht="25" customHeight="1" x14ac:dyDescent="0.25">
      <c r="A86" s="32"/>
      <c r="B86" s="37" t="s">
        <v>97</v>
      </c>
      <c r="C86" s="15">
        <v>3000000</v>
      </c>
      <c r="D86" s="14">
        <v>0</v>
      </c>
      <c r="E86" s="14">
        <f>+C86-D86</f>
        <v>3000000</v>
      </c>
      <c r="F86" s="14">
        <v>3000000</v>
      </c>
      <c r="G86" s="94">
        <f t="shared" si="2"/>
        <v>100</v>
      </c>
      <c r="H86" s="14" t="s">
        <v>164</v>
      </c>
    </row>
    <row r="87" spans="1:9" ht="20" customHeight="1" x14ac:dyDescent="0.25">
      <c r="A87" s="11"/>
      <c r="B87" s="37" t="s">
        <v>98</v>
      </c>
      <c r="C87" s="15">
        <v>7000000</v>
      </c>
      <c r="D87" s="14">
        <v>1775942</v>
      </c>
      <c r="E87" s="14">
        <f>+C87-D87</f>
        <v>5224058</v>
      </c>
      <c r="F87" s="82">
        <v>5000000</v>
      </c>
      <c r="G87" s="93">
        <f t="shared" si="2"/>
        <v>71.428571428571431</v>
      </c>
      <c r="H87" s="82" t="s">
        <v>165</v>
      </c>
    </row>
    <row r="88" spans="1:9" ht="20" customHeight="1" x14ac:dyDescent="0.25">
      <c r="A88" s="11"/>
      <c r="B88" s="17" t="s">
        <v>44</v>
      </c>
      <c r="C88" s="18">
        <f>SUM(C86:C87)</f>
        <v>10000000</v>
      </c>
      <c r="D88" s="81">
        <f>SUM(D86:D87)</f>
        <v>1775942</v>
      </c>
      <c r="E88" s="81">
        <f>SUM(E86:E87)</f>
        <v>8224058</v>
      </c>
      <c r="F88" s="81">
        <f>SUM(F86:F87)</f>
        <v>8000000</v>
      </c>
      <c r="G88" s="110">
        <f t="shared" si="2"/>
        <v>80</v>
      </c>
      <c r="H88" s="112" t="s">
        <v>179</v>
      </c>
    </row>
    <row r="89" spans="1:9" ht="20" customHeight="1" x14ac:dyDescent="0.25">
      <c r="A89" s="122" t="s">
        <v>99</v>
      </c>
      <c r="B89" s="123"/>
      <c r="C89" s="123"/>
      <c r="D89" s="75"/>
      <c r="E89" s="76"/>
      <c r="F89" s="76"/>
      <c r="G89" s="105" t="s">
        <v>166</v>
      </c>
      <c r="H89" s="75"/>
    </row>
    <row r="90" spans="1:9" ht="20" customHeight="1" x14ac:dyDescent="0.25">
      <c r="A90" s="11"/>
      <c r="B90" s="26" t="s">
        <v>100</v>
      </c>
      <c r="C90" s="15">
        <v>1320000000</v>
      </c>
      <c r="D90" s="14">
        <v>684012358</v>
      </c>
      <c r="E90" s="14">
        <f t="shared" ref="E90:E97" si="9">+C90-D90</f>
        <v>635987642</v>
      </c>
      <c r="F90" s="82">
        <f>+F13</f>
        <v>1487320252</v>
      </c>
      <c r="G90" s="93">
        <f t="shared" si="2"/>
        <v>112.67577666666666</v>
      </c>
      <c r="H90" s="82" t="s">
        <v>163</v>
      </c>
    </row>
    <row r="91" spans="1:9" ht="20" customHeight="1" x14ac:dyDescent="0.25">
      <c r="A91" s="11"/>
      <c r="B91" s="23" t="s">
        <v>101</v>
      </c>
      <c r="C91" s="15">
        <v>50000</v>
      </c>
      <c r="D91" s="14">
        <v>15000</v>
      </c>
      <c r="E91" s="14">
        <f t="shared" si="9"/>
        <v>35000</v>
      </c>
      <c r="F91" s="14">
        <f>+C91</f>
        <v>50000</v>
      </c>
      <c r="G91" s="94">
        <f t="shared" si="2"/>
        <v>100</v>
      </c>
      <c r="H91" s="14" t="s">
        <v>164</v>
      </c>
    </row>
    <row r="92" spans="1:9" ht="20" customHeight="1" x14ac:dyDescent="0.25">
      <c r="A92" s="11"/>
      <c r="B92" s="40" t="s">
        <v>102</v>
      </c>
      <c r="C92" s="15">
        <v>864706</v>
      </c>
      <c r="D92" s="14">
        <v>1414285</v>
      </c>
      <c r="E92" s="14">
        <f t="shared" si="9"/>
        <v>-549579</v>
      </c>
      <c r="F92" s="82">
        <v>1764705</v>
      </c>
      <c r="G92" s="93">
        <f t="shared" si="2"/>
        <v>204.08150284605404</v>
      </c>
      <c r="H92" s="82" t="s">
        <v>163</v>
      </c>
    </row>
    <row r="93" spans="1:9" ht="20" customHeight="1" x14ac:dyDescent="0.25">
      <c r="A93" s="11"/>
      <c r="B93" s="40" t="s">
        <v>103</v>
      </c>
      <c r="C93" s="15">
        <v>74264706</v>
      </c>
      <c r="D93" s="14">
        <v>114498138</v>
      </c>
      <c r="E93" s="14">
        <f t="shared" si="9"/>
        <v>-40233432</v>
      </c>
      <c r="F93" s="14">
        <f>+C93</f>
        <v>74264706</v>
      </c>
      <c r="G93" s="94">
        <f t="shared" si="2"/>
        <v>100</v>
      </c>
      <c r="H93" s="14" t="s">
        <v>164</v>
      </c>
    </row>
    <row r="94" spans="1:9" ht="20" customHeight="1" x14ac:dyDescent="0.25">
      <c r="A94" s="29"/>
      <c r="B94" s="40" t="s">
        <v>104</v>
      </c>
      <c r="C94" s="41">
        <v>1000000</v>
      </c>
      <c r="D94" s="14">
        <v>1000000</v>
      </c>
      <c r="E94" s="14">
        <f t="shared" si="9"/>
        <v>0</v>
      </c>
      <c r="F94" s="14">
        <f>+C94</f>
        <v>1000000</v>
      </c>
      <c r="G94" s="94">
        <f t="shared" ref="G94:G138" si="10">+F94*100/C94</f>
        <v>100</v>
      </c>
      <c r="H94" s="14" t="s">
        <v>164</v>
      </c>
    </row>
    <row r="95" spans="1:9" ht="20" customHeight="1" x14ac:dyDescent="0.25">
      <c r="A95" s="29"/>
      <c r="B95" s="40" t="s">
        <v>105</v>
      </c>
      <c r="C95" s="41">
        <v>83000</v>
      </c>
      <c r="D95" s="14">
        <v>0</v>
      </c>
      <c r="E95" s="10">
        <f t="shared" si="9"/>
        <v>83000</v>
      </c>
      <c r="F95" s="10">
        <f>+C95</f>
        <v>83000</v>
      </c>
      <c r="G95" s="94">
        <f t="shared" si="10"/>
        <v>100</v>
      </c>
      <c r="H95" s="14" t="s">
        <v>164</v>
      </c>
    </row>
    <row r="96" spans="1:9" ht="20" customHeight="1" x14ac:dyDescent="0.25">
      <c r="A96" s="29"/>
      <c r="B96" s="40" t="s">
        <v>106</v>
      </c>
      <c r="C96" s="41">
        <v>18219651</v>
      </c>
      <c r="D96" s="14">
        <v>18893032</v>
      </c>
      <c r="E96" s="14">
        <f t="shared" si="9"/>
        <v>-673381</v>
      </c>
      <c r="F96" s="82">
        <f>+D96</f>
        <v>18893032</v>
      </c>
      <c r="G96" s="93">
        <f t="shared" si="10"/>
        <v>103.69590504230844</v>
      </c>
      <c r="H96" s="82" t="s">
        <v>163</v>
      </c>
    </row>
    <row r="97" spans="1:8" ht="20" customHeight="1" x14ac:dyDescent="0.25">
      <c r="A97" s="29"/>
      <c r="B97" s="40" t="s">
        <v>135</v>
      </c>
      <c r="C97" s="41">
        <v>5000000</v>
      </c>
      <c r="D97" s="14">
        <v>0</v>
      </c>
      <c r="E97" s="14">
        <f t="shared" si="9"/>
        <v>5000000</v>
      </c>
      <c r="F97" s="14">
        <f>+C97</f>
        <v>5000000</v>
      </c>
      <c r="G97" s="94">
        <f t="shared" si="10"/>
        <v>100</v>
      </c>
      <c r="H97" s="14" t="s">
        <v>164</v>
      </c>
    </row>
    <row r="98" spans="1:8" ht="20" customHeight="1" x14ac:dyDescent="0.25">
      <c r="A98" s="29"/>
      <c r="B98" s="42" t="s">
        <v>35</v>
      </c>
      <c r="C98" s="43">
        <f>SUM(C90:C97)</f>
        <v>1419482063</v>
      </c>
      <c r="D98" s="81">
        <f>SUM(D90:D97)</f>
        <v>819832813</v>
      </c>
      <c r="E98" s="81">
        <f>SUM(E90:E97)</f>
        <v>599649250</v>
      </c>
      <c r="F98" s="85">
        <f>SUM(F90:F97)</f>
        <v>1588375695</v>
      </c>
      <c r="G98" s="93">
        <f t="shared" si="10"/>
        <v>111.89825756889469</v>
      </c>
      <c r="H98" s="92" t="s">
        <v>169</v>
      </c>
    </row>
    <row r="99" spans="1:8" ht="20" customHeight="1" x14ac:dyDescent="0.25">
      <c r="A99" s="122" t="s">
        <v>107</v>
      </c>
      <c r="B99" s="123"/>
      <c r="C99" s="123"/>
      <c r="D99" s="75"/>
      <c r="E99" s="76"/>
      <c r="F99" s="76"/>
      <c r="G99" s="106" t="s">
        <v>166</v>
      </c>
      <c r="H99" s="75"/>
    </row>
    <row r="100" spans="1:8" ht="20" customHeight="1" x14ac:dyDescent="0.25">
      <c r="A100" s="44"/>
      <c r="B100" s="37" t="s">
        <v>108</v>
      </c>
      <c r="C100" s="24">
        <v>2000000</v>
      </c>
      <c r="D100" s="14">
        <v>0</v>
      </c>
      <c r="E100" s="14">
        <f>+C100-D100</f>
        <v>2000000</v>
      </c>
      <c r="F100" s="14">
        <f>+C100</f>
        <v>2000000</v>
      </c>
      <c r="G100" s="94">
        <f t="shared" si="10"/>
        <v>100</v>
      </c>
      <c r="H100" s="14" t="s">
        <v>164</v>
      </c>
    </row>
    <row r="101" spans="1:8" ht="30" customHeight="1" x14ac:dyDescent="0.25">
      <c r="A101" s="11"/>
      <c r="B101" s="45" t="s">
        <v>158</v>
      </c>
      <c r="C101" s="24">
        <v>15450000</v>
      </c>
      <c r="D101" s="14">
        <v>789000</v>
      </c>
      <c r="E101" s="14">
        <f>+C101-D101</f>
        <v>14661000</v>
      </c>
      <c r="F101" s="14">
        <f>+C101</f>
        <v>15450000</v>
      </c>
      <c r="G101" s="94">
        <f t="shared" si="10"/>
        <v>100</v>
      </c>
      <c r="H101" s="14" t="s">
        <v>164</v>
      </c>
    </row>
    <row r="102" spans="1:8" ht="20" customHeight="1" x14ac:dyDescent="0.25">
      <c r="A102" s="11"/>
      <c r="B102" s="26" t="s">
        <v>109</v>
      </c>
      <c r="C102" s="15">
        <v>3000000</v>
      </c>
      <c r="D102" s="14">
        <v>0</v>
      </c>
      <c r="E102" s="14">
        <f>+C102-D102</f>
        <v>3000000</v>
      </c>
      <c r="F102" s="14">
        <f>+C102</f>
        <v>3000000</v>
      </c>
      <c r="G102" s="94">
        <f t="shared" si="10"/>
        <v>100</v>
      </c>
      <c r="H102" s="14" t="s">
        <v>164</v>
      </c>
    </row>
    <row r="103" spans="1:8" ht="25" customHeight="1" x14ac:dyDescent="0.25">
      <c r="A103" s="11"/>
      <c r="B103" s="26" t="s">
        <v>110</v>
      </c>
      <c r="C103" s="15">
        <v>3000000</v>
      </c>
      <c r="D103" s="14">
        <f>800000+708000</f>
        <v>1508000</v>
      </c>
      <c r="E103" s="14">
        <f>+C103-D103</f>
        <v>1492000</v>
      </c>
      <c r="F103" s="14">
        <f>+C103</f>
        <v>3000000</v>
      </c>
      <c r="G103" s="94">
        <f t="shared" si="10"/>
        <v>100</v>
      </c>
      <c r="H103" s="14" t="s">
        <v>164</v>
      </c>
    </row>
    <row r="104" spans="1:8" ht="25" customHeight="1" x14ac:dyDescent="0.25">
      <c r="A104" s="11"/>
      <c r="B104" s="31" t="s">
        <v>38</v>
      </c>
      <c r="C104" s="18">
        <f>SUM(C100:C103)</f>
        <v>23450000</v>
      </c>
      <c r="D104" s="81">
        <f>SUM(D100:D103)</f>
        <v>2297000</v>
      </c>
      <c r="E104" s="81">
        <f>SUM(E100:E103)</f>
        <v>21153000</v>
      </c>
      <c r="F104" s="81">
        <f>SUM(F100:F103)</f>
        <v>23450000</v>
      </c>
      <c r="G104" s="94">
        <f t="shared" si="10"/>
        <v>100</v>
      </c>
      <c r="H104" s="14" t="s">
        <v>164</v>
      </c>
    </row>
    <row r="105" spans="1:8" ht="20" customHeight="1" x14ac:dyDescent="0.3">
      <c r="A105" s="125" t="s">
        <v>111</v>
      </c>
      <c r="B105" s="126"/>
      <c r="C105" s="126"/>
      <c r="D105" s="75"/>
      <c r="E105" s="76"/>
      <c r="F105" s="76"/>
      <c r="G105" s="106" t="s">
        <v>166</v>
      </c>
      <c r="H105" s="75"/>
    </row>
    <row r="106" spans="1:8" ht="35" customHeight="1" x14ac:dyDescent="0.25">
      <c r="A106" s="11"/>
      <c r="B106" s="26" t="s">
        <v>154</v>
      </c>
      <c r="C106" s="15">
        <v>5500000</v>
      </c>
      <c r="D106" s="14">
        <v>300000</v>
      </c>
      <c r="E106" s="14">
        <f>+C106-D106</f>
        <v>5200000</v>
      </c>
      <c r="F106" s="82">
        <v>1500000</v>
      </c>
      <c r="G106" s="93">
        <f t="shared" si="10"/>
        <v>27.272727272727273</v>
      </c>
      <c r="H106" s="82" t="s">
        <v>165</v>
      </c>
    </row>
    <row r="107" spans="1:8" ht="20" customHeight="1" x14ac:dyDescent="0.25">
      <c r="A107" s="11"/>
      <c r="B107" s="26" t="s">
        <v>112</v>
      </c>
      <c r="C107" s="15">
        <v>2000000</v>
      </c>
      <c r="D107" s="14">
        <v>968000</v>
      </c>
      <c r="E107" s="14">
        <f>+C107-D107</f>
        <v>1032000</v>
      </c>
      <c r="F107" s="82">
        <v>968000</v>
      </c>
      <c r="G107" s="93">
        <f t="shared" si="10"/>
        <v>48.4</v>
      </c>
      <c r="H107" s="82" t="s">
        <v>165</v>
      </c>
    </row>
    <row r="108" spans="1:8" ht="20" customHeight="1" x14ac:dyDescent="0.25">
      <c r="A108" s="29"/>
      <c r="B108" s="46" t="s">
        <v>39</v>
      </c>
      <c r="C108" s="43">
        <f>SUM(C106:C107)</f>
        <v>7500000</v>
      </c>
      <c r="D108" s="81">
        <f>SUM(D106:D107)</f>
        <v>1268000</v>
      </c>
      <c r="E108" s="81">
        <f>SUM(E106:E107)</f>
        <v>6232000</v>
      </c>
      <c r="F108" s="81">
        <f>SUM(F106:F107)</f>
        <v>2468000</v>
      </c>
      <c r="G108" s="110">
        <f t="shared" si="10"/>
        <v>32.906666666666666</v>
      </c>
      <c r="H108" s="112" t="s">
        <v>180</v>
      </c>
    </row>
    <row r="109" spans="1:8" ht="20" customHeight="1" x14ac:dyDescent="0.25">
      <c r="A109" s="122" t="s">
        <v>113</v>
      </c>
      <c r="B109" s="123"/>
      <c r="C109" s="123"/>
      <c r="D109" s="75"/>
      <c r="E109" s="76"/>
      <c r="F109" s="76"/>
      <c r="G109" s="106" t="s">
        <v>166</v>
      </c>
      <c r="H109" s="75"/>
    </row>
    <row r="110" spans="1:8" ht="30" customHeight="1" x14ac:dyDescent="0.25">
      <c r="A110" s="32"/>
      <c r="B110" s="23" t="s">
        <v>114</v>
      </c>
      <c r="C110" s="47">
        <v>4810000</v>
      </c>
      <c r="D110" s="14">
        <v>4810000</v>
      </c>
      <c r="E110" s="14">
        <f t="shared" ref="E110:E115" si="11">+C110-D110</f>
        <v>0</v>
      </c>
      <c r="F110" s="14">
        <f>+C110</f>
        <v>4810000</v>
      </c>
      <c r="G110" s="94">
        <f t="shared" si="10"/>
        <v>100</v>
      </c>
      <c r="H110" s="14" t="s">
        <v>164</v>
      </c>
    </row>
    <row r="111" spans="1:8" ht="20" customHeight="1" x14ac:dyDescent="0.25">
      <c r="A111" s="11"/>
      <c r="B111" s="37" t="s">
        <v>115</v>
      </c>
      <c r="C111" s="15">
        <v>1800000</v>
      </c>
      <c r="D111" s="14">
        <v>0</v>
      </c>
      <c r="E111" s="117">
        <f t="shared" si="11"/>
        <v>1800000</v>
      </c>
      <c r="F111" s="117">
        <f>+C111</f>
        <v>1800000</v>
      </c>
      <c r="G111" s="94">
        <f t="shared" si="10"/>
        <v>100</v>
      </c>
      <c r="H111" s="14" t="s">
        <v>164</v>
      </c>
    </row>
    <row r="112" spans="1:8" ht="20" customHeight="1" x14ac:dyDescent="0.25">
      <c r="A112" s="11"/>
      <c r="B112" s="37" t="s">
        <v>116</v>
      </c>
      <c r="C112" s="48">
        <v>4500000</v>
      </c>
      <c r="D112" s="14">
        <v>0</v>
      </c>
      <c r="E112" s="14">
        <f t="shared" si="11"/>
        <v>4500000</v>
      </c>
      <c r="F112" s="14">
        <f>+C112</f>
        <v>4500000</v>
      </c>
      <c r="G112" s="94">
        <f t="shared" si="10"/>
        <v>100</v>
      </c>
      <c r="H112" s="14" t="s">
        <v>164</v>
      </c>
    </row>
    <row r="113" spans="1:9" ht="20" customHeight="1" x14ac:dyDescent="0.25">
      <c r="A113" s="11"/>
      <c r="B113" s="37" t="s">
        <v>117</v>
      </c>
      <c r="C113" s="49">
        <v>5000000</v>
      </c>
      <c r="D113" s="14">
        <v>0</v>
      </c>
      <c r="E113" s="14">
        <f t="shared" si="11"/>
        <v>5000000</v>
      </c>
      <c r="F113" s="82">
        <v>7000000</v>
      </c>
      <c r="G113" s="93">
        <f t="shared" si="10"/>
        <v>140</v>
      </c>
      <c r="H113" s="82" t="s">
        <v>163</v>
      </c>
    </row>
    <row r="114" spans="1:9" ht="20" customHeight="1" x14ac:dyDescent="0.25">
      <c r="A114" s="11"/>
      <c r="B114" s="25" t="s">
        <v>118</v>
      </c>
      <c r="C114" s="50">
        <v>20000000</v>
      </c>
      <c r="D114" s="14">
        <v>0</v>
      </c>
      <c r="E114" s="14">
        <f t="shared" si="11"/>
        <v>20000000</v>
      </c>
      <c r="F114" s="14">
        <f>+C114</f>
        <v>20000000</v>
      </c>
      <c r="G114" s="94">
        <f t="shared" si="10"/>
        <v>100</v>
      </c>
      <c r="H114" s="14" t="s">
        <v>164</v>
      </c>
    </row>
    <row r="115" spans="1:9" ht="20" customHeight="1" x14ac:dyDescent="0.25">
      <c r="A115" s="11"/>
      <c r="B115" s="37" t="s">
        <v>119</v>
      </c>
      <c r="C115" s="49">
        <v>2300000</v>
      </c>
      <c r="D115" s="14">
        <v>800000</v>
      </c>
      <c r="E115" s="14">
        <f t="shared" si="11"/>
        <v>1500000</v>
      </c>
      <c r="F115" s="82">
        <f>+D115</f>
        <v>800000</v>
      </c>
      <c r="G115" s="93">
        <f t="shared" si="10"/>
        <v>34.782608695652172</v>
      </c>
      <c r="H115" s="82" t="s">
        <v>165</v>
      </c>
    </row>
    <row r="116" spans="1:9" ht="35" customHeight="1" x14ac:dyDescent="0.25">
      <c r="A116" s="11"/>
      <c r="B116" s="17" t="s">
        <v>40</v>
      </c>
      <c r="C116" s="51">
        <f>SUM(C110:C115)</f>
        <v>38410000</v>
      </c>
      <c r="D116" s="81">
        <f>SUM(D110:D115)</f>
        <v>5610000</v>
      </c>
      <c r="E116" s="81">
        <f>SUM(E110:E115)</f>
        <v>32800000</v>
      </c>
      <c r="F116" s="81">
        <f>SUM(F110:F115)</f>
        <v>38910000</v>
      </c>
      <c r="G116" s="110">
        <f t="shared" si="10"/>
        <v>101.30174433741213</v>
      </c>
      <c r="H116" s="112" t="s">
        <v>168</v>
      </c>
    </row>
    <row r="117" spans="1:9" ht="20" customHeight="1" x14ac:dyDescent="0.25">
      <c r="A117" s="122" t="s">
        <v>120</v>
      </c>
      <c r="B117" s="123"/>
      <c r="C117" s="124"/>
      <c r="D117" s="75"/>
      <c r="E117" s="76"/>
      <c r="F117" s="76"/>
      <c r="G117" s="106" t="s">
        <v>166</v>
      </c>
      <c r="H117" s="75"/>
    </row>
    <row r="118" spans="1:9" ht="30" customHeight="1" x14ac:dyDescent="0.25">
      <c r="A118" s="11"/>
      <c r="B118" s="37" t="s">
        <v>121</v>
      </c>
      <c r="C118" s="52">
        <v>388846962</v>
      </c>
      <c r="D118" s="14">
        <f>195548980+15372021</f>
        <v>210921001</v>
      </c>
      <c r="E118" s="14">
        <f>+C118-D118</f>
        <v>177925961</v>
      </c>
      <c r="F118" s="82">
        <v>381540029</v>
      </c>
      <c r="G118" s="93">
        <f t="shared" si="10"/>
        <v>98.120871778856795</v>
      </c>
      <c r="H118" s="82" t="s">
        <v>165</v>
      </c>
      <c r="I118" s="109"/>
    </row>
    <row r="119" spans="1:9" ht="30" customHeight="1" x14ac:dyDescent="0.25">
      <c r="A119" s="11"/>
      <c r="B119" s="26" t="s">
        <v>153</v>
      </c>
      <c r="C119" s="48">
        <v>26341440</v>
      </c>
      <c r="D119" s="14">
        <v>0</v>
      </c>
      <c r="E119" s="14">
        <f>+C119-D119</f>
        <v>26341440</v>
      </c>
      <c r="F119" s="82">
        <v>32754024</v>
      </c>
      <c r="G119" s="93">
        <f t="shared" si="10"/>
        <v>124.34409052808047</v>
      </c>
      <c r="H119" s="82" t="s">
        <v>163</v>
      </c>
      <c r="I119" s="109"/>
    </row>
    <row r="120" spans="1:9" ht="20" customHeight="1" x14ac:dyDescent="0.25">
      <c r="A120" s="11"/>
      <c r="B120" s="31" t="s">
        <v>41</v>
      </c>
      <c r="C120" s="51">
        <f>SUM(C118:C119)</f>
        <v>415188402</v>
      </c>
      <c r="D120" s="81">
        <f>SUM(D118:D119)</f>
        <v>210921001</v>
      </c>
      <c r="E120" s="81">
        <f>SUM(E118:E119)</f>
        <v>204267401</v>
      </c>
      <c r="F120" s="85">
        <f>SUM(F118:F119)</f>
        <v>414294053</v>
      </c>
      <c r="G120" s="110">
        <f t="shared" si="10"/>
        <v>99.784592007943417</v>
      </c>
      <c r="H120" s="112" t="s">
        <v>181</v>
      </c>
      <c r="I120" s="109"/>
    </row>
    <row r="121" spans="1:9" ht="20" customHeight="1" x14ac:dyDescent="0.25">
      <c r="A121" s="122" t="s">
        <v>122</v>
      </c>
      <c r="B121" s="123"/>
      <c r="C121" s="124"/>
      <c r="D121" s="75"/>
      <c r="E121" s="76"/>
      <c r="F121" s="76"/>
      <c r="G121" s="106" t="s">
        <v>166</v>
      </c>
      <c r="H121" s="75"/>
    </row>
    <row r="122" spans="1:9" ht="20" customHeight="1" x14ac:dyDescent="0.25">
      <c r="A122" s="11"/>
      <c r="B122" s="37" t="s">
        <v>123</v>
      </c>
      <c r="C122" s="48">
        <v>2200000</v>
      </c>
      <c r="D122" s="14">
        <v>0</v>
      </c>
      <c r="E122" s="14">
        <f t="shared" ref="E122:E128" si="12">+C122-D122</f>
        <v>2200000</v>
      </c>
      <c r="F122" s="14">
        <f>+C122</f>
        <v>2200000</v>
      </c>
      <c r="G122" s="94">
        <f t="shared" si="10"/>
        <v>100</v>
      </c>
      <c r="H122" s="14" t="s">
        <v>164</v>
      </c>
    </row>
    <row r="123" spans="1:9" ht="20" customHeight="1" x14ac:dyDescent="0.25">
      <c r="A123" s="11"/>
      <c r="B123" s="37" t="s">
        <v>124</v>
      </c>
      <c r="C123" s="49">
        <v>307500000</v>
      </c>
      <c r="D123" s="14">
        <v>10790000</v>
      </c>
      <c r="E123" s="14">
        <f t="shared" si="12"/>
        <v>296710000</v>
      </c>
      <c r="F123" s="88">
        <f>+C123</f>
        <v>307500000</v>
      </c>
      <c r="G123" s="94">
        <f t="shared" si="10"/>
        <v>100</v>
      </c>
      <c r="H123" s="14" t="s">
        <v>164</v>
      </c>
    </row>
    <row r="124" spans="1:9" ht="20" customHeight="1" x14ac:dyDescent="0.25">
      <c r="A124" s="11"/>
      <c r="B124" s="37" t="s">
        <v>125</v>
      </c>
      <c r="C124" s="49">
        <v>4000000</v>
      </c>
      <c r="D124" s="14">
        <v>56000</v>
      </c>
      <c r="E124" s="14">
        <f t="shared" si="12"/>
        <v>3944000</v>
      </c>
      <c r="F124" s="82">
        <v>2000000</v>
      </c>
      <c r="G124" s="93">
        <f t="shared" si="10"/>
        <v>50</v>
      </c>
      <c r="H124" s="82" t="s">
        <v>165</v>
      </c>
    </row>
    <row r="125" spans="1:9" ht="20" customHeight="1" x14ac:dyDescent="0.25">
      <c r="A125" s="11"/>
      <c r="B125" s="26" t="s">
        <v>126</v>
      </c>
      <c r="C125" s="48">
        <v>5000000</v>
      </c>
      <c r="D125" s="14">
        <v>167100</v>
      </c>
      <c r="E125" s="14">
        <f t="shared" si="12"/>
        <v>4832900</v>
      </c>
      <c r="F125" s="82">
        <v>3000000</v>
      </c>
      <c r="G125" s="93">
        <f t="shared" si="10"/>
        <v>60</v>
      </c>
      <c r="H125" s="82" t="s">
        <v>165</v>
      </c>
    </row>
    <row r="126" spans="1:9" ht="25" customHeight="1" x14ac:dyDescent="0.25">
      <c r="A126" s="44"/>
      <c r="B126" s="37" t="s">
        <v>127</v>
      </c>
      <c r="C126" s="49">
        <v>1000000</v>
      </c>
      <c r="D126" s="14">
        <v>0</v>
      </c>
      <c r="E126" s="14">
        <f t="shared" si="12"/>
        <v>1000000</v>
      </c>
      <c r="F126" s="14">
        <f>+C126</f>
        <v>1000000</v>
      </c>
      <c r="G126" s="94">
        <f t="shared" si="10"/>
        <v>100</v>
      </c>
      <c r="H126" s="14" t="s">
        <v>164</v>
      </c>
    </row>
    <row r="127" spans="1:9" ht="20" customHeight="1" x14ac:dyDescent="0.25">
      <c r="A127" s="11"/>
      <c r="B127" s="37" t="s">
        <v>128</v>
      </c>
      <c r="C127" s="49">
        <v>15000000</v>
      </c>
      <c r="D127" s="14">
        <f>9891750-800000</f>
        <v>9091750</v>
      </c>
      <c r="E127" s="14">
        <f t="shared" si="12"/>
        <v>5908250</v>
      </c>
      <c r="F127" s="82">
        <f>+D127</f>
        <v>9091750</v>
      </c>
      <c r="G127" s="93">
        <f t="shared" si="10"/>
        <v>60.611666666666665</v>
      </c>
      <c r="H127" s="82" t="s">
        <v>165</v>
      </c>
    </row>
    <row r="128" spans="1:9" ht="20" customHeight="1" x14ac:dyDescent="0.25">
      <c r="A128" s="44"/>
      <c r="B128" s="53" t="s">
        <v>129</v>
      </c>
      <c r="C128" s="49">
        <v>1000000</v>
      </c>
      <c r="D128" s="14">
        <v>0</v>
      </c>
      <c r="E128" s="14">
        <f t="shared" si="12"/>
        <v>1000000</v>
      </c>
      <c r="F128" s="14">
        <f>+C128</f>
        <v>1000000</v>
      </c>
      <c r="G128" s="94">
        <f t="shared" si="10"/>
        <v>100</v>
      </c>
      <c r="H128" s="14" t="s">
        <v>164</v>
      </c>
    </row>
    <row r="129" spans="1:9" ht="20" customHeight="1" x14ac:dyDescent="0.25">
      <c r="A129" s="11"/>
      <c r="B129" s="9" t="s">
        <v>130</v>
      </c>
      <c r="C129" s="48">
        <v>1000000</v>
      </c>
      <c r="D129" s="14">
        <v>1000000</v>
      </c>
      <c r="E129" s="14">
        <f>+C129-F129</f>
        <v>0</v>
      </c>
      <c r="F129" s="14">
        <f>+C129</f>
        <v>1000000</v>
      </c>
      <c r="G129" s="94">
        <f t="shared" si="10"/>
        <v>100</v>
      </c>
      <c r="H129" s="14" t="s">
        <v>164</v>
      </c>
    </row>
    <row r="130" spans="1:9" ht="20" customHeight="1" x14ac:dyDescent="0.25">
      <c r="A130" s="11"/>
      <c r="B130" s="17" t="s">
        <v>42</v>
      </c>
      <c r="C130" s="8">
        <f>SUM(C122:C129)</f>
        <v>336700000</v>
      </c>
      <c r="D130" s="81">
        <f>SUM(D122:D129)</f>
        <v>21104850</v>
      </c>
      <c r="E130" s="81">
        <f>SUM(E122:E129)</f>
        <v>315595150</v>
      </c>
      <c r="F130" s="85">
        <f>SUM(F122:F129)</f>
        <v>326791750</v>
      </c>
      <c r="G130" s="110">
        <f t="shared" si="10"/>
        <v>97.057246807246813</v>
      </c>
      <c r="H130" s="112" t="s">
        <v>182</v>
      </c>
    </row>
    <row r="131" spans="1:9" ht="20" customHeight="1" x14ac:dyDescent="0.25">
      <c r="A131" s="127" t="s">
        <v>150</v>
      </c>
      <c r="B131" s="128"/>
      <c r="C131" s="8">
        <v>0</v>
      </c>
      <c r="D131" s="89">
        <v>40000</v>
      </c>
      <c r="E131" s="89">
        <f>+C131-D131</f>
        <v>-40000</v>
      </c>
      <c r="F131" s="90">
        <f>143400000+40000</f>
        <v>143440000</v>
      </c>
      <c r="G131" s="110">
        <v>100</v>
      </c>
      <c r="H131" s="90" t="s">
        <v>163</v>
      </c>
    </row>
    <row r="132" spans="1:9" ht="20" customHeight="1" x14ac:dyDescent="0.25">
      <c r="A132" s="122" t="s">
        <v>131</v>
      </c>
      <c r="B132" s="123"/>
      <c r="C132" s="124"/>
      <c r="D132" s="75"/>
      <c r="E132" s="76"/>
      <c r="F132" s="76"/>
      <c r="G132" s="106" t="s">
        <v>166</v>
      </c>
      <c r="H132" s="75"/>
    </row>
    <row r="133" spans="1:9" ht="20" customHeight="1" x14ac:dyDescent="0.25">
      <c r="A133" s="44"/>
      <c r="B133" s="26" t="s">
        <v>132</v>
      </c>
      <c r="C133" s="48">
        <v>1500000</v>
      </c>
      <c r="D133" s="14">
        <v>578356</v>
      </c>
      <c r="E133" s="14">
        <f>+C133-D133</f>
        <v>921644</v>
      </c>
      <c r="F133" s="82">
        <v>1300000</v>
      </c>
      <c r="G133" s="93">
        <f t="shared" si="10"/>
        <v>86.666666666666671</v>
      </c>
      <c r="H133" s="82" t="s">
        <v>164</v>
      </c>
    </row>
    <row r="134" spans="1:9" ht="30" customHeight="1" x14ac:dyDescent="0.25">
      <c r="A134" s="11"/>
      <c r="B134" s="26" t="s">
        <v>159</v>
      </c>
      <c r="C134" s="48">
        <v>20000000</v>
      </c>
      <c r="D134" s="14">
        <f>1691981+40000</f>
        <v>1731981</v>
      </c>
      <c r="E134" s="14">
        <f>+C134-D134</f>
        <v>18268019</v>
      </c>
      <c r="F134" s="82">
        <v>10000000</v>
      </c>
      <c r="G134" s="93">
        <f t="shared" si="10"/>
        <v>50</v>
      </c>
      <c r="H134" s="82" t="s">
        <v>165</v>
      </c>
    </row>
    <row r="135" spans="1:9" ht="20" customHeight="1" x14ac:dyDescent="0.25">
      <c r="A135" s="54"/>
      <c r="B135" s="55" t="s">
        <v>43</v>
      </c>
      <c r="C135" s="8">
        <f>+C133+C134</f>
        <v>21500000</v>
      </c>
      <c r="D135" s="81">
        <f>SUM(D133:D134)</f>
        <v>2310337</v>
      </c>
      <c r="E135" s="81">
        <f>SUM(E133:E134)</f>
        <v>19189663</v>
      </c>
      <c r="F135" s="81">
        <f>SUM(F133:F134)</f>
        <v>11300000</v>
      </c>
      <c r="G135" s="110">
        <f t="shared" si="10"/>
        <v>52.558139534883722</v>
      </c>
      <c r="H135" s="112" t="s">
        <v>183</v>
      </c>
    </row>
    <row r="136" spans="1:9" ht="20" customHeight="1" x14ac:dyDescent="0.25">
      <c r="A136" s="56"/>
      <c r="B136" s="34" t="s">
        <v>133</v>
      </c>
      <c r="C136" s="57">
        <f>+C135+C130+C120+C116+C108+C104+C98+C88+C84+0</f>
        <v>2342810465</v>
      </c>
      <c r="D136" s="79">
        <f>+D135+D131+D130+D120+D116+D108+D104+D98+D88+D84+0</f>
        <v>1144483263</v>
      </c>
      <c r="E136" s="79">
        <f>+E135+E131+E130+E120+E116+E108+E104+E98+E88+E84+0</f>
        <v>1218310882</v>
      </c>
      <c r="F136" s="79">
        <f>+F135+F131+F130+F120+F116+F108+F104+F98+F88+F84+0</f>
        <v>2664592898</v>
      </c>
      <c r="G136" s="101">
        <f t="shared" si="10"/>
        <v>113.73488968942266</v>
      </c>
      <c r="H136" s="113" t="s">
        <v>169</v>
      </c>
    </row>
    <row r="137" spans="1:9" ht="25" customHeight="1" x14ac:dyDescent="0.25">
      <c r="A137" s="131" t="s">
        <v>134</v>
      </c>
      <c r="B137" s="132"/>
      <c r="C137" s="58">
        <f>+C136+C72</f>
        <v>2756208392</v>
      </c>
      <c r="D137" s="114">
        <f>+D136+D132+D131+D121+D117+D109+D105+D99+D89+D85+D72+D64+D60+D50+D42</f>
        <v>1321629125</v>
      </c>
      <c r="E137" s="114">
        <f>+C137-D137</f>
        <v>1434579267</v>
      </c>
      <c r="F137" s="114">
        <f>+F136+F72</f>
        <v>3055480047</v>
      </c>
      <c r="G137" s="115">
        <f t="shared" si="10"/>
        <v>110.85809243846174</v>
      </c>
      <c r="H137" s="116" t="s">
        <v>173</v>
      </c>
      <c r="I137" s="109"/>
    </row>
    <row r="138" spans="1:9" ht="30" customHeight="1" x14ac:dyDescent="0.25">
      <c r="A138" s="129" t="s">
        <v>50</v>
      </c>
      <c r="B138" s="130"/>
      <c r="C138" s="59">
        <f>+C25-C137</f>
        <v>123981779</v>
      </c>
      <c r="D138" s="80">
        <f>+D25-D137</f>
        <v>502257579</v>
      </c>
      <c r="E138" s="80"/>
      <c r="F138" s="80">
        <f>+F25-F137</f>
        <v>184837118</v>
      </c>
      <c r="G138" s="108">
        <f t="shared" si="10"/>
        <v>149.08409888198167</v>
      </c>
      <c r="H138" s="118" t="s">
        <v>185</v>
      </c>
    </row>
    <row r="139" spans="1:9" ht="20.149999999999999" customHeight="1" x14ac:dyDescent="0.25">
      <c r="B139" s="60" t="s">
        <v>144</v>
      </c>
      <c r="G139" s="107"/>
    </row>
    <row r="140" spans="1:9" ht="20.149999999999999" customHeight="1" x14ac:dyDescent="0.25">
      <c r="B140" s="1"/>
    </row>
    <row r="141" spans="1:9" ht="20.149999999999999" customHeight="1" x14ac:dyDescent="0.25">
      <c r="B141" s="61" t="s">
        <v>9</v>
      </c>
      <c r="F141" s="61" t="s">
        <v>31</v>
      </c>
      <c r="G141" s="71"/>
    </row>
    <row r="142" spans="1:9" ht="20.149999999999999" customHeight="1" x14ac:dyDescent="0.25">
      <c r="B142" s="61" t="s">
        <v>11</v>
      </c>
      <c r="F142" s="61" t="s">
        <v>12</v>
      </c>
      <c r="G142" s="71"/>
    </row>
    <row r="143" spans="1:9" ht="20.149999999999999" customHeight="1" x14ac:dyDescent="0.25">
      <c r="B143" s="61" t="s">
        <v>23</v>
      </c>
      <c r="F143" s="61" t="s">
        <v>13</v>
      </c>
      <c r="G143" s="71"/>
    </row>
    <row r="144" spans="1:9" ht="20.149999999999999" customHeight="1" x14ac:dyDescent="0.25">
      <c r="B144" s="61"/>
      <c r="F144" s="61"/>
      <c r="G144" s="71"/>
    </row>
    <row r="145" spans="2:6" ht="20.149999999999999" customHeight="1" x14ac:dyDescent="0.25">
      <c r="B145" s="62"/>
      <c r="F145" s="61" t="s">
        <v>28</v>
      </c>
    </row>
    <row r="146" spans="2:6" ht="20.149999999999999" customHeight="1" x14ac:dyDescent="0.25">
      <c r="B146" s="1"/>
      <c r="F146" s="61" t="s">
        <v>30</v>
      </c>
    </row>
    <row r="147" spans="2:6" x14ac:dyDescent="0.25">
      <c r="B147" s="63"/>
      <c r="F147" s="61" t="s">
        <v>29</v>
      </c>
    </row>
  </sheetData>
  <mergeCells count="26">
    <mergeCell ref="A138:B138"/>
    <mergeCell ref="A50:C50"/>
    <mergeCell ref="A137:B137"/>
    <mergeCell ref="A9:C9"/>
    <mergeCell ref="A10:B10"/>
    <mergeCell ref="A11:B11"/>
    <mergeCell ref="A12:C12"/>
    <mergeCell ref="A25:B25"/>
    <mergeCell ref="A26:C26"/>
    <mergeCell ref="A28:C28"/>
    <mergeCell ref="A42:C42"/>
    <mergeCell ref="A49:B49"/>
    <mergeCell ref="A85:C85"/>
    <mergeCell ref="A60:C60"/>
    <mergeCell ref="A64:C64"/>
    <mergeCell ref="D10:E10"/>
    <mergeCell ref="A8:H8"/>
    <mergeCell ref="A117:C117"/>
    <mergeCell ref="A121:C121"/>
    <mergeCell ref="A132:C132"/>
    <mergeCell ref="A109:C109"/>
    <mergeCell ref="A74:C74"/>
    <mergeCell ref="A89:C89"/>
    <mergeCell ref="A99:C99"/>
    <mergeCell ref="A105:C105"/>
    <mergeCell ref="A131:B131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YEAR 2026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2026-06-22T14:11:10Z</cp:lastPrinted>
  <dcterms:created xsi:type="dcterms:W3CDTF">2017-09-05T09:43:28Z</dcterms:created>
  <dcterms:modified xsi:type="dcterms:W3CDTF">2026-08-14T08:04:15Z</dcterms:modified>
</cp:coreProperties>
</file>