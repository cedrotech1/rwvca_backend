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showInkAnnotation="0"/>
  <bookViews>
    <workbookView xWindow="-110" yWindow="-110" windowWidth="19420" windowHeight="10300" tabRatio="965" activeTab="4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1" l="1"/>
  <c r="D14" i="21"/>
  <c r="D15" i="21"/>
  <c r="D16" i="21"/>
  <c r="D7" i="21"/>
  <c r="D8" i="21"/>
  <c r="D9" i="21"/>
  <c r="D10" i="21"/>
  <c r="D11" i="21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F36" i="24"/>
  <c r="H36" i="24" s="1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H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F18" i="24"/>
  <c r="H18" i="24" s="1"/>
  <c r="E18" i="24"/>
  <c r="G17" i="24"/>
  <c r="E17" i="24"/>
  <c r="F17" i="24" s="1"/>
  <c r="H17" i="24" s="1"/>
  <c r="G14" i="24"/>
  <c r="F14" i="24"/>
  <c r="H14" i="24" s="1"/>
  <c r="E14" i="24"/>
  <c r="G13" i="24"/>
  <c r="F13" i="24"/>
  <c r="H13" i="24" s="1"/>
  <c r="E13" i="24"/>
  <c r="G12" i="24"/>
  <c r="F12" i="24"/>
  <c r="H12" i="24" s="1"/>
  <c r="E12" i="24"/>
  <c r="G11" i="24"/>
  <c r="F11" i="24"/>
  <c r="H11" i="24" s="1"/>
  <c r="E11" i="24"/>
  <c r="G10" i="24"/>
  <c r="E10" i="24"/>
  <c r="F10" i="24" s="1"/>
  <c r="H10" i="24" s="1"/>
  <c r="G9" i="24"/>
  <c r="F9" i="24"/>
  <c r="H9" i="24" s="1"/>
  <c r="E9" i="24"/>
  <c r="G8" i="24"/>
  <c r="F8" i="24"/>
  <c r="H8" i="24" s="1"/>
  <c r="E8" i="24"/>
  <c r="G7" i="24"/>
  <c r="F7" i="24"/>
  <c r="H7" i="24" s="1"/>
  <c r="E7" i="24"/>
  <c r="G6" i="24"/>
  <c r="G37" i="24" s="1"/>
  <c r="C25" i="1" s="1"/>
  <c r="F6" i="24"/>
  <c r="E6" i="24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G37" i="23" s="1"/>
  <c r="C24" i="1" s="1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21" i="1" s="1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62" i="16" s="1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62" i="12" s="1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F8" i="15"/>
  <c r="H8" i="15" s="1"/>
  <c r="E8" i="15"/>
  <c r="G7" i="15"/>
  <c r="F7" i="15"/>
  <c r="H7" i="15" s="1"/>
  <c r="E7" i="15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37" i="10" s="1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C45" i="9"/>
  <c r="G36" i="9"/>
  <c r="E36" i="9"/>
  <c r="F36" i="9" s="1"/>
  <c r="H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36" i="8"/>
  <c r="F36" i="8"/>
  <c r="H36" i="8" s="1"/>
  <c r="E36" i="8"/>
  <c r="G35" i="8"/>
  <c r="F35" i="8"/>
  <c r="H35" i="8" s="1"/>
  <c r="E35" i="8"/>
  <c r="G34" i="8"/>
  <c r="F34" i="8"/>
  <c r="H34" i="8" s="1"/>
  <c r="E34" i="8"/>
  <c r="G33" i="8"/>
  <c r="F33" i="8"/>
  <c r="H33" i="8" s="1"/>
  <c r="E33" i="8"/>
  <c r="G32" i="8"/>
  <c r="F32" i="8"/>
  <c r="H32" i="8" s="1"/>
  <c r="E32" i="8"/>
  <c r="G31" i="8"/>
  <c r="F31" i="8"/>
  <c r="H31" i="8" s="1"/>
  <c r="E31" i="8"/>
  <c r="G30" i="8"/>
  <c r="F30" i="8"/>
  <c r="H30" i="8" s="1"/>
  <c r="E30" i="8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F26" i="8"/>
  <c r="H26" i="8" s="1"/>
  <c r="E26" i="8"/>
  <c r="G25" i="8"/>
  <c r="F25" i="8"/>
  <c r="H25" i="8" s="1"/>
  <c r="E25" i="8"/>
  <c r="G24" i="8"/>
  <c r="F24" i="8"/>
  <c r="H24" i="8" s="1"/>
  <c r="E24" i="8"/>
  <c r="G23" i="8"/>
  <c r="F23" i="8"/>
  <c r="H23" i="8" s="1"/>
  <c r="E23" i="8"/>
  <c r="G22" i="8"/>
  <c r="E22" i="8"/>
  <c r="F22" i="8" s="1"/>
  <c r="H22" i="8" s="1"/>
  <c r="G21" i="8"/>
  <c r="F21" i="8"/>
  <c r="H21" i="8" s="1"/>
  <c r="E21" i="8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62" i="6" s="1"/>
  <c r="E49" i="6"/>
  <c r="C45" i="6"/>
  <c r="G36" i="6"/>
  <c r="E36" i="6"/>
  <c r="F36" i="6" s="1"/>
  <c r="H36" i="6" s="1"/>
  <c r="G35" i="6"/>
  <c r="E35" i="6"/>
  <c r="F35" i="6" s="1"/>
  <c r="H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G37" i="6" s="1"/>
  <c r="C9" i="1" s="1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23" i="1" s="1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D6" i="21" s="1"/>
  <c r="E50" i="3"/>
  <c r="D5" i="21" s="1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H13" i="3" l="1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H37" i="24" s="1"/>
  <c r="F37" i="23"/>
  <c r="B24" i="1" s="1"/>
  <c r="H6" i="23"/>
  <c r="H37" i="23" s="1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H37" i="11" s="1"/>
  <c r="E37" i="11"/>
  <c r="F37" i="10"/>
  <c r="H6" i="10"/>
  <c r="H37" i="10" s="1"/>
  <c r="E37" i="10"/>
  <c r="F37" i="9"/>
  <c r="H6" i="9"/>
  <c r="H37" i="9" s="1"/>
  <c r="E37" i="9"/>
  <c r="F37" i="22"/>
  <c r="H6" i="22"/>
  <c r="E37" i="22"/>
  <c r="F37" i="8"/>
  <c r="H6" i="8"/>
  <c r="H37" i="8" s="1"/>
  <c r="E37" i="8"/>
  <c r="F37" i="6"/>
  <c r="B9" i="1" s="1"/>
  <c r="H6" i="6"/>
  <c r="H37" i="6" s="1"/>
  <c r="E37" i="6"/>
  <c r="F37" i="19"/>
  <c r="B23" i="1" s="1"/>
  <c r="H6" i="19"/>
  <c r="H37" i="19" s="1"/>
  <c r="E37" i="19"/>
  <c r="F37" i="7"/>
  <c r="B10" i="1" s="1"/>
  <c r="H6" i="7"/>
  <c r="H37" i="7" s="1"/>
  <c r="E37" i="7"/>
  <c r="F37" i="4"/>
  <c r="B6" i="1" s="1"/>
  <c r="H6" i="4"/>
  <c r="H37" i="4" s="1"/>
  <c r="E37" i="4"/>
  <c r="F37" i="3"/>
  <c r="H6" i="3"/>
  <c r="E37" i="3"/>
  <c r="F37" i="5"/>
  <c r="B8" i="1" s="1"/>
  <c r="H6" i="5"/>
  <c r="H37" i="5" s="1"/>
  <c r="E37" i="5"/>
  <c r="F37" i="2"/>
  <c r="H6" i="2"/>
  <c r="H37" i="2" s="1"/>
  <c r="E37" i="2"/>
  <c r="H37" i="17" l="1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<sst xmlns="http://schemas.openxmlformats.org/spreadsheetml/2006/main" count="1698" uniqueCount="87">
  <si>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</si>
  <si>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</si>
  <si>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</si>
  <si>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</si>
  <si>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</si>
  <si>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</si>
  <si>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</si>
  <si>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</si>
  <si>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</si>
  <si>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</si>
  <si>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</si>
  <si>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</si>
  <si>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</si>
  <si>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</si>
  <si>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</si>
  <si>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</si>
  <si>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</si>
  <si>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</si>
  <si>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</si>
  <si>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</si>
  <si>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</si>
  <si>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</si>
  <si>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</si>
  <si>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</si>
  <si>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</si>
  <si>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</si>
  <si>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</si>
  <si>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</si>
  <si>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</si>
  <si>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</si>
  <si>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</si>
  <si>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</si>
  <si>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</si>
  <si>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</si>
  <si>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</si>
  <si>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</si>
  <si>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</si>
  <si>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</si>
  <si>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</si>
  <si>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</si>
  <si>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</si>
  <si>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</si>
  <si>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</si>
  <si>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</si>
  <si>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</si>
  <si>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</si>
  <si>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</si>
  <si>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</si>
  <si>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</si>
  <si>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</si>
  <si>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</si>
  <si>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</si>
  <si>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</si>
  <si>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</si>
  <si>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</si>
  <si>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</si>
  <si>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</si>
  <si>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</si>
  <si>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</si>
  <si>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</si>
  <si>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</si>
  <si>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</si>
  <si>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</si>
  <si>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</si>
  <si>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</si>
  <si>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</si>
  <si>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</si>
  <si>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</si>
  <si>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</si>
  <si>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</si>
  <si>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</si>
  <si>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</si>
  <si>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</si>
  <si>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</si>
  <si>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</si>
  <si>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</si>
  <si>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</si>
  <si>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</si>
  <si>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</si>
  <si>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</si>
  <si>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</si>
  <si>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</si>
  <si>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</si>
  <si>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</si>
  <si>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</si>
  <si>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</si>
  <si>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09 TO 15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</si>
</sst>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4" t="s">
        <v>37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82"/>
      <c r="M1" s="82"/>
      <c r="N1" s="82"/>
    </row>
    <row r="2" spans="1:15" ht="31" customHeight="1">
      <c r="A2" s="116" t="s">
        <v>36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82"/>
      <c r="M2" s="82"/>
      <c r="N2" s="82"/>
    </row>
    <row r="3" spans="1:15" ht="15" customHeight="1" thickBo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2825235</v>
      </c>
      <c r="C7" s="48">
        <f>KIMIRONKO!G37</f>
        <v>238770</v>
      </c>
      <c r="D7" s="48">
        <f>KIMIRONKO!C43</f>
        <v>0</v>
      </c>
      <c r="E7" s="48">
        <f>KIMIRONKO!C44</f>
        <v>0</v>
      </c>
      <c r="F7" s="50">
        <f t="shared" si="0"/>
        <v>3064005</v>
      </c>
      <c r="G7" s="48">
        <f>KIMIRONKO!C41</f>
        <v>0</v>
      </c>
      <c r="H7" s="48">
        <f>KIMIRONKO!C39</f>
        <v>3064005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2825235</v>
      </c>
      <c r="C29" s="70">
        <f t="shared" si="1"/>
        <v>238770</v>
      </c>
      <c r="D29" s="71">
        <f t="shared" si="1"/>
        <v>0</v>
      </c>
      <c r="E29" s="70">
        <f t="shared" si="1"/>
        <v>0</v>
      </c>
      <c r="F29" s="70">
        <f>SUM(F5:F28)</f>
        <v>3064005</v>
      </c>
      <c r="G29" s="71">
        <f>SUM(G5:G28)</f>
        <v>0</v>
      </c>
      <c r="H29" s="71">
        <f>SUM(H5:H28)</f>
        <v>3064005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3"/>
      <c r="B30" s="153"/>
      <c r="C30" s="153"/>
      <c r="D30" s="154"/>
      <c r="E30" s="144" t="s">
        <v>11</v>
      </c>
      <c r="F30" s="145"/>
      <c r="G30" s="145"/>
      <c r="H30" s="145"/>
      <c r="I30" s="146"/>
      <c r="J30" s="118"/>
      <c r="K30" s="119"/>
      <c r="L30" s="82"/>
    </row>
    <row r="31" spans="1:15" ht="19" thickBot="1">
      <c r="A31" s="141" t="s">
        <v>9</v>
      </c>
      <c r="B31" s="142"/>
      <c r="C31" s="142"/>
      <c r="D31" s="142"/>
      <c r="E31" s="147"/>
      <c r="F31" s="148"/>
      <c r="G31" s="148"/>
      <c r="H31" s="148"/>
      <c r="I31" s="149"/>
      <c r="J31" s="120"/>
      <c r="K31" s="121"/>
      <c r="L31" s="82"/>
    </row>
    <row r="32" spans="1:15" ht="15" thickBot="1">
      <c r="A32" s="137" t="s">
        <v>12</v>
      </c>
      <c r="B32" s="138"/>
      <c r="C32" s="155">
        <f>SUM(B29+C29)</f>
        <v>3064005</v>
      </c>
      <c r="D32" s="156"/>
      <c r="E32" s="147"/>
      <c r="F32" s="148"/>
      <c r="G32" s="148"/>
      <c r="H32" s="148"/>
      <c r="I32" s="149"/>
      <c r="J32" s="120"/>
      <c r="K32" s="121"/>
      <c r="L32" s="82"/>
    </row>
    <row r="33" spans="1:12" ht="15" thickBot="1">
      <c r="A33" s="137" t="s">
        <v>13</v>
      </c>
      <c r="B33" s="138"/>
      <c r="C33" s="133">
        <f>SUM(F29,G29)</f>
        <v>3064005</v>
      </c>
      <c r="D33" s="143"/>
      <c r="E33" s="147"/>
      <c r="F33" s="148"/>
      <c r="G33" s="148"/>
      <c r="H33" s="148"/>
      <c r="I33" s="149"/>
      <c r="J33" s="120"/>
      <c r="K33" s="121"/>
      <c r="L33" s="82"/>
    </row>
    <row r="34" spans="1:12" ht="15" thickBot="1">
      <c r="A34" s="135" t="s">
        <v>81</v>
      </c>
      <c r="B34" s="136"/>
      <c r="C34" s="133">
        <f>SUM(H29,J29,I29+G29)</f>
        <v>3064005</v>
      </c>
      <c r="D34" s="134"/>
      <c r="E34" s="147"/>
      <c r="F34" s="148"/>
      <c r="G34" s="148"/>
      <c r="H34" s="148"/>
      <c r="I34" s="149"/>
      <c r="J34" s="120"/>
      <c r="K34" s="121"/>
      <c r="L34" s="82"/>
    </row>
    <row r="35" spans="1:12" ht="15" thickBot="1">
      <c r="A35" s="137" t="s">
        <v>10</v>
      </c>
      <c r="B35" s="138"/>
      <c r="C35" s="133">
        <f>SUM(D29:E29)</f>
        <v>0</v>
      </c>
      <c r="D35" s="134"/>
      <c r="E35" s="150"/>
      <c r="F35" s="151"/>
      <c r="G35" s="151"/>
      <c r="H35" s="151"/>
      <c r="I35" s="152"/>
      <c r="J35" s="120"/>
      <c r="K35" s="121"/>
      <c r="L35" s="82"/>
    </row>
    <row r="36" spans="1:12" ht="15" thickBot="1">
      <c r="A36" s="137" t="s">
        <v>83</v>
      </c>
      <c r="B36" s="138"/>
      <c r="C36" s="133">
        <f>SUM(H29+I29+J29+C35)</f>
        <v>3064005</v>
      </c>
      <c r="D36" s="134"/>
      <c r="E36" s="124" t="s">
        <v>35</v>
      </c>
      <c r="F36" s="125"/>
      <c r="G36" s="125"/>
      <c r="H36" s="125"/>
      <c r="I36" s="126"/>
      <c r="J36" s="120"/>
      <c r="K36" s="121"/>
      <c r="L36" s="82"/>
    </row>
    <row r="37" spans="1:12" ht="15" thickBot="1">
      <c r="A37" s="139" t="s">
        <v>14</v>
      </c>
      <c r="B37" s="140"/>
      <c r="C37" s="133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3064005</v>
      </c>
      <c r="D37" s="134"/>
      <c r="E37" s="127"/>
      <c r="F37" s="128"/>
      <c r="G37" s="128"/>
      <c r="H37" s="128"/>
      <c r="I37" s="129"/>
      <c r="J37" s="120"/>
      <c r="K37" s="121"/>
      <c r="L37" s="82"/>
    </row>
    <row r="38" spans="1:12" ht="26.5" thickBot="1">
      <c r="A38" s="130" t="s">
        <v>15</v>
      </c>
      <c r="B38" s="131"/>
      <c r="C38" s="131"/>
      <c r="D38" s="131"/>
      <c r="E38" s="131"/>
      <c r="F38" s="131"/>
      <c r="G38" s="131"/>
      <c r="H38" s="131"/>
      <c r="I38" s="132"/>
      <c r="J38" s="122"/>
      <c r="K38" s="123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6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8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s="89" customFormat="1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9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20.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3" customHeight="1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22" customHeight="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22.5" customHeight="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24.5" customHeight="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22" customHeight="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22" customHeight="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22" customHeight="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22" customHeight="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4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3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>
        <v>2124</v>
      </c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4.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="85" zoomScaleNormal="85" workbookViewId="0">
      <selection activeCell="A3" sqref="A3:H4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0" t="s">
        <v>85</v>
      </c>
      <c r="B1" s="211"/>
      <c r="C1" s="211"/>
      <c r="D1" s="211"/>
      <c r="E1" s="211"/>
      <c r="F1" s="211"/>
      <c r="G1" s="211"/>
      <c r="H1" s="211"/>
      <c r="I1" s="225"/>
    </row>
    <row r="2" spans="1:9" ht="24.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86</v>
      </c>
      <c r="B3" s="215"/>
      <c r="C3" s="215"/>
      <c r="D3" s="215"/>
      <c r="E3" s="215"/>
      <c r="F3" s="215"/>
      <c r="G3" s="215"/>
      <c r="H3" s="216"/>
      <c r="I3" s="226"/>
    </row>
    <row r="4" spans="1:9" ht="28.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410</v>
      </c>
      <c r="C8" s="196">
        <v>7670</v>
      </c>
      <c r="D8" s="197"/>
      <c r="E8" s="12">
        <f t="shared" si="0"/>
        <v>3144700</v>
      </c>
      <c r="F8" s="12">
        <f t="shared" si="1"/>
        <v>479700</v>
      </c>
      <c r="G8" s="12">
        <f>PRODUCT(B8*50)</f>
        <v>20500</v>
      </c>
      <c r="H8" s="100">
        <f t="shared" si="2"/>
        <v>500200</v>
      </c>
      <c r="I8" s="226"/>
    </row>
    <row r="9" spans="1:9">
      <c r="A9" s="39" t="s">
        <v>47</v>
      </c>
      <c r="B9" s="11"/>
      <c r="C9" s="196">
        <v>3700</v>
      </c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>
        <v>2714</v>
      </c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>
        <v>6403</v>
      </c>
      <c r="C12" s="196">
        <v>2124</v>
      </c>
      <c r="D12" s="197"/>
      <c r="E12" s="12">
        <f t="shared" si="0"/>
        <v>13599972</v>
      </c>
      <c r="F12" s="12">
        <f>PRODUCT(E12*18)/118</f>
        <v>2074572</v>
      </c>
      <c r="G12" s="12">
        <f>PRODUCT(B12*30)</f>
        <v>192090</v>
      </c>
      <c r="H12" s="100">
        <f t="shared" si="2"/>
        <v>2266662</v>
      </c>
      <c r="I12" s="226"/>
    </row>
    <row r="13" spans="1:9">
      <c r="A13" s="40" t="s">
        <v>60</v>
      </c>
      <c r="B13" s="11">
        <v>1309</v>
      </c>
      <c r="C13" s="196">
        <v>1357</v>
      </c>
      <c r="D13" s="197"/>
      <c r="E13" s="12">
        <f t="shared" si="0"/>
        <v>1776313</v>
      </c>
      <c r="F13" s="12">
        <f t="shared" si="1"/>
        <v>270963</v>
      </c>
      <c r="G13" s="12">
        <f>PRODUCT(B13*20)</f>
        <v>26180</v>
      </c>
      <c r="H13" s="100">
        <f t="shared" si="2"/>
        <v>297143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18520985</v>
      </c>
      <c r="F37" s="24">
        <f>SUM(F5:F36)</f>
        <v>2825235</v>
      </c>
      <c r="G37" s="24">
        <f t="shared" ref="G37:H37" si="10">SUM(G5:G36)</f>
        <v>238770</v>
      </c>
      <c r="H37" s="24">
        <f t="shared" si="10"/>
        <v>3064005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thickBot="1">
      <c r="A39" s="206" t="s">
        <v>68</v>
      </c>
      <c r="B39" s="207"/>
      <c r="C39" s="55">
        <v>3064005</v>
      </c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3064005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6403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410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1309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8122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3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6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4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3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0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1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5.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9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2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2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34.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7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9" customHeight="1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5" customHeight="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customHeight="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customHeight="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customHeight="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customHeight="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customHeight="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customHeight="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customHeight="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customHeight="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customHeight="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customHeight="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customHeight="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customHeight="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customHeight="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4.5" customHeight="1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1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4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9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0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0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4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7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0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2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9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30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84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84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84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84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84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84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84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84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0" t="s">
        <v>57</v>
      </c>
      <c r="B1" s="181"/>
      <c r="C1" s="181"/>
      <c r="D1" s="181"/>
      <c r="E1" s="181"/>
      <c r="F1" s="181"/>
      <c r="G1" s="238"/>
    </row>
    <row r="2" spans="1:7" ht="15" thickBot="1">
      <c r="A2" s="182"/>
      <c r="B2" s="183"/>
      <c r="C2" s="183"/>
      <c r="D2" s="183"/>
      <c r="E2" s="183"/>
      <c r="F2" s="183"/>
      <c r="G2" s="239"/>
    </row>
    <row r="3" spans="1:7" ht="28.5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6403</v>
      </c>
      <c r="E4" s="236"/>
      <c r="F4" s="236"/>
      <c r="G4" s="237"/>
    </row>
    <row r="5" spans="1:7" ht="3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410</v>
      </c>
      <c r="E5" s="236"/>
      <c r="F5" s="236"/>
      <c r="G5" s="237"/>
    </row>
    <row r="6" spans="1:7" ht="40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1309</v>
      </c>
      <c r="E6" s="236"/>
      <c r="F6" s="236"/>
      <c r="G6" s="237"/>
    </row>
    <row r="7" spans="1:7" ht="38.5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6"/>
      <c r="F7" s="236"/>
      <c r="G7" s="237"/>
    </row>
    <row r="8" spans="1:7" ht="40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6"/>
      <c r="F8" s="236"/>
      <c r="G8" s="237"/>
    </row>
    <row r="9" spans="1:7" ht="38.5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5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43" t="s">
        <v>65</v>
      </c>
      <c r="B17" s="244"/>
      <c r="C17" s="245"/>
      <c r="D17" s="246">
        <f>SUM(D4:D16)</f>
        <v>8122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ANDI MOSES</cp:lastModifiedBy>
  <dcterms:created xsi:type="dcterms:W3CDTF">2023-12-29T10:10:15Z</dcterms:created>
  <dcterms:modified xsi:type="dcterms:W3CDTF">2026-03-16T07:38:58Z</dcterms:modified>
</cp:coreProperties>
</file>