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75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F11" i="8"/>
  <c r="E11" i="8"/>
  <c r="G10" i="8"/>
  <c r="E10" i="8"/>
  <c r="F10" i="8" s="1"/>
  <c r="G9" i="8"/>
  <c r="E9" i="8"/>
  <c r="F9" i="8" s="1"/>
  <c r="G8" i="8"/>
  <c r="E8" i="8"/>
  <c r="F8" i="8" s="1"/>
  <c r="G7" i="8"/>
  <c r="E7" i="8"/>
  <c r="F7" i="8" s="1"/>
  <c r="H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I29" i="1" s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H5" i="1"/>
  <c r="G5" i="1"/>
  <c r="H11" i="8" l="1"/>
  <c r="H8" i="8"/>
  <c r="H13" i="8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<sst xmlns="http://schemas.openxmlformats.org/spreadsheetml/2006/main" count="1779" uniqueCount="85">
  <si>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</si>
  <si>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</si>
  <si>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</si>
  <si>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</si>
  <si>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</si>
  <si>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</si>
  <si>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</si>
  <si>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</si>
  <si>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</si>
  <si>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</si>
  <si>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</si>
  <si>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</si>
  <si>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</si>
  <si>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</si>
  <si>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</si>
  <si>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</si>
  <si>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</si>
  <si>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</si>
  <si>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</si>
  <si>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</si>
  <si>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</si>
  <si>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</si>
  <si>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</si>
  <si>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</si>
  <si>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</si>
  <si>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</si>
  <si>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</si>
  <si>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</si>
  <si>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</si>
  <si>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</si>
  <si>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</si>
  <si>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</si>
  <si>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</si>
  <si>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</si>
  <si>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</si>
  <si>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</si>
  <si>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</si>
  <si>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</si>
  <si>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</si>
  <si>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</si>
  <si>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</si>
  <si>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</si>
  <si>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</si>
  <si>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</si>
  <si>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</si>
  <si>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</si>
  <si>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</si>
  <si>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</si>
  <si>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</si>
  <si>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</si>
  <si>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</si>
  <si>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</si>
  <si>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</si>
  <si>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</si>
  <si>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</si>
  <si>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</si>
  <si>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</si>
  <si>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</si>
  <si>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</si>
  <si>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</si>
  <si>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</si>
  <si>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</si>
  <si>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</si>
  <si>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</si>
  <si>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</si>
  <si>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</si>
  <si>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</si>
  <si>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</si>
  <si>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</si>
  <si>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</si>
  <si>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</si>
  <si>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</si>
  <si>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</si>
  <si>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</si>
  <si>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</si>
  <si>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</si>
  <si>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</si>
  <si>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</si>
  <si>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</si>
  <si>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</si>
  <si>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</si>
  <si>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</si>
  <si>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</si>
  <si>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weekly  Report</t>
  </si>
  <si>
    <t>KIMIRONKO WEEK REPORT  FROM 1 TO 31 August2026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</si>
</sst>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  <family val="5"/>
    </font>
    <font>
      <sz val="11"/>
      <name val="Calibri"/>
      <family val="2"/>
    </font>
    <font>
      <sz val="11"/>
      <name val="Calibri"/>
      <family val="2"/>
    </font>
    <font>
      <b/>
      <sz val="36"/>
      <color rgb="FF00206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i/>
      <sz val="14"/>
      <name val="Calibri"/>
      <family val="2"/>
    </font>
    <font>
      <b/>
      <i/>
      <sz val="11"/>
      <name val="Calibri"/>
      <family val="2"/>
    </font>
    <font>
      <b/>
      <i/>
      <sz val="2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sz val="16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b/>
      <sz val="22"/>
      <color rgb="FF000000"/>
      <name val="Bodoni"/>
    </font>
    <font>
      <b/>
      <sz val="22"/>
      <color rgb="FF000000"/>
      <name val="Calibri"/>
      <family val="2"/>
    </font>
    <font>
      <b/>
      <sz val="20"/>
      <color rgb="FF000000"/>
      <name val="Bookman Old Style"/>
      <family val="1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2578125" defaultRowHeight="15" customHeight="1"/>
  <cols>
    <col min="1" max="1" width="22.85546875" customWidth="1"/>
    <col min="2" max="2" width="28.28515625" customWidth="1"/>
    <col min="3" max="3" width="24.42578125" customWidth="1"/>
    <col min="4" max="4" width="16.140625" customWidth="1"/>
    <col min="5" max="5" width="21.7109375" customWidth="1"/>
    <col min="6" max="6" width="20.5703125" customWidth="1"/>
    <col min="7" max="7" width="20.140625" customWidth="1"/>
    <col min="8" max="8" width="17" customWidth="1"/>
    <col min="9" max="9" width="16.85546875" customWidth="1"/>
    <col min="10" max="10" width="14.5703125" customWidth="1"/>
    <col min="11" max="11" width="8.85546875" customWidth="1"/>
    <col min="12" max="12" width="19.85546875" customWidth="1"/>
    <col min="13" max="15" width="8.85546875" customWidth="1"/>
  </cols>
  <sheetData>
    <row r="1" spans="1:15" ht="18" customHeight="1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"/>
      <c r="M1" s="1"/>
      <c r="N1" s="1"/>
      <c r="O1" s="1"/>
    </row>
    <row r="2" spans="1:15" ht="30.75" customHeigh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5"/>
      <c r="L2" s="1"/>
      <c r="M2" s="1"/>
      <c r="N2" s="1"/>
      <c r="O2" s="1"/>
    </row>
    <row r="3" spans="1:15" ht="15" customHeigh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8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18748598.796610169</v>
      </c>
      <c r="C7" s="18">
        <f>KIMIRONKO!G37</f>
        <v>1615940</v>
      </c>
      <c r="D7" s="19"/>
      <c r="E7" s="18"/>
      <c r="F7" s="14">
        <f t="shared" si="0"/>
        <v>20364538.796610169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18748598.796610169</v>
      </c>
      <c r="C29" s="33">
        <f t="shared" si="1"/>
        <v>1615940</v>
      </c>
      <c r="D29" s="34">
        <f t="shared" si="1"/>
        <v>0</v>
      </c>
      <c r="E29" s="33">
        <f t="shared" si="1"/>
        <v>0</v>
      </c>
      <c r="F29" s="33">
        <f t="shared" si="1"/>
        <v>20364538.796610169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4"/>
      <c r="B30" s="128"/>
      <c r="C30" s="128"/>
      <c r="D30" s="106"/>
      <c r="E30" s="129" t="s">
        <v>32</v>
      </c>
      <c r="F30" s="125"/>
      <c r="G30" s="125"/>
      <c r="H30" s="125"/>
      <c r="I30" s="120"/>
      <c r="J30" s="119"/>
      <c r="K30" s="120"/>
      <c r="L30" s="1"/>
      <c r="M30" s="1"/>
      <c r="N30" s="1"/>
      <c r="O30" s="1"/>
    </row>
    <row r="31" spans="1:15" ht="18" customHeight="1">
      <c r="A31" s="132" t="s">
        <v>33</v>
      </c>
      <c r="B31" s="128"/>
      <c r="C31" s="128"/>
      <c r="D31" s="133"/>
      <c r="E31" s="121"/>
      <c r="F31" s="130"/>
      <c r="G31" s="130"/>
      <c r="H31" s="130"/>
      <c r="I31" s="122"/>
      <c r="J31" s="121"/>
      <c r="K31" s="122"/>
      <c r="L31" s="1"/>
      <c r="M31" s="1"/>
      <c r="N31" s="1"/>
      <c r="O31" s="1"/>
    </row>
    <row r="32" spans="1:15" ht="18" customHeight="1">
      <c r="A32" s="105" t="s">
        <v>34</v>
      </c>
      <c r="B32" s="106"/>
      <c r="C32" s="131">
        <f>SUM(B29:C29)</f>
        <v>20364538.796610169</v>
      </c>
      <c r="D32" s="125"/>
      <c r="E32" s="121"/>
      <c r="F32" s="130"/>
      <c r="G32" s="130"/>
      <c r="H32" s="130"/>
      <c r="I32" s="122"/>
      <c r="J32" s="121"/>
      <c r="K32" s="122"/>
      <c r="L32" s="1"/>
      <c r="M32" s="1"/>
      <c r="N32" s="1"/>
      <c r="O32" s="1"/>
    </row>
    <row r="33" spans="1:15" ht="18" customHeight="1">
      <c r="A33" s="105" t="s">
        <v>35</v>
      </c>
      <c r="B33" s="106"/>
      <c r="C33" s="109">
        <f>SUM(F29,G29)</f>
        <v>20364538.796610169</v>
      </c>
      <c r="D33" s="128"/>
      <c r="E33" s="121"/>
      <c r="F33" s="130"/>
      <c r="G33" s="130"/>
      <c r="H33" s="130"/>
      <c r="I33" s="122"/>
      <c r="J33" s="121"/>
      <c r="K33" s="122"/>
      <c r="L33" s="1"/>
      <c r="M33" s="1"/>
      <c r="N33" s="1"/>
      <c r="O33" s="1"/>
    </row>
    <row r="34" spans="1:15" ht="18" customHeight="1">
      <c r="A34" s="105" t="s">
        <v>36</v>
      </c>
      <c r="B34" s="106"/>
      <c r="C34" s="109">
        <f>SUM(H29,J29,I29)</f>
        <v>0</v>
      </c>
      <c r="D34" s="106"/>
      <c r="E34" s="121"/>
      <c r="F34" s="130"/>
      <c r="G34" s="130"/>
      <c r="H34" s="130"/>
      <c r="I34" s="122"/>
      <c r="J34" s="121"/>
      <c r="K34" s="122"/>
      <c r="L34" s="1"/>
      <c r="M34" s="1"/>
      <c r="N34" s="1"/>
      <c r="O34" s="1"/>
    </row>
    <row r="35" spans="1:15" ht="18" customHeight="1">
      <c r="A35" s="105" t="s">
        <v>37</v>
      </c>
      <c r="B35" s="106"/>
      <c r="C35" s="109">
        <f>SUM(D29:E29)</f>
        <v>0</v>
      </c>
      <c r="D35" s="106"/>
      <c r="E35" s="123"/>
      <c r="F35" s="126"/>
      <c r="G35" s="126"/>
      <c r="H35" s="126"/>
      <c r="I35" s="108"/>
      <c r="J35" s="121"/>
      <c r="K35" s="122"/>
      <c r="L35" s="1"/>
      <c r="M35" s="1"/>
      <c r="N35" s="1"/>
      <c r="O35" s="1"/>
    </row>
    <row r="36" spans="1:15" ht="18" customHeight="1">
      <c r="A36" s="105" t="s">
        <v>38</v>
      </c>
      <c r="B36" s="106"/>
      <c r="C36" s="109">
        <f>SUM(C33,C35)</f>
        <v>20364538.796610169</v>
      </c>
      <c r="D36" s="106"/>
      <c r="E36" s="124" t="s">
        <v>39</v>
      </c>
      <c r="F36" s="125"/>
      <c r="G36" s="125"/>
      <c r="H36" s="125"/>
      <c r="I36" s="120"/>
      <c r="J36" s="121"/>
      <c r="K36" s="122"/>
      <c r="L36" s="1"/>
      <c r="M36" s="1"/>
      <c r="N36" s="1"/>
      <c r="O36" s="1"/>
    </row>
    <row r="37" spans="1:15" ht="18" customHeight="1">
      <c r="A37" s="107" t="s">
        <v>40</v>
      </c>
      <c r="B37" s="108"/>
      <c r="C37" s="109">
        <f>SUM(C34:C35)</f>
        <v>0</v>
      </c>
      <c r="D37" s="106"/>
      <c r="E37" s="123"/>
      <c r="F37" s="126"/>
      <c r="G37" s="126"/>
      <c r="H37" s="126"/>
      <c r="I37" s="108"/>
      <c r="J37" s="121"/>
      <c r="K37" s="122"/>
      <c r="L37" s="1"/>
      <c r="M37" s="1"/>
      <c r="N37" s="1"/>
      <c r="O37" s="1"/>
    </row>
    <row r="38" spans="1:15" ht="18" customHeight="1">
      <c r="A38" s="127" t="s">
        <v>41</v>
      </c>
      <c r="B38" s="128"/>
      <c r="C38" s="128"/>
      <c r="D38" s="128"/>
      <c r="E38" s="128"/>
      <c r="F38" s="128"/>
      <c r="G38" s="128"/>
      <c r="H38" s="128"/>
      <c r="I38" s="106"/>
      <c r="J38" s="123"/>
      <c r="K38" s="108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2578125" defaultRowHeight="15" customHeight="1"/>
  <cols>
    <col min="1" max="1" width="18.85546875" customWidth="1"/>
    <col min="2" max="2" width="15.5703125" customWidth="1"/>
    <col min="3" max="3" width="25" customWidth="1"/>
    <col min="4" max="4" width="15.42578125" customWidth="1"/>
    <col min="5" max="6" width="25.42578125" customWidth="1"/>
    <col min="7" max="7" width="16.5703125" customWidth="1"/>
    <col min="8" max="8" width="34.140625" customWidth="1"/>
    <col min="9" max="11" width="8.7109375" customWidth="1"/>
  </cols>
  <sheetData>
    <row r="1" spans="1:11" ht="14.25" customHeight="1">
      <c r="A1" s="166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67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f>SUM(C39:C44)</f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22.5" customHeight="1">
      <c r="A48" s="98"/>
      <c r="B48" s="163" t="s">
        <v>77</v>
      </c>
      <c r="C48" s="164"/>
      <c r="D48" s="165"/>
      <c r="E48" s="163" t="s">
        <v>78</v>
      </c>
      <c r="F48" s="164"/>
      <c r="G48" s="164"/>
      <c r="H48" s="165"/>
      <c r="I48" s="37"/>
      <c r="J48" s="37"/>
      <c r="K48" s="37"/>
    </row>
    <row r="49" spans="1:11" ht="21.7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22.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24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21.7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21.7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21.7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21.7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21.7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21.7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24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24.7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68" t="s">
        <v>82</v>
      </c>
      <c r="C62" s="128"/>
      <c r="D62" s="106"/>
      <c r="E62" s="16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2578125" defaultRowHeight="15" customHeight="1"/>
  <cols>
    <col min="1" max="1" width="27.28515625" customWidth="1"/>
    <col min="2" max="2" width="19.42578125" customWidth="1"/>
    <col min="3" max="3" width="13.5703125" customWidth="1"/>
    <col min="4" max="4" width="11.7109375" customWidth="1"/>
    <col min="5" max="5" width="21" customWidth="1"/>
    <col min="6" max="6" width="21.7109375" customWidth="1"/>
    <col min="7" max="7" width="20.57031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>
        <v>7670</v>
      </c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f>SUM(C31:C36)</f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topLeftCell="A4" workbookViewId="0">
      <selection activeCell="D21" sqref="D21"/>
    </sheetView>
  </sheetViews>
  <sheetFormatPr defaultColWidth="14.42578125" defaultRowHeight="15" customHeight="1"/>
  <cols>
    <col min="1" max="1" width="21.140625" customWidth="1"/>
    <col min="2" max="2" width="17.42578125" customWidth="1"/>
    <col min="3" max="3" width="20.28515625" customWidth="1"/>
    <col min="4" max="4" width="14.85546875" customWidth="1"/>
    <col min="5" max="5" width="28.42578125" customWidth="1"/>
    <col min="6" max="6" width="22.140625" customWidth="1"/>
    <col min="7" max="7" width="16.5703125" customWidth="1"/>
    <col min="8" max="8" width="26.5703125" customWidth="1"/>
    <col min="9" max="11" width="8.7109375" customWidth="1"/>
  </cols>
  <sheetData>
    <row r="1" spans="1:11" ht="14.25" customHeight="1">
      <c r="A1" s="157" t="s">
        <v>83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51" t="s">
        <v>84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915</v>
      </c>
      <c r="C8" s="145">
        <v>7670</v>
      </c>
      <c r="D8" s="140"/>
      <c r="E8" s="48">
        <f t="shared" si="0"/>
        <v>7018050</v>
      </c>
      <c r="F8" s="48">
        <f t="shared" si="1"/>
        <v>1070550</v>
      </c>
      <c r="G8" s="48">
        <f t="shared" si="2"/>
        <v>45750</v>
      </c>
      <c r="H8" s="49">
        <f t="shared" si="3"/>
        <v>1116300</v>
      </c>
    </row>
    <row r="9" spans="1:11" ht="14.25" customHeight="1">
      <c r="A9" s="46" t="s">
        <v>53</v>
      </c>
      <c r="B9" s="47">
        <v>2214</v>
      </c>
      <c r="C9" s="145">
        <v>4000</v>
      </c>
      <c r="D9" s="140"/>
      <c r="E9" s="48">
        <f t="shared" si="0"/>
        <v>8856000</v>
      </c>
      <c r="F9" s="48">
        <f t="shared" si="1"/>
        <v>1350915.2542372881</v>
      </c>
      <c r="G9" s="48">
        <f t="shared" ref="G9:G12" si="4">PRODUCT(B9*30)</f>
        <v>66420</v>
      </c>
      <c r="H9" s="49">
        <f t="shared" si="3"/>
        <v>1417335.2542372881</v>
      </c>
    </row>
    <row r="10" spans="1:11" ht="14.25" customHeight="1">
      <c r="A10" s="46" t="s">
        <v>54</v>
      </c>
      <c r="B10" s="47">
        <v>44729</v>
      </c>
      <c r="C10" s="145">
        <v>2124</v>
      </c>
      <c r="D10" s="140"/>
      <c r="E10" s="48">
        <f t="shared" si="0"/>
        <v>95004396</v>
      </c>
      <c r="F10" s="48">
        <f t="shared" si="1"/>
        <v>14492196</v>
      </c>
      <c r="G10" s="48">
        <f t="shared" si="4"/>
        <v>1341870</v>
      </c>
      <c r="H10" s="49">
        <f t="shared" si="3"/>
        <v>15834066</v>
      </c>
    </row>
    <row r="11" spans="1:11" ht="14.25" customHeight="1">
      <c r="A11" s="46" t="s">
        <v>55</v>
      </c>
      <c r="B11" s="47">
        <v>560</v>
      </c>
      <c r="C11" s="145">
        <v>3900</v>
      </c>
      <c r="D11" s="140"/>
      <c r="E11" s="48">
        <f t="shared" si="0"/>
        <v>2184000</v>
      </c>
      <c r="F11" s="48">
        <f t="shared" si="1"/>
        <v>333152.54237288138</v>
      </c>
      <c r="G11" s="48">
        <f t="shared" si="4"/>
        <v>16800</v>
      </c>
      <c r="H11" s="49">
        <f t="shared" si="3"/>
        <v>349952.54237288138</v>
      </c>
    </row>
    <row r="12" spans="1:11" ht="14.25" customHeight="1">
      <c r="A12" s="46" t="s">
        <v>55</v>
      </c>
      <c r="B12" s="47"/>
      <c r="C12" s="145">
        <v>2006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7255</v>
      </c>
      <c r="C13" s="145">
        <v>1357</v>
      </c>
      <c r="D13" s="140"/>
      <c r="E13" s="48">
        <f t="shared" si="0"/>
        <v>9845035</v>
      </c>
      <c r="F13" s="48">
        <f t="shared" si="1"/>
        <v>1501785</v>
      </c>
      <c r="G13" s="48">
        <f t="shared" ref="G13:G14" si="5">PRODUCT(B13*20)</f>
        <v>145100</v>
      </c>
      <c r="H13" s="49">
        <f t="shared" si="3"/>
        <v>1646885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122907481</v>
      </c>
      <c r="F37" s="74">
        <f t="shared" si="6"/>
        <v>18748598.796610169</v>
      </c>
      <c r="G37" s="75">
        <f t="shared" si="6"/>
        <v>1615940</v>
      </c>
      <c r="H37" s="76">
        <f t="shared" si="6"/>
        <v>20364538.796610169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/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103"/>
      <c r="B49" s="136" t="s">
        <v>79</v>
      </c>
      <c r="C49" s="128"/>
      <c r="D49" s="106"/>
      <c r="E49" s="137">
        <f>SUM(B9:B12)</f>
        <v>47503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915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59">
        <f>SUM(B13:B14)</f>
        <v>7255</v>
      </c>
      <c r="F51" s="130"/>
      <c r="G51" s="130"/>
      <c r="H51" s="122"/>
    </row>
    <row r="52" spans="1:8" ht="14.25" customHeight="1">
      <c r="A52" s="98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103"/>
      <c r="B53" s="158" t="s">
        <v>62</v>
      </c>
      <c r="C53" s="128"/>
      <c r="D53" s="106"/>
      <c r="E53" s="109"/>
      <c r="F53" s="128"/>
      <c r="G53" s="128"/>
      <c r="H53" s="106"/>
    </row>
    <row r="54" spans="1:8" ht="14.25" customHeight="1">
      <c r="A54" s="98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103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98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104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98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103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102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102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34.5" customHeight="1">
      <c r="A62" s="102"/>
      <c r="B62" s="158" t="s">
        <v>82</v>
      </c>
      <c r="C62" s="128"/>
      <c r="D62" s="106"/>
      <c r="E62" s="170">
        <f>SUM(E49:H61)</f>
        <v>55673</v>
      </c>
      <c r="F62" s="128"/>
      <c r="G62" s="128"/>
      <c r="H62" s="106"/>
    </row>
    <row r="63" spans="1:8" ht="24.6" customHeight="1">
      <c r="A63" s="102"/>
      <c r="B63" s="158"/>
      <c r="C63" s="128"/>
      <c r="D63" s="106"/>
      <c r="E63" s="161"/>
      <c r="F63" s="128"/>
      <c r="G63" s="128"/>
      <c r="H63" s="106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9.42578125" customWidth="1"/>
    <col min="3" max="3" width="14.85546875" customWidth="1"/>
    <col min="4" max="4" width="9.7109375" customWidth="1"/>
    <col min="5" max="5" width="22.140625" customWidth="1"/>
    <col min="6" max="6" width="23.5703125" customWidth="1"/>
    <col min="7" max="7" width="17.2851562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>
        <v>1357</v>
      </c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5703125" customWidth="1"/>
    <col min="2" max="2" width="26.42578125" customWidth="1"/>
    <col min="3" max="3" width="18.85546875" customWidth="1"/>
    <col min="4" max="4" width="12.85546875" customWidth="1"/>
    <col min="5" max="5" width="20.42578125" customWidth="1"/>
    <col min="6" max="6" width="21.5703125" customWidth="1"/>
    <col min="7" max="7" width="14.42578125" customWidth="1"/>
    <col min="8" max="8" width="24.285156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" customWidth="1"/>
    <col min="2" max="2" width="15.85546875" customWidth="1"/>
    <col min="3" max="3" width="18.5703125" customWidth="1"/>
    <col min="4" max="4" width="11.7109375" customWidth="1"/>
    <col min="5" max="5" width="24.140625" customWidth="1"/>
    <col min="6" max="6" width="18.42578125" customWidth="1"/>
    <col min="7" max="7" width="15.85546875" customWidth="1"/>
    <col min="8" max="8" width="15.710937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>
        <v>2124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>
        <v>1357</v>
      </c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6"/>
      <c r="F39" s="177"/>
      <c r="G39" s="83"/>
      <c r="H39" s="84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38" t="s">
        <v>72</v>
      </c>
      <c r="B42" s="106"/>
      <c r="C42" s="90"/>
      <c r="D42" s="74"/>
      <c r="E42" s="174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73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73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75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37">
        <f>SUM(B13:B14)</f>
        <v>0</v>
      </c>
      <c r="F51" s="128"/>
      <c r="G51" s="128"/>
      <c r="H51" s="106"/>
    </row>
    <row r="52" spans="1:8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8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</row>
    <row r="40" spans="1:8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8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8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8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8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8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8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8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8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</row>
    <row r="52" spans="1:8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9.85546875" customWidth="1"/>
    <col min="2" max="2" width="14.42578125" customWidth="1"/>
    <col min="3" max="3" width="20" customWidth="1"/>
    <col min="4" max="4" width="14.140625" customWidth="1"/>
    <col min="5" max="5" width="20.140625" customWidth="1"/>
    <col min="6" max="6" width="15.28515625" customWidth="1"/>
    <col min="7" max="7" width="16.140625" customWidth="1"/>
    <col min="8" max="8" width="19.8554687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SUM(B11:B14)</f>
        <v>0</v>
      </c>
      <c r="F49" s="128"/>
      <c r="G49" s="128"/>
      <c r="H49" s="106"/>
    </row>
    <row r="50" spans="1:8" ht="14.25" customHeight="1">
      <c r="A50" s="37"/>
      <c r="B50" s="136" t="s">
        <v>52</v>
      </c>
      <c r="C50" s="128"/>
      <c r="D50" s="106"/>
      <c r="E50" s="137">
        <f>SUM(B8:B10)</f>
        <v>0</v>
      </c>
      <c r="F50" s="128"/>
      <c r="G50" s="128"/>
      <c r="H50" s="106"/>
    </row>
    <row r="51" spans="1:8" ht="14.25" customHeight="1">
      <c r="A51" s="37"/>
      <c r="B51" s="136" t="s">
        <v>80</v>
      </c>
      <c r="C51" s="128"/>
      <c r="D51" s="106"/>
      <c r="E51" s="137">
        <f>SUM(B15:B16)</f>
        <v>0</v>
      </c>
      <c r="F51" s="128"/>
      <c r="G51" s="128"/>
      <c r="H51" s="106"/>
    </row>
    <row r="52" spans="1:8" ht="14.25" customHeight="1">
      <c r="A52" s="37"/>
      <c r="B52" s="158" t="s">
        <v>61</v>
      </c>
      <c r="C52" s="128"/>
      <c r="D52" s="106"/>
      <c r="E52" s="109">
        <f>SUM(B19:B20)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9">
        <f>SUM(B29:B30)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9">
        <f t="shared" ref="E54:E60" si="7">B31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9">
        <f>B45</f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5703125" customWidth="1"/>
    <col min="2" max="2" width="19.28515625" customWidth="1"/>
    <col min="3" max="3" width="21" customWidth="1"/>
    <col min="4" max="4" width="15" customWidth="1"/>
    <col min="5" max="5" width="19.140625" customWidth="1"/>
    <col min="6" max="6" width="15.85546875" customWidth="1"/>
    <col min="7" max="7" width="17.425781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8.7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8.7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.5703125" customWidth="1"/>
    <col min="2" max="2" width="15.85546875" customWidth="1"/>
    <col min="3" max="3" width="21.140625" customWidth="1"/>
    <col min="4" max="4" width="18.140625" customWidth="1"/>
    <col min="5" max="5" width="21.140625" customWidth="1"/>
    <col min="6" max="6" width="18.5703125" customWidth="1"/>
    <col min="7" max="7" width="20.140625" customWidth="1"/>
    <col min="8" max="8" width="17.42578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</row>
    <row r="52" spans="1:8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14.42578125" customWidth="1"/>
    <col min="3" max="3" width="24" customWidth="1"/>
    <col min="4" max="4" width="18.140625" customWidth="1"/>
    <col min="5" max="5" width="20.5703125" customWidth="1"/>
    <col min="6" max="6" width="22.85546875" customWidth="1"/>
    <col min="7" max="7" width="21.1406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2" width="8.7109375" customWidth="1"/>
    <col min="3" max="3" width="53" customWidth="1"/>
    <col min="4" max="6" width="8.7109375" customWidth="1"/>
    <col min="7" max="7" width="47.5703125" customWidth="1"/>
    <col min="8" max="11" width="8.7109375" customWidth="1"/>
  </cols>
  <sheetData>
    <row r="1" spans="1:7" ht="14.25" customHeight="1">
      <c r="A1" s="135" t="s">
        <v>76</v>
      </c>
      <c r="B1" s="125"/>
      <c r="C1" s="125"/>
      <c r="D1" s="125"/>
      <c r="E1" s="125"/>
      <c r="F1" s="125"/>
      <c r="G1" s="120"/>
    </row>
    <row r="2" spans="1:7" ht="14.25" customHeight="1">
      <c r="A2" s="123"/>
      <c r="B2" s="126"/>
      <c r="C2" s="126"/>
      <c r="D2" s="126"/>
      <c r="E2" s="126"/>
      <c r="F2" s="126"/>
      <c r="G2" s="108"/>
    </row>
    <row r="3" spans="1:7" ht="14.25" customHeight="1">
      <c r="A3" s="180" t="s">
        <v>77</v>
      </c>
      <c r="B3" s="128"/>
      <c r="C3" s="106"/>
      <c r="D3" s="180" t="s">
        <v>78</v>
      </c>
      <c r="E3" s="128"/>
      <c r="F3" s="128"/>
      <c r="G3" s="106"/>
    </row>
    <row r="4" spans="1:7" ht="41.25" customHeight="1">
      <c r="A4" s="178" t="s">
        <v>79</v>
      </c>
      <c r="B4" s="128"/>
      <c r="C4" s="106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47503</v>
      </c>
      <c r="E4" s="128"/>
      <c r="F4" s="128"/>
      <c r="G4" s="106"/>
    </row>
    <row r="5" spans="1:7" ht="36.75" customHeight="1">
      <c r="A5" s="178" t="s">
        <v>52</v>
      </c>
      <c r="B5" s="128"/>
      <c r="C5" s="106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915</v>
      </c>
      <c r="E5" s="128"/>
      <c r="F5" s="128"/>
      <c r="G5" s="106"/>
    </row>
    <row r="6" spans="1:7" ht="39.75" customHeight="1">
      <c r="A6" s="178" t="s">
        <v>56</v>
      </c>
      <c r="B6" s="128"/>
      <c r="C6" s="106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7255</v>
      </c>
      <c r="E6" s="128"/>
      <c r="F6" s="128"/>
      <c r="G6" s="106"/>
    </row>
    <row r="7" spans="1:7" ht="38.25" customHeight="1">
      <c r="A7" s="181" t="s">
        <v>61</v>
      </c>
      <c r="B7" s="128"/>
      <c r="C7" s="106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8"/>
      <c r="F7" s="128"/>
      <c r="G7" s="106"/>
    </row>
    <row r="8" spans="1:7" ht="39.75" customHeight="1">
      <c r="A8" s="181" t="s">
        <v>62</v>
      </c>
      <c r="B8" s="128"/>
      <c r="C8" s="106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8"/>
      <c r="F8" s="128"/>
      <c r="G8" s="106"/>
    </row>
    <row r="9" spans="1:7" ht="38.25" customHeight="1">
      <c r="A9" s="181" t="s">
        <v>81</v>
      </c>
      <c r="B9" s="128"/>
      <c r="C9" s="106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8"/>
      <c r="F9" s="128"/>
      <c r="G9" s="106"/>
    </row>
    <row r="10" spans="1:7" ht="37.5" customHeight="1">
      <c r="A10" s="181" t="s">
        <v>81</v>
      </c>
      <c r="B10" s="128"/>
      <c r="C10" s="106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8"/>
      <c r="F10" s="128"/>
      <c r="G10" s="106"/>
    </row>
    <row r="11" spans="1:7" ht="38.25" customHeight="1">
      <c r="A11" s="181" t="s">
        <v>81</v>
      </c>
      <c r="B11" s="128"/>
      <c r="C11" s="106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8"/>
      <c r="F11" s="128"/>
      <c r="G11" s="106"/>
    </row>
    <row r="12" spans="1:7" ht="36" customHeight="1">
      <c r="A12" s="181" t="s">
        <v>81</v>
      </c>
      <c r="B12" s="128"/>
      <c r="C12" s="106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8"/>
      <c r="F12" s="128"/>
      <c r="G12" s="106"/>
    </row>
    <row r="13" spans="1:7" ht="37.5" customHeight="1">
      <c r="A13" s="181" t="s">
        <v>81</v>
      </c>
      <c r="B13" s="128"/>
      <c r="C13" s="106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8"/>
      <c r="F13" s="128"/>
      <c r="G13" s="106"/>
    </row>
    <row r="14" spans="1:7" ht="14.25" customHeight="1">
      <c r="A14" s="181" t="s">
        <v>81</v>
      </c>
      <c r="B14" s="128"/>
      <c r="C14" s="106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8"/>
      <c r="F14" s="128"/>
      <c r="G14" s="106"/>
    </row>
    <row r="15" spans="1:7" ht="14.25" customHeight="1">
      <c r="A15" s="181" t="s">
        <v>81</v>
      </c>
      <c r="B15" s="128"/>
      <c r="C15" s="106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8"/>
      <c r="F15" s="128"/>
      <c r="G15" s="106"/>
    </row>
    <row r="16" spans="1:7" ht="14.25" customHeight="1">
      <c r="A16" s="181" t="s">
        <v>81</v>
      </c>
      <c r="B16" s="128"/>
      <c r="C16" s="106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8"/>
      <c r="F16" s="128"/>
      <c r="G16" s="106"/>
    </row>
    <row r="17" spans="1:7" ht="14.25" customHeight="1">
      <c r="A17" s="181" t="s">
        <v>82</v>
      </c>
      <c r="B17" s="128"/>
      <c r="C17" s="106"/>
      <c r="D17" s="182">
        <f>SUM(D4:D16)</f>
        <v>55673</v>
      </c>
      <c r="E17" s="128"/>
      <c r="F17" s="128"/>
      <c r="G17" s="106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2026-09-07T10:53:51Z</dcterms:modified>
</cp:coreProperties>
</file>