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9200" windowHeight="6640" tabRatio="965" firstSheet="2" activeTab="13"/>
  </bookViews>
  <sheets>
    <sheet name="FINACHIAL REPORT" sheetId="1" r:id="rId1"/>
    <sheet name="GASHYUSHYA" sheetId="24" r:id="rId2"/>
    <sheet name="NGOMA" sheetId="28" r:id="rId3"/>
    <sheet name="GISAGARA" sheetId="27" r:id="rId4"/>
    <sheet name="NYAMAGABE" sheetId="26" r:id="rId5"/>
    <sheet name="NGORORERO" sheetId="25" r:id="rId6"/>
    <sheet name="GISOZI" sheetId="2" r:id="rId7"/>
    <sheet name="BISHENYI" sheetId="5" r:id="rId8"/>
    <sheet name="RWAMAGANA" sheetId="6" state="hidden" r:id="rId9"/>
    <sheet name="KIMIRONKO" sheetId="3" r:id="rId10"/>
    <sheet name="GAHANGA" sheetId="4" r:id="rId11"/>
    <sheet name="BUGESERA" sheetId="7" r:id="rId12"/>
    <sheet name="NYARUGENGE" sheetId="19" r:id="rId13"/>
    <sheet name="MUHANGA" sheetId="8" r:id="rId14"/>
    <sheet name="HUYE" sheetId="9" r:id="rId15"/>
    <sheet name="NYAMASHEKE" sheetId="11" r:id="rId16"/>
    <sheet name="KAYONZA" sheetId="15" r:id="rId17"/>
    <sheet name="RUHANGO" sheetId="22" r:id="rId18"/>
    <sheet name="KARONGI" sheetId="12" r:id="rId19"/>
    <sheet name="RUSIZI" sheetId="10" r:id="rId20"/>
    <sheet name="RUBAVU" sheetId="13" r:id="rId21"/>
    <sheet name="MUSANZE" sheetId="14" r:id="rId22"/>
    <sheet name="NYAGATARE" sheetId="16" r:id="rId23"/>
    <sheet name="KIREHE" sheetId="17" r:id="rId24"/>
    <sheet name="NYANZA" sheetId="18" r:id="rId25"/>
    <sheet name="GATSIBO" sheetId="23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1" i="28" l="1"/>
  <c r="E60" i="28"/>
  <c r="E59" i="28"/>
  <c r="E58" i="28"/>
  <c r="E57" i="28"/>
  <c r="E56" i="28"/>
  <c r="E55" i="28"/>
  <c r="E54" i="28"/>
  <c r="E53" i="28"/>
  <c r="E52" i="28"/>
  <c r="E51" i="28"/>
  <c r="E50" i="28"/>
  <c r="E49" i="28"/>
  <c r="E62" i="28" s="1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H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H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H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H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G37" i="28" s="1"/>
  <c r="E6" i="28"/>
  <c r="E37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E62" i="27" s="1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H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H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H20" i="27" s="1"/>
  <c r="G19" i="27"/>
  <c r="E19" i="27"/>
  <c r="F19" i="27" s="1"/>
  <c r="H19" i="27" s="1"/>
  <c r="G18" i="27"/>
  <c r="E18" i="27"/>
  <c r="F18" i="27" s="1"/>
  <c r="H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H12" i="27" s="1"/>
  <c r="G11" i="27"/>
  <c r="E11" i="27"/>
  <c r="F11" i="27" s="1"/>
  <c r="H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G37" i="27" s="1"/>
  <c r="E6" i="27"/>
  <c r="E37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E62" i="26" s="1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H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H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H20" i="26" s="1"/>
  <c r="G19" i="26"/>
  <c r="E19" i="26"/>
  <c r="F19" i="26" s="1"/>
  <c r="H19" i="26" s="1"/>
  <c r="G18" i="26"/>
  <c r="E18" i="26"/>
  <c r="F18" i="26" s="1"/>
  <c r="H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H12" i="26" s="1"/>
  <c r="G11" i="26"/>
  <c r="E11" i="26"/>
  <c r="F11" i="26" s="1"/>
  <c r="H11" i="26" s="1"/>
  <c r="G10" i="26"/>
  <c r="E10" i="26"/>
  <c r="F10" i="26" s="1"/>
  <c r="H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G37" i="26" s="1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H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H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H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H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E37" i="25" s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F14" i="24"/>
  <c r="E14" i="24"/>
  <c r="G13" i="24"/>
  <c r="E13" i="24"/>
  <c r="F13" i="24" s="1"/>
  <c r="H13" i="24" s="1"/>
  <c r="G12" i="24"/>
  <c r="F12" i="24"/>
  <c r="H12" i="24" s="1"/>
  <c r="E12" i="24"/>
  <c r="G11" i="24"/>
  <c r="E11" i="24"/>
  <c r="F11" i="24" s="1"/>
  <c r="H11" i="24" s="1"/>
  <c r="G10" i="24"/>
  <c r="E10" i="24"/>
  <c r="F10" i="24" s="1"/>
  <c r="H10" i="24" s="1"/>
  <c r="G9" i="24"/>
  <c r="F9" i="24"/>
  <c r="H9" i="24" s="1"/>
  <c r="E9" i="24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G33" i="23"/>
  <c r="E33" i="23"/>
  <c r="F33" i="23" s="1"/>
  <c r="H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G29" i="23"/>
  <c r="E29" i="23"/>
  <c r="F29" i="23" s="1"/>
  <c r="H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G7" i="23"/>
  <c r="E7" i="23"/>
  <c r="F7" i="23" s="1"/>
  <c r="H7" i="23" s="1"/>
  <c r="G6" i="23"/>
  <c r="E6" i="23"/>
  <c r="F6" i="23" s="1"/>
  <c r="E61" i="18"/>
  <c r="E60" i="18"/>
  <c r="D15" i="21" s="1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G33" i="18"/>
  <c r="E33" i="18"/>
  <c r="F33" i="18" s="1"/>
  <c r="H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G11" i="18"/>
  <c r="E11" i="18"/>
  <c r="F11" i="18" s="1"/>
  <c r="H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G33" i="17"/>
  <c r="E33" i="17"/>
  <c r="F33" i="17" s="1"/>
  <c r="H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G25" i="17"/>
  <c r="E25" i="17"/>
  <c r="F25" i="17" s="1"/>
  <c r="H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H21" i="17" s="1"/>
  <c r="G20" i="17"/>
  <c r="E20" i="17"/>
  <c r="F20" i="17" s="1"/>
  <c r="H20" i="17" s="1"/>
  <c r="G19" i="17"/>
  <c r="E19" i="17"/>
  <c r="F19" i="17" s="1"/>
  <c r="H19" i="17" s="1"/>
  <c r="G18" i="17"/>
  <c r="E18" i="17"/>
  <c r="F18" i="17" s="1"/>
  <c r="G17" i="17"/>
  <c r="E17" i="17"/>
  <c r="F17" i="17" s="1"/>
  <c r="H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H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H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E36" i="15"/>
  <c r="F36" i="15" s="1"/>
  <c r="H36" i="15" s="1"/>
  <c r="G35" i="15"/>
  <c r="E35" i="15"/>
  <c r="F35" i="15" s="1"/>
  <c r="H35" i="15" s="1"/>
  <c r="G34" i="15"/>
  <c r="E34" i="15"/>
  <c r="F34" i="15" s="1"/>
  <c r="G33" i="15"/>
  <c r="E33" i="15"/>
  <c r="F33" i="15" s="1"/>
  <c r="G32" i="15"/>
  <c r="E32" i="15"/>
  <c r="F32" i="15" s="1"/>
  <c r="H32" i="15" s="1"/>
  <c r="G31" i="15"/>
  <c r="E31" i="15"/>
  <c r="F31" i="15" s="1"/>
  <c r="H31" i="15" s="1"/>
  <c r="G30" i="15"/>
  <c r="E30" i="15"/>
  <c r="F30" i="15" s="1"/>
  <c r="G29" i="15"/>
  <c r="E29" i="15"/>
  <c r="F29" i="15" s="1"/>
  <c r="H29" i="15" s="1"/>
  <c r="G28" i="15"/>
  <c r="E28" i="15"/>
  <c r="F28" i="15" s="1"/>
  <c r="H28" i="15" s="1"/>
  <c r="G27" i="15"/>
  <c r="E27" i="15"/>
  <c r="F27" i="15" s="1"/>
  <c r="H27" i="15" s="1"/>
  <c r="G26" i="15"/>
  <c r="E26" i="15"/>
  <c r="F26" i="15" s="1"/>
  <c r="G25" i="15"/>
  <c r="E25" i="15"/>
  <c r="F25" i="15" s="1"/>
  <c r="H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E20" i="15"/>
  <c r="F20" i="15" s="1"/>
  <c r="H20" i="15" s="1"/>
  <c r="G19" i="15"/>
  <c r="E19" i="15"/>
  <c r="F19" i="15" s="1"/>
  <c r="G18" i="15"/>
  <c r="E18" i="15"/>
  <c r="F18" i="15" s="1"/>
  <c r="H18" i="15" s="1"/>
  <c r="G17" i="15"/>
  <c r="E17" i="15"/>
  <c r="F17" i="15" s="1"/>
  <c r="H17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H7" i="15" s="1"/>
  <c r="G6" i="15"/>
  <c r="E6" i="15"/>
  <c r="F6" i="15" s="1"/>
  <c r="E61" i="11"/>
  <c r="E60" i="11"/>
  <c r="E59" i="11"/>
  <c r="E58" i="11"/>
  <c r="E57" i="11"/>
  <c r="E56" i="11"/>
  <c r="E55" i="11"/>
  <c r="D10" i="21" s="1"/>
  <c r="E54" i="11"/>
  <c r="D9" i="21" s="1"/>
  <c r="E53" i="11"/>
  <c r="E52" i="11"/>
  <c r="E51" i="11"/>
  <c r="E50" i="11"/>
  <c r="E49" i="11"/>
  <c r="C45" i="11"/>
  <c r="G36" i="11"/>
  <c r="E36" i="11"/>
  <c r="F36" i="11" s="1"/>
  <c r="H36" i="11" s="1"/>
  <c r="G35" i="11"/>
  <c r="E35" i="11"/>
  <c r="F35" i="11" s="1"/>
  <c r="G34" i="11"/>
  <c r="E34" i="11"/>
  <c r="F34" i="11" s="1"/>
  <c r="H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H30" i="11" s="1"/>
  <c r="G29" i="11"/>
  <c r="E29" i="11"/>
  <c r="F29" i="11" s="1"/>
  <c r="G28" i="11"/>
  <c r="E28" i="11"/>
  <c r="F28" i="11" s="1"/>
  <c r="H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H24" i="11" s="1"/>
  <c r="G23" i="11"/>
  <c r="E23" i="11"/>
  <c r="F23" i="11" s="1"/>
  <c r="G22" i="11"/>
  <c r="E22" i="11"/>
  <c r="F22" i="11" s="1"/>
  <c r="H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H18" i="11" s="1"/>
  <c r="G17" i="11"/>
  <c r="E17" i="11"/>
  <c r="F17" i="11" s="1"/>
  <c r="G14" i="11"/>
  <c r="E14" i="11"/>
  <c r="F14" i="11" s="1"/>
  <c r="H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H36" i="10" s="1"/>
  <c r="G35" i="10"/>
  <c r="E35" i="10"/>
  <c r="F35" i="10" s="1"/>
  <c r="G34" i="10"/>
  <c r="E34" i="10"/>
  <c r="F34" i="10" s="1"/>
  <c r="H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G30" i="10"/>
  <c r="E30" i="10"/>
  <c r="F30" i="10" s="1"/>
  <c r="H30" i="10" s="1"/>
  <c r="G29" i="10"/>
  <c r="E29" i="10"/>
  <c r="F29" i="10" s="1"/>
  <c r="H29" i="10" s="1"/>
  <c r="G28" i="10"/>
  <c r="E28" i="10"/>
  <c r="F28" i="10" s="1"/>
  <c r="H28" i="10" s="1"/>
  <c r="G27" i="10"/>
  <c r="E27" i="10"/>
  <c r="F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G8" i="10"/>
  <c r="E8" i="10"/>
  <c r="F8" i="10" s="1"/>
  <c r="H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H36" i="9" s="1"/>
  <c r="G35" i="9"/>
  <c r="E35" i="9"/>
  <c r="F35" i="9" s="1"/>
  <c r="G34" i="9"/>
  <c r="E34" i="9"/>
  <c r="F34" i="9" s="1"/>
  <c r="H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G30" i="9"/>
  <c r="E30" i="9"/>
  <c r="F30" i="9" s="1"/>
  <c r="H30" i="9" s="1"/>
  <c r="G29" i="9"/>
  <c r="E29" i="9"/>
  <c r="F29" i="9" s="1"/>
  <c r="H29" i="9" s="1"/>
  <c r="G28" i="9"/>
  <c r="E28" i="9"/>
  <c r="F28" i="9" s="1"/>
  <c r="H28" i="9" s="1"/>
  <c r="G27" i="9"/>
  <c r="E27" i="9"/>
  <c r="F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H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H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E36" i="8"/>
  <c r="F36" i="8" s="1"/>
  <c r="H36" i="8" s="1"/>
  <c r="G35" i="8"/>
  <c r="E35" i="8"/>
  <c r="F35" i="8" s="1"/>
  <c r="H35" i="8" s="1"/>
  <c r="G34" i="8"/>
  <c r="E34" i="8"/>
  <c r="F34" i="8" s="1"/>
  <c r="H34" i="8" s="1"/>
  <c r="G33" i="8"/>
  <c r="F33" i="8"/>
  <c r="H33" i="8" s="1"/>
  <c r="E33" i="8"/>
  <c r="G32" i="8"/>
  <c r="E32" i="8"/>
  <c r="F32" i="8" s="1"/>
  <c r="H32" i="8" s="1"/>
  <c r="G31" i="8"/>
  <c r="E31" i="8"/>
  <c r="F31" i="8" s="1"/>
  <c r="H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H27" i="8" s="1"/>
  <c r="G26" i="8"/>
  <c r="E26" i="8"/>
  <c r="F26" i="8" s="1"/>
  <c r="H26" i="8" s="1"/>
  <c r="G25" i="8"/>
  <c r="F25" i="8"/>
  <c r="E25" i="8"/>
  <c r="G24" i="8"/>
  <c r="E24" i="8"/>
  <c r="F24" i="8" s="1"/>
  <c r="H24" i="8" s="1"/>
  <c r="G23" i="8"/>
  <c r="E23" i="8"/>
  <c r="F23" i="8" s="1"/>
  <c r="H23" i="8" s="1"/>
  <c r="G22" i="8"/>
  <c r="E22" i="8"/>
  <c r="F22" i="8" s="1"/>
  <c r="G21" i="8"/>
  <c r="E21" i="8"/>
  <c r="F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E17" i="8"/>
  <c r="F17" i="8" s="1"/>
  <c r="G14" i="8"/>
  <c r="E14" i="8"/>
  <c r="F14" i="8" s="1"/>
  <c r="H14" i="8" s="1"/>
  <c r="G13" i="8"/>
  <c r="E13" i="8"/>
  <c r="F13" i="8" s="1"/>
  <c r="G12" i="8"/>
  <c r="E12" i="8"/>
  <c r="F12" i="8" s="1"/>
  <c r="H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H8" i="8" s="1"/>
  <c r="G7" i="8"/>
  <c r="E7" i="8"/>
  <c r="F7" i="8" s="1"/>
  <c r="H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H34" i="6" s="1"/>
  <c r="G33" i="6"/>
  <c r="E33" i="6"/>
  <c r="F33" i="6" s="1"/>
  <c r="H33" i="6" s="1"/>
  <c r="G32" i="6"/>
  <c r="E32" i="6"/>
  <c r="F32" i="6" s="1"/>
  <c r="H32" i="6" s="1"/>
  <c r="G31" i="6"/>
  <c r="E31" i="6"/>
  <c r="F31" i="6" s="1"/>
  <c r="G30" i="6"/>
  <c r="E30" i="6"/>
  <c r="F30" i="6" s="1"/>
  <c r="H30" i="6" s="1"/>
  <c r="G29" i="6"/>
  <c r="E29" i="6"/>
  <c r="F29" i="6" s="1"/>
  <c r="H29" i="6" s="1"/>
  <c r="G28" i="6"/>
  <c r="E28" i="6"/>
  <c r="F28" i="6" s="1"/>
  <c r="H28" i="6" s="1"/>
  <c r="G27" i="6"/>
  <c r="E27" i="6"/>
  <c r="F27" i="6" s="1"/>
  <c r="G26" i="6"/>
  <c r="E26" i="6"/>
  <c r="F26" i="6" s="1"/>
  <c r="H26" i="6" s="1"/>
  <c r="G25" i="6"/>
  <c r="E25" i="6"/>
  <c r="F25" i="6" s="1"/>
  <c r="H25" i="6" s="1"/>
  <c r="G24" i="6"/>
  <c r="E24" i="6"/>
  <c r="F24" i="6" s="1"/>
  <c r="H24" i="6" s="1"/>
  <c r="G23" i="6"/>
  <c r="E23" i="6"/>
  <c r="F23" i="6" s="1"/>
  <c r="G22" i="6"/>
  <c r="E22" i="6"/>
  <c r="F22" i="6" s="1"/>
  <c r="H22" i="6" s="1"/>
  <c r="G21" i="6"/>
  <c r="E21" i="6"/>
  <c r="F21" i="6" s="1"/>
  <c r="H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H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H34" i="19" s="1"/>
  <c r="G33" i="19"/>
  <c r="E33" i="19"/>
  <c r="F33" i="19" s="1"/>
  <c r="H33" i="19" s="1"/>
  <c r="G32" i="19"/>
  <c r="E32" i="19"/>
  <c r="F32" i="19" s="1"/>
  <c r="H32" i="19" s="1"/>
  <c r="G31" i="19"/>
  <c r="E31" i="19"/>
  <c r="F31" i="19" s="1"/>
  <c r="G30" i="19"/>
  <c r="E30" i="19"/>
  <c r="F30" i="19" s="1"/>
  <c r="H30" i="19" s="1"/>
  <c r="G29" i="19"/>
  <c r="E29" i="19"/>
  <c r="F29" i="19" s="1"/>
  <c r="H29" i="19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H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H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H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E61" i="7"/>
  <c r="E60" i="7"/>
  <c r="E59" i="7"/>
  <c r="E58" i="7"/>
  <c r="E57" i="7"/>
  <c r="E56" i="7"/>
  <c r="D11" i="21" s="1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H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H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G9" i="7"/>
  <c r="E9" i="7"/>
  <c r="F9" i="7" s="1"/>
  <c r="G8" i="7"/>
  <c r="E8" i="7"/>
  <c r="F8" i="7" s="1"/>
  <c r="H8" i="7" s="1"/>
  <c r="G7" i="7"/>
  <c r="E7" i="7"/>
  <c r="F7" i="7" s="1"/>
  <c r="H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H34" i="4" s="1"/>
  <c r="G33" i="4"/>
  <c r="E33" i="4"/>
  <c r="F33" i="4" s="1"/>
  <c r="H33" i="4" s="1"/>
  <c r="G32" i="4"/>
  <c r="E32" i="4"/>
  <c r="F32" i="4" s="1"/>
  <c r="H32" i="4" s="1"/>
  <c r="G31" i="4"/>
  <c r="E31" i="4"/>
  <c r="F31" i="4" s="1"/>
  <c r="G30" i="4"/>
  <c r="E30" i="4"/>
  <c r="F30" i="4" s="1"/>
  <c r="H30" i="4" s="1"/>
  <c r="G29" i="4"/>
  <c r="E29" i="4"/>
  <c r="F29" i="4" s="1"/>
  <c r="H29" i="4" s="1"/>
  <c r="G28" i="4"/>
  <c r="E28" i="4"/>
  <c r="F28" i="4" s="1"/>
  <c r="H28" i="4" s="1"/>
  <c r="G27" i="4"/>
  <c r="E27" i="4"/>
  <c r="F27" i="4" s="1"/>
  <c r="G26" i="4"/>
  <c r="E26" i="4"/>
  <c r="F26" i="4" s="1"/>
  <c r="H26" i="4" s="1"/>
  <c r="G25" i="4"/>
  <c r="E25" i="4"/>
  <c r="F25" i="4" s="1"/>
  <c r="H25" i="4" s="1"/>
  <c r="G24" i="4"/>
  <c r="E24" i="4"/>
  <c r="F24" i="4" s="1"/>
  <c r="H24" i="4" s="1"/>
  <c r="G23" i="4"/>
  <c r="E23" i="4"/>
  <c r="F23" i="4" s="1"/>
  <c r="G22" i="4"/>
  <c r="E22" i="4"/>
  <c r="F22" i="4" s="1"/>
  <c r="H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G18" i="4"/>
  <c r="E18" i="4"/>
  <c r="F18" i="4" s="1"/>
  <c r="H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H12" i="4" s="1"/>
  <c r="G11" i="4"/>
  <c r="E11" i="4"/>
  <c r="F11" i="4" s="1"/>
  <c r="H11" i="4" s="1"/>
  <c r="G10" i="4"/>
  <c r="E10" i="4"/>
  <c r="F10" i="4" s="1"/>
  <c r="G9" i="4"/>
  <c r="E9" i="4"/>
  <c r="F9" i="4" s="1"/>
  <c r="G8" i="4"/>
  <c r="E8" i="4"/>
  <c r="F8" i="4" s="1"/>
  <c r="H8" i="4" s="1"/>
  <c r="G7" i="4"/>
  <c r="E7" i="4"/>
  <c r="F7" i="4" s="1"/>
  <c r="H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H34" i="3" s="1"/>
  <c r="G33" i="3"/>
  <c r="E33" i="3"/>
  <c r="F33" i="3" s="1"/>
  <c r="H33" i="3" s="1"/>
  <c r="G32" i="3"/>
  <c r="E32" i="3"/>
  <c r="F32" i="3" s="1"/>
  <c r="H32" i="3" s="1"/>
  <c r="G31" i="3"/>
  <c r="E31" i="3"/>
  <c r="F31" i="3" s="1"/>
  <c r="G30" i="3"/>
  <c r="E30" i="3"/>
  <c r="F30" i="3" s="1"/>
  <c r="H30" i="3" s="1"/>
  <c r="G29" i="3"/>
  <c r="E29" i="3"/>
  <c r="F29" i="3" s="1"/>
  <c r="H29" i="3" s="1"/>
  <c r="G28" i="3"/>
  <c r="E28" i="3"/>
  <c r="F28" i="3" s="1"/>
  <c r="H28" i="3" s="1"/>
  <c r="G27" i="3"/>
  <c r="E27" i="3"/>
  <c r="F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E14" i="3"/>
  <c r="F14" i="3" s="1"/>
  <c r="H14" i="3" s="1"/>
  <c r="G13" i="3"/>
  <c r="E13" i="3"/>
  <c r="F13" i="3" s="1"/>
  <c r="G12" i="3"/>
  <c r="E12" i="3"/>
  <c r="F12" i="3" s="1"/>
  <c r="H12" i="3" s="1"/>
  <c r="G11" i="3"/>
  <c r="E11" i="3"/>
  <c r="F11" i="3" s="1"/>
  <c r="H11" i="3" s="1"/>
  <c r="G10" i="3"/>
  <c r="E10" i="3"/>
  <c r="F10" i="3" s="1"/>
  <c r="H10" i="3" s="1"/>
  <c r="G9" i="3"/>
  <c r="E9" i="3"/>
  <c r="F9" i="3" s="1"/>
  <c r="G8" i="3"/>
  <c r="E8" i="3"/>
  <c r="F8" i="3" s="1"/>
  <c r="H8" i="3" s="1"/>
  <c r="G7" i="3"/>
  <c r="E7" i="3"/>
  <c r="F7" i="3" s="1"/>
  <c r="H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H34" i="5" s="1"/>
  <c r="G33" i="5"/>
  <c r="E33" i="5"/>
  <c r="F33" i="5" s="1"/>
  <c r="H33" i="5" s="1"/>
  <c r="G32" i="5"/>
  <c r="E32" i="5"/>
  <c r="F32" i="5" s="1"/>
  <c r="H32" i="5" s="1"/>
  <c r="G31" i="5"/>
  <c r="E31" i="5"/>
  <c r="F31" i="5" s="1"/>
  <c r="G30" i="5"/>
  <c r="E30" i="5"/>
  <c r="F30" i="5" s="1"/>
  <c r="H30" i="5" s="1"/>
  <c r="G29" i="5"/>
  <c r="E29" i="5"/>
  <c r="F29" i="5" s="1"/>
  <c r="H29" i="5" s="1"/>
  <c r="G28" i="5"/>
  <c r="E28" i="5"/>
  <c r="F28" i="5" s="1"/>
  <c r="H28" i="5" s="1"/>
  <c r="G27" i="5"/>
  <c r="E27" i="5"/>
  <c r="F27" i="5" s="1"/>
  <c r="G26" i="5"/>
  <c r="E26" i="5"/>
  <c r="F26" i="5" s="1"/>
  <c r="H26" i="5" s="1"/>
  <c r="G25" i="5"/>
  <c r="E25" i="5"/>
  <c r="F25" i="5" s="1"/>
  <c r="H25" i="5" s="1"/>
  <c r="G24" i="5"/>
  <c r="E24" i="5"/>
  <c r="F24" i="5" s="1"/>
  <c r="H24" i="5" s="1"/>
  <c r="G23" i="5"/>
  <c r="E23" i="5"/>
  <c r="F23" i="5" s="1"/>
  <c r="G22" i="5"/>
  <c r="E22" i="5"/>
  <c r="F22" i="5" s="1"/>
  <c r="H22" i="5" s="1"/>
  <c r="G21" i="5"/>
  <c r="E21" i="5"/>
  <c r="F21" i="5" s="1"/>
  <c r="H21" i="5" s="1"/>
  <c r="G20" i="5"/>
  <c r="E20" i="5"/>
  <c r="F20" i="5" s="1"/>
  <c r="H20" i="5" s="1"/>
  <c r="G19" i="5"/>
  <c r="E19" i="5"/>
  <c r="F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G12" i="5"/>
  <c r="E12" i="5"/>
  <c r="F12" i="5" s="1"/>
  <c r="H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H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H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H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H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H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H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H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1" i="8" l="1"/>
  <c r="H17" i="8"/>
  <c r="H11" i="8"/>
  <c r="H17" i="25"/>
  <c r="E62" i="25"/>
  <c r="G37" i="25"/>
  <c r="D5" i="21"/>
  <c r="F6" i="28"/>
  <c r="F6" i="27"/>
  <c r="H6" i="26"/>
  <c r="H37" i="26" s="1"/>
  <c r="F37" i="26"/>
  <c r="E37" i="26"/>
  <c r="F6" i="25"/>
  <c r="D14" i="21"/>
  <c r="D8" i="21"/>
  <c r="G37" i="10"/>
  <c r="G37" i="24"/>
  <c r="C25" i="1" s="1"/>
  <c r="E62" i="7"/>
  <c r="D16" i="21"/>
  <c r="D12" i="21"/>
  <c r="G37" i="19"/>
  <c r="C23" i="1" s="1"/>
  <c r="H25" i="8"/>
  <c r="H28" i="8"/>
  <c r="H30" i="15"/>
  <c r="H34" i="15"/>
  <c r="H8" i="12"/>
  <c r="H12" i="12"/>
  <c r="H18" i="12"/>
  <c r="H22" i="12"/>
  <c r="H26" i="12"/>
  <c r="H30" i="12"/>
  <c r="H34" i="12"/>
  <c r="E62" i="12"/>
  <c r="H8" i="13"/>
  <c r="H12" i="13"/>
  <c r="H18" i="13"/>
  <c r="H22" i="13"/>
  <c r="H26" i="13"/>
  <c r="H30" i="13"/>
  <c r="H34" i="13"/>
  <c r="H8" i="14"/>
  <c r="H12" i="14"/>
  <c r="H18" i="14"/>
  <c r="H22" i="14"/>
  <c r="H26" i="14"/>
  <c r="H30" i="14"/>
  <c r="H34" i="14"/>
  <c r="H8" i="16"/>
  <c r="H12" i="16"/>
  <c r="H18" i="16"/>
  <c r="H22" i="16"/>
  <c r="H26" i="16"/>
  <c r="H30" i="16"/>
  <c r="H34" i="16"/>
  <c r="H8" i="17"/>
  <c r="H12" i="17"/>
  <c r="H18" i="17"/>
  <c r="H22" i="17"/>
  <c r="H26" i="17"/>
  <c r="H30" i="17"/>
  <c r="H34" i="17"/>
  <c r="H8" i="18"/>
  <c r="H12" i="18"/>
  <c r="H18" i="18"/>
  <c r="H22" i="18"/>
  <c r="H26" i="18"/>
  <c r="H30" i="18"/>
  <c r="H34" i="18"/>
  <c r="D13" i="21"/>
  <c r="H8" i="23"/>
  <c r="H12" i="23"/>
  <c r="H18" i="23"/>
  <c r="H22" i="23"/>
  <c r="H26" i="23"/>
  <c r="H30" i="23"/>
  <c r="H34" i="23"/>
  <c r="H31" i="24"/>
  <c r="H35" i="24"/>
  <c r="E62" i="3"/>
  <c r="H19" i="24"/>
  <c r="E62" i="9"/>
  <c r="E62" i="14"/>
  <c r="D6" i="21"/>
  <c r="H14" i="24"/>
  <c r="H23" i="24"/>
  <c r="E62" i="8"/>
  <c r="E62" i="16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23" i="6"/>
  <c r="H27" i="6"/>
  <c r="H31" i="6"/>
  <c r="H35" i="6"/>
  <c r="D7" i="21"/>
  <c r="H9" i="8"/>
  <c r="H13" i="8"/>
  <c r="H22" i="8"/>
  <c r="H9" i="22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14"/>
  <c r="C18" i="1" s="1"/>
  <c r="G37" i="16"/>
  <c r="C20" i="1" s="1"/>
  <c r="G37" i="17"/>
  <c r="C21" i="1" s="1"/>
  <c r="G37" i="18"/>
  <c r="C22" i="1" s="1"/>
  <c r="G37" i="23"/>
  <c r="C24" i="1" s="1"/>
  <c r="H20" i="24"/>
  <c r="H27" i="24"/>
  <c r="E62" i="24"/>
  <c r="H19" i="6"/>
  <c r="H18" i="6"/>
  <c r="H17" i="6"/>
  <c r="G37" i="6"/>
  <c r="C9" i="1" s="1"/>
  <c r="E62" i="6"/>
  <c r="H8" i="6"/>
  <c r="H10" i="2"/>
  <c r="C37" i="1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H37" i="23" s="1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H37" i="19" s="1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37" i="2"/>
  <c r="H6" i="2"/>
  <c r="E37" i="2"/>
  <c r="H6" i="28" l="1"/>
  <c r="H37" i="28" s="1"/>
  <c r="F37" i="28"/>
  <c r="F37" i="27"/>
  <c r="H6" i="27"/>
  <c r="H37" i="27" s="1"/>
  <c r="F37" i="25"/>
  <c r="H6" i="25"/>
  <c r="H37" i="25" s="1"/>
  <c r="H37" i="13"/>
  <c r="H37" i="9"/>
  <c r="H37" i="11"/>
  <c r="H37" i="14"/>
  <c r="H37" i="7"/>
  <c r="H37" i="18"/>
  <c r="H37" i="2"/>
  <c r="H37" i="24"/>
  <c r="H37" i="8"/>
  <c r="H37" i="12"/>
  <c r="H37" i="4"/>
  <c r="H37" i="5"/>
  <c r="H37" i="15"/>
  <c r="H37" i="10"/>
  <c r="H37" i="16"/>
  <c r="H37" i="6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<sst xmlns="http://schemas.openxmlformats.org/spreadsheetml/2006/main" count="2010" uniqueCount="90">
  <si>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</si>
  <si>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</si>
  <si>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</si>
  <si>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</si>
  <si>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</si>
  <si>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</si>
  <si>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</si>
  <si>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</si>
  <si>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</si>
  <si>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</si>
  <si>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</si>
  <si>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</si>
  <si>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</si>
  <si>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</si>
  <si>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</si>
  <si>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</si>
  <si>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</si>
  <si>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</si>
  <si>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</si>
  <si>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</si>
  <si>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</si>
  <si>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</si>
  <si>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</si>
  <si>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</si>
  <si>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</si>
  <si>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</si>
  <si>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</si>
  <si>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</si>
  <si>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</si>
  <si>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</si>
  <si>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</si>
  <si>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</si>
  <si>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</si>
  <si>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</si>
  <si>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</si>
  <si>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</si>
  <si>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</si>
  <si>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</si>
  <si>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</si>
  <si>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</si>
  <si>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</si>
  <si>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</si>
  <si>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</si>
  <si>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</si>
  <si>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</si>
  <si>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</si>
  <si>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</si>
  <si>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</si>
  <si>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</si>
  <si>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</si>
  <si>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</si>
  <si>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</si>
  <si>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</si>
  <si>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</si>
  <si>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</si>
  <si>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</si>
  <si>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</si>
  <si>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</si>
  <si>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</si>
  <si>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</si>
  <si>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</si>
  <si>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</si>
  <si>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</si>
  <si>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</si>
  <si>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</si>
  <si>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</si>
  <si>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</si>
  <si>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</si>
  <si>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</si>
  <si>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</si>
  <si>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</si>
  <si>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</si>
  <si>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</si>
  <si>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</si>
  <si>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</si>
  <si>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</si>
  <si>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</si>
  <si>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</si>
  <si>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</si>
  <si>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</si>
  <si>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</si>
  <si>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</si>
  <si>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</si>
  <si>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</si>
  <si>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</si>
  <si>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QUARTERLY REPORT FROM 01/01/2026 TO  31/03/2026</t>
  </si>
  <si>
    <t>GEREVERIA</t>
  </si>
  <si>
    <t>MONTHS REPORT MARCH 2026</t>
  </si>
  <si>
    <t>DECHETS</t>
  </si>
  <si>
    <t>MONTHS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</si>
</sst>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A26" sqref="A26"/>
    </sheetView>
  </sheetViews>
  <sheetFormatPr defaultColWidth="8.8164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7265625" style="83" customWidth="1"/>
    <col min="6" max="6" width="20.54296875" style="85" customWidth="1"/>
    <col min="7" max="7" width="20.1796875" style="85" customWidth="1"/>
    <col min="8" max="8" width="17" style="83" customWidth="1"/>
    <col min="9" max="9" width="16.81640625" style="83" customWidth="1"/>
    <col min="10" max="10" width="14.54296875" style="83" customWidth="1"/>
    <col min="11" max="11" width="8.81640625" style="83"/>
    <col min="12" max="12" width="19.81640625" style="83" customWidth="1"/>
    <col min="13" max="16384" width="8.81640625" style="83"/>
  </cols>
  <sheetData>
    <row r="1" spans="1:15" ht="51.5">
      <c r="A1" s="120" t="s">
        <v>37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82"/>
      <c r="M1" s="82"/>
      <c r="N1" s="82"/>
    </row>
    <row r="2" spans="1:15" ht="31" customHeight="1">
      <c r="A2" s="122" t="s">
        <v>36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82"/>
      <c r="M2" s="82"/>
      <c r="N2" s="82"/>
    </row>
    <row r="3" spans="1:15" ht="15" customHeight="1" thickBot="1">
      <c r="A3" s="122"/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12360231</v>
      </c>
      <c r="C9" s="48">
        <f>RWAMAGANA!G37</f>
        <v>1363010</v>
      </c>
      <c r="D9" s="48">
        <f>RWAMAGANA!C43</f>
        <v>50000</v>
      </c>
      <c r="E9" s="48">
        <f>RWAMAGANA!C44</f>
        <v>100000</v>
      </c>
      <c r="F9" s="50">
        <f t="shared" si="0"/>
        <v>13723241</v>
      </c>
      <c r="G9" s="47">
        <f>RWAMAGANA!C41</f>
        <v>0</v>
      </c>
      <c r="H9" s="48">
        <f>RWAMAGANA!C39</f>
        <v>13723241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4332346.7796610175</v>
      </c>
      <c r="C11" s="48">
        <f>MUHANGA!G37</f>
        <v>393090</v>
      </c>
      <c r="D11" s="48">
        <f>MUHANGA!C43</f>
        <v>0</v>
      </c>
      <c r="E11" s="48">
        <f>MUHANGA!C44</f>
        <v>0</v>
      </c>
      <c r="F11" s="50">
        <f t="shared" si="0"/>
        <v>4725436.7796610175</v>
      </c>
      <c r="G11" s="47">
        <f>MUHANGA!C41</f>
        <v>0</v>
      </c>
      <c r="H11" s="48">
        <f>MUHANGA!C39</f>
        <v>4725437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16692577.779661018</v>
      </c>
      <c r="C29" s="70">
        <f t="shared" si="1"/>
        <v>1756100</v>
      </c>
      <c r="D29" s="71">
        <f t="shared" si="1"/>
        <v>50000</v>
      </c>
      <c r="E29" s="70">
        <f t="shared" si="1"/>
        <v>100000</v>
      </c>
      <c r="F29" s="70">
        <f>SUM(F5:F28)</f>
        <v>18448677.779661018</v>
      </c>
      <c r="G29" s="71">
        <f>SUM(G5:G28)</f>
        <v>0</v>
      </c>
      <c r="H29" s="71">
        <f>SUM(H5:H28)</f>
        <v>18448678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4"/>
      <c r="B30" s="114"/>
      <c r="C30" s="114"/>
      <c r="D30" s="115"/>
      <c r="E30" s="148" t="s">
        <v>11</v>
      </c>
      <c r="F30" s="149"/>
      <c r="G30" s="149"/>
      <c r="H30" s="149"/>
      <c r="I30" s="150"/>
      <c r="J30" s="124"/>
      <c r="K30" s="125"/>
      <c r="L30" s="82"/>
    </row>
    <row r="31" spans="1:15" ht="19" thickBot="1">
      <c r="A31" s="145" t="s">
        <v>9</v>
      </c>
      <c r="B31" s="146"/>
      <c r="C31" s="146"/>
      <c r="D31" s="146"/>
      <c r="E31" s="151"/>
      <c r="F31" s="152"/>
      <c r="G31" s="152"/>
      <c r="H31" s="152"/>
      <c r="I31" s="153"/>
      <c r="J31" s="126"/>
      <c r="K31" s="127"/>
      <c r="L31" s="82"/>
    </row>
    <row r="32" spans="1:15" ht="15" thickBot="1">
      <c r="A32" s="116" t="s">
        <v>12</v>
      </c>
      <c r="B32" s="117"/>
      <c r="C32" s="118">
        <f>SUM(B29+C29)</f>
        <v>18448677.779661018</v>
      </c>
      <c r="D32" s="119"/>
      <c r="E32" s="151"/>
      <c r="F32" s="152"/>
      <c r="G32" s="152"/>
      <c r="H32" s="152"/>
      <c r="I32" s="153"/>
      <c r="J32" s="126"/>
      <c r="K32" s="127"/>
      <c r="L32" s="82"/>
    </row>
    <row r="33" spans="1:12" ht="15" thickBot="1">
      <c r="A33" s="116" t="s">
        <v>13</v>
      </c>
      <c r="B33" s="117"/>
      <c r="C33" s="139">
        <f>SUM(F29,G29)</f>
        <v>18448677.779661018</v>
      </c>
      <c r="D33" s="147"/>
      <c r="E33" s="151"/>
      <c r="F33" s="152"/>
      <c r="G33" s="152"/>
      <c r="H33" s="152"/>
      <c r="I33" s="153"/>
      <c r="J33" s="126"/>
      <c r="K33" s="127"/>
      <c r="L33" s="82"/>
    </row>
    <row r="34" spans="1:12" ht="15" thickBot="1">
      <c r="A34" s="141" t="s">
        <v>81</v>
      </c>
      <c r="B34" s="142"/>
      <c r="C34" s="139">
        <f>SUM(H29,J29,I29+G29)</f>
        <v>18448678</v>
      </c>
      <c r="D34" s="140"/>
      <c r="E34" s="151"/>
      <c r="F34" s="152"/>
      <c r="G34" s="152"/>
      <c r="H34" s="152"/>
      <c r="I34" s="153"/>
      <c r="J34" s="126"/>
      <c r="K34" s="127"/>
      <c r="L34" s="82"/>
    </row>
    <row r="35" spans="1:12" ht="15" thickBot="1">
      <c r="A35" s="116" t="s">
        <v>10</v>
      </c>
      <c r="B35" s="117"/>
      <c r="C35" s="139">
        <f>SUM(D29:E29)</f>
        <v>150000</v>
      </c>
      <c r="D35" s="140"/>
      <c r="E35" s="154"/>
      <c r="F35" s="155"/>
      <c r="G35" s="155"/>
      <c r="H35" s="155"/>
      <c r="I35" s="156"/>
      <c r="J35" s="126"/>
      <c r="K35" s="127"/>
      <c r="L35" s="82"/>
    </row>
    <row r="36" spans="1:12" ht="15" thickBot="1">
      <c r="A36" s="116" t="s">
        <v>83</v>
      </c>
      <c r="B36" s="117"/>
      <c r="C36" s="139">
        <f>SUM(H29+I29+J29+C35)</f>
        <v>18598678</v>
      </c>
      <c r="D36" s="140"/>
      <c r="E36" s="130" t="s">
        <v>35</v>
      </c>
      <c r="F36" s="131"/>
      <c r="G36" s="131"/>
      <c r="H36" s="131"/>
      <c r="I36" s="132"/>
      <c r="J36" s="126"/>
      <c r="K36" s="127"/>
      <c r="L36" s="82"/>
    </row>
    <row r="37" spans="1:12" ht="15" thickBot="1">
      <c r="A37" s="143" t="s">
        <v>14</v>
      </c>
      <c r="B37" s="144"/>
      <c r="C37" s="139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18598678</v>
      </c>
      <c r="D37" s="140"/>
      <c r="E37" s="133"/>
      <c r="F37" s="134"/>
      <c r="G37" s="134"/>
      <c r="H37" s="134"/>
      <c r="I37" s="135"/>
      <c r="J37" s="126"/>
      <c r="K37" s="127"/>
      <c r="L37" s="82"/>
    </row>
    <row r="38" spans="1:12" ht="26.5" thickBot="1">
      <c r="A38" s="136" t="s">
        <v>15</v>
      </c>
      <c r="B38" s="137"/>
      <c r="C38" s="137"/>
      <c r="D38" s="137"/>
      <c r="E38" s="137"/>
      <c r="F38" s="137"/>
      <c r="G38" s="137"/>
      <c r="H38" s="137"/>
      <c r="I38" s="138"/>
      <c r="J38" s="128"/>
      <c r="K38" s="129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9" workbookViewId="0">
      <selection activeCell="C7" sqref="C7:D7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B6" sqref="B6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E62" sqref="E62:H62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5" workbookViewId="0">
      <selection activeCell="C39" sqref="C39"/>
    </sheetView>
  </sheetViews>
  <sheetFormatPr defaultRowHeight="14.5"/>
  <cols>
    <col min="1" max="1" width="26.453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453125" customWidth="1"/>
    <col min="7" max="7" width="13.453125" customWidth="1"/>
    <col min="8" max="8" width="15.26953125" customWidth="1"/>
  </cols>
  <sheetData>
    <row r="1" spans="1:9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>
      <c r="A3" s="164" t="s">
        <v>87</v>
      </c>
      <c r="B3" s="165"/>
      <c r="C3" s="165"/>
      <c r="D3" s="165"/>
      <c r="E3" s="165"/>
      <c r="F3" s="165"/>
      <c r="G3" s="165"/>
      <c r="H3" s="166"/>
      <c r="I3" s="162"/>
    </row>
    <row r="4" spans="1:9" ht="30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>
        <v>655</v>
      </c>
      <c r="C7" s="169">
        <v>7670</v>
      </c>
      <c r="D7" s="170"/>
      <c r="E7" s="10">
        <f t="shared" si="0"/>
        <v>5023850</v>
      </c>
      <c r="F7" s="10">
        <f t="shared" si="1"/>
        <v>766350</v>
      </c>
      <c r="G7" s="10">
        <f>PRODUCT(B7*50)</f>
        <v>32750</v>
      </c>
      <c r="H7" s="99">
        <f t="shared" si="2"/>
        <v>799100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>
        <v>40</v>
      </c>
      <c r="C10" s="171">
        <v>1806</v>
      </c>
      <c r="D10" s="172"/>
      <c r="E10" s="12">
        <f t="shared" si="0"/>
        <v>72240</v>
      </c>
      <c r="F10" s="12">
        <f t="shared" si="1"/>
        <v>11019.661016949152</v>
      </c>
      <c r="G10" s="12">
        <f>PRODUCT(B10*30)</f>
        <v>1200</v>
      </c>
      <c r="H10" s="100">
        <f t="shared" si="2"/>
        <v>12219.661016949152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>
        <v>200</v>
      </c>
      <c r="C17" s="26">
        <v>800</v>
      </c>
      <c r="D17" s="26">
        <v>20</v>
      </c>
      <c r="E17" s="19">
        <f>PRODUCT(B17*C17)</f>
        <v>160000</v>
      </c>
      <c r="F17" s="16">
        <f t="shared" ref="F17:F36" si="3">PRODUCT(E17*18)/118</f>
        <v>24406.77966101695</v>
      </c>
      <c r="G17" s="94">
        <f>PRODUCT(B17*D17)</f>
        <v>4000</v>
      </c>
      <c r="H17" s="102">
        <f>SUM(F17:G17)</f>
        <v>28406.77966101695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5256090</v>
      </c>
      <c r="F37" s="24">
        <f>SUM(F5:F36)</f>
        <v>801776.44067796611</v>
      </c>
      <c r="G37" s="24">
        <f t="shared" ref="G37:H37" si="10">SUM(G5:G36)</f>
        <v>37950</v>
      </c>
      <c r="H37" s="24">
        <f t="shared" si="10"/>
        <v>839726.44067796611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>
        <v>839726</v>
      </c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839726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40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655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200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84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84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84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84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84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84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84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84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895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81640625" style="43" customWidth="1"/>
    <col min="2" max="2" width="21.81640625" style="43" customWidth="1"/>
    <col min="3" max="3" width="25" style="43" customWidth="1"/>
    <col min="4" max="4" width="15.453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6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8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s="89" customFormat="1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9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20.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3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22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22.5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24.65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22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22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22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22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453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3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>
        <v>2124</v>
      </c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9" sqref="C39"/>
    </sheetView>
  </sheetViews>
  <sheetFormatPr defaultColWidth="8.7265625" defaultRowHeight="14.5"/>
  <cols>
    <col min="1" max="1" width="22.54296875" style="43" customWidth="1"/>
    <col min="2" max="2" width="26.453125" style="43" customWidth="1"/>
    <col min="3" max="3" width="18.8164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453125" style="43" customWidth="1"/>
    <col min="8" max="8" width="24.269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85</v>
      </c>
      <c r="B3" s="165"/>
      <c r="C3" s="165"/>
      <c r="D3" s="165"/>
      <c r="E3" s="165"/>
      <c r="F3" s="165"/>
      <c r="G3" s="165"/>
      <c r="H3" s="166"/>
      <c r="I3" s="226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>
        <v>620</v>
      </c>
      <c r="C8" s="171">
        <v>5900</v>
      </c>
      <c r="D8" s="172"/>
      <c r="E8" s="12">
        <f t="shared" si="0"/>
        <v>3658000</v>
      </c>
      <c r="F8" s="12">
        <f t="shared" si="1"/>
        <v>558000</v>
      </c>
      <c r="G8" s="12">
        <f>PRODUCT(B8*50)</f>
        <v>31000</v>
      </c>
      <c r="H8" s="100">
        <f t="shared" si="2"/>
        <v>589000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34693</v>
      </c>
      <c r="C10" s="171">
        <v>2124</v>
      </c>
      <c r="D10" s="172"/>
      <c r="E10" s="12">
        <f t="shared" si="0"/>
        <v>73687932</v>
      </c>
      <c r="F10" s="12">
        <f t="shared" si="1"/>
        <v>11240532</v>
      </c>
      <c r="G10" s="12">
        <f>PRODUCT(B10*30)</f>
        <v>1040790</v>
      </c>
      <c r="H10" s="100">
        <f t="shared" si="2"/>
        <v>12281322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>
        <v>1837</v>
      </c>
      <c r="C13" s="171">
        <v>1357</v>
      </c>
      <c r="D13" s="172"/>
      <c r="E13" s="12">
        <f t="shared" si="0"/>
        <v>2492809</v>
      </c>
      <c r="F13" s="12">
        <f t="shared" si="1"/>
        <v>380259</v>
      </c>
      <c r="G13" s="12">
        <f>PRODUCT(B13*20)</f>
        <v>36740</v>
      </c>
      <c r="H13" s="100">
        <f t="shared" si="2"/>
        <v>416999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86</v>
      </c>
      <c r="B17" s="26">
        <v>1008</v>
      </c>
      <c r="C17" s="26">
        <v>1180</v>
      </c>
      <c r="D17" s="26">
        <v>30</v>
      </c>
      <c r="E17" s="19">
        <f>PRODUCT(B17*C17)</f>
        <v>1189440</v>
      </c>
      <c r="F17" s="16">
        <f t="shared" ref="F17:F36" si="3">PRODUCT(E17*18)/118</f>
        <v>181440</v>
      </c>
      <c r="G17" s="94">
        <f>PRODUCT(B17*D17)</f>
        <v>30240</v>
      </c>
      <c r="H17" s="102">
        <f>SUM(F17:G17)</f>
        <v>211680</v>
      </c>
      <c r="I17" s="226"/>
    </row>
    <row r="18" spans="1:9" ht="15" thickBot="1">
      <c r="A18" s="34" t="s">
        <v>86</v>
      </c>
      <c r="B18" s="27">
        <v>944</v>
      </c>
      <c r="C18" s="27"/>
      <c r="D18" s="27">
        <v>210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198240</v>
      </c>
      <c r="H18" s="103">
        <f t="shared" ref="H18:H22" si="6">SUM(F18:G18)</f>
        <v>198240</v>
      </c>
      <c r="I18" s="226"/>
    </row>
    <row r="19" spans="1:9" ht="15" thickBot="1">
      <c r="A19" s="35" t="s">
        <v>86</v>
      </c>
      <c r="B19" s="13">
        <v>130</v>
      </c>
      <c r="C19" s="13"/>
      <c r="D19" s="13">
        <v>200</v>
      </c>
      <c r="E19" s="20">
        <f t="shared" si="4"/>
        <v>0</v>
      </c>
      <c r="F19" s="17">
        <f t="shared" si="3"/>
        <v>0</v>
      </c>
      <c r="G19" s="15">
        <f t="shared" si="5"/>
        <v>26000</v>
      </c>
      <c r="H19" s="103">
        <f t="shared" si="6"/>
        <v>26000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81028181</v>
      </c>
      <c r="F37" s="24">
        <f>SUM(F5:F36)</f>
        <v>12360231</v>
      </c>
      <c r="G37" s="24">
        <f t="shared" ref="G37:H37" si="10">SUM(G5:G36)</f>
        <v>1363010</v>
      </c>
      <c r="H37" s="24">
        <f t="shared" si="10"/>
        <v>13723241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>
        <v>13723241</v>
      </c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>
        <v>50000</v>
      </c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>
        <v>100000</v>
      </c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13873241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34693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620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1837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1952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130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39232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H27" sqref="H27"/>
    </sheetView>
  </sheetViews>
  <sheetFormatPr defaultColWidth="8.7265625" defaultRowHeight="14.5"/>
  <cols>
    <col min="1" max="1" width="21.1796875" style="43" customWidth="1"/>
    <col min="2" max="2" width="17.453125" style="43" customWidth="1"/>
    <col min="3" max="3" width="20.26953125" style="43" customWidth="1"/>
    <col min="4" max="4" width="14.81640625" style="43" customWidth="1"/>
    <col min="5" max="5" width="28.453125" style="43" customWidth="1"/>
    <col min="6" max="6" width="22.1796875" style="43" customWidth="1"/>
    <col min="7" max="7" width="16.54296875" style="43" customWidth="1"/>
    <col min="8" max="8" width="26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activeCell="E42" sqref="E42:F42"/>
    </sheetView>
  </sheetViews>
  <sheetFormatPr defaultColWidth="8.7265625" defaultRowHeight="14.5"/>
  <cols>
    <col min="1" max="1" width="24" style="43" customWidth="1"/>
    <col min="2" max="2" width="15.81640625" style="43" customWidth="1"/>
    <col min="3" max="3" width="18.54296875" style="43" customWidth="1"/>
    <col min="4" max="4" width="11.7265625" style="43" customWidth="1"/>
    <col min="5" max="5" width="24.17968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89</v>
      </c>
      <c r="B3" s="165"/>
      <c r="C3" s="165"/>
      <c r="D3" s="165"/>
      <c r="E3" s="165"/>
      <c r="F3" s="165"/>
      <c r="G3" s="165"/>
      <c r="H3" s="166"/>
      <c r="I3" s="226"/>
    </row>
    <row r="4" spans="1:9" ht="26.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>
        <v>2545</v>
      </c>
      <c r="C10" s="171">
        <v>2200</v>
      </c>
      <c r="D10" s="172"/>
      <c r="E10" s="12">
        <f t="shared" si="0"/>
        <v>5599000</v>
      </c>
      <c r="F10" s="12">
        <f t="shared" si="1"/>
        <v>854084.74576271186</v>
      </c>
      <c r="G10" s="12">
        <f>PRODUCT(B10*30)</f>
        <v>76350</v>
      </c>
      <c r="H10" s="100">
        <f t="shared" si="2"/>
        <v>930434.74576271186</v>
      </c>
      <c r="I10" s="226"/>
    </row>
    <row r="11" spans="1:9">
      <c r="A11" s="40" t="s">
        <v>66</v>
      </c>
      <c r="B11" s="11">
        <v>7415</v>
      </c>
      <c r="C11" s="171">
        <v>2596</v>
      </c>
      <c r="D11" s="172"/>
      <c r="E11" s="12">
        <f t="shared" si="0"/>
        <v>19249340</v>
      </c>
      <c r="F11" s="12">
        <f t="shared" si="1"/>
        <v>2936340</v>
      </c>
      <c r="G11" s="12">
        <f>PRODUCT(B11*30)</f>
        <v>222450</v>
      </c>
      <c r="H11" s="100">
        <f t="shared" si="2"/>
        <v>3158790</v>
      </c>
      <c r="I11" s="226"/>
    </row>
    <row r="12" spans="1:9">
      <c r="A12" s="40" t="s">
        <v>66</v>
      </c>
      <c r="B12" s="11">
        <v>600</v>
      </c>
      <c r="C12" s="171">
        <v>2500</v>
      </c>
      <c r="D12" s="172"/>
      <c r="E12" s="12">
        <f t="shared" si="0"/>
        <v>1500000</v>
      </c>
      <c r="F12" s="12">
        <f>PRODUCT(E12*18)/118</f>
        <v>228813.55932203389</v>
      </c>
      <c r="G12" s="12">
        <f>PRODUCT(B12*30)</f>
        <v>18000</v>
      </c>
      <c r="H12" s="100">
        <f t="shared" si="2"/>
        <v>246813.55932203389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>
        <v>1570</v>
      </c>
      <c r="C17" s="26">
        <v>1180</v>
      </c>
      <c r="D17" s="26">
        <v>20</v>
      </c>
      <c r="E17" s="19">
        <f>PRODUCT(B17*C17)</f>
        <v>1852600</v>
      </c>
      <c r="F17" s="16">
        <f t="shared" ref="F17:F36" si="3">PRODUCT(E17*18)/118</f>
        <v>282600</v>
      </c>
      <c r="G17" s="94">
        <f>PRODUCT(B17*D17)</f>
        <v>31400</v>
      </c>
      <c r="H17" s="102">
        <f>SUM(F17:G17)</f>
        <v>314000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66</v>
      </c>
      <c r="B21" s="13">
        <v>163</v>
      </c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4890</v>
      </c>
      <c r="H21" s="103">
        <f t="shared" si="6"/>
        <v>4890</v>
      </c>
      <c r="I21" s="226"/>
    </row>
    <row r="22" spans="1:9" ht="15" thickBot="1">
      <c r="A22" s="36" t="s">
        <v>88</v>
      </c>
      <c r="B22" s="13">
        <v>20</v>
      </c>
      <c r="C22" s="13">
        <v>10000</v>
      </c>
      <c r="D22" s="13">
        <v>2000</v>
      </c>
      <c r="E22" s="20">
        <f t="shared" si="4"/>
        <v>200000</v>
      </c>
      <c r="F22" s="17">
        <f t="shared" si="3"/>
        <v>30508.474576271186</v>
      </c>
      <c r="G22" s="95">
        <f t="shared" si="5"/>
        <v>40000</v>
      </c>
      <c r="H22" s="104">
        <f t="shared" si="6"/>
        <v>70508.474576271183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28400940</v>
      </c>
      <c r="F37" s="24">
        <f>SUM(F5:F36)</f>
        <v>4332346.7796610175</v>
      </c>
      <c r="G37" s="24">
        <f t="shared" ref="G37:H37" si="10">SUM(G5:G36)</f>
        <v>393090</v>
      </c>
      <c r="H37" s="24">
        <f t="shared" si="10"/>
        <v>4725436.7796610165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thickBot="1">
      <c r="A39" s="179" t="s">
        <v>68</v>
      </c>
      <c r="B39" s="180"/>
      <c r="C39" s="55">
        <v>4725437</v>
      </c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4725437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10560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1570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12130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1796875" customWidth="1"/>
    <col min="8" max="8" width="21.816406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81640625" customWidth="1"/>
    <col min="2" max="2" width="16.1796875" customWidth="1"/>
    <col min="3" max="3" width="20.8164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3.1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5429687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45312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21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5.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9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2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s="43" customFormat="1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54296875" style="43" customWidth="1"/>
    <col min="2" max="2" width="15.81640625" style="43" customWidth="1"/>
    <col min="3" max="3" width="21.1796875" style="43" customWidth="1"/>
    <col min="4" max="4" width="18.1796875" style="43" customWidth="1"/>
    <col min="5" max="5" width="21.1796875" style="43" customWidth="1"/>
    <col min="6" max="6" width="18.5429687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34.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27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9.15" customHeight="1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5" customHeight="1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customHeight="1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customHeight="1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customHeight="1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customHeight="1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customHeight="1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customHeight="1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customHeight="1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customHeight="1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customHeight="1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customHeight="1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customHeight="1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customHeight="1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customHeight="1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4.5" customHeight="1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43" customWidth="1"/>
    <col min="2" max="2" width="14.453125" style="43" customWidth="1"/>
    <col min="3" max="3" width="20" style="43" customWidth="1"/>
    <col min="4" max="4" width="14.1796875" style="43" customWidth="1"/>
    <col min="5" max="5" width="20.1796875" style="43" customWidth="1"/>
    <col min="6" max="6" width="15.26953125" style="43" customWidth="1"/>
    <col min="7" max="7" width="16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1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4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5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4.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customHeight="1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 ht="14.5" customHeight="1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customHeight="1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1796875" style="43" customWidth="1"/>
    <col min="5" max="5" width="20.54296875" style="43" customWidth="1"/>
    <col min="6" max="6" width="22.81640625" style="43" customWidth="1"/>
    <col min="7" max="7" width="21.1796875" style="43" customWidth="1"/>
    <col min="8" max="8" width="19.8164062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225"/>
    </row>
    <row r="2" spans="1:9" ht="15" customHeight="1" thickBot="1">
      <c r="A2" s="159"/>
      <c r="B2" s="160"/>
      <c r="C2" s="160"/>
      <c r="D2" s="160"/>
      <c r="E2" s="160"/>
      <c r="F2" s="160"/>
      <c r="G2" s="160"/>
      <c r="H2" s="160"/>
      <c r="I2" s="226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226"/>
    </row>
    <row r="4" spans="1:9" ht="15" customHeight="1" thickBot="1">
      <c r="A4" s="159"/>
      <c r="B4" s="160"/>
      <c r="C4" s="160"/>
      <c r="D4" s="160"/>
      <c r="E4" s="160"/>
      <c r="F4" s="160"/>
      <c r="G4" s="160"/>
      <c r="H4" s="160"/>
      <c r="I4" s="226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226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226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226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226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226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226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226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226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226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226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226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226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226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226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226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226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226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226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226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226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226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226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226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226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226"/>
    </row>
    <row r="63" spans="1:9" ht="19" thickBot="1">
      <c r="A63" s="223"/>
      <c r="B63" s="224"/>
      <c r="C63" s="211"/>
      <c r="D63" s="212"/>
      <c r="E63" s="213"/>
      <c r="F63" s="214"/>
      <c r="G63" s="214"/>
      <c r="H63" s="214"/>
      <c r="I63" s="226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227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19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6" workbookViewId="0">
      <selection activeCell="C33" sqref="C33"/>
    </sheetView>
  </sheetViews>
  <sheetFormatPr defaultRowHeight="14.5"/>
  <cols>
    <col min="1" max="1" width="19.81640625" customWidth="1"/>
    <col min="2" max="2" width="15.1796875" customWidth="1"/>
    <col min="3" max="3" width="25.1796875" customWidth="1"/>
    <col min="4" max="4" width="18.81640625" customWidth="1"/>
    <col min="5" max="5" width="17.81640625" customWidth="1"/>
    <col min="6" max="6" width="18.1796875" customWidth="1"/>
    <col min="7" max="7" width="21.7265625" customWidth="1"/>
    <col min="8" max="8" width="22.4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0.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4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7.6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1.65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0" workbookViewId="0">
      <selection activeCell="C39" sqref="C39:C44"/>
    </sheetView>
  </sheetViews>
  <sheetFormatPr defaultColWidth="8.7265625" defaultRowHeight="14.5"/>
  <cols>
    <col min="1" max="1" width="22.8164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81640625" style="43" customWidth="1"/>
    <col min="6" max="6" width="20.54296875" style="43" customWidth="1"/>
    <col min="7" max="7" width="18.81640625" style="43" customWidth="1"/>
    <col min="8" max="8" width="24.54296875" style="43" customWidth="1"/>
    <col min="9" max="16384" width="8.7265625" style="43"/>
  </cols>
  <sheetData>
    <row r="1" spans="1:9" ht="14.5" customHeight="1">
      <c r="A1" s="157" t="s">
        <v>55</v>
      </c>
      <c r="B1" s="158"/>
      <c r="C1" s="158"/>
      <c r="D1" s="158"/>
      <c r="E1" s="158"/>
      <c r="F1" s="158"/>
      <c r="G1" s="158"/>
      <c r="H1" s="158"/>
      <c r="I1" s="161"/>
    </row>
    <row r="2" spans="1:9" ht="20.5" customHeight="1" thickBot="1">
      <c r="A2" s="159"/>
      <c r="B2" s="160"/>
      <c r="C2" s="160"/>
      <c r="D2" s="160"/>
      <c r="E2" s="160"/>
      <c r="F2" s="160"/>
      <c r="G2" s="160"/>
      <c r="H2" s="160"/>
      <c r="I2" s="162"/>
    </row>
    <row r="3" spans="1:9" ht="14.5" customHeight="1">
      <c r="A3" s="164" t="s">
        <v>80</v>
      </c>
      <c r="B3" s="165"/>
      <c r="C3" s="165"/>
      <c r="D3" s="165"/>
      <c r="E3" s="165"/>
      <c r="F3" s="165"/>
      <c r="G3" s="165"/>
      <c r="H3" s="166"/>
      <c r="I3" s="162"/>
    </row>
    <row r="4" spans="1:9" ht="22" customHeight="1" thickBot="1">
      <c r="A4" s="159"/>
      <c r="B4" s="160"/>
      <c r="C4" s="160"/>
      <c r="D4" s="160"/>
      <c r="E4" s="160"/>
      <c r="F4" s="160"/>
      <c r="G4" s="160"/>
      <c r="H4" s="160"/>
      <c r="I4" s="162"/>
    </row>
    <row r="5" spans="1:9" ht="15" thickBot="1">
      <c r="A5" s="98" t="s">
        <v>38</v>
      </c>
      <c r="B5" s="30" t="s">
        <v>39</v>
      </c>
      <c r="C5" s="167" t="s">
        <v>40</v>
      </c>
      <c r="D5" s="168"/>
      <c r="E5" s="30" t="s">
        <v>41</v>
      </c>
      <c r="F5" s="31" t="s">
        <v>42</v>
      </c>
      <c r="G5" s="30" t="s">
        <v>43</v>
      </c>
      <c r="H5" s="31" t="s">
        <v>8</v>
      </c>
      <c r="I5" s="162"/>
    </row>
    <row r="6" spans="1:9">
      <c r="A6" s="38" t="s">
        <v>44</v>
      </c>
      <c r="B6" s="9"/>
      <c r="C6" s="169"/>
      <c r="D6" s="17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2"/>
    </row>
    <row r="7" spans="1:9">
      <c r="A7" s="38" t="s">
        <v>45</v>
      </c>
      <c r="B7" s="9"/>
      <c r="C7" s="169"/>
      <c r="D7" s="17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2"/>
    </row>
    <row r="8" spans="1:9">
      <c r="A8" s="39" t="s">
        <v>46</v>
      </c>
      <c r="B8" s="11"/>
      <c r="C8" s="171"/>
      <c r="D8" s="172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2"/>
    </row>
    <row r="9" spans="1:9">
      <c r="A9" s="39" t="s">
        <v>47</v>
      </c>
      <c r="B9" s="11"/>
      <c r="C9" s="171"/>
      <c r="D9" s="172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2"/>
    </row>
    <row r="10" spans="1:9">
      <c r="A10" s="39" t="s">
        <v>48</v>
      </c>
      <c r="B10" s="11"/>
      <c r="C10" s="171"/>
      <c r="D10" s="172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2"/>
    </row>
    <row r="11" spans="1:9">
      <c r="A11" s="40" t="s">
        <v>66</v>
      </c>
      <c r="B11" s="11"/>
      <c r="C11" s="171"/>
      <c r="D11" s="172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2"/>
    </row>
    <row r="12" spans="1:9">
      <c r="A12" s="40" t="s">
        <v>66</v>
      </c>
      <c r="B12" s="11"/>
      <c r="C12" s="171"/>
      <c r="D12" s="172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2"/>
    </row>
    <row r="13" spans="1:9">
      <c r="A13" s="40" t="s">
        <v>60</v>
      </c>
      <c r="B13" s="11"/>
      <c r="C13" s="171"/>
      <c r="D13" s="172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2"/>
    </row>
    <row r="14" spans="1:9" ht="15" thickBot="1">
      <c r="A14" s="41" t="s">
        <v>60</v>
      </c>
      <c r="B14" s="11"/>
      <c r="C14" s="171"/>
      <c r="D14" s="172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2"/>
    </row>
    <row r="15" spans="1:9" ht="26.5" thickBot="1">
      <c r="A15" s="173" t="s">
        <v>49</v>
      </c>
      <c r="B15" s="174"/>
      <c r="C15" s="174"/>
      <c r="D15" s="174"/>
      <c r="E15" s="174"/>
      <c r="F15" s="174"/>
      <c r="G15" s="174"/>
      <c r="H15" s="174"/>
      <c r="I15" s="162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2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2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2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2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2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2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2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2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2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2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2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2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2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2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2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2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2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2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2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2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2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2"/>
    </row>
    <row r="38" spans="1:9" ht="14.5" customHeight="1" thickBot="1">
      <c r="A38" s="175" t="s">
        <v>78</v>
      </c>
      <c r="B38" s="176"/>
      <c r="C38" s="63" t="s">
        <v>72</v>
      </c>
      <c r="D38" s="54"/>
      <c r="E38" s="177" t="s">
        <v>70</v>
      </c>
      <c r="F38" s="178"/>
      <c r="G38" s="62" t="s">
        <v>71</v>
      </c>
      <c r="H38" s="107" t="s">
        <v>72</v>
      </c>
      <c r="I38" s="162"/>
    </row>
    <row r="39" spans="1:9" ht="15" customHeight="1" thickBot="1">
      <c r="A39" s="179" t="s">
        <v>68</v>
      </c>
      <c r="B39" s="180"/>
      <c r="C39" s="55"/>
      <c r="D39" s="58"/>
      <c r="E39" s="181"/>
      <c r="F39" s="181"/>
      <c r="G39" s="61"/>
      <c r="H39" s="108"/>
      <c r="I39" s="162"/>
    </row>
    <row r="40" spans="1:9" ht="15" thickBot="1">
      <c r="A40" s="182" t="s">
        <v>69</v>
      </c>
      <c r="B40" s="183"/>
      <c r="C40" s="51"/>
      <c r="D40" s="59"/>
      <c r="E40" s="184"/>
      <c r="F40" s="184"/>
      <c r="G40" s="60"/>
      <c r="H40" s="109"/>
      <c r="I40" s="162"/>
    </row>
    <row r="41" spans="1:9" ht="15" thickBot="1">
      <c r="A41" s="182" t="s">
        <v>73</v>
      </c>
      <c r="B41" s="183"/>
      <c r="C41" s="52"/>
      <c r="D41" s="58"/>
      <c r="E41" s="185"/>
      <c r="F41" s="185"/>
      <c r="G41" s="60"/>
      <c r="H41" s="109"/>
      <c r="I41" s="162"/>
    </row>
    <row r="42" spans="1:9" ht="15" thickBot="1">
      <c r="A42" s="186" t="s">
        <v>74</v>
      </c>
      <c r="B42" s="187"/>
      <c r="C42" s="53"/>
      <c r="D42" s="56"/>
      <c r="E42" s="188"/>
      <c r="F42" s="185"/>
      <c r="G42" s="11"/>
      <c r="H42" s="109"/>
      <c r="I42" s="162"/>
    </row>
    <row r="43" spans="1:9" ht="15" thickBot="1">
      <c r="A43" s="189" t="s">
        <v>75</v>
      </c>
      <c r="B43" s="190"/>
      <c r="C43" s="90"/>
      <c r="D43" s="56"/>
      <c r="E43" s="188"/>
      <c r="F43" s="185"/>
      <c r="G43" s="11"/>
      <c r="H43" s="109"/>
      <c r="I43" s="162"/>
    </row>
    <row r="44" spans="1:9" ht="15" thickBot="1">
      <c r="A44" s="189" t="s">
        <v>76</v>
      </c>
      <c r="B44" s="190"/>
      <c r="C44" s="90"/>
      <c r="D44" s="57"/>
      <c r="E44" s="188"/>
      <c r="F44" s="185"/>
      <c r="G44" s="11"/>
      <c r="H44" s="109"/>
      <c r="I44" s="162"/>
    </row>
    <row r="45" spans="1:9" ht="15" thickBot="1">
      <c r="A45" s="189" t="s">
        <v>77</v>
      </c>
      <c r="B45" s="190"/>
      <c r="C45" s="91">
        <f>SUM(C39+C40+C41+C42+C43+C44)</f>
        <v>0</v>
      </c>
      <c r="D45" s="92"/>
      <c r="E45" s="195"/>
      <c r="F45" s="196"/>
      <c r="G45" s="93"/>
      <c r="H45" s="110"/>
      <c r="I45" s="162"/>
    </row>
    <row r="46" spans="1:9">
      <c r="A46" s="197" t="s">
        <v>57</v>
      </c>
      <c r="B46" s="198"/>
      <c r="C46" s="198"/>
      <c r="D46" s="198"/>
      <c r="E46" s="198"/>
      <c r="F46" s="198"/>
      <c r="G46" s="198"/>
      <c r="H46" s="198"/>
      <c r="I46" s="162"/>
    </row>
    <row r="47" spans="1:9" ht="15" thickBot="1">
      <c r="A47" s="199"/>
      <c r="B47" s="200"/>
      <c r="C47" s="200"/>
      <c r="D47" s="200"/>
      <c r="E47" s="200"/>
      <c r="F47" s="200"/>
      <c r="G47" s="200"/>
      <c r="H47" s="200"/>
      <c r="I47" s="162"/>
    </row>
    <row r="48" spans="1:9" ht="24" thickBot="1">
      <c r="A48" s="201" t="s">
        <v>9</v>
      </c>
      <c r="B48" s="202"/>
      <c r="C48" s="203" t="s">
        <v>58</v>
      </c>
      <c r="D48" s="204"/>
      <c r="E48" s="205" t="s">
        <v>59</v>
      </c>
      <c r="F48" s="206"/>
      <c r="G48" s="206"/>
      <c r="H48" s="206"/>
      <c r="I48" s="162"/>
    </row>
    <row r="49" spans="1:9" ht="19" thickBot="1">
      <c r="A49" s="219"/>
      <c r="B49" s="220"/>
      <c r="C49" s="207" t="s">
        <v>61</v>
      </c>
      <c r="D49" s="208"/>
      <c r="E49" s="209">
        <f>SUM(B9:B12)</f>
        <v>0</v>
      </c>
      <c r="F49" s="210"/>
      <c r="G49" s="210"/>
      <c r="H49" s="210"/>
      <c r="I49" s="162"/>
    </row>
    <row r="50" spans="1:9" ht="19" thickBot="1">
      <c r="A50" s="221"/>
      <c r="B50" s="222"/>
      <c r="C50" s="207" t="s">
        <v>46</v>
      </c>
      <c r="D50" s="208"/>
      <c r="E50" s="209">
        <f>SUM(B6:B8)</f>
        <v>0</v>
      </c>
      <c r="F50" s="210"/>
      <c r="G50" s="210"/>
      <c r="H50" s="210"/>
      <c r="I50" s="162"/>
    </row>
    <row r="51" spans="1:9" ht="19" thickBot="1">
      <c r="A51" s="221"/>
      <c r="B51" s="222"/>
      <c r="C51" s="207" t="s">
        <v>62</v>
      </c>
      <c r="D51" s="208"/>
      <c r="E51" s="209">
        <f>SUM(B13:B14)</f>
        <v>0</v>
      </c>
      <c r="F51" s="210"/>
      <c r="G51" s="210"/>
      <c r="H51" s="210"/>
      <c r="I51" s="162"/>
    </row>
    <row r="52" spans="1:9" ht="19" thickBot="1">
      <c r="A52" s="221"/>
      <c r="B52" s="222"/>
      <c r="C52" s="191" t="s">
        <v>63</v>
      </c>
      <c r="D52" s="192"/>
      <c r="E52" s="193">
        <f>SUM(B17:B18)</f>
        <v>0</v>
      </c>
      <c r="F52" s="194"/>
      <c r="G52" s="194"/>
      <c r="H52" s="194"/>
      <c r="I52" s="162"/>
    </row>
    <row r="53" spans="1:9" ht="19" thickBot="1">
      <c r="A53" s="221"/>
      <c r="B53" s="222"/>
      <c r="C53" s="191" t="s">
        <v>64</v>
      </c>
      <c r="D53" s="192"/>
      <c r="E53" s="193">
        <f>SUM(B19:B20)</f>
        <v>0</v>
      </c>
      <c r="F53" s="194"/>
      <c r="G53" s="194"/>
      <c r="H53" s="194"/>
      <c r="I53" s="162"/>
    </row>
    <row r="54" spans="1:9" ht="19" thickBot="1">
      <c r="A54" s="221"/>
      <c r="B54" s="222"/>
      <c r="C54" s="191" t="s">
        <v>56</v>
      </c>
      <c r="D54" s="192"/>
      <c r="E54" s="193">
        <f>B29</f>
        <v>0</v>
      </c>
      <c r="F54" s="194"/>
      <c r="G54" s="194"/>
      <c r="H54" s="194"/>
      <c r="I54" s="162"/>
    </row>
    <row r="55" spans="1:9" ht="19" thickBot="1">
      <c r="A55" s="221"/>
      <c r="B55" s="222"/>
      <c r="C55" s="191" t="s">
        <v>56</v>
      </c>
      <c r="D55" s="192"/>
      <c r="E55" s="193">
        <f t="shared" ref="E55:E61" si="11">B30</f>
        <v>0</v>
      </c>
      <c r="F55" s="194"/>
      <c r="G55" s="194"/>
      <c r="H55" s="194"/>
      <c r="I55" s="162"/>
    </row>
    <row r="56" spans="1:9" ht="19" thickBot="1">
      <c r="A56" s="221"/>
      <c r="B56" s="222"/>
      <c r="C56" s="191" t="s">
        <v>56</v>
      </c>
      <c r="D56" s="192"/>
      <c r="E56" s="193">
        <f t="shared" si="11"/>
        <v>0</v>
      </c>
      <c r="F56" s="194"/>
      <c r="G56" s="194"/>
      <c r="H56" s="194"/>
      <c r="I56" s="162"/>
    </row>
    <row r="57" spans="1:9" ht="19" thickBot="1">
      <c r="A57" s="221"/>
      <c r="B57" s="222"/>
      <c r="C57" s="191" t="s">
        <v>56</v>
      </c>
      <c r="D57" s="192"/>
      <c r="E57" s="193">
        <f t="shared" si="11"/>
        <v>0</v>
      </c>
      <c r="F57" s="194"/>
      <c r="G57" s="194"/>
      <c r="H57" s="194"/>
      <c r="I57" s="162"/>
    </row>
    <row r="58" spans="1:9" ht="19" thickBot="1">
      <c r="A58" s="221"/>
      <c r="B58" s="222"/>
      <c r="C58" s="191" t="s">
        <v>56</v>
      </c>
      <c r="D58" s="192"/>
      <c r="E58" s="193">
        <f t="shared" si="11"/>
        <v>0</v>
      </c>
      <c r="F58" s="194"/>
      <c r="G58" s="194"/>
      <c r="H58" s="194"/>
      <c r="I58" s="162"/>
    </row>
    <row r="59" spans="1:9" ht="19" thickBot="1">
      <c r="A59" s="221"/>
      <c r="B59" s="222"/>
      <c r="C59" s="191" t="s">
        <v>56</v>
      </c>
      <c r="D59" s="192"/>
      <c r="E59" s="193">
        <f t="shared" si="11"/>
        <v>0</v>
      </c>
      <c r="F59" s="194"/>
      <c r="G59" s="194"/>
      <c r="H59" s="194"/>
      <c r="I59" s="162"/>
    </row>
    <row r="60" spans="1:9" ht="19" thickBot="1">
      <c r="A60" s="221"/>
      <c r="B60" s="222"/>
      <c r="C60" s="191" t="s">
        <v>56</v>
      </c>
      <c r="D60" s="192"/>
      <c r="E60" s="193">
        <f t="shared" si="11"/>
        <v>0</v>
      </c>
      <c r="F60" s="194"/>
      <c r="G60" s="194"/>
      <c r="H60" s="194"/>
      <c r="I60" s="162"/>
    </row>
    <row r="61" spans="1:9" ht="19" thickBot="1">
      <c r="A61" s="221"/>
      <c r="B61" s="222"/>
      <c r="C61" s="191" t="s">
        <v>56</v>
      </c>
      <c r="D61" s="192"/>
      <c r="E61" s="193">
        <f t="shared" si="11"/>
        <v>0</v>
      </c>
      <c r="F61" s="194"/>
      <c r="G61" s="194"/>
      <c r="H61" s="194"/>
      <c r="I61" s="162"/>
    </row>
    <row r="62" spans="1:9" ht="32.5" thickBot="1">
      <c r="A62" s="221"/>
      <c r="B62" s="222"/>
      <c r="C62" s="191" t="s">
        <v>65</v>
      </c>
      <c r="D62" s="192"/>
      <c r="E62" s="217">
        <f>SUM(E49:H61)</f>
        <v>0</v>
      </c>
      <c r="F62" s="218"/>
      <c r="G62" s="218"/>
      <c r="H62" s="218"/>
      <c r="I62" s="162"/>
    </row>
    <row r="63" spans="1:9" ht="19" thickBot="1">
      <c r="A63" s="223"/>
      <c r="B63" s="224"/>
      <c r="C63" s="228"/>
      <c r="D63" s="229"/>
      <c r="E63" s="230"/>
      <c r="F63" s="231"/>
      <c r="G63" s="231"/>
      <c r="H63" s="231"/>
      <c r="I63" s="162"/>
    </row>
    <row r="64" spans="1:9" ht="15" thickBot="1">
      <c r="A64" s="215"/>
      <c r="B64" s="216"/>
      <c r="C64" s="216"/>
      <c r="D64" s="216"/>
      <c r="E64" s="216"/>
      <c r="F64" s="216"/>
      <c r="G64" s="216"/>
      <c r="H64" s="216"/>
      <c r="I64" s="163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54296875" customWidth="1"/>
  </cols>
  <sheetData>
    <row r="1" spans="1:7">
      <c r="A1" s="197" t="s">
        <v>57</v>
      </c>
      <c r="B1" s="198"/>
      <c r="C1" s="198"/>
      <c r="D1" s="198"/>
      <c r="E1" s="198"/>
      <c r="F1" s="198"/>
      <c r="G1" s="244"/>
    </row>
    <row r="2" spans="1:7" ht="15" thickBot="1">
      <c r="A2" s="199"/>
      <c r="B2" s="200"/>
      <c r="C2" s="200"/>
      <c r="D2" s="200"/>
      <c r="E2" s="200"/>
      <c r="F2" s="200"/>
      <c r="G2" s="245"/>
    </row>
    <row r="3" spans="1:7" ht="28.5" thickBot="1">
      <c r="A3" s="246" t="s">
        <v>58</v>
      </c>
      <c r="B3" s="247"/>
      <c r="C3" s="248"/>
      <c r="D3" s="246" t="s">
        <v>59</v>
      </c>
      <c r="E3" s="247"/>
      <c r="F3" s="247"/>
      <c r="G3" s="248"/>
    </row>
    <row r="4" spans="1:7" ht="41.5" customHeight="1" thickBot="1">
      <c r="A4" s="241" t="s">
        <v>61</v>
      </c>
      <c r="B4" s="242"/>
      <c r="C4" s="243"/>
      <c r="D4" s="232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45253</v>
      </c>
      <c r="E4" s="233"/>
      <c r="F4" s="233"/>
      <c r="G4" s="234"/>
    </row>
    <row r="5" spans="1:7" ht="37" customHeight="1" thickBot="1">
      <c r="A5" s="241" t="s">
        <v>46</v>
      </c>
      <c r="B5" s="242"/>
      <c r="C5" s="243"/>
      <c r="D5" s="232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620</v>
      </c>
      <c r="E5" s="233"/>
      <c r="F5" s="233"/>
      <c r="G5" s="234"/>
    </row>
    <row r="6" spans="1:7" ht="40" customHeight="1" thickBot="1">
      <c r="A6" s="241" t="s">
        <v>60</v>
      </c>
      <c r="B6" s="242"/>
      <c r="C6" s="243"/>
      <c r="D6" s="232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1837</v>
      </c>
      <c r="E6" s="233"/>
      <c r="F6" s="233"/>
      <c r="G6" s="234"/>
    </row>
    <row r="7" spans="1:7" ht="38.5" customHeight="1" thickBot="1">
      <c r="A7" s="235" t="s">
        <v>63</v>
      </c>
      <c r="B7" s="236"/>
      <c r="C7" s="237"/>
      <c r="D7" s="232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3522</v>
      </c>
      <c r="E7" s="233"/>
      <c r="F7" s="233"/>
      <c r="G7" s="234"/>
    </row>
    <row r="8" spans="1:7" ht="40" customHeight="1" thickBot="1">
      <c r="A8" s="235" t="s">
        <v>64</v>
      </c>
      <c r="B8" s="236"/>
      <c r="C8" s="237"/>
      <c r="D8" s="232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130</v>
      </c>
      <c r="E8" s="233"/>
      <c r="F8" s="233"/>
      <c r="G8" s="234"/>
    </row>
    <row r="9" spans="1:7" ht="38.5" customHeight="1" thickBot="1">
      <c r="A9" s="235" t="s">
        <v>84</v>
      </c>
      <c r="B9" s="236"/>
      <c r="C9" s="237"/>
      <c r="D9" s="232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3"/>
      <c r="F9" s="233"/>
      <c r="G9" s="234"/>
    </row>
    <row r="10" spans="1:7" ht="38.15" customHeight="1" thickBot="1">
      <c r="A10" s="235" t="s">
        <v>84</v>
      </c>
      <c r="B10" s="236"/>
      <c r="C10" s="237"/>
      <c r="D10" s="232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3"/>
      <c r="F10" s="233"/>
      <c r="G10" s="234"/>
    </row>
    <row r="11" spans="1:7" ht="38.5" customHeight="1" thickBot="1">
      <c r="A11" s="235" t="s">
        <v>84</v>
      </c>
      <c r="B11" s="236"/>
      <c r="C11" s="237"/>
      <c r="D11" s="232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3"/>
      <c r="F11" s="233"/>
      <c r="G11" s="234"/>
    </row>
    <row r="12" spans="1:7" ht="36.65" customHeight="1" thickBot="1">
      <c r="A12" s="235" t="s">
        <v>84</v>
      </c>
      <c r="B12" s="236"/>
      <c r="C12" s="237"/>
      <c r="D12" s="232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3"/>
      <c r="F12" s="233"/>
      <c r="G12" s="234"/>
    </row>
    <row r="13" spans="1:7" ht="38.15" customHeight="1" thickBot="1">
      <c r="A13" s="235" t="s">
        <v>84</v>
      </c>
      <c r="B13" s="236"/>
      <c r="C13" s="237"/>
      <c r="D13" s="232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3"/>
      <c r="F13" s="233"/>
      <c r="G13" s="234"/>
    </row>
    <row r="14" spans="1:7" ht="29" thickBot="1">
      <c r="A14" s="235" t="s">
        <v>84</v>
      </c>
      <c r="B14" s="236"/>
      <c r="C14" s="237"/>
      <c r="D14" s="232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3"/>
      <c r="F14" s="233"/>
      <c r="G14" s="234"/>
    </row>
    <row r="15" spans="1:7" ht="29" thickBot="1">
      <c r="A15" s="235" t="s">
        <v>84</v>
      </c>
      <c r="B15" s="236"/>
      <c r="C15" s="237"/>
      <c r="D15" s="232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3"/>
      <c r="F15" s="233"/>
      <c r="G15" s="234"/>
    </row>
    <row r="16" spans="1:7" ht="29" thickBot="1">
      <c r="A16" s="235" t="s">
        <v>84</v>
      </c>
      <c r="B16" s="236"/>
      <c r="C16" s="237"/>
      <c r="D16" s="232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3"/>
      <c r="F16" s="233"/>
      <c r="G16" s="234"/>
    </row>
    <row r="17" spans="1:7" ht="29" thickBot="1">
      <c r="A17" s="235" t="s">
        <v>65</v>
      </c>
      <c r="B17" s="236"/>
      <c r="C17" s="237"/>
      <c r="D17" s="238">
        <f>SUM(D4:D16)</f>
        <v>51362</v>
      </c>
      <c r="E17" s="239"/>
      <c r="F17" s="239"/>
      <c r="G17" s="240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GASHYUSHYA</vt:lpstr>
      <vt:lpstr>NGOMA</vt:lpstr>
      <vt:lpstr>GISAGARA</vt:lpstr>
      <vt:lpstr>NYAMAGABE</vt:lpstr>
      <vt:lpstr>NGORORERO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2026-04-08T11:40:11Z</dcterms:modified>
</cp:coreProperties>
</file>