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H21" i="1"/>
  <c r="G21" i="1"/>
  <c r="F21" i="1"/>
  <c r="E21" i="1"/>
  <c r="H20" i="1"/>
  <c r="G20" i="1"/>
  <c r="F20" i="1"/>
  <c r="E20" i="1"/>
  <c r="G19" i="1"/>
  <c r="G41" i="1" s="1"/>
  <c r="F19" i="1"/>
  <c r="H19" i="1" s="1"/>
  <c r="E19" i="1"/>
  <c r="E41" i="1" s="1"/>
  <c r="H18" i="1"/>
  <c r="G18" i="1"/>
  <c r="F18" i="1"/>
  <c r="E18" i="1"/>
  <c r="H17" i="1"/>
  <c r="G17" i="1"/>
  <c r="F17" i="1"/>
  <c r="E17" i="1"/>
  <c r="H14" i="1"/>
  <c r="G14" i="1"/>
  <c r="F14" i="1"/>
  <c r="E14" i="1"/>
  <c r="H13" i="1"/>
  <c r="G13" i="1"/>
  <c r="F13" i="1"/>
  <c r="E13" i="1"/>
  <c r="H12" i="1"/>
  <c r="G12" i="1"/>
  <c r="F12" i="1"/>
  <c r="E12" i="1"/>
  <c r="H11" i="1"/>
  <c r="G11" i="1"/>
  <c r="F11" i="1"/>
  <c r="E11" i="1"/>
  <c r="G10" i="1"/>
  <c r="F10" i="1"/>
  <c r="E10" i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F41" i="1" l="1"/>
  <c r="H41" i="1" s="1"/>
  <c r="H10" i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<sst xmlns="http://schemas.openxmlformats.org/spreadsheetml/2006/main" count="65" uniqueCount="47">
  <si>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</si>
  <si>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</si>
  <si>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</si>
  <si>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</si>
  <si>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</si>
  <si>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</si>
  <si>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</si>
  <si>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</si>
  <si>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</si>
  <si>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</si>
  <si>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</si>
  <si>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</si>
  <si>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</si>
  <si>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</si>
  <si>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</si>
  <si>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</si>
  <si>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</si>
  <si>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</si>
  <si>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</si>
  <si>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</si>
  <si>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</si>
  <si>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</si>
  <si>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</si>
  <si>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</si>
  <si>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</si>
  <si>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</si>
  <si>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</si>
  <si>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</si>
  <si>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</si>
  <si>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</si>
  <si>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</si>
  <si>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</si>
  <si>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</si>
  <si>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</si>
  <si>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</si>
  <si>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</si>
  <si>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</si>
  <si>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</si>
  <si>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</si>
  <si>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</si>
  <si>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</si>
  <si>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</si>
  <si>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</si>
  <si>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</si>
  <si>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</si>
  <si>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</si>
  <si>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DIARY REPORT ON..05/05/2026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</si>
</sst>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9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110" zoomScaleNormal="110" workbookViewId="0">
      <selection activeCell="J4" sqref="J4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71" t="s">
        <v>0</v>
      </c>
      <c r="B1" s="72"/>
      <c r="C1" s="72"/>
      <c r="D1" s="72"/>
      <c r="E1" s="72"/>
      <c r="F1" s="72"/>
      <c r="G1" s="72"/>
      <c r="H1" s="73"/>
    </row>
    <row r="2" spans="1:8" ht="12.65" customHeight="1">
      <c r="A2" s="74"/>
      <c r="B2" s="75"/>
      <c r="C2" s="75"/>
      <c r="D2" s="75"/>
      <c r="E2" s="75"/>
      <c r="F2" s="75"/>
      <c r="G2" s="75"/>
      <c r="H2" s="76"/>
    </row>
    <row r="3" spans="1:8" ht="13.15" customHeight="1">
      <c r="A3" s="77" t="s">
        <v>46</v>
      </c>
      <c r="B3" s="78"/>
      <c r="C3" s="78"/>
      <c r="D3" s="78"/>
      <c r="E3" s="78"/>
      <c r="F3" s="78"/>
      <c r="G3" s="78"/>
      <c r="H3" s="79"/>
    </row>
    <row r="4" spans="1:8">
      <c r="A4" s="80"/>
      <c r="B4" s="81"/>
      <c r="C4" s="81"/>
      <c r="D4" s="81"/>
      <c r="E4" s="81"/>
      <c r="F4" s="81"/>
      <c r="G4" s="81"/>
      <c r="H4" s="82"/>
    </row>
    <row r="5" spans="1:8">
      <c r="A5" s="2"/>
      <c r="B5" s="2" t="s">
        <v>1</v>
      </c>
      <c r="C5" s="57" t="s">
        <v>2</v>
      </c>
      <c r="D5" s="58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9">
        <v>8850</v>
      </c>
      <c r="D6" s="60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9">
        <v>7670</v>
      </c>
      <c r="D7" s="60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61">
        <v>2360</v>
      </c>
      <c r="D8" s="62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61">
        <v>4130</v>
      </c>
      <c r="D9" s="62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1282</v>
      </c>
      <c r="C10" s="61">
        <v>2360</v>
      </c>
      <c r="D10" s="62"/>
      <c r="E10" s="13">
        <f t="shared" si="3"/>
        <v>3025520</v>
      </c>
      <c r="F10" s="13">
        <f t="shared" si="4"/>
        <v>461520</v>
      </c>
      <c r="G10" s="13">
        <f>PRODUCT(B10*30)</f>
        <v>38460</v>
      </c>
      <c r="H10" s="14">
        <f t="shared" si="5"/>
        <v>499980</v>
      </c>
    </row>
    <row r="11" spans="1:8">
      <c r="A11" s="10" t="s">
        <v>12</v>
      </c>
      <c r="B11" s="11"/>
      <c r="C11" s="61">
        <v>1534</v>
      </c>
      <c r="D11" s="62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13</v>
      </c>
      <c r="B12" s="11"/>
      <c r="C12" s="61">
        <v>1770</v>
      </c>
      <c r="D12" s="62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61">
        <v>2124</v>
      </c>
      <c r="D13" s="62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61">
        <v>2124</v>
      </c>
      <c r="D14" s="62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91"/>
      <c r="B15" s="92"/>
      <c r="C15" s="92"/>
      <c r="D15" s="92"/>
      <c r="E15" s="92"/>
      <c r="F15" s="92"/>
      <c r="G15" s="92"/>
      <c r="H15" s="93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3025520</v>
      </c>
      <c r="F41" s="36">
        <f>SUM(F6:F40)</f>
        <v>461520</v>
      </c>
      <c r="G41" s="36">
        <f>SUM(G6:G40)</f>
        <v>38460</v>
      </c>
      <c r="H41" s="37">
        <f t="shared" si="19"/>
        <v>499980</v>
      </c>
    </row>
    <row r="42" spans="1:8">
      <c r="A42" s="83" t="s">
        <v>34</v>
      </c>
      <c r="B42" s="84"/>
      <c r="C42" s="38">
        <v>499980</v>
      </c>
      <c r="D42" s="39"/>
      <c r="E42" s="94" t="s">
        <v>35</v>
      </c>
      <c r="F42" s="94"/>
      <c r="G42" s="94"/>
      <c r="H42" s="94"/>
    </row>
    <row r="43" spans="1:8">
      <c r="A43" s="83" t="s">
        <v>36</v>
      </c>
      <c r="B43" s="84"/>
      <c r="C43" s="40"/>
      <c r="D43" s="38" t="s">
        <v>37</v>
      </c>
      <c r="E43" s="63" t="s">
        <v>38</v>
      </c>
      <c r="F43" s="64"/>
      <c r="G43" s="38" t="s">
        <v>39</v>
      </c>
      <c r="H43" s="41" t="s">
        <v>40</v>
      </c>
    </row>
    <row r="44" spans="1:8">
      <c r="A44" s="83" t="s">
        <v>41</v>
      </c>
      <c r="B44" s="84"/>
      <c r="C44" s="42"/>
      <c r="D44" s="43"/>
      <c r="E44" s="85"/>
      <c r="F44" s="86"/>
      <c r="G44" s="44"/>
      <c r="H44" s="45"/>
    </row>
    <row r="45" spans="1:8">
      <c r="A45" s="87" t="s">
        <v>42</v>
      </c>
      <c r="B45" s="88"/>
      <c r="C45" s="46"/>
      <c r="D45" s="38"/>
      <c r="E45" s="89"/>
      <c r="F45" s="90"/>
      <c r="G45" s="11"/>
      <c r="H45" s="47"/>
    </row>
    <row r="46" spans="1:8">
      <c r="A46" s="65" t="s">
        <v>42</v>
      </c>
      <c r="B46" s="66"/>
      <c r="C46" s="48"/>
      <c r="D46" s="41"/>
      <c r="E46" s="67"/>
      <c r="F46" s="68"/>
      <c r="G46" s="11"/>
      <c r="H46" s="47"/>
    </row>
    <row r="47" spans="1:8">
      <c r="A47" s="65"/>
      <c r="B47" s="66"/>
      <c r="C47" s="48"/>
      <c r="D47" s="49"/>
      <c r="E47" s="67"/>
      <c r="F47" s="68"/>
      <c r="G47" s="11"/>
      <c r="H47" s="47"/>
    </row>
    <row r="48" spans="1:8">
      <c r="A48" s="65" t="s">
        <v>43</v>
      </c>
      <c r="B48" s="66"/>
      <c r="C48" s="50">
        <f>C42+C43+C44+C45+C46+C47</f>
        <v>499980</v>
      </c>
      <c r="D48" s="51"/>
      <c r="E48" s="69"/>
      <c r="F48" s="70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dcterms:created xsi:type="dcterms:W3CDTF">2025-11-14T11:31:00Z</dcterms:created>
  <dcterms:modified xsi:type="dcterms:W3CDTF">2026-05-05T15:55:37Z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