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-110" yWindow="-110" windowWidth="19420" windowHeight="10300" tabRatio="965" activeTab="2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0" i="2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D13" i="21" l="1"/>
  <c r="D14"/>
  <c r="D15"/>
  <c r="D16"/>
  <c r="D9"/>
  <c r="D10"/>
  <c r="D11"/>
  <c r="D12"/>
  <c r="E25" i="1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H25"/>
  <c r="H24"/>
  <c r="H23"/>
  <c r="H22"/>
  <c r="H21"/>
  <c r="H20"/>
  <c r="H19"/>
  <c r="H18"/>
  <c r="H17"/>
  <c r="H16"/>
  <c r="J25"/>
  <c r="I25"/>
  <c r="J24"/>
  <c r="J23"/>
  <c r="J22"/>
  <c r="J21"/>
  <c r="J20"/>
  <c r="J19"/>
  <c r="J18"/>
  <c r="J17"/>
  <c r="J10"/>
  <c r="J9"/>
  <c r="J8"/>
  <c r="J6"/>
  <c r="J5"/>
  <c r="I24"/>
  <c r="I23"/>
  <c r="I22"/>
  <c r="I21"/>
  <c r="I20"/>
  <c r="I19"/>
  <c r="I18"/>
  <c r="I17"/>
  <c r="I10"/>
  <c r="I9"/>
  <c r="I8"/>
  <c r="I6"/>
  <c r="I5"/>
  <c r="H10"/>
  <c r="H9"/>
  <c r="H8"/>
  <c r="H6"/>
  <c r="H5"/>
  <c r="G10"/>
  <c r="G9"/>
  <c r="G8"/>
  <c r="G6"/>
  <c r="G25"/>
  <c r="G24"/>
  <c r="G23"/>
  <c r="G22"/>
  <c r="G21"/>
  <c r="G20"/>
  <c r="G19"/>
  <c r="G18"/>
  <c r="G17"/>
  <c r="G16"/>
  <c r="E61" i="24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E35"/>
  <c r="F35" s="1"/>
  <c r="H35" s="1"/>
  <c r="G34"/>
  <c r="F34"/>
  <c r="H34" s="1"/>
  <c r="E34"/>
  <c r="G33"/>
  <c r="E33"/>
  <c r="F33" s="1"/>
  <c r="H33" s="1"/>
  <c r="G32"/>
  <c r="E32"/>
  <c r="F32" s="1"/>
  <c r="H32" s="1"/>
  <c r="G31"/>
  <c r="E31"/>
  <c r="F31" s="1"/>
  <c r="H31" s="1"/>
  <c r="G30"/>
  <c r="F30"/>
  <c r="H30" s="1"/>
  <c r="E30"/>
  <c r="G29"/>
  <c r="E29"/>
  <c r="F29" s="1"/>
  <c r="H29" s="1"/>
  <c r="G28"/>
  <c r="E28"/>
  <c r="F28" s="1"/>
  <c r="H28" s="1"/>
  <c r="G27"/>
  <c r="E27"/>
  <c r="F27" s="1"/>
  <c r="H27" s="1"/>
  <c r="G26"/>
  <c r="F26"/>
  <c r="H26" s="1"/>
  <c r="E26"/>
  <c r="G25"/>
  <c r="E25"/>
  <c r="F25" s="1"/>
  <c r="H25" s="1"/>
  <c r="G24"/>
  <c r="E24"/>
  <c r="F24" s="1"/>
  <c r="H24" s="1"/>
  <c r="G23"/>
  <c r="E23"/>
  <c r="F23" s="1"/>
  <c r="H23" s="1"/>
  <c r="G22"/>
  <c r="F22"/>
  <c r="H22" s="1"/>
  <c r="E22"/>
  <c r="G21"/>
  <c r="E21"/>
  <c r="F21" s="1"/>
  <c r="H21" s="1"/>
  <c r="G20"/>
  <c r="E20"/>
  <c r="F20" s="1"/>
  <c r="H20" s="1"/>
  <c r="G19"/>
  <c r="E19"/>
  <c r="F19" s="1"/>
  <c r="H19" s="1"/>
  <c r="G18"/>
  <c r="F18"/>
  <c r="H18" s="1"/>
  <c r="E18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G37" s="1"/>
  <c r="C25" i="1" s="1"/>
  <c r="F6" i="24"/>
  <c r="E6"/>
  <c r="E61" i="2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4" i="1" s="1"/>
  <c r="E6" i="23"/>
  <c r="F6" s="1"/>
  <c r="E61" i="18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2" i="1" s="1"/>
  <c r="E6" i="18"/>
  <c r="F6" s="1"/>
  <c r="E61" i="17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1" i="1" s="1"/>
  <c r="E6" i="17"/>
  <c r="F6" s="1"/>
  <c r="E61" i="16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20" i="1" s="1"/>
  <c r="E6" i="16"/>
  <c r="F6" s="1"/>
  <c r="E61" i="14"/>
  <c r="E60"/>
  <c r="E59"/>
  <c r="E58"/>
  <c r="E57"/>
  <c r="E56"/>
  <c r="E55"/>
  <c r="E54"/>
  <c r="E53"/>
  <c r="E52"/>
  <c r="E62" s="1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18" i="1" s="1"/>
  <c r="E6" i="14"/>
  <c r="F6" s="1"/>
  <c r="E61" i="1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2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5"/>
  <c r="E60"/>
  <c r="E59"/>
  <c r="E58"/>
  <c r="E57"/>
  <c r="E56"/>
  <c r="E55"/>
  <c r="E54"/>
  <c r="E53"/>
  <c r="E52"/>
  <c r="E51"/>
  <c r="E50"/>
  <c r="E49"/>
  <c r="C45"/>
  <c r="G36"/>
  <c r="F36"/>
  <c r="H36" s="1"/>
  <c r="E36"/>
  <c r="G35"/>
  <c r="E35"/>
  <c r="F35" s="1"/>
  <c r="H35" s="1"/>
  <c r="G34"/>
  <c r="E34"/>
  <c r="F34" s="1"/>
  <c r="H34" s="1"/>
  <c r="G33"/>
  <c r="E33"/>
  <c r="F33" s="1"/>
  <c r="H33" s="1"/>
  <c r="G32"/>
  <c r="F32"/>
  <c r="H32" s="1"/>
  <c r="E32"/>
  <c r="G31"/>
  <c r="E31"/>
  <c r="F31" s="1"/>
  <c r="H31" s="1"/>
  <c r="G30"/>
  <c r="E30"/>
  <c r="F30" s="1"/>
  <c r="H30" s="1"/>
  <c r="G29"/>
  <c r="E29"/>
  <c r="F29" s="1"/>
  <c r="H29" s="1"/>
  <c r="G28"/>
  <c r="F28"/>
  <c r="H28" s="1"/>
  <c r="E28"/>
  <c r="G27"/>
  <c r="E27"/>
  <c r="F27" s="1"/>
  <c r="H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F20"/>
  <c r="H20" s="1"/>
  <c r="E20"/>
  <c r="G19"/>
  <c r="E19"/>
  <c r="F19" s="1"/>
  <c r="H19" s="1"/>
  <c r="G18"/>
  <c r="E18"/>
  <c r="F18" s="1"/>
  <c r="H18" s="1"/>
  <c r="G17"/>
  <c r="E17"/>
  <c r="F17" s="1"/>
  <c r="H17" s="1"/>
  <c r="G14"/>
  <c r="F14"/>
  <c r="H14" s="1"/>
  <c r="E14"/>
  <c r="G13"/>
  <c r="F13"/>
  <c r="H13" s="1"/>
  <c r="E13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F7"/>
  <c r="H7" s="1"/>
  <c r="E7"/>
  <c r="G6"/>
  <c r="F6"/>
  <c r="E6"/>
  <c r="E61" i="11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10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F6" s="1"/>
  <c r="E61" i="9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22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8"/>
  <c r="E60"/>
  <c r="E59"/>
  <c r="E58"/>
  <c r="E57"/>
  <c r="E56"/>
  <c r="E55"/>
  <c r="E54"/>
  <c r="E53"/>
  <c r="E52"/>
  <c r="E51"/>
  <c r="E50"/>
  <c r="E49"/>
  <c r="E62" s="1"/>
  <c r="C45"/>
  <c r="G36"/>
  <c r="F36"/>
  <c r="H36" s="1"/>
  <c r="E36"/>
  <c r="G35"/>
  <c r="F35"/>
  <c r="H35" s="1"/>
  <c r="E35"/>
  <c r="G34"/>
  <c r="F34"/>
  <c r="H34" s="1"/>
  <c r="E34"/>
  <c r="G33"/>
  <c r="F33"/>
  <c r="H33" s="1"/>
  <c r="E33"/>
  <c r="G32"/>
  <c r="F32"/>
  <c r="H32" s="1"/>
  <c r="E32"/>
  <c r="G31"/>
  <c r="F31"/>
  <c r="H31" s="1"/>
  <c r="E31"/>
  <c r="G30"/>
  <c r="F30"/>
  <c r="H30" s="1"/>
  <c r="E30"/>
  <c r="G29"/>
  <c r="F29"/>
  <c r="H29" s="1"/>
  <c r="E29"/>
  <c r="G28"/>
  <c r="F28"/>
  <c r="H28" s="1"/>
  <c r="E28"/>
  <c r="G27"/>
  <c r="F27"/>
  <c r="H27" s="1"/>
  <c r="E27"/>
  <c r="G26"/>
  <c r="F26"/>
  <c r="H26" s="1"/>
  <c r="E26"/>
  <c r="G25"/>
  <c r="F25"/>
  <c r="H25" s="1"/>
  <c r="E25"/>
  <c r="G24"/>
  <c r="F24"/>
  <c r="H24" s="1"/>
  <c r="E24"/>
  <c r="G23"/>
  <c r="F23"/>
  <c r="H23" s="1"/>
  <c r="E23"/>
  <c r="G22"/>
  <c r="E22"/>
  <c r="F22" s="1"/>
  <c r="H22" s="1"/>
  <c r="G21"/>
  <c r="F21"/>
  <c r="H21" s="1"/>
  <c r="E21"/>
  <c r="G20"/>
  <c r="E20"/>
  <c r="F20" s="1"/>
  <c r="H20" s="1"/>
  <c r="G19"/>
  <c r="E19"/>
  <c r="F19" s="1"/>
  <c r="H19" s="1"/>
  <c r="G18"/>
  <c r="E18"/>
  <c r="F18" s="1"/>
  <c r="H18" s="1"/>
  <c r="G17"/>
  <c r="F17"/>
  <c r="H17" s="1"/>
  <c r="E17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6"/>
  <c r="E60"/>
  <c r="E59"/>
  <c r="E58"/>
  <c r="E57"/>
  <c r="E56"/>
  <c r="E55"/>
  <c r="E54"/>
  <c r="E53"/>
  <c r="E52"/>
  <c r="E51"/>
  <c r="E50"/>
  <c r="E62" s="1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G37" s="1"/>
  <c r="C9" i="1" s="1"/>
  <c r="E6" i="6"/>
  <c r="F6" s="1"/>
  <c r="E61" i="19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C23" i="1" s="1"/>
  <c r="E6" i="19"/>
  <c r="F6" s="1"/>
  <c r="E61" i="7"/>
  <c r="E60"/>
  <c r="E59"/>
  <c r="E58"/>
  <c r="E57"/>
  <c r="E56"/>
  <c r="E55"/>
  <c r="E54"/>
  <c r="E53"/>
  <c r="E52"/>
  <c r="E51"/>
  <c r="E50"/>
  <c r="E49"/>
  <c r="E62" s="1"/>
  <c r="C45"/>
  <c r="G36"/>
  <c r="E36"/>
  <c r="F36" s="1"/>
  <c r="H36" s="1"/>
  <c r="G35"/>
  <c r="E35"/>
  <c r="F35" s="1"/>
  <c r="G34"/>
  <c r="E34"/>
  <c r="F34" s="1"/>
  <c r="H34" s="1"/>
  <c r="G33"/>
  <c r="E33"/>
  <c r="F33" s="1"/>
  <c r="G32"/>
  <c r="E32"/>
  <c r="F32" s="1"/>
  <c r="H32" s="1"/>
  <c r="G31"/>
  <c r="E31"/>
  <c r="F31" s="1"/>
  <c r="G30"/>
  <c r="E30"/>
  <c r="F30" s="1"/>
  <c r="H30" s="1"/>
  <c r="G29"/>
  <c r="E29"/>
  <c r="F29" s="1"/>
  <c r="G28"/>
  <c r="E28"/>
  <c r="F28" s="1"/>
  <c r="H28" s="1"/>
  <c r="G27"/>
  <c r="E27"/>
  <c r="F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4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61" i="3"/>
  <c r="E60"/>
  <c r="E59"/>
  <c r="E58"/>
  <c r="E57"/>
  <c r="E56"/>
  <c r="E55"/>
  <c r="E54"/>
  <c r="E53"/>
  <c r="E52"/>
  <c r="E51"/>
  <c r="E50"/>
  <c r="E49"/>
  <c r="C45"/>
  <c r="G36"/>
  <c r="E36"/>
  <c r="F36" s="1"/>
  <c r="H36" s="1"/>
  <c r="G35"/>
  <c r="E35"/>
  <c r="F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G7"/>
  <c r="E7"/>
  <c r="F7" s="1"/>
  <c r="H7" s="1"/>
  <c r="G6"/>
  <c r="E6"/>
  <c r="F6" s="1"/>
  <c r="E61" i="5"/>
  <c r="E60"/>
  <c r="E59"/>
  <c r="E58"/>
  <c r="E57"/>
  <c r="E56"/>
  <c r="E55"/>
  <c r="E54"/>
  <c r="E53"/>
  <c r="E52"/>
  <c r="D7" i="21" s="1"/>
  <c r="E51" i="5"/>
  <c r="E50"/>
  <c r="E49"/>
  <c r="C45"/>
  <c r="G36"/>
  <c r="E36"/>
  <c r="F36" s="1"/>
  <c r="H36" s="1"/>
  <c r="G35"/>
  <c r="E35"/>
  <c r="F35" s="1"/>
  <c r="H35" s="1"/>
  <c r="G34"/>
  <c r="E34"/>
  <c r="F34" s="1"/>
  <c r="H34" s="1"/>
  <c r="G33"/>
  <c r="E33"/>
  <c r="F33" s="1"/>
  <c r="H33" s="1"/>
  <c r="G32"/>
  <c r="E32"/>
  <c r="F32" s="1"/>
  <c r="H32" s="1"/>
  <c r="G31"/>
  <c r="E31"/>
  <c r="F31" s="1"/>
  <c r="H31" s="1"/>
  <c r="G30"/>
  <c r="E30"/>
  <c r="F30" s="1"/>
  <c r="H30" s="1"/>
  <c r="G29"/>
  <c r="E29"/>
  <c r="F29" s="1"/>
  <c r="H29" s="1"/>
  <c r="G28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G19"/>
  <c r="E19"/>
  <c r="F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E97" i="2"/>
  <c r="E96"/>
  <c r="E95"/>
  <c r="E94"/>
  <c r="E93"/>
  <c r="E92"/>
  <c r="E91"/>
  <c r="E89"/>
  <c r="E88"/>
  <c r="E87"/>
  <c r="E86"/>
  <c r="E85"/>
  <c r="C81"/>
  <c r="G72"/>
  <c r="E72"/>
  <c r="F72" s="1"/>
  <c r="H72" s="1"/>
  <c r="G71"/>
  <c r="E71"/>
  <c r="F71" s="1"/>
  <c r="H71" s="1"/>
  <c r="G70"/>
  <c r="E70"/>
  <c r="F70" s="1"/>
  <c r="H70" s="1"/>
  <c r="G69"/>
  <c r="E69"/>
  <c r="F69" s="1"/>
  <c r="H69" s="1"/>
  <c r="G68"/>
  <c r="E68"/>
  <c r="F68" s="1"/>
  <c r="H68" s="1"/>
  <c r="G67"/>
  <c r="E67"/>
  <c r="F67" s="1"/>
  <c r="H67" s="1"/>
  <c r="G66"/>
  <c r="E66"/>
  <c r="F66" s="1"/>
  <c r="H66" s="1"/>
  <c r="G65"/>
  <c r="E65"/>
  <c r="F65" s="1"/>
  <c r="H65" s="1"/>
  <c r="G64"/>
  <c r="E64"/>
  <c r="F64" s="1"/>
  <c r="H64" s="1"/>
  <c r="G63"/>
  <c r="E63"/>
  <c r="F63" s="1"/>
  <c r="H63" s="1"/>
  <c r="G62"/>
  <c r="E62"/>
  <c r="F62" s="1"/>
  <c r="H62" s="1"/>
  <c r="G61"/>
  <c r="E61"/>
  <c r="F61" s="1"/>
  <c r="H61" s="1"/>
  <c r="G60"/>
  <c r="E60"/>
  <c r="F60" s="1"/>
  <c r="H60" s="1"/>
  <c r="G59"/>
  <c r="E59"/>
  <c r="F59" s="1"/>
  <c r="H59" s="1"/>
  <c r="G58"/>
  <c r="E58"/>
  <c r="F58" s="1"/>
  <c r="H58" s="1"/>
  <c r="G57"/>
  <c r="E57"/>
  <c r="F57" s="1"/>
  <c r="H57" s="1"/>
  <c r="G56"/>
  <c r="E56"/>
  <c r="F56" s="1"/>
  <c r="H56" s="1"/>
  <c r="G55"/>
  <c r="E55"/>
  <c r="F55" s="1"/>
  <c r="H55" s="1"/>
  <c r="G54"/>
  <c r="E54"/>
  <c r="F54" s="1"/>
  <c r="H54" s="1"/>
  <c r="G17"/>
  <c r="E17"/>
  <c r="F17" s="1"/>
  <c r="H17" s="1"/>
  <c r="G14"/>
  <c r="E14"/>
  <c r="F14" s="1"/>
  <c r="H14" s="1"/>
  <c r="G13"/>
  <c r="E13"/>
  <c r="F13" s="1"/>
  <c r="H13" s="1"/>
  <c r="G12"/>
  <c r="E12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H20" i="5" l="1"/>
  <c r="D8" i="21"/>
  <c r="H19" i="5"/>
  <c r="D4" i="21"/>
  <c r="H11" i="5"/>
  <c r="H12"/>
  <c r="D5" i="21"/>
  <c r="H18" i="5"/>
  <c r="D6" i="21"/>
  <c r="H11" i="2"/>
  <c r="F12"/>
  <c r="H12" s="1"/>
  <c r="E73"/>
  <c r="H13" i="3"/>
  <c r="H8"/>
  <c r="E62"/>
  <c r="H10" i="2"/>
  <c r="C37" i="1"/>
  <c r="G37" i="3"/>
  <c r="G73" i="2"/>
  <c r="E98"/>
  <c r="E37" i="24"/>
  <c r="F37"/>
  <c r="B25" i="1" s="1"/>
  <c r="E62" i="23"/>
  <c r="E62" i="18"/>
  <c r="H10" i="17"/>
  <c r="E62"/>
  <c r="H10" i="16"/>
  <c r="E62" i="13"/>
  <c r="G37"/>
  <c r="C17" i="1" s="1"/>
  <c r="G37" i="12"/>
  <c r="G37" i="15"/>
  <c r="C19" i="1" s="1"/>
  <c r="F37" i="15"/>
  <c r="B19" i="1" s="1"/>
  <c r="E37" i="15"/>
  <c r="E62"/>
  <c r="G37" i="11"/>
  <c r="H17"/>
  <c r="H19"/>
  <c r="H21"/>
  <c r="H23"/>
  <c r="H25"/>
  <c r="H27"/>
  <c r="H29"/>
  <c r="H31"/>
  <c r="H33"/>
  <c r="H35"/>
  <c r="E62"/>
  <c r="E62" i="10"/>
  <c r="G37" i="9"/>
  <c r="G37" i="22"/>
  <c r="H21"/>
  <c r="H23"/>
  <c r="H25"/>
  <c r="H27"/>
  <c r="H29"/>
  <c r="H31"/>
  <c r="H33"/>
  <c r="H35"/>
  <c r="E62"/>
  <c r="G37" i="8"/>
  <c r="H10"/>
  <c r="H10" i="6"/>
  <c r="E62" i="19"/>
  <c r="G37" i="7"/>
  <c r="C10" i="1" s="1"/>
  <c r="H25" i="7"/>
  <c r="H27"/>
  <c r="H29"/>
  <c r="H31"/>
  <c r="H33"/>
  <c r="H35"/>
  <c r="H10"/>
  <c r="H35" i="4"/>
  <c r="H17"/>
  <c r="G37"/>
  <c r="C6" i="1" s="1"/>
  <c r="H10" i="4"/>
  <c r="E62"/>
  <c r="H35" i="3"/>
  <c r="H10" i="5"/>
  <c r="E62"/>
  <c r="G37"/>
  <c r="C8" i="1" s="1"/>
  <c r="H6" i="24"/>
  <c r="H37" s="1"/>
  <c r="F37" i="23"/>
  <c r="B24" i="1" s="1"/>
  <c r="H6" i="23"/>
  <c r="H37" s="1"/>
  <c r="E37"/>
  <c r="F37" i="18"/>
  <c r="B22" i="1" s="1"/>
  <c r="H6" i="18"/>
  <c r="H37" s="1"/>
  <c r="E37"/>
  <c r="F37" i="17"/>
  <c r="B21" i="1" s="1"/>
  <c r="H6" i="17"/>
  <c r="E37"/>
  <c r="F37" i="16"/>
  <c r="B20" i="1" s="1"/>
  <c r="H6" i="16"/>
  <c r="H37" s="1"/>
  <c r="E37"/>
  <c r="F37" i="14"/>
  <c r="B18" i="1" s="1"/>
  <c r="H6" i="14"/>
  <c r="H37" s="1"/>
  <c r="E37"/>
  <c r="F37" i="13"/>
  <c r="B17" i="1" s="1"/>
  <c r="H6" i="13"/>
  <c r="H37" s="1"/>
  <c r="E37"/>
  <c r="F37" i="12"/>
  <c r="H6"/>
  <c r="H37" s="1"/>
  <c r="E37"/>
  <c r="H6" i="15"/>
  <c r="H37" s="1"/>
  <c r="F37" i="11"/>
  <c r="H6"/>
  <c r="H37" s="1"/>
  <c r="E37"/>
  <c r="F37" i="10"/>
  <c r="H6"/>
  <c r="H37" s="1"/>
  <c r="E37"/>
  <c r="F37" i="9"/>
  <c r="H6"/>
  <c r="H37" s="1"/>
  <c r="E37"/>
  <c r="F37" i="22"/>
  <c r="H6"/>
  <c r="E37"/>
  <c r="F37" i="8"/>
  <c r="H6"/>
  <c r="H37" s="1"/>
  <c r="E37"/>
  <c r="F37" i="6"/>
  <c r="B9" i="1" s="1"/>
  <c r="H6" i="6"/>
  <c r="H37" s="1"/>
  <c r="E37"/>
  <c r="F37" i="19"/>
  <c r="B23" i="1" s="1"/>
  <c r="H6" i="19"/>
  <c r="H37" s="1"/>
  <c r="E37"/>
  <c r="F37" i="7"/>
  <c r="B10" i="1" s="1"/>
  <c r="H6" i="7"/>
  <c r="H37" s="1"/>
  <c r="E37"/>
  <c r="F37" i="4"/>
  <c r="B6" i="1" s="1"/>
  <c r="H6" i="4"/>
  <c r="H37" s="1"/>
  <c r="E37"/>
  <c r="F37" i="3"/>
  <c r="H6"/>
  <c r="E37"/>
  <c r="F37" i="5"/>
  <c r="B8" i="1" s="1"/>
  <c r="H6" i="5"/>
  <c r="E37"/>
  <c r="F73" i="2"/>
  <c r="H6"/>
  <c r="H37" i="5" l="1"/>
  <c r="H73" i="2"/>
  <c r="H37" i="17"/>
  <c r="H37" i="22"/>
  <c r="H37" i="3"/>
  <c r="G15" i="1" l="1"/>
  <c r="G14"/>
  <c r="G13"/>
  <c r="G12"/>
  <c r="G11"/>
  <c r="G7"/>
  <c r="G5"/>
  <c r="I16"/>
  <c r="I15"/>
  <c r="I14"/>
  <c r="I13"/>
  <c r="I12"/>
  <c r="I11"/>
  <c r="I7"/>
  <c r="F25"/>
  <c r="F26"/>
  <c r="F27"/>
  <c r="F28"/>
  <c r="J7"/>
  <c r="H7"/>
  <c r="J16"/>
  <c r="J15"/>
  <c r="J14"/>
  <c r="J13"/>
  <c r="J12"/>
  <c r="J11"/>
  <c r="H15"/>
  <c r="H14"/>
  <c r="H13"/>
  <c r="H12"/>
  <c r="H11"/>
  <c r="G29" l="1"/>
  <c r="I29"/>
  <c r="F24" l="1"/>
  <c r="C14" l="1"/>
  <c r="C11" l="1"/>
  <c r="C12"/>
  <c r="C16"/>
  <c r="C15"/>
  <c r="C13"/>
  <c r="C7"/>
  <c r="F23" l="1"/>
  <c r="F9"/>
  <c r="F10"/>
  <c r="B11"/>
  <c r="F11" s="1"/>
  <c r="B13"/>
  <c r="F13" s="1"/>
  <c r="B14"/>
  <c r="F14" s="1"/>
  <c r="F17"/>
  <c r="F19"/>
  <c r="F20"/>
  <c r="B16"/>
  <c r="F16" s="1"/>
  <c r="F18"/>
  <c r="F22"/>
  <c r="B15"/>
  <c r="F15" s="1"/>
  <c r="F8"/>
  <c r="F6"/>
  <c r="B7"/>
  <c r="F7" s="1"/>
  <c r="B12" l="1"/>
  <c r="F12" s="1"/>
  <c r="F21"/>
  <c r="D17" i="21"/>
  <c r="C5" i="1" l="1"/>
  <c r="B5" l="1"/>
  <c r="F5" s="1"/>
  <c r="F29" s="1"/>
  <c r="C33" s="1"/>
  <c r="D29" l="1"/>
  <c r="J29"/>
  <c r="H29"/>
  <c r="E29"/>
  <c r="C29"/>
  <c r="B29"/>
  <c r="C32" l="1"/>
  <c r="C35"/>
  <c r="C36" s="1"/>
  <c r="C34"/>
</calcChain>
</file>

<file path=xl/sharedStrings.xml><?xml version="1.0" encoding="utf-8"?>
<sst xmlns="http://schemas.openxmlformats.org/spreadsheetml/2006/main" count="1734" uniqueCount="91">
  <si>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</si>
  <si>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</si>
  <si>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</si>
  <si>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</si>
  <si>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</si>
  <si>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</si>
  <si>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</si>
  <si>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</si>
  <si>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</si>
  <si>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</si>
  <si>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</si>
  <si>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</si>
  <si>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</si>
  <si>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</si>
  <si>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</si>
  <si>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</si>
  <si>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</si>
  <si>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</si>
  <si>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</si>
  <si>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</si>
  <si>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</si>
  <si>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</si>
  <si>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</si>
  <si>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</si>
  <si>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</si>
  <si>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</si>
  <si>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</si>
  <si>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</si>
  <si>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</si>
  <si>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</si>
  <si>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</si>
  <si>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</si>
  <si>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</si>
  <si>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</si>
  <si>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</si>
  <si>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</si>
  <si>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</si>
  <si>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</si>
  <si>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</si>
  <si>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</si>
  <si>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</si>
  <si>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</si>
  <si>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</si>
  <si>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</si>
  <si>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</si>
  <si>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</si>
  <si>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</si>
  <si>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</si>
  <si>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</si>
  <si>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</si>
  <si>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</si>
  <si>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</si>
  <si>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</si>
  <si>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</si>
  <si>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</si>
  <si>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</si>
  <si>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</si>
  <si>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</si>
  <si>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</si>
  <si>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</si>
  <si>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</si>
  <si>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</si>
  <si>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</si>
  <si>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</si>
  <si>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</si>
  <si>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</si>
  <si>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</si>
  <si>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</si>
  <si>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</si>
  <si>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</si>
  <si>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</si>
  <si>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</si>
  <si>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</si>
  <si>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</si>
  <si>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</si>
  <si>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</si>
  <si>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</si>
  <si>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</si>
  <si>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</si>
  <si>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</si>
  <si>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</si>
  <si>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</si>
  <si>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</si>
  <si>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</si>
  <si>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</si>
  <si>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</si>
  <si>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WEEK REPORT FROM 12 TO 18 JANUARY 2026</t>
  </si>
  <si>
    <t>Other</t>
  </si>
  <si>
    <t>IBIPANDE BYA PINUS</t>
  </si>
  <si>
    <t>WEEKLY REPORT FROM 18/4-24/4/2026</t>
  </si>
  <si>
    <t>DECHETS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</si>
</sst>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2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11" fillId="4" borderId="50" xfId="1" applyNumberFormat="1" applyFont="1" applyFill="1" applyBorder="1" applyAlignment="1" applyProtection="1">
      <alignment horizontal="left"/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1" xfId="1" applyNumberFormat="1" applyFont="1" applyBorder="1" applyProtection="1"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GISOZI!F73</f>
        <v>0</v>
      </c>
      <c r="C5" s="46">
        <f>GISOZI!G73</f>
        <v>0</v>
      </c>
      <c r="D5" s="46">
        <f>GISOZI!C79</f>
        <v>0</v>
      </c>
      <c r="E5" s="46">
        <f>GISOZI!C80</f>
        <v>0</v>
      </c>
      <c r="F5" s="50">
        <f>SUM(B5:C5)</f>
        <v>0</v>
      </c>
      <c r="G5" s="46">
        <f>GISOZI!C77</f>
        <v>0</v>
      </c>
      <c r="H5" s="46">
        <f>GISOZI!C75</f>
        <v>0</v>
      </c>
      <c r="I5" s="46">
        <f>GISOZI!C78</f>
        <v>0</v>
      </c>
      <c r="J5" s="46">
        <f>GISOZI!C76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1777557.9661016949</v>
      </c>
      <c r="C8" s="48">
        <f>BISHENYI!G37</f>
        <v>157240</v>
      </c>
      <c r="D8" s="48">
        <f>BISHENYI!C43</f>
        <v>0</v>
      </c>
      <c r="E8" s="48">
        <f>BISHENYI!C44</f>
        <v>0</v>
      </c>
      <c r="F8" s="50">
        <f t="shared" si="0"/>
        <v>1934797.9661016949</v>
      </c>
      <c r="G8" s="47">
        <f>BISHENYI!C41</f>
        <v>300000</v>
      </c>
      <c r="H8" s="48">
        <f>BISHENYI!C39</f>
        <v>1934820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1777557.9661016949</v>
      </c>
      <c r="C29" s="70">
        <f t="shared" si="1"/>
        <v>157240</v>
      </c>
      <c r="D29" s="71">
        <f t="shared" si="1"/>
        <v>0</v>
      </c>
      <c r="E29" s="70">
        <f t="shared" si="1"/>
        <v>0</v>
      </c>
      <c r="F29" s="70">
        <f>SUM(F5:F28)</f>
        <v>1934797.9661016949</v>
      </c>
      <c r="G29" s="71">
        <f>SUM(G5:G28)</f>
        <v>300000</v>
      </c>
      <c r="H29" s="71">
        <f>SUM(H5:H28)</f>
        <v>1934820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1934797.9661016949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2234797.9661016949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2234820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1934820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NYANZA!C45+KIREHE!C45+NYAGATARE!C45+KAYONZA!C45+MUSANZE!C45+MUSANZE!C45+RUBAVU!C45+KARONGI!C45+NYAMASHEKE!C45+RUSIZI!C45+HUYE!C45+RUHANGO!C45+MUHANGA!C45+BUGESERA!C45+RWAMAGANA!C45+NYARUGENGE!C45+BISHENYI!C45+GAHANGA!C45+KIMIRONKO!C45+GISOZI!C81+GATSIBO!C45+GASHYUSHYA!C45</f>
        <v>2234820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"/>
  <sheetViews>
    <sheetView zoomScale="90" zoomScaleNormal="90" workbookViewId="0">
      <selection activeCell="A3" sqref="A3:H4"/>
    </sheetView>
  </sheetViews>
  <sheetFormatPr defaultRowHeight="14.5"/>
  <cols>
    <col min="1" max="1" width="18.90625" style="43" customWidth="1"/>
    <col min="2" max="2" width="21.90625" style="43" customWidth="1"/>
    <col min="3" max="3" width="37.54296875" style="43" customWidth="1"/>
    <col min="4" max="4" width="19.08984375" style="43" customWidth="1"/>
    <col min="5" max="5" width="36.90625" style="43" customWidth="1"/>
    <col min="6" max="6" width="25.453125" style="43" customWidth="1"/>
    <col min="7" max="7" width="16.54296875" style="43" customWidth="1"/>
    <col min="8" max="8" width="4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72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114" t="s">
        <v>87</v>
      </c>
      <c r="B18" s="28"/>
      <c r="C18" s="28"/>
      <c r="D18" s="28"/>
      <c r="E18" s="19">
        <f t="shared" ref="E18:E53" si="4">PRODUCT(B18*C18)</f>
        <v>0</v>
      </c>
      <c r="F18" s="16">
        <f t="shared" si="3"/>
        <v>0</v>
      </c>
      <c r="G18" s="115"/>
      <c r="H18" s="116"/>
      <c r="I18" s="161"/>
    </row>
    <row r="19" spans="1:9" ht="15" thickBot="1">
      <c r="A19" s="114" t="s">
        <v>87</v>
      </c>
      <c r="B19" s="28"/>
      <c r="C19" s="28"/>
      <c r="D19" s="28"/>
      <c r="E19" s="19">
        <f t="shared" si="4"/>
        <v>0</v>
      </c>
      <c r="F19" s="16">
        <f t="shared" si="3"/>
        <v>0</v>
      </c>
      <c r="G19" s="115"/>
      <c r="H19" s="116"/>
      <c r="I19" s="161"/>
    </row>
    <row r="20" spans="1:9" ht="15" thickBot="1">
      <c r="A20" s="114" t="s">
        <v>87</v>
      </c>
      <c r="B20" s="28"/>
      <c r="C20" s="28"/>
      <c r="D20" s="28"/>
      <c r="E20" s="19">
        <f t="shared" si="4"/>
        <v>0</v>
      </c>
      <c r="F20" s="16">
        <f t="shared" si="3"/>
        <v>0</v>
      </c>
      <c r="G20" s="115"/>
      <c r="H20" s="116"/>
      <c r="I20" s="161"/>
    </row>
    <row r="21" spans="1:9" ht="15" thickBot="1">
      <c r="A21" s="114" t="s">
        <v>87</v>
      </c>
      <c r="B21" s="28"/>
      <c r="C21" s="28"/>
      <c r="D21" s="28"/>
      <c r="E21" s="19">
        <f t="shared" si="4"/>
        <v>0</v>
      </c>
      <c r="F21" s="16">
        <f t="shared" si="3"/>
        <v>0</v>
      </c>
      <c r="G21" s="115"/>
      <c r="H21" s="116"/>
      <c r="I21" s="161"/>
    </row>
    <row r="22" spans="1:9" ht="15" thickBot="1">
      <c r="A22" s="114" t="s">
        <v>87</v>
      </c>
      <c r="B22" s="28"/>
      <c r="C22" s="28"/>
      <c r="D22" s="28"/>
      <c r="E22" s="19">
        <f t="shared" si="4"/>
        <v>0</v>
      </c>
      <c r="F22" s="16">
        <f t="shared" si="3"/>
        <v>0</v>
      </c>
      <c r="G22" s="115"/>
      <c r="H22" s="116"/>
      <c r="I22" s="161"/>
    </row>
    <row r="23" spans="1:9" ht="15" thickBot="1">
      <c r="A23" s="114" t="s">
        <v>87</v>
      </c>
      <c r="B23" s="28"/>
      <c r="C23" s="28"/>
      <c r="D23" s="28"/>
      <c r="E23" s="19">
        <f t="shared" si="4"/>
        <v>0</v>
      </c>
      <c r="F23" s="16">
        <f t="shared" si="3"/>
        <v>0</v>
      </c>
      <c r="G23" s="115"/>
      <c r="H23" s="116"/>
      <c r="I23" s="161"/>
    </row>
    <row r="24" spans="1:9" ht="15" thickBot="1">
      <c r="A24" s="114" t="s">
        <v>87</v>
      </c>
      <c r="B24" s="28"/>
      <c r="C24" s="28"/>
      <c r="D24" s="28"/>
      <c r="E24" s="19">
        <f t="shared" si="4"/>
        <v>0</v>
      </c>
      <c r="F24" s="16">
        <f t="shared" si="3"/>
        <v>0</v>
      </c>
      <c r="G24" s="115"/>
      <c r="H24" s="116"/>
      <c r="I24" s="161"/>
    </row>
    <row r="25" spans="1:9" ht="15" thickBot="1">
      <c r="A25" s="114" t="s">
        <v>87</v>
      </c>
      <c r="B25" s="28"/>
      <c r="C25" s="28"/>
      <c r="D25" s="28"/>
      <c r="E25" s="19">
        <f t="shared" si="4"/>
        <v>0</v>
      </c>
      <c r="F25" s="16">
        <f t="shared" si="3"/>
        <v>0</v>
      </c>
      <c r="G25" s="115"/>
      <c r="H25" s="116"/>
      <c r="I25" s="161"/>
    </row>
    <row r="26" spans="1:9" ht="15" thickBot="1">
      <c r="A26" s="114" t="s">
        <v>87</v>
      </c>
      <c r="B26" s="28"/>
      <c r="C26" s="28"/>
      <c r="D26" s="28"/>
      <c r="E26" s="19">
        <f t="shared" si="4"/>
        <v>0</v>
      </c>
      <c r="F26" s="16">
        <f t="shared" si="3"/>
        <v>0</v>
      </c>
      <c r="G26" s="115"/>
      <c r="H26" s="116"/>
      <c r="I26" s="161"/>
    </row>
    <row r="27" spans="1:9" ht="15" thickBot="1">
      <c r="A27" s="114" t="s">
        <v>87</v>
      </c>
      <c r="B27" s="28"/>
      <c r="C27" s="28"/>
      <c r="D27" s="28"/>
      <c r="E27" s="19">
        <f t="shared" si="4"/>
        <v>0</v>
      </c>
      <c r="F27" s="16">
        <f t="shared" si="3"/>
        <v>0</v>
      </c>
      <c r="G27" s="115"/>
      <c r="H27" s="116"/>
      <c r="I27" s="161"/>
    </row>
    <row r="28" spans="1:9" ht="15" thickBot="1">
      <c r="A28" s="114" t="s">
        <v>87</v>
      </c>
      <c r="B28" s="28"/>
      <c r="C28" s="28"/>
      <c r="D28" s="28"/>
      <c r="E28" s="19">
        <f t="shared" si="4"/>
        <v>0</v>
      </c>
      <c r="F28" s="16">
        <f t="shared" si="3"/>
        <v>0</v>
      </c>
      <c r="G28" s="115"/>
      <c r="H28" s="116"/>
      <c r="I28" s="161"/>
    </row>
    <row r="29" spans="1:9" ht="15" thickBot="1">
      <c r="A29" s="114" t="s">
        <v>87</v>
      </c>
      <c r="B29" s="28"/>
      <c r="C29" s="28"/>
      <c r="D29" s="28"/>
      <c r="E29" s="19">
        <f t="shared" si="4"/>
        <v>0</v>
      </c>
      <c r="F29" s="16">
        <f t="shared" si="3"/>
        <v>0</v>
      </c>
      <c r="G29" s="115"/>
      <c r="H29" s="116"/>
      <c r="I29" s="161"/>
    </row>
    <row r="30" spans="1:9" ht="15" thickBot="1">
      <c r="A30" s="114" t="s">
        <v>87</v>
      </c>
      <c r="B30" s="28"/>
      <c r="C30" s="28"/>
      <c r="D30" s="28"/>
      <c r="E30" s="19">
        <f t="shared" si="4"/>
        <v>0</v>
      </c>
      <c r="F30" s="16">
        <f t="shared" si="3"/>
        <v>0</v>
      </c>
      <c r="G30" s="115"/>
      <c r="H30" s="116"/>
      <c r="I30" s="161"/>
    </row>
    <row r="31" spans="1:9" ht="15" thickBot="1">
      <c r="A31" s="114" t="s">
        <v>87</v>
      </c>
      <c r="B31" s="28"/>
      <c r="C31" s="28"/>
      <c r="D31" s="28"/>
      <c r="E31" s="19">
        <f t="shared" si="4"/>
        <v>0</v>
      </c>
      <c r="F31" s="16">
        <f t="shared" si="3"/>
        <v>0</v>
      </c>
      <c r="G31" s="115"/>
      <c r="H31" s="116"/>
      <c r="I31" s="161"/>
    </row>
    <row r="32" spans="1:9" ht="15" thickBot="1">
      <c r="A32" s="114" t="s">
        <v>87</v>
      </c>
      <c r="B32" s="28"/>
      <c r="C32" s="28"/>
      <c r="D32" s="28"/>
      <c r="E32" s="19">
        <f t="shared" si="4"/>
        <v>0</v>
      </c>
      <c r="F32" s="16">
        <f t="shared" si="3"/>
        <v>0</v>
      </c>
      <c r="G32" s="115"/>
      <c r="H32" s="116"/>
      <c r="I32" s="161"/>
    </row>
    <row r="33" spans="1:9" ht="15" thickBot="1">
      <c r="A33" s="114" t="s">
        <v>87</v>
      </c>
      <c r="B33" s="28"/>
      <c r="C33" s="28"/>
      <c r="D33" s="28"/>
      <c r="E33" s="19">
        <f t="shared" si="4"/>
        <v>0</v>
      </c>
      <c r="F33" s="16">
        <f t="shared" si="3"/>
        <v>0</v>
      </c>
      <c r="G33" s="115"/>
      <c r="H33" s="116"/>
      <c r="I33" s="161"/>
    </row>
    <row r="34" spans="1:9" ht="15" thickBot="1">
      <c r="A34" s="114" t="s">
        <v>87</v>
      </c>
      <c r="B34" s="28"/>
      <c r="C34" s="28"/>
      <c r="D34" s="28"/>
      <c r="E34" s="19">
        <f t="shared" si="4"/>
        <v>0</v>
      </c>
      <c r="F34" s="16">
        <f t="shared" si="3"/>
        <v>0</v>
      </c>
      <c r="G34" s="115"/>
      <c r="H34" s="116"/>
      <c r="I34" s="161"/>
    </row>
    <row r="35" spans="1:9" ht="15" thickBot="1">
      <c r="A35" s="114" t="s">
        <v>87</v>
      </c>
      <c r="B35" s="28"/>
      <c r="C35" s="28"/>
      <c r="D35" s="28"/>
      <c r="E35" s="19">
        <f t="shared" si="4"/>
        <v>0</v>
      </c>
      <c r="F35" s="16">
        <f t="shared" si="3"/>
        <v>0</v>
      </c>
      <c r="G35" s="115"/>
      <c r="H35" s="116"/>
      <c r="I35" s="161"/>
    </row>
    <row r="36" spans="1:9" ht="15" thickBot="1">
      <c r="A36" s="114" t="s">
        <v>87</v>
      </c>
      <c r="B36" s="28"/>
      <c r="C36" s="28"/>
      <c r="D36" s="28"/>
      <c r="E36" s="19">
        <f t="shared" si="4"/>
        <v>0</v>
      </c>
      <c r="F36" s="16">
        <f t="shared" si="3"/>
        <v>0</v>
      </c>
      <c r="G36" s="115"/>
      <c r="H36" s="116"/>
      <c r="I36" s="161"/>
    </row>
    <row r="37" spans="1:9" ht="15" thickBot="1">
      <c r="A37" s="114" t="s">
        <v>87</v>
      </c>
      <c r="B37" s="28"/>
      <c r="C37" s="28"/>
      <c r="D37" s="28"/>
      <c r="E37" s="19">
        <f t="shared" si="4"/>
        <v>0</v>
      </c>
      <c r="F37" s="16">
        <f t="shared" si="3"/>
        <v>0</v>
      </c>
      <c r="G37" s="115"/>
      <c r="H37" s="116"/>
      <c r="I37" s="161"/>
    </row>
    <row r="38" spans="1:9" ht="15" thickBot="1">
      <c r="A38" s="114" t="s">
        <v>87</v>
      </c>
      <c r="B38" s="28"/>
      <c r="C38" s="28"/>
      <c r="D38" s="28"/>
      <c r="E38" s="19">
        <f t="shared" si="4"/>
        <v>0</v>
      </c>
      <c r="F38" s="16">
        <f t="shared" si="3"/>
        <v>0</v>
      </c>
      <c r="G38" s="115"/>
      <c r="H38" s="116"/>
      <c r="I38" s="161"/>
    </row>
    <row r="39" spans="1:9" ht="15" thickBot="1">
      <c r="A39" s="114" t="s">
        <v>87</v>
      </c>
      <c r="B39" s="28"/>
      <c r="C39" s="28"/>
      <c r="D39" s="28"/>
      <c r="E39" s="19">
        <f t="shared" si="4"/>
        <v>0</v>
      </c>
      <c r="F39" s="16">
        <f t="shared" si="3"/>
        <v>0</v>
      </c>
      <c r="G39" s="115"/>
      <c r="H39" s="116"/>
      <c r="I39" s="161"/>
    </row>
    <row r="40" spans="1:9" ht="15" thickBot="1">
      <c r="A40" s="114" t="s">
        <v>87</v>
      </c>
      <c r="B40" s="28"/>
      <c r="C40" s="28"/>
      <c r="D40" s="28"/>
      <c r="E40" s="19">
        <f t="shared" si="4"/>
        <v>0</v>
      </c>
      <c r="F40" s="16">
        <f t="shared" si="3"/>
        <v>0</v>
      </c>
      <c r="G40" s="115"/>
      <c r="H40" s="116"/>
      <c r="I40" s="161"/>
    </row>
    <row r="41" spans="1:9" ht="15" thickBot="1">
      <c r="A41" s="114" t="s">
        <v>87</v>
      </c>
      <c r="B41" s="28"/>
      <c r="C41" s="28"/>
      <c r="D41" s="28"/>
      <c r="E41" s="19">
        <f t="shared" si="4"/>
        <v>0</v>
      </c>
      <c r="F41" s="16">
        <f t="shared" si="3"/>
        <v>0</v>
      </c>
      <c r="G41" s="115"/>
      <c r="H41" s="116"/>
      <c r="I41" s="161"/>
    </row>
    <row r="42" spans="1:9" ht="15" thickBot="1">
      <c r="A42" s="114" t="s">
        <v>87</v>
      </c>
      <c r="B42" s="28"/>
      <c r="C42" s="28"/>
      <c r="D42" s="28"/>
      <c r="E42" s="19">
        <f t="shared" si="4"/>
        <v>0</v>
      </c>
      <c r="F42" s="16">
        <f t="shared" si="3"/>
        <v>0</v>
      </c>
      <c r="G42" s="115"/>
      <c r="H42" s="116"/>
      <c r="I42" s="161"/>
    </row>
    <row r="43" spans="1:9" ht="15" thickBot="1">
      <c r="A43" s="114" t="s">
        <v>87</v>
      </c>
      <c r="B43" s="28"/>
      <c r="C43" s="28"/>
      <c r="D43" s="28"/>
      <c r="E43" s="19">
        <f t="shared" si="4"/>
        <v>0</v>
      </c>
      <c r="F43" s="16">
        <f t="shared" si="3"/>
        <v>0</v>
      </c>
      <c r="G43" s="115"/>
      <c r="H43" s="116"/>
      <c r="I43" s="161"/>
    </row>
    <row r="44" spans="1:9" ht="15" thickBot="1">
      <c r="A44" s="114" t="s">
        <v>87</v>
      </c>
      <c r="B44" s="28"/>
      <c r="C44" s="28"/>
      <c r="D44" s="28"/>
      <c r="E44" s="19">
        <f t="shared" si="4"/>
        <v>0</v>
      </c>
      <c r="F44" s="16">
        <f t="shared" si="3"/>
        <v>0</v>
      </c>
      <c r="G44" s="115"/>
      <c r="H44" s="116"/>
      <c r="I44" s="161"/>
    </row>
    <row r="45" spans="1:9" ht="15" thickBot="1">
      <c r="A45" s="114" t="s">
        <v>87</v>
      </c>
      <c r="B45" s="28"/>
      <c r="C45" s="28"/>
      <c r="D45" s="28"/>
      <c r="E45" s="19">
        <f t="shared" si="4"/>
        <v>0</v>
      </c>
      <c r="F45" s="16">
        <f t="shared" si="3"/>
        <v>0</v>
      </c>
      <c r="G45" s="115"/>
      <c r="H45" s="116"/>
      <c r="I45" s="161"/>
    </row>
    <row r="46" spans="1:9" ht="15" thickBot="1">
      <c r="A46" s="114" t="s">
        <v>87</v>
      </c>
      <c r="B46" s="28"/>
      <c r="C46" s="28"/>
      <c r="D46" s="28"/>
      <c r="E46" s="19">
        <f t="shared" si="4"/>
        <v>0</v>
      </c>
      <c r="F46" s="16">
        <f t="shared" si="3"/>
        <v>0</v>
      </c>
      <c r="G46" s="115"/>
      <c r="H46" s="116"/>
      <c r="I46" s="161"/>
    </row>
    <row r="47" spans="1:9" ht="15" thickBot="1">
      <c r="A47" s="114" t="s">
        <v>87</v>
      </c>
      <c r="B47" s="28"/>
      <c r="C47" s="28"/>
      <c r="D47" s="28"/>
      <c r="E47" s="19">
        <f t="shared" si="4"/>
        <v>0</v>
      </c>
      <c r="F47" s="16">
        <f t="shared" si="3"/>
        <v>0</v>
      </c>
      <c r="G47" s="115"/>
      <c r="H47" s="116"/>
      <c r="I47" s="161"/>
    </row>
    <row r="48" spans="1:9" ht="15" thickBot="1">
      <c r="A48" s="114" t="s">
        <v>87</v>
      </c>
      <c r="B48" s="28"/>
      <c r="C48" s="28"/>
      <c r="D48" s="28"/>
      <c r="E48" s="19">
        <f t="shared" si="4"/>
        <v>0</v>
      </c>
      <c r="F48" s="16">
        <f t="shared" si="3"/>
        <v>0</v>
      </c>
      <c r="G48" s="115"/>
      <c r="H48" s="116"/>
      <c r="I48" s="161"/>
    </row>
    <row r="49" spans="1:9" ht="15" thickBot="1">
      <c r="A49" s="114" t="s">
        <v>87</v>
      </c>
      <c r="B49" s="28"/>
      <c r="C49" s="28"/>
      <c r="D49" s="28"/>
      <c r="E49" s="19">
        <f t="shared" si="4"/>
        <v>0</v>
      </c>
      <c r="F49" s="16">
        <f t="shared" si="3"/>
        <v>0</v>
      </c>
      <c r="G49" s="115"/>
      <c r="H49" s="116"/>
      <c r="I49" s="161"/>
    </row>
    <row r="50" spans="1:9" ht="15" thickBot="1">
      <c r="A50" s="114" t="s">
        <v>87</v>
      </c>
      <c r="B50" s="28"/>
      <c r="C50" s="28"/>
      <c r="D50" s="28"/>
      <c r="E50" s="19">
        <f t="shared" si="4"/>
        <v>0</v>
      </c>
      <c r="F50" s="16">
        <f t="shared" si="3"/>
        <v>0</v>
      </c>
      <c r="G50" s="115"/>
      <c r="H50" s="116"/>
      <c r="I50" s="161"/>
    </row>
    <row r="51" spans="1:9" ht="15" thickBot="1">
      <c r="A51" s="114" t="s">
        <v>87</v>
      </c>
      <c r="B51" s="28"/>
      <c r="C51" s="28"/>
      <c r="D51" s="28"/>
      <c r="E51" s="19">
        <f t="shared" si="4"/>
        <v>0</v>
      </c>
      <c r="F51" s="16">
        <f t="shared" si="3"/>
        <v>0</v>
      </c>
      <c r="G51" s="115"/>
      <c r="H51" s="116"/>
      <c r="I51" s="161"/>
    </row>
    <row r="52" spans="1:9" ht="15" thickBot="1">
      <c r="A52" s="114" t="s">
        <v>87</v>
      </c>
      <c r="B52" s="28"/>
      <c r="C52" s="28"/>
      <c r="D52" s="28"/>
      <c r="E52" s="19">
        <f t="shared" si="4"/>
        <v>0</v>
      </c>
      <c r="F52" s="16">
        <f t="shared" si="3"/>
        <v>0</v>
      </c>
      <c r="G52" s="115"/>
      <c r="H52" s="116"/>
      <c r="I52" s="161"/>
    </row>
    <row r="53" spans="1:9" ht="15" thickBot="1">
      <c r="A53" s="114" t="s">
        <v>87</v>
      </c>
      <c r="B53" s="28"/>
      <c r="C53" s="28"/>
      <c r="D53" s="28"/>
      <c r="E53" s="19">
        <f t="shared" si="4"/>
        <v>0</v>
      </c>
      <c r="F53" s="16">
        <f t="shared" si="3"/>
        <v>0</v>
      </c>
      <c r="G53" s="115"/>
      <c r="H53" s="116"/>
      <c r="I53" s="161"/>
    </row>
    <row r="54" spans="1:9" ht="15" thickBot="1">
      <c r="A54" s="114" t="s">
        <v>87</v>
      </c>
      <c r="B54" s="27"/>
      <c r="C54" s="27"/>
      <c r="D54" s="27"/>
      <c r="E54" s="20">
        <f t="shared" ref="E54:E58" si="5">PRODUCT(B54*C54)</f>
        <v>0</v>
      </c>
      <c r="F54" s="17">
        <f t="shared" si="3"/>
        <v>0</v>
      </c>
      <c r="G54" s="15">
        <f t="shared" ref="G54:G58" si="6">PRODUCT(B54*D54)</f>
        <v>0</v>
      </c>
      <c r="H54" s="103">
        <f t="shared" ref="H54:H58" si="7">SUM(F54:G54)</f>
        <v>0</v>
      </c>
      <c r="I54" s="161"/>
    </row>
    <row r="55" spans="1:9" ht="15" thickBot="1">
      <c r="A55" s="114" t="s">
        <v>87</v>
      </c>
      <c r="B55" s="13"/>
      <c r="C55" s="13"/>
      <c r="D55" s="13"/>
      <c r="E55" s="20">
        <f t="shared" si="5"/>
        <v>0</v>
      </c>
      <c r="F55" s="17">
        <f t="shared" si="3"/>
        <v>0</v>
      </c>
      <c r="G55" s="15">
        <f t="shared" si="6"/>
        <v>0</v>
      </c>
      <c r="H55" s="103">
        <f t="shared" si="7"/>
        <v>0</v>
      </c>
      <c r="I55" s="161"/>
    </row>
    <row r="56" spans="1:9" ht="15" thickBot="1">
      <c r="A56" s="114" t="s">
        <v>87</v>
      </c>
      <c r="B56" s="13"/>
      <c r="C56" s="13"/>
      <c r="D56" s="13"/>
      <c r="E56" s="20">
        <f t="shared" si="5"/>
        <v>0</v>
      </c>
      <c r="F56" s="17">
        <f t="shared" si="3"/>
        <v>0</v>
      </c>
      <c r="G56" s="95">
        <f t="shared" si="6"/>
        <v>0</v>
      </c>
      <c r="H56" s="104">
        <f t="shared" si="7"/>
        <v>0</v>
      </c>
      <c r="I56" s="161"/>
    </row>
    <row r="57" spans="1:9" ht="15" thickBot="1">
      <c r="A57" s="114" t="s">
        <v>87</v>
      </c>
      <c r="B57" s="13"/>
      <c r="C57" s="13"/>
      <c r="D57" s="13"/>
      <c r="E57" s="20">
        <f t="shared" si="5"/>
        <v>0</v>
      </c>
      <c r="F57" s="17">
        <f t="shared" si="3"/>
        <v>0</v>
      </c>
      <c r="G57" s="15">
        <f t="shared" si="6"/>
        <v>0</v>
      </c>
      <c r="H57" s="103">
        <f t="shared" si="7"/>
        <v>0</v>
      </c>
      <c r="I57" s="161"/>
    </row>
    <row r="58" spans="1:9" ht="15" thickBot="1">
      <c r="A58" s="114" t="s">
        <v>87</v>
      </c>
      <c r="B58" s="13"/>
      <c r="C58" s="13"/>
      <c r="D58" s="13"/>
      <c r="E58" s="20">
        <f t="shared" si="5"/>
        <v>0</v>
      </c>
      <c r="F58" s="17">
        <f t="shared" si="3"/>
        <v>0</v>
      </c>
      <c r="G58" s="95">
        <f t="shared" si="6"/>
        <v>0</v>
      </c>
      <c r="H58" s="104">
        <f t="shared" si="7"/>
        <v>0</v>
      </c>
      <c r="I58" s="161"/>
    </row>
    <row r="59" spans="1:9" ht="15" thickBot="1">
      <c r="A59" s="114" t="s">
        <v>87</v>
      </c>
      <c r="B59" s="28"/>
      <c r="C59" s="28"/>
      <c r="D59" s="28"/>
      <c r="E59" s="20">
        <f>PRODUCT(B59*C59)</f>
        <v>0</v>
      </c>
      <c r="F59" s="17">
        <f t="shared" si="3"/>
        <v>0</v>
      </c>
      <c r="G59" s="15">
        <f>PRODUCT(B59*D59)</f>
        <v>0</v>
      </c>
      <c r="H59" s="103">
        <f>SUM(F59:G59)</f>
        <v>0</v>
      </c>
      <c r="I59" s="161"/>
    </row>
    <row r="60" spans="1:9" ht="15" thickBot="1">
      <c r="A60" s="114" t="s">
        <v>87</v>
      </c>
      <c r="B60" s="27"/>
      <c r="C60" s="27"/>
      <c r="D60" s="27"/>
      <c r="E60" s="20">
        <f t="shared" ref="E60:E72" si="8">PRODUCT(B60*C60)</f>
        <v>0</v>
      </c>
      <c r="F60" s="17">
        <f t="shared" si="3"/>
        <v>0</v>
      </c>
      <c r="G60" s="95">
        <f t="shared" ref="G60:G72" si="9">PRODUCT(B60*D60)</f>
        <v>0</v>
      </c>
      <c r="H60" s="104">
        <f t="shared" ref="H60:H72" si="10">SUM(F60:G60)</f>
        <v>0</v>
      </c>
      <c r="I60" s="161"/>
    </row>
    <row r="61" spans="1:9" ht="15" thickBot="1">
      <c r="A61" s="114" t="s">
        <v>87</v>
      </c>
      <c r="B61" s="13"/>
      <c r="C61" s="13"/>
      <c r="D61" s="13"/>
      <c r="E61" s="20">
        <f t="shared" si="8"/>
        <v>0</v>
      </c>
      <c r="F61" s="17">
        <f t="shared" si="3"/>
        <v>0</v>
      </c>
      <c r="G61" s="15">
        <f t="shared" si="9"/>
        <v>0</v>
      </c>
      <c r="H61" s="103">
        <f t="shared" si="10"/>
        <v>0</v>
      </c>
      <c r="I61" s="161"/>
    </row>
    <row r="62" spans="1:9" ht="15" thickBot="1">
      <c r="A62" s="114" t="s">
        <v>87</v>
      </c>
      <c r="B62" s="13"/>
      <c r="C62" s="13"/>
      <c r="D62" s="13"/>
      <c r="E62" s="20">
        <f t="shared" si="8"/>
        <v>0</v>
      </c>
      <c r="F62" s="17">
        <f t="shared" si="3"/>
        <v>0</v>
      </c>
      <c r="G62" s="94">
        <f t="shared" si="9"/>
        <v>0</v>
      </c>
      <c r="H62" s="102">
        <f t="shared" si="10"/>
        <v>0</v>
      </c>
      <c r="I62" s="161"/>
    </row>
    <row r="63" spans="1:9" ht="15" thickBot="1">
      <c r="A63" s="114" t="s">
        <v>87</v>
      </c>
      <c r="B63" s="13"/>
      <c r="C63" s="13"/>
      <c r="D63" s="13"/>
      <c r="E63" s="20">
        <f t="shared" si="8"/>
        <v>0</v>
      </c>
      <c r="F63" s="17">
        <f t="shared" si="3"/>
        <v>0</v>
      </c>
      <c r="G63" s="15">
        <f t="shared" si="9"/>
        <v>0</v>
      </c>
      <c r="H63" s="103">
        <f t="shared" si="10"/>
        <v>0</v>
      </c>
      <c r="I63" s="161"/>
    </row>
    <row r="64" spans="1:9" ht="15" thickBot="1">
      <c r="A64" s="114" t="s">
        <v>87</v>
      </c>
      <c r="B64" s="97"/>
      <c r="C64" s="97"/>
      <c r="D64" s="97"/>
      <c r="E64" s="25">
        <f t="shared" si="8"/>
        <v>0</v>
      </c>
      <c r="F64" s="21">
        <f t="shared" si="3"/>
        <v>0</v>
      </c>
      <c r="G64" s="96">
        <f t="shared" si="9"/>
        <v>0</v>
      </c>
      <c r="H64" s="105">
        <f t="shared" si="10"/>
        <v>0</v>
      </c>
      <c r="I64" s="161"/>
    </row>
    <row r="65" spans="1:9" ht="15" thickBot="1">
      <c r="A65" s="114" t="s">
        <v>87</v>
      </c>
      <c r="B65" s="13"/>
      <c r="C65" s="13"/>
      <c r="D65" s="13"/>
      <c r="E65" s="25">
        <f t="shared" si="8"/>
        <v>0</v>
      </c>
      <c r="F65" s="21">
        <f t="shared" si="3"/>
        <v>0</v>
      </c>
      <c r="G65" s="18">
        <f t="shared" si="9"/>
        <v>0</v>
      </c>
      <c r="H65" s="106">
        <f t="shared" si="10"/>
        <v>0</v>
      </c>
      <c r="I65" s="161"/>
    </row>
    <row r="66" spans="1:9" ht="15" thickBot="1">
      <c r="A66" s="114" t="s">
        <v>87</v>
      </c>
      <c r="B66" s="13"/>
      <c r="C66" s="13"/>
      <c r="D66" s="13"/>
      <c r="E66" s="25">
        <f t="shared" si="8"/>
        <v>0</v>
      </c>
      <c r="F66" s="21">
        <f t="shared" si="3"/>
        <v>0</v>
      </c>
      <c r="G66" s="18">
        <f t="shared" si="9"/>
        <v>0</v>
      </c>
      <c r="H66" s="106">
        <f t="shared" si="10"/>
        <v>0</v>
      </c>
      <c r="I66" s="161"/>
    </row>
    <row r="67" spans="1:9" ht="15" thickBot="1">
      <c r="A67" s="114" t="s">
        <v>87</v>
      </c>
      <c r="B67" s="28"/>
      <c r="C67" s="28"/>
      <c r="D67" s="28"/>
      <c r="E67" s="25">
        <f t="shared" si="8"/>
        <v>0</v>
      </c>
      <c r="F67" s="21">
        <f t="shared" si="3"/>
        <v>0</v>
      </c>
      <c r="G67" s="18">
        <f t="shared" si="9"/>
        <v>0</v>
      </c>
      <c r="H67" s="106">
        <f t="shared" si="10"/>
        <v>0</v>
      </c>
      <c r="I67" s="161"/>
    </row>
    <row r="68" spans="1:9" ht="15" thickBot="1">
      <c r="A68" s="114" t="s">
        <v>87</v>
      </c>
      <c r="B68" s="27"/>
      <c r="C68" s="27"/>
      <c r="D68" s="27"/>
      <c r="E68" s="25">
        <f t="shared" si="8"/>
        <v>0</v>
      </c>
      <c r="F68" s="21">
        <f t="shared" si="3"/>
        <v>0</v>
      </c>
      <c r="G68" s="18">
        <f t="shared" si="9"/>
        <v>0</v>
      </c>
      <c r="H68" s="106">
        <f t="shared" si="10"/>
        <v>0</v>
      </c>
      <c r="I68" s="161"/>
    </row>
    <row r="69" spans="1:9" ht="15" thickBot="1">
      <c r="A69" s="114" t="s">
        <v>87</v>
      </c>
      <c r="B69" s="13"/>
      <c r="C69" s="13"/>
      <c r="D69" s="13"/>
      <c r="E69" s="25">
        <f t="shared" si="8"/>
        <v>0</v>
      </c>
      <c r="F69" s="21">
        <f t="shared" si="3"/>
        <v>0</v>
      </c>
      <c r="G69" s="18">
        <f t="shared" si="9"/>
        <v>0</v>
      </c>
      <c r="H69" s="106">
        <f t="shared" si="10"/>
        <v>0</v>
      </c>
      <c r="I69" s="161"/>
    </row>
    <row r="70" spans="1:9" ht="15" thickBot="1">
      <c r="A70" s="114" t="s">
        <v>87</v>
      </c>
      <c r="B70" s="13"/>
      <c r="C70" s="13"/>
      <c r="D70" s="13"/>
      <c r="E70" s="25">
        <f t="shared" si="8"/>
        <v>0</v>
      </c>
      <c r="F70" s="21">
        <f t="shared" si="3"/>
        <v>0</v>
      </c>
      <c r="G70" s="18">
        <f t="shared" si="9"/>
        <v>0</v>
      </c>
      <c r="H70" s="106">
        <f t="shared" si="10"/>
        <v>0</v>
      </c>
      <c r="I70" s="161"/>
    </row>
    <row r="71" spans="1:9" ht="15" thickBot="1">
      <c r="A71" s="114" t="s">
        <v>87</v>
      </c>
      <c r="B71" s="13"/>
      <c r="C71" s="13"/>
      <c r="D71" s="13"/>
      <c r="E71" s="25">
        <f t="shared" si="8"/>
        <v>0</v>
      </c>
      <c r="F71" s="21">
        <f t="shared" si="3"/>
        <v>0</v>
      </c>
      <c r="G71" s="18">
        <f t="shared" si="9"/>
        <v>0</v>
      </c>
      <c r="H71" s="106">
        <f t="shared" si="10"/>
        <v>0</v>
      </c>
      <c r="I71" s="161"/>
    </row>
    <row r="72" spans="1:9" ht="15" thickBot="1">
      <c r="A72" s="114" t="s">
        <v>87</v>
      </c>
      <c r="B72" s="29"/>
      <c r="C72" s="29"/>
      <c r="D72" s="29"/>
      <c r="E72" s="25">
        <f t="shared" si="8"/>
        <v>0</v>
      </c>
      <c r="F72" s="21">
        <f t="shared" si="3"/>
        <v>0</v>
      </c>
      <c r="G72" s="18">
        <f t="shared" si="9"/>
        <v>0</v>
      </c>
      <c r="H72" s="106">
        <f t="shared" si="10"/>
        <v>0</v>
      </c>
      <c r="I72" s="161"/>
    </row>
    <row r="73" spans="1:9" ht="15" thickBot="1">
      <c r="A73" s="22" t="s">
        <v>54</v>
      </c>
      <c r="B73" s="23"/>
      <c r="C73" s="23"/>
      <c r="D73" s="23"/>
      <c r="E73" s="24">
        <f>SUM(E5:E72)</f>
        <v>0</v>
      </c>
      <c r="F73" s="24">
        <f>SUM(F5:F72)</f>
        <v>0</v>
      </c>
      <c r="G73" s="24">
        <f t="shared" ref="G73:H73" si="11">SUM(G5:G72)</f>
        <v>0</v>
      </c>
      <c r="H73" s="24">
        <f t="shared" si="11"/>
        <v>0</v>
      </c>
      <c r="I73" s="161"/>
    </row>
    <row r="74" spans="1:9" s="89" customFormat="1" ht="14.5" customHeight="1" thickBot="1">
      <c r="A74" s="206" t="s">
        <v>78</v>
      </c>
      <c r="B74" s="207"/>
      <c r="C74" s="63" t="s">
        <v>72</v>
      </c>
      <c r="D74" s="54"/>
      <c r="E74" s="204" t="s">
        <v>70</v>
      </c>
      <c r="F74" s="205"/>
      <c r="G74" s="62" t="s">
        <v>71</v>
      </c>
      <c r="H74" s="107" t="s">
        <v>72</v>
      </c>
      <c r="I74" s="161"/>
    </row>
    <row r="75" spans="1:9" ht="15" customHeight="1" thickBot="1">
      <c r="A75" s="209" t="s">
        <v>68</v>
      </c>
      <c r="B75" s="210"/>
      <c r="C75" s="55"/>
      <c r="D75" s="58"/>
      <c r="E75" s="203"/>
      <c r="F75" s="203"/>
      <c r="G75" s="61"/>
      <c r="H75" s="108"/>
      <c r="I75" s="161"/>
    </row>
    <row r="76" spans="1:9" ht="15" thickBot="1">
      <c r="A76" s="177" t="s">
        <v>69</v>
      </c>
      <c r="B76" s="178"/>
      <c r="C76" s="51"/>
      <c r="D76" s="59"/>
      <c r="E76" s="208"/>
      <c r="F76" s="208"/>
      <c r="G76" s="60"/>
      <c r="H76" s="109"/>
      <c r="I76" s="161"/>
    </row>
    <row r="77" spans="1:9" ht="15" thickBot="1">
      <c r="A77" s="177" t="s">
        <v>73</v>
      </c>
      <c r="B77" s="178"/>
      <c r="C77" s="52"/>
      <c r="D77" s="58"/>
      <c r="E77" s="198"/>
      <c r="F77" s="198"/>
      <c r="G77" s="60"/>
      <c r="H77" s="109"/>
      <c r="I77" s="161"/>
    </row>
    <row r="78" spans="1:9" ht="15" thickBot="1">
      <c r="A78" s="211" t="s">
        <v>74</v>
      </c>
      <c r="B78" s="212"/>
      <c r="C78" s="53"/>
      <c r="D78" s="56"/>
      <c r="E78" s="197"/>
      <c r="F78" s="198"/>
      <c r="G78" s="11"/>
      <c r="H78" s="109"/>
      <c r="I78" s="161"/>
    </row>
    <row r="79" spans="1:9" ht="15" thickBot="1">
      <c r="A79" s="193" t="s">
        <v>75</v>
      </c>
      <c r="B79" s="194"/>
      <c r="C79" s="90"/>
      <c r="D79" s="56"/>
      <c r="E79" s="197"/>
      <c r="F79" s="198"/>
      <c r="G79" s="11"/>
      <c r="H79" s="109"/>
      <c r="I79" s="161"/>
    </row>
    <row r="80" spans="1:9" ht="15" thickBot="1">
      <c r="A80" s="193" t="s">
        <v>76</v>
      </c>
      <c r="B80" s="194"/>
      <c r="C80" s="90"/>
      <c r="D80" s="57"/>
      <c r="E80" s="197"/>
      <c r="F80" s="198"/>
      <c r="G80" s="11"/>
      <c r="H80" s="109"/>
      <c r="I80" s="161"/>
    </row>
    <row r="81" spans="1:9" ht="15" thickBot="1">
      <c r="A81" s="193" t="s">
        <v>77</v>
      </c>
      <c r="B81" s="194"/>
      <c r="C81" s="91">
        <f>SUM(C75+C76+C77+C78+C79+C80)</f>
        <v>0</v>
      </c>
      <c r="D81" s="92"/>
      <c r="E81" s="181"/>
      <c r="F81" s="182"/>
      <c r="G81" s="93"/>
      <c r="H81" s="110"/>
      <c r="I81" s="161"/>
    </row>
    <row r="82" spans="1:9" ht="19.5" customHeight="1">
      <c r="A82" s="183" t="s">
        <v>57</v>
      </c>
      <c r="B82" s="184"/>
      <c r="C82" s="184"/>
      <c r="D82" s="184"/>
      <c r="E82" s="184"/>
      <c r="F82" s="184"/>
      <c r="G82" s="184"/>
      <c r="H82" s="184"/>
      <c r="I82" s="161"/>
    </row>
    <row r="83" spans="1:9" ht="20.5" customHeight="1" thickBot="1">
      <c r="A83" s="185"/>
      <c r="B83" s="186"/>
      <c r="C83" s="186"/>
      <c r="D83" s="186"/>
      <c r="E83" s="186"/>
      <c r="F83" s="186"/>
      <c r="G83" s="186"/>
      <c r="H83" s="186"/>
      <c r="I83" s="161"/>
    </row>
    <row r="84" spans="1:9" ht="23" customHeight="1" thickBot="1">
      <c r="A84" s="169" t="s">
        <v>9</v>
      </c>
      <c r="B84" s="170"/>
      <c r="C84" s="195" t="s">
        <v>58</v>
      </c>
      <c r="D84" s="196"/>
      <c r="E84" s="189" t="s">
        <v>59</v>
      </c>
      <c r="F84" s="190"/>
      <c r="G84" s="190"/>
      <c r="H84" s="190"/>
      <c r="I84" s="161"/>
    </row>
    <row r="85" spans="1:9" ht="22" customHeight="1" thickBot="1">
      <c r="A85" s="171"/>
      <c r="B85" s="172"/>
      <c r="C85" s="179" t="s">
        <v>61</v>
      </c>
      <c r="D85" s="180"/>
      <c r="E85" s="187">
        <f>SUM(B9:B12)</f>
        <v>0</v>
      </c>
      <c r="F85" s="188"/>
      <c r="G85" s="188"/>
      <c r="H85" s="188"/>
      <c r="I85" s="161"/>
    </row>
    <row r="86" spans="1:9" ht="22.5" customHeight="1" thickBot="1">
      <c r="A86" s="173"/>
      <c r="B86" s="174"/>
      <c r="C86" s="179" t="s">
        <v>46</v>
      </c>
      <c r="D86" s="180"/>
      <c r="E86" s="187">
        <f>SUM(B6:B8)</f>
        <v>0</v>
      </c>
      <c r="F86" s="188"/>
      <c r="G86" s="188"/>
      <c r="H86" s="188"/>
      <c r="I86" s="161"/>
    </row>
    <row r="87" spans="1:9" ht="24.5" customHeight="1" thickBot="1">
      <c r="A87" s="173"/>
      <c r="B87" s="174"/>
      <c r="C87" s="179" t="s">
        <v>62</v>
      </c>
      <c r="D87" s="180"/>
      <c r="E87" s="187">
        <f>SUM(B13:B14)</f>
        <v>0</v>
      </c>
      <c r="F87" s="188"/>
      <c r="G87" s="188"/>
      <c r="H87" s="188"/>
      <c r="I87" s="161"/>
    </row>
    <row r="88" spans="1:9" ht="22" customHeight="1" thickBot="1">
      <c r="A88" s="173"/>
      <c r="B88" s="174"/>
      <c r="C88" s="163" t="s">
        <v>63</v>
      </c>
      <c r="D88" s="164"/>
      <c r="E88" s="191">
        <f>SUM(B17:B54)</f>
        <v>0</v>
      </c>
      <c r="F88" s="192"/>
      <c r="G88" s="192"/>
      <c r="H88" s="192"/>
      <c r="I88" s="161"/>
    </row>
    <row r="89" spans="1:9" ht="22" customHeight="1" thickBot="1">
      <c r="A89" s="173"/>
      <c r="B89" s="174"/>
      <c r="C89" s="163" t="s">
        <v>64</v>
      </c>
      <c r="D89" s="164"/>
      <c r="E89" s="191">
        <f>SUM(B55:B56)</f>
        <v>0</v>
      </c>
      <c r="F89" s="192"/>
      <c r="G89" s="192"/>
      <c r="H89" s="192"/>
      <c r="I89" s="161"/>
    </row>
    <row r="90" spans="1:9" ht="22" customHeight="1" thickBot="1">
      <c r="A90" s="173"/>
      <c r="B90" s="174"/>
      <c r="C90" s="163" t="s">
        <v>56</v>
      </c>
      <c r="D90" s="164"/>
      <c r="E90" s="191">
        <f>SUM(B57,B58,B59,B60,B61,B62,B63,B64,B65)</f>
        <v>0</v>
      </c>
      <c r="F90" s="192"/>
      <c r="G90" s="192"/>
      <c r="H90" s="192"/>
      <c r="I90" s="161"/>
    </row>
    <row r="91" spans="1:9" ht="22" customHeight="1" thickBot="1">
      <c r="A91" s="173"/>
      <c r="B91" s="174"/>
      <c r="C91" s="163" t="s">
        <v>56</v>
      </c>
      <c r="D91" s="164"/>
      <c r="E91" s="191">
        <f t="shared" ref="E91:E97" si="12">B66</f>
        <v>0</v>
      </c>
      <c r="F91" s="192"/>
      <c r="G91" s="192"/>
      <c r="H91" s="192"/>
      <c r="I91" s="161"/>
    </row>
    <row r="92" spans="1:9" ht="19" thickBot="1">
      <c r="A92" s="173"/>
      <c r="B92" s="174"/>
      <c r="C92" s="163" t="s">
        <v>56</v>
      </c>
      <c r="D92" s="164"/>
      <c r="E92" s="191">
        <f t="shared" si="12"/>
        <v>0</v>
      </c>
      <c r="F92" s="192"/>
      <c r="G92" s="192"/>
      <c r="H92" s="192"/>
      <c r="I92" s="161"/>
    </row>
    <row r="93" spans="1:9" ht="19" thickBot="1">
      <c r="A93" s="173"/>
      <c r="B93" s="174"/>
      <c r="C93" s="163" t="s">
        <v>56</v>
      </c>
      <c r="D93" s="164"/>
      <c r="E93" s="191">
        <f t="shared" si="12"/>
        <v>0</v>
      </c>
      <c r="F93" s="192"/>
      <c r="G93" s="192"/>
      <c r="H93" s="192"/>
      <c r="I93" s="161"/>
    </row>
    <row r="94" spans="1:9" ht="19" thickBot="1">
      <c r="A94" s="173"/>
      <c r="B94" s="174"/>
      <c r="C94" s="163" t="s">
        <v>56</v>
      </c>
      <c r="D94" s="164"/>
      <c r="E94" s="191">
        <f t="shared" si="12"/>
        <v>0</v>
      </c>
      <c r="F94" s="192"/>
      <c r="G94" s="192"/>
      <c r="H94" s="192"/>
      <c r="I94" s="161"/>
    </row>
    <row r="95" spans="1:9" ht="19" thickBot="1">
      <c r="A95" s="173"/>
      <c r="B95" s="174"/>
      <c r="C95" s="163" t="s">
        <v>56</v>
      </c>
      <c r="D95" s="164"/>
      <c r="E95" s="191">
        <f t="shared" si="12"/>
        <v>0</v>
      </c>
      <c r="F95" s="192"/>
      <c r="G95" s="192"/>
      <c r="H95" s="192"/>
      <c r="I95" s="161"/>
    </row>
    <row r="96" spans="1:9" ht="19" thickBot="1">
      <c r="A96" s="173"/>
      <c r="B96" s="174"/>
      <c r="C96" s="163" t="s">
        <v>56</v>
      </c>
      <c r="D96" s="164"/>
      <c r="E96" s="191">
        <f t="shared" si="12"/>
        <v>0</v>
      </c>
      <c r="F96" s="192"/>
      <c r="G96" s="192"/>
      <c r="H96" s="192"/>
      <c r="I96" s="161"/>
    </row>
    <row r="97" spans="1:9" ht="19" thickBot="1">
      <c r="A97" s="173"/>
      <c r="B97" s="174"/>
      <c r="C97" s="163" t="s">
        <v>56</v>
      </c>
      <c r="D97" s="164"/>
      <c r="E97" s="191">
        <f t="shared" si="12"/>
        <v>0</v>
      </c>
      <c r="F97" s="192"/>
      <c r="G97" s="192"/>
      <c r="H97" s="192"/>
      <c r="I97" s="161"/>
    </row>
    <row r="98" spans="1:9" ht="32.5" thickBot="1">
      <c r="A98" s="173"/>
      <c r="B98" s="174"/>
      <c r="C98" s="163" t="s">
        <v>65</v>
      </c>
      <c r="D98" s="164"/>
      <c r="E98" s="226">
        <f>SUM(E85:H97)</f>
        <v>0</v>
      </c>
      <c r="F98" s="227"/>
      <c r="G98" s="227"/>
      <c r="H98" s="227"/>
      <c r="I98" s="161"/>
    </row>
    <row r="99" spans="1:9" ht="19" thickBot="1">
      <c r="A99" s="175"/>
      <c r="B99" s="176"/>
      <c r="C99" s="165"/>
      <c r="D99" s="166"/>
      <c r="E99" s="224"/>
      <c r="F99" s="225"/>
      <c r="G99" s="225"/>
      <c r="H99" s="225"/>
      <c r="I99" s="161"/>
    </row>
    <row r="100" spans="1:9" ht="15" thickBot="1">
      <c r="A100" s="167"/>
      <c r="B100" s="168"/>
      <c r="C100" s="168"/>
      <c r="D100" s="168"/>
      <c r="E100" s="168"/>
      <c r="F100" s="168"/>
      <c r="G100" s="168"/>
      <c r="H100" s="168"/>
      <c r="I100" s="162"/>
    </row>
  </sheetData>
  <sheetProtection password="C8CD" sheet="1" objects="1" scenarios="1"/>
  <mergeCells count="66">
    <mergeCell ref="E89:H89"/>
    <mergeCell ref="E99:H99"/>
    <mergeCell ref="E96:H96"/>
    <mergeCell ref="E97:H97"/>
    <mergeCell ref="E98:H98"/>
    <mergeCell ref="E94:H94"/>
    <mergeCell ref="E95:H95"/>
    <mergeCell ref="E90:H90"/>
    <mergeCell ref="E91:H91"/>
    <mergeCell ref="E92:H92"/>
    <mergeCell ref="E93:H93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78:F78"/>
    <mergeCell ref="E79:F79"/>
    <mergeCell ref="E80:F80"/>
    <mergeCell ref="C14:D14"/>
    <mergeCell ref="A15:H15"/>
    <mergeCell ref="E75:F75"/>
    <mergeCell ref="E74:F74"/>
    <mergeCell ref="A74:B74"/>
    <mergeCell ref="A76:B76"/>
    <mergeCell ref="E76:F76"/>
    <mergeCell ref="A75:B75"/>
    <mergeCell ref="E77:F77"/>
    <mergeCell ref="A78:B78"/>
    <mergeCell ref="A79:B79"/>
    <mergeCell ref="A80:B80"/>
    <mergeCell ref="C85:D85"/>
    <mergeCell ref="C86:D86"/>
    <mergeCell ref="C87:D87"/>
    <mergeCell ref="C88:D88"/>
    <mergeCell ref="E81:F81"/>
    <mergeCell ref="A82:H83"/>
    <mergeCell ref="E87:H87"/>
    <mergeCell ref="E84:H84"/>
    <mergeCell ref="E85:H85"/>
    <mergeCell ref="E86:H86"/>
    <mergeCell ref="E88:H88"/>
    <mergeCell ref="A81:B81"/>
    <mergeCell ref="C84:D84"/>
    <mergeCell ref="I1:I100"/>
    <mergeCell ref="C92:D92"/>
    <mergeCell ref="C93:D93"/>
    <mergeCell ref="C94:D94"/>
    <mergeCell ref="C95:D95"/>
    <mergeCell ref="C96:D96"/>
    <mergeCell ref="C97:D97"/>
    <mergeCell ref="C98:D98"/>
    <mergeCell ref="C99:D99"/>
    <mergeCell ref="A100:H100"/>
    <mergeCell ref="A84:B84"/>
    <mergeCell ref="A85:B99"/>
    <mergeCell ref="C89:D89"/>
    <mergeCell ref="C90:D90"/>
    <mergeCell ref="C91:D91"/>
    <mergeCell ref="A77:B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tabSelected="1" topLeftCell="A21" workbookViewId="0">
      <selection activeCell="C32" sqref="C32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>
        <v>4908</v>
      </c>
      <c r="C11" s="199">
        <v>2360</v>
      </c>
      <c r="D11" s="200"/>
      <c r="E11" s="12">
        <f t="shared" si="0"/>
        <v>11582880</v>
      </c>
      <c r="F11" s="12">
        <f t="shared" si="1"/>
        <v>1766880</v>
      </c>
      <c r="G11" s="12">
        <f>PRODUCT(B11*30)</f>
        <v>147240</v>
      </c>
      <c r="H11" s="100">
        <f t="shared" si="2"/>
        <v>1914120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1534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88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90</v>
      </c>
      <c r="B19" s="13">
        <v>7</v>
      </c>
      <c r="C19" s="13">
        <v>10000</v>
      </c>
      <c r="D19" s="13"/>
      <c r="E19" s="20">
        <f t="shared" si="4"/>
        <v>70000</v>
      </c>
      <c r="F19" s="17">
        <f t="shared" si="3"/>
        <v>10677.966101694916</v>
      </c>
      <c r="G19" s="15">
        <f t="shared" si="5"/>
        <v>0</v>
      </c>
      <c r="H19" s="103">
        <f t="shared" si="6"/>
        <v>10677.966101694916</v>
      </c>
      <c r="I19" s="229"/>
    </row>
    <row r="20" spans="1:9" ht="15" thickBot="1">
      <c r="A20" s="35" t="s">
        <v>64</v>
      </c>
      <c r="B20" s="13">
        <v>1</v>
      </c>
      <c r="C20" s="13"/>
      <c r="D20" s="13">
        <v>10000</v>
      </c>
      <c r="E20" s="20">
        <f t="shared" si="4"/>
        <v>0</v>
      </c>
      <c r="F20" s="17">
        <f t="shared" si="3"/>
        <v>0</v>
      </c>
      <c r="G20" s="95">
        <f t="shared" si="5"/>
        <v>10000</v>
      </c>
      <c r="H20" s="104">
        <f t="shared" si="6"/>
        <v>10000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11652880</v>
      </c>
      <c r="F37" s="24">
        <f>SUM(F5:F36)</f>
        <v>1777557.9661016949</v>
      </c>
      <c r="G37" s="24">
        <f t="shared" ref="G37:H37" si="10">SUM(G5:G36)</f>
        <v>157240</v>
      </c>
      <c r="H37" s="24">
        <f t="shared" si="10"/>
        <v>1934797.9661016949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>
        <v>1934820</v>
      </c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>
        <v>300000</v>
      </c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2234820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4908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8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4916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4"/>
  <sheetViews>
    <sheetView topLeftCell="A25" zoomScale="85" zoomScaleNormal="85" workbookViewId="0">
      <selection activeCell="C32" sqref="C3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85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86</v>
      </c>
      <c r="B3" s="218"/>
      <c r="C3" s="218"/>
      <c r="D3" s="218"/>
      <c r="E3" s="218"/>
      <c r="F3" s="218"/>
      <c r="G3" s="218"/>
      <c r="H3" s="219"/>
      <c r="I3" s="229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>
        <v>7670</v>
      </c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>
        <v>3700</v>
      </c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2714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>
        <v>2124</v>
      </c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>
        <v>1357</v>
      </c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NYANZA!E49+KIREHE!E49+NYAGATARE!E49+KAYONZA!E49+MUSANZE!E49+MUSANZE!E49+RUBAVU!E49+KARONGI!E49+NYAMASHEKE!E49+RUSIZI!E49+HUYE!E49+RUHANGO!E49+MUHANGA!E49+BUGESERA!E49+RWAMAGANA!E49+NYARUGENGE!E49+BISHENYI!E49+GAHANGA!E49+KIMIRONKO!E49+GISOZI!E85+GATSIBO!E49+GASHYUSHYA!E49</f>
        <v>4908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NYANZA!E50+KIREHE!E50+NYAGATARE!E50+KAYONZA!E50+MUSANZE!E50+MUSANZE!E50+RUBAVU!E50+KARONGI!E50+NYAMASHEKE!E50+RUSIZI!E50+HUYE!E50+RUHANGO!E50+MUHANGA!E50+BUGESERA!E50+RWAMAGANA!E50+NYARUGENGE!E50+BISHENYI!E50+GAHANGA!E50+KIMIRONKO!E50+GISOZI!E86+GATSIBO!E50+GASHYUSHYA!E50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NYANZA!E51+KIREHE!E51+NYAGATARE!E51+KAYONZA!E51+MUSANZE!E51+MUSANZE!E51+RUBAVU!E51+KARONGI!E51+NYAMASHEKE!E51+RUSIZI!E51+HUYE!E51+RUHANGO!E51+MUHANGA!E51+BUGESERA!E51+RWAMAGANA!E51+NYARUGENGE!E51+BISHENYI!E51+GAHANGA!E51+KIMIRONKO!E51+GISOZI!E87+GATSIBO!E51+GASHYUSHYA!E51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NYANZA!E52+KIREHE!E52+NYAGATARE!E52+KAYONZA!E52+MUSANZE!E52+MUSANZE!E52+RUBAVU!E52+KARONGI!E52+NYAMASHEKE!E52+RUSIZI!E52+HUYE!E52+RUHANGO!E52+MUHANGA!E52+BUGESERA!E52+RWAMAGANA!E52+NYARUGENGE!E52+BISHENYI!E52+GAHANGA!E52+KIMIRONKO!E52+GISOZI!E88+GATSIBO!E52+GASHYUSHYA!E52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NYANZA!E53+KIREHE!E53+NYAGATARE!E53+KAYONZA!E53+MUSANZE!E53+MUSANZE!E53+RUBAVU!E53+KARONGI!E53+NYAMASHEKE!E53+RUSIZI!E53+HUYE!E53+RUHANGO!E53+MUHANGA!E53+BUGESERA!E53+RWAMAGANA!E53+NYARUGENGE!E53+BISHENYI!E53+GAHANGA!E53+KIMIRONKO!E53+GISOZI!E89+GATSIBO!E53+GASHYUSHYA!E53</f>
        <v>8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NYANZA!E54+KIREHE!E54+NYAGATARE!E54+KAYONZA!E54+MUSANZE!E54+MUSANZE!E54+RUBAVU!E54+KARONGI!E54+NYAMASHEKE!E54+RUSIZI!E54+HUYE!E54+RUHANGO!E54+MUHANGA!E54+BUGESERA!E54+RWAMAGANA!E54+NYARUGENGE!E54+BISHENYI!E54+GAHANGA!E54+KIMIRONKO!E54+GISOZI!E90+GATSIBO!E54+GASHYUSHYA!E54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NYANZA!E55+KIREHE!E55+NYAGATARE!E55+KAYONZA!E55+MUSANZE!E55+MUSANZE!E55+RUBAVU!E55+KARONGI!E55+NYAMASHEKE!E55+RUSIZI!E55+HUYE!E55+RUHANGO!E55+MUHANGA!E55+BUGESERA!E55+RWAMAGANA!E55+NYARUGENGE!E55+BISHENYI!E55+GAHANGA!E55+KIMIRONKO!E55+GISOZI!E91+GATSIBO!E55+GASHYUSHYA!E55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NYANZA!E56+KIREHE!E56+NYAGATARE!E56+KAYONZA!E56+MUSANZE!E56+MUSANZE!E56+RUBAVU!E56+KARONGI!E56+NYAMASHEKE!E56+RUSIZI!E56+HUYE!E56+RUHANGO!E56+MUHANGA!E56+BUGESERA!E56+RWAMAGANA!E56+NYARUGENGE!E56+BISHENYI!E56+GAHANGA!E56+KIMIRONKO!E56+GISOZI!E92+GATSIBO!E56+GASHYUSHYA!E56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NYANZA!E57+KIREHE!E57+NYAGATARE!E57+KAYONZA!E57+MUSANZE!E57+MUSANZE!E57+RUBAVU!E57+KARONGI!E57+NYAMASHEKE!E57+RUSIZI!E57+HUYE!E57+RUHANGO!E57+MUHANGA!E57+BUGESERA!E57+RWAMAGANA!E57+NYARUGENGE!E57+BISHENYI!E57+GAHANGA!E57+KIMIRONKO!E57+GISOZI!E93+GATSIBO!E57+GASHYUSHYA!E57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NYANZA!E58+KIREHE!E58+NYAGATARE!E58+KAYONZA!E58+MUSANZE!E58+MUSANZE!E58+RUBAVU!E58+KARONGI!E58+NYAMASHEKE!E58+RUSIZI!E58+HUYE!E58+RUHANGO!E58+MUHANGA!E58+BUGESERA!E58+RWAMAGANA!E58+NYARUGENGE!E58+BISHENYI!E58+GAHANGA!E58+KIMIRONKO!E58+GISOZI!E94+GATSIBO!E58+GASHYUSHYA!E58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NYANZA!E59+KIREHE!E59+NYAGATARE!E59+KAYONZA!E59+MUSANZE!E59+MUSANZE!E59+RUBAVU!E59+KARONGI!E59+NYAMASHEKE!E59+RUSIZI!E59+HUYE!E59+RUHANGO!E59+MUHANGA!E59+BUGESERA!E59+RWAMAGANA!E59+NYARUGENGE!E59+BISHENYI!E59+GAHANGA!E59+KIMIRONKO!E59+GISOZI!E95+GATSIBO!E59+GASHYUSHYA!E59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NYANZA!E60+KIREHE!E60+NYAGATARE!E60+KAYONZA!E60+MUSANZE!E60+MUSANZE!E60+RUBAVU!E60+KARONGI!E60+NYAMASHEKE!E60+RUSIZI!E60+HUYE!E60+RUHANGO!E60+MUHANGA!E60+BUGESERA!E60+RWAMAGANA!E60+NYARUGENGE!E60+BISHENYI!E60+GAHANGA!E60+KIMIRONKO!E60+GISOZI!E96+GATSIBO!E60+GASHYUSHYA!E60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NYANZA!E61+KIREHE!E61+NYAGATARE!E61+KAYONZA!E61+MUSANZE!E61+MUSANZE!E61+RUBAVU!E61+KARONGI!E61+NYAMASHEKE!E61+RUSIZI!E61+HUYE!E61+RUHANGO!E61+MUHANGA!E61+BUGESERA!E61+RWAMAGANA!E61+NYARUGENGE!E61+BISHENYI!E61+GAHANGA!E61+KIMIRONKO!E61+GISOZI!E97+GATSIBO!E61+GASHYUSHYA!E61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4916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2026-05-25T21:21:04Z</dcterms:modified>
</cp:coreProperties>
</file>