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3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1"/>
  <c r="D14"/>
  <c r="D15"/>
  <c r="D16"/>
  <c r="D5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D8" i="21" s="1"/>
  <c r="E52" i="6"/>
  <c r="D7" i="21" s="1"/>
  <c r="E51" i="6"/>
  <c r="D6" i="21" s="1"/>
  <c r="E50" i="6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G18"/>
  <c r="E18"/>
  <c r="F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H7" s="1"/>
  <c r="G6"/>
  <c r="E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"/>
  <c r="E60"/>
  <c r="E59"/>
  <c r="E58"/>
  <c r="E57"/>
  <c r="E56"/>
  <c r="E55"/>
  <c r="E54"/>
  <c r="E53"/>
  <c r="E52"/>
  <c r="E51"/>
  <c r="E50"/>
  <c r="E49"/>
  <c r="D4" i="21" s="1"/>
  <c r="C45" i="2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H19" i="6" l="1"/>
  <c r="H18"/>
  <c r="H17"/>
  <c r="G37"/>
  <c r="C9" i="1" s="1"/>
  <c r="E62" i="6"/>
  <c r="H8"/>
  <c r="H10" i="2"/>
  <c r="C37" i="1"/>
  <c r="G37" i="3"/>
  <c r="G37" i="2"/>
  <c r="E62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H37" s="1"/>
  <c r="E37"/>
  <c r="F37" i="2"/>
  <c r="H6"/>
  <c r="H37" s="1"/>
  <c r="E37"/>
  <c r="H37" i="6" l="1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<sst xmlns="http://schemas.openxmlformats.org/spreadsheetml/2006/main" count="1698" uniqueCount="87">
  <si>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</si>
  <si>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</si>
  <si>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</si>
  <si>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</si>
  <si>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</si>
  <si>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</si>
  <si>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</si>
  <si>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</si>
  <si>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</si>
  <si>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</si>
  <si>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</si>
  <si>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</si>
  <si>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</si>
  <si>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</si>
  <si>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</si>
  <si>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</si>
  <si>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</si>
  <si>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</si>
  <si>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</si>
  <si>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</si>
  <si>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</si>
  <si>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</si>
  <si>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</si>
  <si>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</si>
  <si>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</si>
  <si>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</si>
  <si>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</si>
  <si>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</si>
  <si>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</si>
  <si>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</si>
  <si>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</si>
  <si>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</si>
  <si>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</si>
  <si>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</si>
  <si>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</si>
  <si>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</si>
  <si>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</si>
  <si>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</si>
  <si>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</si>
  <si>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</si>
  <si>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</si>
  <si>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</si>
  <si>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</si>
  <si>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</si>
  <si>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</si>
  <si>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</si>
  <si>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</si>
  <si>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</si>
  <si>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</si>
  <si>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</si>
  <si>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</si>
  <si>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</si>
  <si>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</si>
  <si>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</si>
  <si>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</si>
  <si>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</si>
  <si>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</si>
  <si>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</si>
  <si>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</si>
  <si>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</si>
  <si>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</si>
  <si>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</si>
  <si>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</si>
  <si>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</si>
  <si>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</si>
  <si>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</si>
  <si>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</si>
  <si>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</si>
  <si>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</si>
  <si>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</si>
  <si>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</si>
  <si>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</si>
  <si>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</si>
  <si>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</si>
  <si>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</si>
  <si>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</si>
  <si>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</si>
  <si>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</si>
  <si>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</si>
  <si>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</si>
  <si>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</si>
  <si>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</si>
  <si>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</si>
  <si>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</si>
  <si>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</si>
  <si>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QUARTERLY REPORT FROM 01/01/2026 TO  31/03/2026</t>
  </si>
  <si>
    <t>GEREVERIA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</si>
</sst>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9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14" t="s">
        <v>37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82"/>
      <c r="M1" s="82"/>
      <c r="N1" s="82"/>
    </row>
    <row r="2" spans="1:15" ht="31" customHeight="1">
      <c r="A2" s="116" t="s">
        <v>36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82"/>
      <c r="M2" s="82"/>
      <c r="N2" s="82"/>
    </row>
    <row r="3" spans="1:15" ht="15" customHeight="1" thickBo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12360231</v>
      </c>
      <c r="C9" s="48">
        <f>RWAMAGANA!G37</f>
        <v>1363010</v>
      </c>
      <c r="D9" s="48">
        <f>RWAMAGANA!C43</f>
        <v>50000</v>
      </c>
      <c r="E9" s="48">
        <f>RWAMAGANA!C44</f>
        <v>100000</v>
      </c>
      <c r="F9" s="50">
        <f t="shared" si="0"/>
        <v>13723241</v>
      </c>
      <c r="G9" s="47">
        <f>RWAMAGANA!C41</f>
        <v>0</v>
      </c>
      <c r="H9" s="48">
        <f>RWAMAGANA!C39</f>
        <v>13723241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12360231</v>
      </c>
      <c r="C29" s="70">
        <f t="shared" si="1"/>
        <v>1363010</v>
      </c>
      <c r="D29" s="71">
        <f t="shared" si="1"/>
        <v>50000</v>
      </c>
      <c r="E29" s="70">
        <f t="shared" si="1"/>
        <v>100000</v>
      </c>
      <c r="F29" s="70">
        <f>SUM(F5:F28)</f>
        <v>13723241</v>
      </c>
      <c r="G29" s="71">
        <f>SUM(G5:G28)</f>
        <v>0</v>
      </c>
      <c r="H29" s="71">
        <f>SUM(H5:H28)</f>
        <v>13723241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3"/>
      <c r="B30" s="153"/>
      <c r="C30" s="153"/>
      <c r="D30" s="154"/>
      <c r="E30" s="144" t="s">
        <v>11</v>
      </c>
      <c r="F30" s="145"/>
      <c r="G30" s="145"/>
      <c r="H30" s="145"/>
      <c r="I30" s="146"/>
      <c r="J30" s="118"/>
      <c r="K30" s="119"/>
      <c r="L30" s="82"/>
    </row>
    <row r="31" spans="1:15" ht="19" thickBot="1">
      <c r="A31" s="141" t="s">
        <v>9</v>
      </c>
      <c r="B31" s="142"/>
      <c r="C31" s="142"/>
      <c r="D31" s="142"/>
      <c r="E31" s="147"/>
      <c r="F31" s="148"/>
      <c r="G31" s="148"/>
      <c r="H31" s="148"/>
      <c r="I31" s="149"/>
      <c r="J31" s="120"/>
      <c r="K31" s="121"/>
      <c r="L31" s="82"/>
    </row>
    <row r="32" spans="1:15" ht="15" thickBot="1">
      <c r="A32" s="137" t="s">
        <v>12</v>
      </c>
      <c r="B32" s="138"/>
      <c r="C32" s="155">
        <f>SUM(B29+C29)</f>
        <v>13723241</v>
      </c>
      <c r="D32" s="156"/>
      <c r="E32" s="147"/>
      <c r="F32" s="148"/>
      <c r="G32" s="148"/>
      <c r="H32" s="148"/>
      <c r="I32" s="149"/>
      <c r="J32" s="120"/>
      <c r="K32" s="121"/>
      <c r="L32" s="82"/>
    </row>
    <row r="33" spans="1:12" ht="15" thickBot="1">
      <c r="A33" s="137" t="s">
        <v>13</v>
      </c>
      <c r="B33" s="138"/>
      <c r="C33" s="133">
        <f>SUM(F29,G29)</f>
        <v>13723241</v>
      </c>
      <c r="D33" s="143"/>
      <c r="E33" s="147"/>
      <c r="F33" s="148"/>
      <c r="G33" s="148"/>
      <c r="H33" s="148"/>
      <c r="I33" s="149"/>
      <c r="J33" s="120"/>
      <c r="K33" s="121"/>
      <c r="L33" s="82"/>
    </row>
    <row r="34" spans="1:12" ht="15" thickBot="1">
      <c r="A34" s="135" t="s">
        <v>81</v>
      </c>
      <c r="B34" s="136"/>
      <c r="C34" s="133">
        <f>SUM(H29,J29,I29+G29)</f>
        <v>13723241</v>
      </c>
      <c r="D34" s="134"/>
      <c r="E34" s="147"/>
      <c r="F34" s="148"/>
      <c r="G34" s="148"/>
      <c r="H34" s="148"/>
      <c r="I34" s="149"/>
      <c r="J34" s="120"/>
      <c r="K34" s="121"/>
      <c r="L34" s="82"/>
    </row>
    <row r="35" spans="1:12" ht="15" thickBot="1">
      <c r="A35" s="137" t="s">
        <v>10</v>
      </c>
      <c r="B35" s="138"/>
      <c r="C35" s="133">
        <f>SUM(D29:E29)</f>
        <v>150000</v>
      </c>
      <c r="D35" s="134"/>
      <c r="E35" s="150"/>
      <c r="F35" s="151"/>
      <c r="G35" s="151"/>
      <c r="H35" s="151"/>
      <c r="I35" s="152"/>
      <c r="J35" s="120"/>
      <c r="K35" s="121"/>
      <c r="L35" s="82"/>
    </row>
    <row r="36" spans="1:12" ht="15" thickBot="1">
      <c r="A36" s="137" t="s">
        <v>83</v>
      </c>
      <c r="B36" s="138"/>
      <c r="C36" s="133">
        <f>SUM(H29+I29+J29+C35)</f>
        <v>13873241</v>
      </c>
      <c r="D36" s="134"/>
      <c r="E36" s="124" t="s">
        <v>35</v>
      </c>
      <c r="F36" s="125"/>
      <c r="G36" s="125"/>
      <c r="H36" s="125"/>
      <c r="I36" s="126"/>
      <c r="J36" s="120"/>
      <c r="K36" s="121"/>
      <c r="L36" s="82"/>
    </row>
    <row r="37" spans="1:12" ht="15" thickBot="1">
      <c r="A37" s="139" t="s">
        <v>14</v>
      </c>
      <c r="B37" s="140"/>
      <c r="C37" s="133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13873241</v>
      </c>
      <c r="D37" s="134"/>
      <c r="E37" s="127"/>
      <c r="F37" s="128"/>
      <c r="G37" s="128"/>
      <c r="H37" s="128"/>
      <c r="I37" s="129"/>
      <c r="J37" s="120"/>
      <c r="K37" s="121"/>
      <c r="L37" s="82"/>
    </row>
    <row r="38" spans="1:12" ht="26.5" thickBot="1">
      <c r="A38" s="130" t="s">
        <v>15</v>
      </c>
      <c r="B38" s="131"/>
      <c r="C38" s="131"/>
      <c r="D38" s="131"/>
      <c r="E38" s="131"/>
      <c r="F38" s="131"/>
      <c r="G38" s="131"/>
      <c r="H38" s="131"/>
      <c r="I38" s="132"/>
      <c r="J38" s="122"/>
      <c r="K38" s="123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6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8.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s="89" customFormat="1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 ht="19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20.5" customHeight="1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3" customHeight="1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22" customHeight="1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22.5" customHeight="1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24.5" customHeight="1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22" customHeight="1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22" customHeight="1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22" customHeight="1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22" customHeight="1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2:B42"/>
    <mergeCell ref="A43:B43"/>
    <mergeCell ref="A44:B44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24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23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>
        <v>2124</v>
      </c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A39:B39"/>
    <mergeCell ref="E39:F39"/>
    <mergeCell ref="A40:B40"/>
    <mergeCell ref="E40:F40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43" workbookViewId="0">
      <selection activeCell="E40" sqref="E40:F4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24.5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85</v>
      </c>
      <c r="B3" s="203"/>
      <c r="C3" s="203"/>
      <c r="D3" s="203"/>
      <c r="E3" s="203"/>
      <c r="F3" s="203"/>
      <c r="G3" s="203"/>
      <c r="H3" s="204"/>
      <c r="I3" s="226"/>
    </row>
    <row r="4" spans="1:9" ht="21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620</v>
      </c>
      <c r="C8" s="188">
        <v>5900</v>
      </c>
      <c r="D8" s="189"/>
      <c r="E8" s="12">
        <f t="shared" si="0"/>
        <v>3658000</v>
      </c>
      <c r="F8" s="12">
        <f t="shared" si="1"/>
        <v>558000</v>
      </c>
      <c r="G8" s="12">
        <f>PRODUCT(B8*50)</f>
        <v>31000</v>
      </c>
      <c r="H8" s="100">
        <f t="shared" si="2"/>
        <v>589000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>
        <v>34693</v>
      </c>
      <c r="C10" s="188">
        <v>2124</v>
      </c>
      <c r="D10" s="189"/>
      <c r="E10" s="12">
        <f t="shared" si="0"/>
        <v>73687932</v>
      </c>
      <c r="F10" s="12">
        <f t="shared" si="1"/>
        <v>11240532</v>
      </c>
      <c r="G10" s="12">
        <f>PRODUCT(B10*30)</f>
        <v>1040790</v>
      </c>
      <c r="H10" s="100">
        <f t="shared" si="2"/>
        <v>12281322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>
        <v>1837</v>
      </c>
      <c r="C13" s="188">
        <v>1357</v>
      </c>
      <c r="D13" s="189"/>
      <c r="E13" s="12">
        <f t="shared" si="0"/>
        <v>2492809</v>
      </c>
      <c r="F13" s="12">
        <f t="shared" si="1"/>
        <v>380259</v>
      </c>
      <c r="G13" s="12">
        <f>PRODUCT(B13*20)</f>
        <v>36740</v>
      </c>
      <c r="H13" s="100">
        <f t="shared" si="2"/>
        <v>416999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86</v>
      </c>
      <c r="B17" s="26">
        <v>1008</v>
      </c>
      <c r="C17" s="26">
        <v>1180</v>
      </c>
      <c r="D17" s="26">
        <v>30</v>
      </c>
      <c r="E17" s="19">
        <f>PRODUCT(B17*C17)</f>
        <v>1189440</v>
      </c>
      <c r="F17" s="16">
        <f t="shared" ref="F17:F36" si="3">PRODUCT(E17*18)/118</f>
        <v>181440</v>
      </c>
      <c r="G17" s="94">
        <f>PRODUCT(B17*D17)</f>
        <v>30240</v>
      </c>
      <c r="H17" s="102">
        <f>SUM(F17:G17)</f>
        <v>211680</v>
      </c>
      <c r="I17" s="226"/>
    </row>
    <row r="18" spans="1:9" ht="15" thickBot="1">
      <c r="A18" s="34" t="s">
        <v>86</v>
      </c>
      <c r="B18" s="27">
        <v>944</v>
      </c>
      <c r="C18" s="27"/>
      <c r="D18" s="27">
        <v>210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198240</v>
      </c>
      <c r="H18" s="103">
        <f t="shared" ref="H18:H22" si="6">SUM(F18:G18)</f>
        <v>198240</v>
      </c>
      <c r="I18" s="226"/>
    </row>
    <row r="19" spans="1:9" ht="15" thickBot="1">
      <c r="A19" s="35" t="s">
        <v>86</v>
      </c>
      <c r="B19" s="13">
        <v>130</v>
      </c>
      <c r="C19" s="13"/>
      <c r="D19" s="13">
        <v>200</v>
      </c>
      <c r="E19" s="20">
        <f t="shared" si="4"/>
        <v>0</v>
      </c>
      <c r="F19" s="17">
        <f t="shared" si="3"/>
        <v>0</v>
      </c>
      <c r="G19" s="15">
        <f t="shared" si="5"/>
        <v>26000</v>
      </c>
      <c r="H19" s="103">
        <f t="shared" si="6"/>
        <v>26000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81028181</v>
      </c>
      <c r="F37" s="24">
        <f>SUM(F5:F36)</f>
        <v>12360231</v>
      </c>
      <c r="G37" s="24">
        <f t="shared" ref="G37:H37" si="10">SUM(G5:G36)</f>
        <v>1363010</v>
      </c>
      <c r="H37" s="24">
        <f t="shared" si="10"/>
        <v>13723241</v>
      </c>
      <c r="I37" s="226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5" customHeight="1" thickBot="1">
      <c r="A39" s="209" t="s">
        <v>68</v>
      </c>
      <c r="B39" s="210"/>
      <c r="C39" s="55">
        <v>13723241</v>
      </c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>
        <v>50000</v>
      </c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>
        <v>100000</v>
      </c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13873241</v>
      </c>
      <c r="D45" s="92"/>
      <c r="E45" s="184"/>
      <c r="F45" s="185"/>
      <c r="G45" s="93"/>
      <c r="H45" s="110"/>
      <c r="I45" s="226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34693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620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1837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1952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130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39232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15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15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5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A42:B42"/>
    <mergeCell ref="E42:F42"/>
    <mergeCell ref="A46:H47"/>
    <mergeCell ref="E49:H49"/>
    <mergeCell ref="E50:H50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C60:D60"/>
    <mergeCell ref="E43:F43"/>
    <mergeCell ref="A44:B44"/>
    <mergeCell ref="E44:F44"/>
    <mergeCell ref="E45:F45"/>
    <mergeCell ref="A45:B45"/>
    <mergeCell ref="E48:H48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15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15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1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1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1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1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23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26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5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A42:B42"/>
    <mergeCell ref="E42:F42"/>
    <mergeCell ref="A43:B43"/>
    <mergeCell ref="A46:H47"/>
    <mergeCell ref="E49:H49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C60:D60"/>
    <mergeCell ref="A44:B44"/>
    <mergeCell ref="E44:F44"/>
    <mergeCell ref="A45:B45"/>
    <mergeCell ref="E45:F45"/>
    <mergeCell ref="E48:H4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4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1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A42:B42"/>
    <mergeCell ref="E42:F42"/>
    <mergeCell ref="A46:H47"/>
    <mergeCell ref="E49:H49"/>
    <mergeCell ref="E50:H50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C60:D60"/>
    <mergeCell ref="E43:F43"/>
    <mergeCell ref="A44:B44"/>
    <mergeCell ref="E44:F44"/>
    <mergeCell ref="E45:F45"/>
    <mergeCell ref="A45:B45"/>
    <mergeCell ref="E48:H48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3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0.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4.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A42:B42"/>
    <mergeCell ref="E42:F42"/>
    <mergeCell ref="A43:B43"/>
    <mergeCell ref="E43:F43"/>
    <mergeCell ref="A44:B44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21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25.5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9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2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2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A42:B42"/>
    <mergeCell ref="E42:F42"/>
    <mergeCell ref="A46:H47"/>
    <mergeCell ref="E49:H49"/>
    <mergeCell ref="E50:H50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C60:D60"/>
    <mergeCell ref="E43:F43"/>
    <mergeCell ref="A44:B44"/>
    <mergeCell ref="E44:F44"/>
    <mergeCell ref="E45:F45"/>
    <mergeCell ref="A45:B45"/>
    <mergeCell ref="E48:H48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34.5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27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4.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customHeight="1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9" customHeight="1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5" customHeight="1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customHeight="1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customHeight="1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customHeight="1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customHeight="1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customHeight="1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customHeight="1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customHeight="1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customHeight="1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customHeight="1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customHeight="1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customHeight="1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customHeight="1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customHeight="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4.5" customHeight="1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1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4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4.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A42:B42"/>
    <mergeCell ref="E42:F42"/>
    <mergeCell ref="A46:H47"/>
    <mergeCell ref="E49:H49"/>
    <mergeCell ref="E50:H50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C60:D60"/>
    <mergeCell ref="E43:F43"/>
    <mergeCell ref="A44:B44"/>
    <mergeCell ref="E44:F44"/>
    <mergeCell ref="E45:F45"/>
    <mergeCell ref="A45:B45"/>
    <mergeCell ref="E48:H48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15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15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19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1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0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0.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4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1.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7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1.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3:H53"/>
    <mergeCell ref="A15:H15"/>
    <mergeCell ref="E50:H50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E49:H49"/>
    <mergeCell ref="E51:H51"/>
    <mergeCell ref="E52:H52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2:D52"/>
    <mergeCell ref="C53:D53"/>
    <mergeCell ref="C54:D54"/>
    <mergeCell ref="C55:D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0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2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9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30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84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84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84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84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84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84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84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84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6:H47"/>
    <mergeCell ref="A48:B48"/>
    <mergeCell ref="C48:D48"/>
    <mergeCell ref="E48:H48"/>
    <mergeCell ref="C56:D56"/>
    <mergeCell ref="E56:H56"/>
    <mergeCell ref="A49:B63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57</v>
      </c>
      <c r="B1" s="212"/>
      <c r="C1" s="212"/>
      <c r="D1" s="212"/>
      <c r="E1" s="212"/>
      <c r="F1" s="212"/>
      <c r="G1" s="238"/>
    </row>
    <row r="2" spans="1:7" ht="15" thickBot="1">
      <c r="A2" s="213"/>
      <c r="B2" s="214"/>
      <c r="C2" s="214"/>
      <c r="D2" s="214"/>
      <c r="E2" s="214"/>
      <c r="F2" s="214"/>
      <c r="G2" s="239"/>
    </row>
    <row r="3" spans="1:7" ht="28.5" thickBot="1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5" customHeight="1" thickBot="1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34693</v>
      </c>
      <c r="E4" s="236"/>
      <c r="F4" s="236"/>
      <c r="G4" s="237"/>
    </row>
    <row r="5" spans="1:7" ht="37" customHeight="1" thickBot="1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620</v>
      </c>
      <c r="E5" s="236"/>
      <c r="F5" s="236"/>
      <c r="G5" s="237"/>
    </row>
    <row r="6" spans="1:7" ht="40" customHeight="1" thickBot="1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1837</v>
      </c>
      <c r="E6" s="236"/>
      <c r="F6" s="236"/>
      <c r="G6" s="237"/>
    </row>
    <row r="7" spans="1:7" ht="38.5" customHeight="1" thickBot="1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1952</v>
      </c>
      <c r="E7" s="236"/>
      <c r="F7" s="236"/>
      <c r="G7" s="237"/>
    </row>
    <row r="8" spans="1:7" ht="40" customHeight="1" thickBot="1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130</v>
      </c>
      <c r="E8" s="236"/>
      <c r="F8" s="236"/>
      <c r="G8" s="237"/>
    </row>
    <row r="9" spans="1:7" ht="38.5" customHeight="1" thickBot="1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" customHeight="1" thickBot="1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5" customHeight="1" thickBot="1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" customHeight="1" thickBot="1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43" t="s">
        <v>65</v>
      </c>
      <c r="B17" s="244"/>
      <c r="C17" s="245"/>
      <c r="D17" s="246">
        <f>SUM(D4:D16)</f>
        <v>39232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DIGITAL AXIS</cp:lastModifiedBy>
  <dcterms:created xsi:type="dcterms:W3CDTF">2023-12-29T10:10:15Z</dcterms:created>
  <dcterms:modified xsi:type="dcterms:W3CDTF">2026-04-01T13:57:08Z</dcterms:modified>
</cp:coreProperties>
</file>