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63EDC9B2-864E-4D15-9422-DB5385F41FE4}" xr6:coauthVersionLast="47" xr6:coauthVersionMax="47" xr10:uidLastSave="{00000000-0000-0000-0000-000000000000}"/>
  <bookViews>
    <workbookView xWindow="-110" yWindow="-110" windowWidth="19420" windowHeight="10300" tabRatio="965" activeTab="17" xr2:uid="{00000000-000D-0000-FFFF-FFFF00000000}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4" i="27" s="1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6" l="1"/>
  <c r="E54" i="25"/>
  <c r="E54" i="24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F11" i="18"/>
  <c r="E11" i="18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H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H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H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H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H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H7" i="17" s="1"/>
  <c r="G6" i="17"/>
  <c r="E6" i="17"/>
  <c r="G28" i="16"/>
  <c r="E28" i="16"/>
  <c r="F28" i="16" s="1"/>
  <c r="G27" i="16"/>
  <c r="E27" i="16"/>
  <c r="F27" i="16" s="1"/>
  <c r="G26" i="16"/>
  <c r="E26" i="16"/>
  <c r="F26" i="16" s="1"/>
  <c r="H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F20" i="16"/>
  <c r="E20" i="16"/>
  <c r="G19" i="16"/>
  <c r="E19" i="16"/>
  <c r="F19" i="16" s="1"/>
  <c r="H19" i="16" s="1"/>
  <c r="G18" i="16"/>
  <c r="E18" i="16"/>
  <c r="F18" i="16" s="1"/>
  <c r="G17" i="16"/>
  <c r="E17" i="16"/>
  <c r="F17" i="16" s="1"/>
  <c r="H17" i="16" s="1"/>
  <c r="G14" i="16"/>
  <c r="E14" i="16"/>
  <c r="F14" i="16" s="1"/>
  <c r="G13" i="16"/>
  <c r="E13" i="16"/>
  <c r="F13" i="16" s="1"/>
  <c r="H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H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H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G19" i="13"/>
  <c r="F19" i="13"/>
  <c r="E19" i="13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H6" i="13" s="1"/>
  <c r="G14" i="12"/>
  <c r="E14" i="12"/>
  <c r="F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H9" i="10" s="1"/>
  <c r="G8" i="10"/>
  <c r="E8" i="10"/>
  <c r="F8" i="10" s="1"/>
  <c r="G7" i="10"/>
  <c r="E7" i="10"/>
  <c r="F7" i="10" s="1"/>
  <c r="G6" i="10"/>
  <c r="E6" i="10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F6" i="9"/>
  <c r="E6" i="9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13" i="15" l="1"/>
  <c r="H11" i="5"/>
  <c r="H17" i="5"/>
  <c r="H21" i="5"/>
  <c r="H25" i="5"/>
  <c r="H10" i="19"/>
  <c r="H14" i="19"/>
  <c r="H20" i="19"/>
  <c r="H24" i="19"/>
  <c r="H28" i="19"/>
  <c r="H9" i="6"/>
  <c r="H13" i="6"/>
  <c r="H19" i="6"/>
  <c r="H23" i="6"/>
  <c r="H27" i="6"/>
  <c r="G37" i="12"/>
  <c r="H8" i="14"/>
  <c r="H12" i="14"/>
  <c r="H18" i="14"/>
  <c r="H22" i="14"/>
  <c r="H26" i="14"/>
  <c r="H7" i="15"/>
  <c r="H11" i="15"/>
  <c r="H17" i="15"/>
  <c r="H21" i="15"/>
  <c r="H25" i="15"/>
  <c r="H23" i="16"/>
  <c r="H20" i="13"/>
  <c r="H14" i="16"/>
  <c r="G37" i="8"/>
  <c r="H28" i="16"/>
  <c r="H12" i="18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10" i="12"/>
  <c r="H14" i="12"/>
  <c r="H9" i="13"/>
  <c r="H13" i="22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C15" i="1" s="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C11" i="1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C16" i="1"/>
  <c r="E62" i="12"/>
  <c r="E54" i="15"/>
  <c r="G29" i="15"/>
  <c r="C19" i="1" s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C13" i="1"/>
  <c r="H10" i="10"/>
  <c r="H10" i="15"/>
  <c r="E54" i="18"/>
  <c r="E29" i="17"/>
  <c r="H10" i="14"/>
  <c r="F29" i="18"/>
  <c r="F6" i="17"/>
  <c r="F29" i="16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9" l="1"/>
  <c r="H37" i="11"/>
  <c r="H6" i="12"/>
  <c r="H37" i="12" s="1"/>
  <c r="F37" i="12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B16" i="1"/>
  <c r="F16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C5" i="1" s="1"/>
  <c r="F10" i="2"/>
  <c r="E37" i="2"/>
  <c r="H8" i="2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<sst xmlns="http://schemas.openxmlformats.org/spreadsheetml/2006/main" count="1779" uniqueCount="85">
  <si>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</si>
  <si>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</si>
  <si>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</si>
  <si>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</si>
  <si>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</si>
  <si>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</si>
  <si>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</si>
  <si>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</si>
  <si>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</si>
  <si>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</si>
  <si>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</si>
  <si>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</si>
  <si>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</si>
  <si>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</si>
  <si>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</si>
  <si>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</si>
  <si>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</si>
  <si>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</si>
  <si>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</si>
  <si>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</si>
  <si>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</si>
  <si>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</si>
  <si>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</si>
  <si>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</si>
  <si>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</si>
  <si>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</si>
  <si>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</si>
  <si>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</si>
  <si>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</si>
  <si>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</si>
  <si>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</si>
  <si>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</si>
  <si>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</si>
  <si>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</si>
  <si>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</si>
  <si>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</si>
  <si>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</si>
  <si>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</si>
  <si>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</si>
  <si>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</si>
  <si>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</si>
  <si>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</si>
  <si>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</si>
  <si>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</si>
  <si>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</si>
  <si>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</si>
  <si>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</si>
  <si>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</si>
  <si>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</si>
  <si>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</si>
  <si>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</si>
  <si>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</si>
  <si>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</si>
  <si>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</si>
  <si>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</si>
  <si>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</si>
  <si>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</si>
  <si>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</si>
  <si>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</si>
  <si>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</si>
  <si>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</si>
  <si>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</si>
  <si>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</si>
  <si>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</si>
  <si>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</si>
  <si>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</si>
  <si>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</si>
  <si>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</si>
  <si>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</si>
  <si>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</si>
  <si>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</si>
  <si>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</si>
  <si>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</si>
  <si>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</si>
  <si>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</si>
  <si>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</si>
  <si>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</si>
  <si>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</si>
  <si>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</si>
  <si>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</si>
  <si>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</si>
  <si>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</si>
  <si>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</si>
  <si>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</si>
  <si>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MONTHS REPORT OF APRIL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</si>
</sst>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1">
    <xf numFmtId="0" fontId="0" fillId="0" borderId="0" xfId="0"/>
    <xf numFmtId="164" fontId="3" fillId="0" borderId="6" xfId="1" applyNumberFormat="1" applyFont="1" applyBorder="1" applyProtection="1">
      <protection locked="0"/>
    </xf>
    <xf numFmtId="164" fontId="3" fillId="0" borderId="9" xfId="1" applyNumberFormat="1" applyFont="1" applyFill="1" applyBorder="1" applyProtection="1">
      <protection locked="0"/>
    </xf>
    <xf numFmtId="164" fontId="3" fillId="0" borderId="7" xfId="1" applyNumberFormat="1" applyFont="1" applyBorder="1" applyProtection="1">
      <protection locked="0"/>
    </xf>
    <xf numFmtId="164" fontId="3" fillId="0" borderId="10" xfId="1" applyNumberFormat="1" applyFont="1" applyFill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11" fillId="0" borderId="30" xfId="1" applyNumberFormat="1" applyFont="1" applyBorder="1" applyProtection="1">
      <protection hidden="1"/>
    </xf>
    <xf numFmtId="164" fontId="11" fillId="0" borderId="31" xfId="1" applyNumberFormat="1" applyFont="1" applyBorder="1" applyProtection="1">
      <protection hidden="1"/>
    </xf>
    <xf numFmtId="164" fontId="8" fillId="0" borderId="32" xfId="1" applyNumberFormat="1" applyFont="1" applyBorder="1" applyProtection="1">
      <protection locked="0"/>
    </xf>
    <xf numFmtId="164" fontId="11" fillId="0" borderId="34" xfId="1" applyNumberFormat="1" applyFont="1" applyBorder="1" applyProtection="1">
      <protection hidden="1"/>
    </xf>
    <xf numFmtId="164" fontId="11" fillId="0" borderId="35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11" fillId="0" borderId="1" xfId="1" applyNumberFormat="1" applyFont="1" applyBorder="1" applyAlignment="1" applyProtection="1">
      <alignment horizontal="center"/>
      <protection locked="0"/>
    </xf>
    <xf numFmtId="164" fontId="11" fillId="0" borderId="1" xfId="1" applyNumberFormat="1" applyFont="1" applyBorder="1" applyProtection="1">
      <protection hidden="1"/>
    </xf>
    <xf numFmtId="164" fontId="11" fillId="0" borderId="5" xfId="1" applyNumberFormat="1" applyFont="1" applyBorder="1" applyProtection="1">
      <protection hidden="1"/>
    </xf>
    <xf numFmtId="164" fontId="11" fillId="4" borderId="23" xfId="1" applyNumberFormat="1" applyFont="1" applyFill="1" applyBorder="1" applyProtection="1">
      <protection hidden="1"/>
    </xf>
    <xf numFmtId="164" fontId="11" fillId="0" borderId="6" xfId="1" applyNumberFormat="1" applyFont="1" applyBorder="1" applyProtection="1">
      <protection hidden="1"/>
    </xf>
    <xf numFmtId="164" fontId="11" fillId="0" borderId="7" xfId="1" applyNumberFormat="1" applyFont="1" applyBorder="1" applyProtection="1">
      <protection hidden="1"/>
    </xf>
    <xf numFmtId="164" fontId="11" fillId="0" borderId="8" xfId="1" applyNumberFormat="1" applyFont="1" applyBorder="1" applyProtection="1">
      <protection hidden="1"/>
    </xf>
    <xf numFmtId="164" fontId="11" fillId="0" borderId="9" xfId="1" applyNumberFormat="1" applyFont="1" applyBorder="1" applyProtection="1">
      <protection hidden="1"/>
    </xf>
    <xf numFmtId="164" fontId="11" fillId="0" borderId="10" xfId="1" applyNumberFormat="1" applyFont="1" applyBorder="1" applyProtection="1">
      <protection hidden="1"/>
    </xf>
    <xf numFmtId="164" fontId="11" fillId="4" borderId="36" xfId="1" applyNumberFormat="1" applyFont="1" applyFill="1" applyBorder="1" applyProtection="1">
      <protection hidden="1"/>
    </xf>
    <xf numFmtId="164" fontId="11" fillId="0" borderId="37" xfId="1" applyNumberFormat="1" applyFont="1" applyBorder="1" applyProtection="1">
      <protection hidden="1"/>
    </xf>
    <xf numFmtId="164" fontId="11" fillId="4" borderId="2" xfId="1" applyNumberFormat="1" applyFont="1" applyFill="1" applyBorder="1" applyAlignment="1" applyProtection="1">
      <alignment vertical="center"/>
      <protection locked="0"/>
    </xf>
    <xf numFmtId="164" fontId="8" fillId="4" borderId="38" xfId="1" applyNumberFormat="1" applyFont="1" applyFill="1" applyBorder="1" applyProtection="1">
      <protection locked="0"/>
    </xf>
    <xf numFmtId="164" fontId="11" fillId="4" borderId="39" xfId="1" applyNumberFormat="1" applyFont="1" applyFill="1" applyBorder="1" applyProtection="1">
      <protection hidden="1"/>
    </xf>
    <xf numFmtId="164" fontId="11" fillId="4" borderId="1" xfId="1" applyNumberFormat="1" applyFont="1" applyFill="1" applyBorder="1" applyProtection="1">
      <protection hidden="1"/>
    </xf>
    <xf numFmtId="164" fontId="11" fillId="0" borderId="40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4" fontId="18" fillId="0" borderId="7" xfId="1" applyNumberFormat="1" applyFont="1" applyBorder="1" applyProtection="1">
      <protection locked="0"/>
    </xf>
    <xf numFmtId="164" fontId="11" fillId="5" borderId="1" xfId="1" applyNumberFormat="1" applyFont="1" applyFill="1" applyBorder="1" applyProtection="1">
      <protection locked="0"/>
    </xf>
    <xf numFmtId="164" fontId="11" fillId="5" borderId="27" xfId="1" applyNumberFormat="1" applyFont="1" applyFill="1" applyBorder="1" applyProtection="1">
      <protection locked="0"/>
    </xf>
    <xf numFmtId="164" fontId="11" fillId="5" borderId="7" xfId="1" applyNumberFormat="1" applyFont="1" applyFill="1" applyBorder="1" applyProtection="1">
      <protection locked="0"/>
    </xf>
    <xf numFmtId="164" fontId="13" fillId="5" borderId="7" xfId="1" applyNumberFormat="1" applyFont="1" applyFill="1" applyBorder="1" applyProtection="1">
      <protection locked="0"/>
    </xf>
    <xf numFmtId="164" fontId="18" fillId="5" borderId="7" xfId="1" applyNumberFormat="1" applyFont="1" applyFill="1" applyBorder="1" applyProtection="1">
      <protection locked="0"/>
    </xf>
    <xf numFmtId="164" fontId="11" fillId="3" borderId="1" xfId="1" applyNumberFormat="1" applyFont="1" applyFill="1" applyBorder="1" applyProtection="1">
      <protection locked="0"/>
    </xf>
    <xf numFmtId="164" fontId="11" fillId="3" borderId="4" xfId="1" applyNumberFormat="1" applyFont="1" applyFill="1" applyBorder="1" applyProtection="1">
      <protection locked="0"/>
    </xf>
    <xf numFmtId="164" fontId="11" fillId="3" borderId="5" xfId="1" applyNumberFormat="1" applyFont="1" applyFill="1" applyBorder="1" applyProtection="1">
      <protection locked="0"/>
    </xf>
    <xf numFmtId="164" fontId="11" fillId="4" borderId="1" xfId="1" applyNumberFormat="1" applyFont="1" applyFill="1" applyBorder="1" applyAlignment="1" applyProtection="1">
      <alignment horizontal="center"/>
      <protection locked="0"/>
    </xf>
    <xf numFmtId="164" fontId="13" fillId="4" borderId="41" xfId="1" applyNumberFormat="1" applyFont="1" applyFill="1" applyBorder="1" applyAlignment="1" applyProtection="1">
      <alignment horizontal="left"/>
      <protection locked="0"/>
    </xf>
    <xf numFmtId="164" fontId="13" fillId="4" borderId="42" xfId="1" applyNumberFormat="1" applyFont="1" applyFill="1" applyBorder="1" applyAlignment="1" applyProtection="1">
      <alignment horizontal="left"/>
      <protection locked="0"/>
    </xf>
    <xf numFmtId="164" fontId="13" fillId="4" borderId="42" xfId="1" applyNumberFormat="1" applyFont="1" applyFill="1" applyBorder="1" applyProtection="1">
      <protection locked="0"/>
    </xf>
    <xf numFmtId="164" fontId="11" fillId="4" borderId="42" xfId="1" applyNumberFormat="1" applyFont="1" applyFill="1" applyBorder="1" applyProtection="1">
      <protection locked="0"/>
    </xf>
    <xf numFmtId="164" fontId="11" fillId="4" borderId="43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3" fillId="4" borderId="7" xfId="1" applyNumberFormat="1" applyFont="1" applyFill="1" applyBorder="1" applyProtection="1">
      <protection locked="0"/>
    </xf>
    <xf numFmtId="164" fontId="18" fillId="4" borderId="7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18" fillId="0" borderId="28" xfId="1" applyNumberFormat="1" applyFont="1" applyBorder="1" applyProtection="1">
      <protection locked="0"/>
    </xf>
    <xf numFmtId="164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11" fillId="0" borderId="1" xfId="1" applyNumberFormat="1" applyFont="1" applyBorder="1" applyProtection="1">
      <protection locked="0"/>
    </xf>
    <xf numFmtId="164" fontId="11" fillId="0" borderId="5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42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3" fillId="4" borderId="1" xfId="1" applyNumberFormat="1" applyFont="1" applyFill="1" applyBorder="1" applyProtection="1">
      <protection locked="0"/>
    </xf>
    <xf numFmtId="164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4" fontId="13" fillId="4" borderId="11" xfId="1" applyNumberFormat="1" applyFont="1" applyFill="1" applyBorder="1" applyProtection="1">
      <protection locked="0"/>
    </xf>
    <xf numFmtId="164" fontId="13" fillId="4" borderId="20" xfId="1" applyNumberFormat="1" applyFont="1" applyFill="1" applyBorder="1" applyProtection="1">
      <protection locked="0"/>
    </xf>
    <xf numFmtId="164" fontId="8" fillId="0" borderId="34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8" fillId="3" borderId="5" xfId="1" applyNumberFormat="1" applyFont="1" applyFill="1" applyBorder="1" applyProtection="1">
      <protection locked="0"/>
    </xf>
    <xf numFmtId="164" fontId="18" fillId="3" borderId="51" xfId="1" applyNumberFormat="1" applyFont="1" applyFill="1" applyBorder="1" applyProtection="1">
      <protection locked="0"/>
    </xf>
    <xf numFmtId="164" fontId="8" fillId="0" borderId="31" xfId="1" applyNumberFormat="1" applyFont="1" applyBorder="1" applyProtection="1">
      <protection locked="0"/>
    </xf>
    <xf numFmtId="164" fontId="8" fillId="0" borderId="18" xfId="0" applyNumberFormat="1" applyFont="1" applyBorder="1" applyProtection="1">
      <protection hidden="1"/>
    </xf>
    <xf numFmtId="164" fontId="13" fillId="3" borderId="1" xfId="1" applyNumberFormat="1" applyFont="1" applyFill="1" applyBorder="1" applyProtection="1">
      <protection locked="0"/>
    </xf>
    <xf numFmtId="164" fontId="11" fillId="3" borderId="5" xfId="1" applyNumberFormat="1" applyFont="1" applyFill="1" applyBorder="1" applyProtection="1">
      <protection hidden="1"/>
    </xf>
    <xf numFmtId="164" fontId="0" fillId="0" borderId="27" xfId="1" applyNumberFormat="1" applyFont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5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locked="0"/>
    </xf>
    <xf numFmtId="164" fontId="3" fillId="4" borderId="42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0" fillId="4" borderId="45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4" xfId="1" applyNumberFormat="1" applyFont="1" applyFill="1" applyBorder="1" applyProtection="1">
      <protection hidden="1"/>
    </xf>
    <xf numFmtId="164" fontId="29" fillId="2" borderId="12" xfId="1" applyNumberFormat="1" applyFont="1" applyFill="1" applyBorder="1" applyProtection="1">
      <protection locked="0"/>
    </xf>
    <xf numFmtId="164" fontId="0" fillId="4" borderId="44" xfId="1" applyNumberFormat="1" applyFont="1" applyFill="1" applyBorder="1" applyAlignment="1" applyProtection="1">
      <alignment horizontal="center"/>
      <protection locked="0"/>
    </xf>
    <xf numFmtId="164" fontId="0" fillId="0" borderId="52" xfId="1" applyNumberFormat="1" applyFont="1" applyBorder="1" applyProtection="1"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9" fillId="5" borderId="11" xfId="1" applyNumberFormat="1" applyFont="1" applyFill="1" applyBorder="1" applyAlignment="1" applyProtection="1">
      <alignment horizontal="center"/>
      <protection locked="0"/>
    </xf>
    <xf numFmtId="164" fontId="9" fillId="5" borderId="12" xfId="1" applyNumberFormat="1" applyFont="1" applyFill="1" applyBorder="1" applyAlignment="1" applyProtection="1">
      <alignment horizontal="center"/>
      <protection locked="0"/>
    </xf>
    <xf numFmtId="164" fontId="9" fillId="5" borderId="13" xfId="1" applyNumberFormat="1" applyFont="1" applyFill="1" applyBorder="1" applyAlignment="1" applyProtection="1">
      <alignment horizontal="center"/>
      <protection locked="0"/>
    </xf>
    <xf numFmtId="164" fontId="9" fillId="5" borderId="16" xfId="1" applyNumberFormat="1" applyFont="1" applyFill="1" applyBorder="1" applyAlignment="1" applyProtection="1">
      <alignment horizontal="center"/>
      <protection locked="0"/>
    </xf>
    <xf numFmtId="164" fontId="9" fillId="5" borderId="17" xfId="1" applyNumberFormat="1" applyFont="1" applyFill="1" applyBorder="1" applyAlignment="1" applyProtection="1">
      <alignment horizontal="center"/>
      <protection locked="0"/>
    </xf>
    <xf numFmtId="164" fontId="9" fillId="5" borderId="18" xfId="1" applyNumberFormat="1" applyFont="1" applyFill="1" applyBorder="1" applyAlignment="1" applyProtection="1">
      <alignment horizontal="center"/>
      <protection locked="0"/>
    </xf>
    <xf numFmtId="164" fontId="10" fillId="5" borderId="14" xfId="1" applyNumberFormat="1" applyFont="1" applyFill="1" applyBorder="1" applyAlignment="1" applyProtection="1">
      <alignment horizontal="center"/>
      <protection locked="0"/>
    </xf>
    <xf numFmtId="164" fontId="10" fillId="5" borderId="0" xfId="1" applyNumberFormat="1" applyFont="1" applyFill="1" applyAlignment="1" applyProtection="1">
      <alignment horizontal="center"/>
      <protection locked="0"/>
    </xf>
    <xf numFmtId="164" fontId="10" fillId="5" borderId="15" xfId="1" applyNumberFormat="1" applyFont="1" applyFill="1" applyBorder="1" applyAlignment="1" applyProtection="1">
      <alignment horizontal="center"/>
      <protection locked="0"/>
    </xf>
    <xf numFmtId="164" fontId="10" fillId="5" borderId="16" xfId="1" applyNumberFormat="1" applyFont="1" applyFill="1" applyBorder="1" applyAlignment="1" applyProtection="1">
      <alignment horizontal="center"/>
      <protection locked="0"/>
    </xf>
    <xf numFmtId="164" fontId="10" fillId="5" borderId="17" xfId="1" applyNumberFormat="1" applyFont="1" applyFill="1" applyBorder="1" applyAlignment="1" applyProtection="1">
      <alignment horizontal="center"/>
      <protection locked="0"/>
    </xf>
    <xf numFmtId="164" fontId="10" fillId="5" borderId="18" xfId="1" applyNumberFormat="1" applyFont="1" applyFill="1" applyBorder="1" applyAlignment="1" applyProtection="1">
      <alignment horizontal="center"/>
      <protection locked="0"/>
    </xf>
    <xf numFmtId="164" fontId="11" fillId="3" borderId="20" xfId="1" applyNumberFormat="1" applyFont="1" applyFill="1" applyBorder="1" applyAlignment="1" applyProtection="1">
      <alignment horizontal="center"/>
      <protection locked="0"/>
    </xf>
    <xf numFmtId="164" fontId="11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12" fillId="3" borderId="20" xfId="1" applyNumberFormat="1" applyFont="1" applyFill="1" applyBorder="1" applyAlignment="1" applyProtection="1">
      <alignment horizontal="center"/>
      <protection locked="0"/>
    </xf>
    <xf numFmtId="164" fontId="12" fillId="3" borderId="4" xfId="1" applyNumberFormat="1" applyFont="1" applyFill="1" applyBorder="1" applyAlignment="1" applyProtection="1">
      <alignment horizontal="center"/>
      <protection locked="0"/>
    </xf>
    <xf numFmtId="164" fontId="12" fillId="3" borderId="5" xfId="1" applyNumberFormat="1" applyFont="1" applyFill="1" applyBorder="1" applyAlignment="1" applyProtection="1">
      <alignment horizontal="center"/>
      <protection locked="0"/>
    </xf>
    <xf numFmtId="164" fontId="19" fillId="4" borderId="20" xfId="1" applyNumberFormat="1" applyFont="1" applyFill="1" applyBorder="1" applyAlignment="1" applyProtection="1">
      <alignment horizontal="center"/>
      <protection locked="0"/>
    </xf>
    <xf numFmtId="164" fontId="19" fillId="4" borderId="4" xfId="1" applyNumberFormat="1" applyFont="1" applyFill="1" applyBorder="1" applyAlignment="1" applyProtection="1">
      <alignment horizontal="center"/>
      <protection locked="0"/>
    </xf>
    <xf numFmtId="164" fontId="19" fillId="4" borderId="5" xfId="1" applyNumberFormat="1" applyFont="1" applyFill="1" applyBorder="1" applyAlignment="1" applyProtection="1">
      <alignment horizontal="center"/>
      <protection locked="0"/>
    </xf>
    <xf numFmtId="164" fontId="13" fillId="3" borderId="49" xfId="1" applyNumberFormat="1" applyFont="1" applyFill="1" applyBorder="1" applyAlignment="1" applyProtection="1">
      <alignment horizontal="center" vertical="center"/>
      <protection locked="0"/>
    </xf>
    <xf numFmtId="164" fontId="11" fillId="3" borderId="50" xfId="1" applyNumberFormat="1" applyFont="1" applyFill="1" applyBorder="1" applyAlignment="1" applyProtection="1">
      <alignment horizontal="center" vertic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4" fontId="8" fillId="0" borderId="34" xfId="1" applyNumberFormat="1" applyFont="1" applyBorder="1" applyAlignment="1" applyProtection="1">
      <alignment horizontal="center"/>
      <protection locked="0"/>
    </xf>
    <xf numFmtId="164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4" fontId="8" fillId="0" borderId="32" xfId="1" applyNumberFormat="1" applyFont="1" applyBorder="1" applyAlignment="1" applyProtection="1">
      <alignment horizontal="left"/>
      <protection locked="0"/>
    </xf>
    <xf numFmtId="164" fontId="15" fillId="0" borderId="11" xfId="1" applyNumberFormat="1" applyFont="1" applyBorder="1" applyAlignment="1" applyProtection="1">
      <alignment horizontal="center"/>
      <protection locked="0"/>
    </xf>
    <xf numFmtId="164" fontId="15" fillId="0" borderId="12" xfId="1" applyNumberFormat="1" applyFont="1" applyBorder="1" applyAlignment="1" applyProtection="1">
      <alignment horizontal="center"/>
      <protection locked="0"/>
    </xf>
    <xf numFmtId="164" fontId="15" fillId="0" borderId="13" xfId="1" applyNumberFormat="1" applyFont="1" applyBorder="1" applyAlignment="1" applyProtection="1">
      <alignment horizontal="center"/>
      <protection locked="0"/>
    </xf>
    <xf numFmtId="164" fontId="15" fillId="0" borderId="16" xfId="1" applyNumberFormat="1" applyFont="1" applyBorder="1" applyAlignment="1" applyProtection="1">
      <alignment horizontal="center"/>
      <protection locked="0"/>
    </xf>
    <xf numFmtId="164" fontId="15" fillId="0" borderId="17" xfId="1" applyNumberFormat="1" applyFont="1" applyBorder="1" applyAlignment="1" applyProtection="1">
      <alignment horizontal="center"/>
      <protection locked="0"/>
    </xf>
    <xf numFmtId="164" fontId="15" fillId="0" borderId="18" xfId="1" applyNumberFormat="1" applyFont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4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164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4" fontId="0" fillId="0" borderId="4" xfId="0" applyNumberFormat="1" applyBorder="1" applyAlignment="1" applyProtection="1">
      <alignment horizontal="center"/>
      <protection hidden="1"/>
    </xf>
    <xf numFmtId="164" fontId="0" fillId="0" borderId="5" xfId="0" applyNumberForma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4" fontId="27" fillId="4" borderId="14" xfId="1" applyNumberFormat="1" applyFont="1" applyFill="1" applyBorder="1" applyAlignment="1" applyProtection="1">
      <alignment horizontal="center"/>
      <protection locked="0"/>
    </xf>
    <xf numFmtId="164" fontId="27" fillId="4" borderId="0" xfId="1" applyNumberFormat="1" applyFont="1" applyFill="1" applyBorder="1" applyAlignment="1" applyProtection="1">
      <alignment horizontal="center"/>
      <protection locked="0"/>
    </xf>
    <xf numFmtId="164" fontId="28" fillId="4" borderId="14" xfId="1" applyNumberFormat="1" applyFont="1" applyFill="1" applyBorder="1" applyAlignment="1" applyProtection="1">
      <alignment horizontal="center" vertical="center"/>
      <protection locked="0"/>
    </xf>
    <xf numFmtId="164" fontId="28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64" fontId="26" fillId="3" borderId="20" xfId="1" applyNumberFormat="1" applyFont="1" applyFill="1" applyBorder="1" applyAlignment="1" applyProtection="1">
      <alignment horizontal="center"/>
      <protection locked="0"/>
    </xf>
    <xf numFmtId="164" fontId="18" fillId="0" borderId="33" xfId="1" applyNumberFormat="1" applyFont="1" applyBorder="1" applyAlignment="1" applyProtection="1">
      <alignment horizontal="center"/>
      <protection locked="0"/>
    </xf>
    <xf numFmtId="164" fontId="19" fillId="5" borderId="11" xfId="1" applyNumberFormat="1" applyFont="1" applyFill="1" applyBorder="1" applyAlignment="1" applyProtection="1">
      <alignment horizontal="center"/>
      <protection locked="0"/>
    </xf>
    <xf numFmtId="164" fontId="16" fillId="5" borderId="14" xfId="1" applyNumberFormat="1" applyFont="1" applyFill="1" applyBorder="1" applyAlignment="1" applyProtection="1">
      <alignment horizontal="center"/>
      <protection locked="0"/>
    </xf>
    <xf numFmtId="164" fontId="19" fillId="6" borderId="11" xfId="1" applyNumberFormat="1" applyFont="1" applyFill="1" applyBorder="1" applyAlignment="1" applyProtection="1">
      <alignment horizontal="center"/>
      <protection locked="0"/>
    </xf>
    <xf numFmtId="164" fontId="9" fillId="6" borderId="12" xfId="1" applyNumberFormat="1" applyFont="1" applyFill="1" applyBorder="1" applyAlignment="1" applyProtection="1">
      <alignment horizontal="center"/>
      <protection locked="0"/>
    </xf>
    <xf numFmtId="164" fontId="9" fillId="6" borderId="13" xfId="1" applyNumberFormat="1" applyFont="1" applyFill="1" applyBorder="1" applyAlignment="1" applyProtection="1">
      <alignment horizontal="center"/>
      <protection locked="0"/>
    </xf>
    <xf numFmtId="164" fontId="9" fillId="6" borderId="16" xfId="1" applyNumberFormat="1" applyFont="1" applyFill="1" applyBorder="1" applyAlignment="1" applyProtection="1">
      <alignment horizontal="center"/>
      <protection locked="0"/>
    </xf>
    <xf numFmtId="164" fontId="9" fillId="6" borderId="17" xfId="1" applyNumberFormat="1" applyFont="1" applyFill="1" applyBorder="1" applyAlignment="1" applyProtection="1">
      <alignment horizontal="center"/>
      <protection locked="0"/>
    </xf>
    <xf numFmtId="164" fontId="9" fillId="6" borderId="18" xfId="1" applyNumberFormat="1" applyFont="1" applyFill="1" applyBorder="1" applyAlignment="1" applyProtection="1">
      <alignment horizontal="center"/>
      <protection locked="0"/>
    </xf>
    <xf numFmtId="164" fontId="16" fillId="6" borderId="14" xfId="1" applyNumberFormat="1" applyFont="1" applyFill="1" applyBorder="1" applyAlignment="1" applyProtection="1">
      <alignment horizontal="center"/>
      <protection locked="0"/>
    </xf>
    <xf numFmtId="164" fontId="10" fillId="6" borderId="0" xfId="1" applyNumberFormat="1" applyFont="1" applyFill="1" applyAlignment="1" applyProtection="1">
      <alignment horizontal="center"/>
      <protection locked="0"/>
    </xf>
    <xf numFmtId="164" fontId="10" fillId="6" borderId="15" xfId="1" applyNumberFormat="1" applyFont="1" applyFill="1" applyBorder="1" applyAlignment="1" applyProtection="1">
      <alignment horizontal="center"/>
      <protection locked="0"/>
    </xf>
    <xf numFmtId="164" fontId="10" fillId="6" borderId="16" xfId="1" applyNumberFormat="1" applyFont="1" applyFill="1" applyBorder="1" applyAlignment="1" applyProtection="1">
      <alignment horizontal="center"/>
      <protection locked="0"/>
    </xf>
    <xf numFmtId="164" fontId="10" fillId="6" borderId="17" xfId="1" applyNumberFormat="1" applyFont="1" applyFill="1" applyBorder="1" applyAlignment="1" applyProtection="1">
      <alignment horizontal="center"/>
      <protection locked="0"/>
    </xf>
    <xf numFmtId="164" fontId="10" fillId="6" borderId="18" xfId="1" applyNumberFormat="1" applyFont="1" applyFill="1" applyBorder="1" applyAlignment="1" applyProtection="1">
      <alignment horizontal="center"/>
      <protection locked="0"/>
    </xf>
    <xf numFmtId="164" fontId="19" fillId="4" borderId="16" xfId="1" applyNumberFormat="1" applyFont="1" applyFill="1" applyBorder="1" applyAlignment="1" applyProtection="1">
      <alignment horizontal="center"/>
      <protection locked="0"/>
    </xf>
    <xf numFmtId="164" fontId="19" fillId="4" borderId="17" xfId="1" applyNumberFormat="1" applyFont="1" applyFill="1" applyBorder="1" applyAlignment="1" applyProtection="1">
      <alignment horizontal="center"/>
      <protection locked="0"/>
    </xf>
    <xf numFmtId="164" fontId="19" fillId="4" borderId="18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4" fontId="21" fillId="4" borderId="20" xfId="1" applyNumberFormat="1" applyFont="1" applyFill="1" applyBorder="1" applyAlignment="1" applyProtection="1">
      <alignment horizontal="center"/>
      <protection hidden="1"/>
    </xf>
    <xf numFmtId="164" fontId="21" fillId="4" borderId="4" xfId="1" applyNumberFormat="1" applyFont="1" applyFill="1" applyBorder="1" applyAlignment="1" applyProtection="1">
      <alignment horizontal="center"/>
      <protection hidden="1"/>
    </xf>
    <xf numFmtId="164" fontId="21" fillId="4" borderId="5" xfId="1" applyNumberFormat="1" applyFont="1" applyFill="1" applyBorder="1" applyAlignment="1" applyProtection="1">
      <alignment horizontal="center"/>
      <protection hidden="1"/>
    </xf>
    <xf numFmtId="164" fontId="20" fillId="0" borderId="20" xfId="1" applyNumberFormat="1" applyFont="1" applyBorder="1" applyAlignment="1" applyProtection="1">
      <alignment horizontal="center"/>
      <protection hidden="1"/>
    </xf>
    <xf numFmtId="164" fontId="20" fillId="0" borderId="4" xfId="1" applyNumberFormat="1" applyFont="1" applyBorder="1" applyAlignment="1" applyProtection="1">
      <alignment horizontal="center"/>
      <protection hidden="1"/>
    </xf>
    <xf numFmtId="164" fontId="20" fillId="0" borderId="5" xfId="1" applyNumberFormat="1" applyFont="1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4" fontId="13" fillId="3" borderId="50" xfId="1" applyNumberFormat="1" applyFont="1" applyFill="1" applyBorder="1" applyAlignment="1" applyProtection="1">
      <alignment horizontal="center" vertical="center"/>
      <protection locked="0"/>
    </xf>
    <xf numFmtId="164" fontId="8" fillId="3" borderId="20" xfId="1" applyNumberFormat="1" applyFont="1" applyFill="1" applyBorder="1" applyAlignment="1" applyProtection="1">
      <alignment horizontal="center"/>
      <protection locked="0"/>
    </xf>
    <xf numFmtId="164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4" fontId="8" fillId="0" borderId="53" xfId="1" applyNumberFormat="1" applyFont="1" applyBorder="1" applyAlignment="1" applyProtection="1">
      <alignment horizontal="center"/>
      <protection locked="0"/>
    </xf>
    <xf numFmtId="164" fontId="8" fillId="0" borderId="54" xfId="1" applyNumberFormat="1" applyFont="1" applyBorder="1" applyAlignment="1" applyProtection="1">
      <alignment horizontal="center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42" xfId="1" applyNumberFormat="1" applyFont="1" applyBorder="1" applyAlignment="1" applyProtection="1">
      <alignment horizontal="left"/>
      <protection locked="0"/>
    </xf>
    <xf numFmtId="164" fontId="8" fillId="0" borderId="4" xfId="0" applyNumberFormat="1" applyFont="1" applyBorder="1" applyAlignment="1" applyProtection="1">
      <alignment horizontal="center"/>
      <protection hidden="1"/>
    </xf>
    <xf numFmtId="164" fontId="8" fillId="0" borderId="5" xfId="0" applyNumberFormat="1" applyFont="1" applyBorder="1" applyAlignment="1" applyProtection="1">
      <alignment horizontal="center"/>
      <protection hidden="1"/>
    </xf>
    <xf numFmtId="164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4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4" fontId="0" fillId="0" borderId="20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4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164" fontId="22" fillId="4" borderId="20" xfId="1" applyNumberFormat="1" applyFont="1" applyFill="1" applyBorder="1" applyAlignment="1" applyProtection="1">
      <alignment horizontal="center"/>
      <protection locked="0"/>
    </xf>
    <xf numFmtId="164" fontId="22" fillId="4" borderId="4" xfId="1" applyNumberFormat="1" applyFont="1" applyFill="1" applyBorder="1" applyAlignment="1" applyProtection="1">
      <alignment horizontal="center"/>
      <protection locked="0"/>
    </xf>
    <xf numFmtId="164" fontId="22" fillId="4" borderId="5" xfId="1" applyNumberFormat="1" applyFont="1" applyFill="1" applyBorder="1" applyAlignment="1" applyProtection="1">
      <alignment horizontal="center"/>
      <protection locked="0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4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94" t="s">
        <v>38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15"/>
      <c r="M1" s="115"/>
      <c r="N1" s="115"/>
    </row>
    <row r="2" spans="1:15" ht="31" customHeight="1">
      <c r="A2" s="196" t="s">
        <v>37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15"/>
      <c r="M2" s="115"/>
      <c r="N2" s="115"/>
    </row>
    <row r="3" spans="1:15" ht="15" customHeight="1" thickBot="1">
      <c r="A3" s="196"/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0</v>
      </c>
      <c r="C16" s="68">
        <f>KARONGI!G37</f>
        <v>0</v>
      </c>
      <c r="D16" s="4"/>
      <c r="E16" s="3"/>
      <c r="F16" s="70">
        <f t="shared" si="0"/>
        <v>0</v>
      </c>
      <c r="G16" s="67">
        <f>KARONGI!C41</f>
        <v>0</v>
      </c>
      <c r="H16" s="68">
        <f>KARONGI!C39</f>
        <v>0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3121470</v>
      </c>
      <c r="C19" s="68">
        <f>KAYONZA!G29</f>
        <v>315740</v>
      </c>
      <c r="D19" s="4"/>
      <c r="E19" s="3"/>
      <c r="F19" s="70">
        <f t="shared" si="0"/>
        <v>3437210</v>
      </c>
      <c r="G19" s="67">
        <f>KAYONZA!C33</f>
        <v>0</v>
      </c>
      <c r="H19" s="68">
        <f>KAYONZA!C31</f>
        <v>3437210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10789092</v>
      </c>
      <c r="C29" s="102">
        <f t="shared" si="1"/>
        <v>1011440</v>
      </c>
      <c r="D29" s="103">
        <f t="shared" si="1"/>
        <v>0</v>
      </c>
      <c r="E29" s="102">
        <f t="shared" si="1"/>
        <v>0</v>
      </c>
      <c r="F29" s="102">
        <f>SUM(F5:F28)</f>
        <v>11800532</v>
      </c>
      <c r="G29" s="103">
        <f>SUM(G5:G28)</f>
        <v>0</v>
      </c>
      <c r="H29" s="103">
        <f>SUM(H5:H28)</f>
        <v>11800532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233"/>
      <c r="B30" s="233"/>
      <c r="C30" s="233"/>
      <c r="D30" s="234"/>
      <c r="E30" s="224" t="s">
        <v>12</v>
      </c>
      <c r="F30" s="225"/>
      <c r="G30" s="225"/>
      <c r="H30" s="225"/>
      <c r="I30" s="226"/>
      <c r="J30" s="198"/>
      <c r="K30" s="199"/>
      <c r="L30" s="115"/>
    </row>
    <row r="31" spans="1:15" ht="19" thickBot="1">
      <c r="A31" s="221" t="s">
        <v>9</v>
      </c>
      <c r="B31" s="222"/>
      <c r="C31" s="222"/>
      <c r="D31" s="222"/>
      <c r="E31" s="227"/>
      <c r="F31" s="228"/>
      <c r="G31" s="228"/>
      <c r="H31" s="228"/>
      <c r="I31" s="229"/>
      <c r="J31" s="200"/>
      <c r="K31" s="201"/>
      <c r="L31" s="115"/>
    </row>
    <row r="32" spans="1:15" ht="15" thickBot="1">
      <c r="A32" s="217" t="s">
        <v>13</v>
      </c>
      <c r="B32" s="218"/>
      <c r="C32" s="235">
        <f>SUM(B29:C29)</f>
        <v>11800532</v>
      </c>
      <c r="D32" s="236"/>
      <c r="E32" s="227"/>
      <c r="F32" s="228"/>
      <c r="G32" s="228"/>
      <c r="H32" s="228"/>
      <c r="I32" s="229"/>
      <c r="J32" s="200"/>
      <c r="K32" s="201"/>
      <c r="L32" s="115"/>
    </row>
    <row r="33" spans="1:12" ht="15" thickBot="1">
      <c r="A33" s="217" t="s">
        <v>14</v>
      </c>
      <c r="B33" s="218"/>
      <c r="C33" s="213">
        <f>SUM(F29,G29)</f>
        <v>11800532</v>
      </c>
      <c r="D33" s="223"/>
      <c r="E33" s="227"/>
      <c r="F33" s="228"/>
      <c r="G33" s="228"/>
      <c r="H33" s="228"/>
      <c r="I33" s="229"/>
      <c r="J33" s="200"/>
      <c r="K33" s="201"/>
      <c r="L33" s="115"/>
    </row>
    <row r="34" spans="1:12" ht="15" thickBot="1">
      <c r="A34" s="215" t="s">
        <v>83</v>
      </c>
      <c r="B34" s="216"/>
      <c r="C34" s="213">
        <f>SUM(H29,J29,I29)</f>
        <v>11800532</v>
      </c>
      <c r="D34" s="214"/>
      <c r="E34" s="227"/>
      <c r="F34" s="228"/>
      <c r="G34" s="228"/>
      <c r="H34" s="228"/>
      <c r="I34" s="229"/>
      <c r="J34" s="200"/>
      <c r="K34" s="201"/>
      <c r="L34" s="115"/>
    </row>
    <row r="35" spans="1:12" ht="15" thickBot="1">
      <c r="A35" s="217" t="s">
        <v>11</v>
      </c>
      <c r="B35" s="218"/>
      <c r="C35" s="213">
        <f>SUM(D29:E29)</f>
        <v>0</v>
      </c>
      <c r="D35" s="214"/>
      <c r="E35" s="230"/>
      <c r="F35" s="231"/>
      <c r="G35" s="231"/>
      <c r="H35" s="231"/>
      <c r="I35" s="232"/>
      <c r="J35" s="200"/>
      <c r="K35" s="201"/>
      <c r="L35" s="115"/>
    </row>
    <row r="36" spans="1:12" ht="15" thickBot="1">
      <c r="A36" s="217" t="s">
        <v>10</v>
      </c>
      <c r="B36" s="218"/>
      <c r="C36" s="213">
        <f t="shared" ref="C36" si="2">SUM(C33,C35)</f>
        <v>11800532</v>
      </c>
      <c r="D36" s="214"/>
      <c r="E36" s="204" t="s">
        <v>36</v>
      </c>
      <c r="F36" s="205"/>
      <c r="G36" s="205"/>
      <c r="H36" s="205"/>
      <c r="I36" s="206"/>
      <c r="J36" s="200"/>
      <c r="K36" s="201"/>
      <c r="L36" s="115"/>
    </row>
    <row r="37" spans="1:12" ht="15" thickBot="1">
      <c r="A37" s="219" t="s">
        <v>15</v>
      </c>
      <c r="B37" s="220"/>
      <c r="C37" s="213">
        <f>SUM(C34:C35)</f>
        <v>11800532</v>
      </c>
      <c r="D37" s="214"/>
      <c r="E37" s="207"/>
      <c r="F37" s="208"/>
      <c r="G37" s="208"/>
      <c r="H37" s="208"/>
      <c r="I37" s="209"/>
      <c r="J37" s="200"/>
      <c r="K37" s="201"/>
      <c r="L37" s="115"/>
    </row>
    <row r="38" spans="1:12" ht="26.5" thickBot="1">
      <c r="A38" s="210" t="s">
        <v>16</v>
      </c>
      <c r="B38" s="211"/>
      <c r="C38" s="211"/>
      <c r="D38" s="211"/>
      <c r="E38" s="211"/>
      <c r="F38" s="211"/>
      <c r="G38" s="211"/>
      <c r="H38" s="211"/>
      <c r="I38" s="212"/>
      <c r="J38" s="202"/>
      <c r="K38" s="203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7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6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237" t="s">
        <v>65</v>
      </c>
      <c r="C44" s="238"/>
      <c r="D44" s="239"/>
      <c r="E44" s="185">
        <f>SUM(B17:B18)</f>
        <v>0</v>
      </c>
      <c r="F44" s="186"/>
      <c r="G44" s="186"/>
      <c r="H44" s="187"/>
    </row>
    <row r="45" spans="1:8" ht="19" thickBot="1">
      <c r="B45" s="237" t="s">
        <v>66</v>
      </c>
      <c r="C45" s="238"/>
      <c r="D45" s="239"/>
      <c r="E45" s="185">
        <f>SUM(B19:B20)</f>
        <v>0</v>
      </c>
      <c r="F45" s="186"/>
      <c r="G45" s="186"/>
      <c r="H45" s="187"/>
    </row>
    <row r="46" spans="1:8" ht="19" thickBot="1">
      <c r="B46" s="237" t="s">
        <v>58</v>
      </c>
      <c r="C46" s="238"/>
      <c r="D46" s="239"/>
      <c r="E46" s="185">
        <f>B21</f>
        <v>0</v>
      </c>
      <c r="F46" s="188"/>
      <c r="G46" s="188"/>
      <c r="H46" s="189"/>
    </row>
    <row r="47" spans="1:8" ht="19" thickBot="1">
      <c r="B47" s="237" t="s">
        <v>58</v>
      </c>
      <c r="C47" s="238"/>
      <c r="D47" s="239"/>
      <c r="E47" s="185">
        <f t="shared" ref="E47:E53" si="0">B22</f>
        <v>0</v>
      </c>
      <c r="F47" s="188"/>
      <c r="G47" s="188"/>
      <c r="H47" s="189"/>
    </row>
    <row r="48" spans="1:8" ht="19" thickBot="1">
      <c r="B48" s="237" t="s">
        <v>58</v>
      </c>
      <c r="C48" s="238"/>
      <c r="D48" s="239"/>
      <c r="E48" s="185">
        <f t="shared" si="0"/>
        <v>0</v>
      </c>
      <c r="F48" s="188"/>
      <c r="G48" s="188"/>
      <c r="H48" s="189"/>
    </row>
    <row r="49" spans="2:8" ht="19" thickBot="1">
      <c r="B49" s="237" t="s">
        <v>58</v>
      </c>
      <c r="C49" s="238"/>
      <c r="D49" s="239"/>
      <c r="E49" s="185">
        <f t="shared" si="0"/>
        <v>0</v>
      </c>
      <c r="F49" s="188"/>
      <c r="G49" s="188"/>
      <c r="H49" s="189"/>
    </row>
    <row r="50" spans="2:8" ht="19" thickBot="1">
      <c r="B50" s="237" t="s">
        <v>58</v>
      </c>
      <c r="C50" s="238"/>
      <c r="D50" s="239"/>
      <c r="E50" s="185">
        <f t="shared" si="0"/>
        <v>0</v>
      </c>
      <c r="F50" s="188"/>
      <c r="G50" s="188"/>
      <c r="H50" s="189"/>
    </row>
    <row r="51" spans="2:8" ht="19" thickBot="1">
      <c r="B51" s="237" t="s">
        <v>58</v>
      </c>
      <c r="C51" s="238"/>
      <c r="D51" s="239"/>
      <c r="E51" s="185">
        <f t="shared" si="0"/>
        <v>0</v>
      </c>
      <c r="F51" s="188"/>
      <c r="G51" s="188"/>
      <c r="H51" s="189"/>
    </row>
    <row r="52" spans="2:8" ht="19" thickBot="1">
      <c r="B52" s="237" t="s">
        <v>58</v>
      </c>
      <c r="C52" s="238"/>
      <c r="D52" s="239"/>
      <c r="E52" s="185">
        <f t="shared" si="0"/>
        <v>0</v>
      </c>
      <c r="F52" s="188"/>
      <c r="G52" s="188"/>
      <c r="H52" s="189"/>
    </row>
    <row r="53" spans="2:8" ht="19" thickBot="1">
      <c r="B53" s="237" t="s">
        <v>58</v>
      </c>
      <c r="C53" s="238"/>
      <c r="D53" s="239"/>
      <c r="E53" s="185">
        <f t="shared" si="0"/>
        <v>0</v>
      </c>
      <c r="F53" s="188"/>
      <c r="G53" s="188"/>
      <c r="H53" s="189"/>
    </row>
    <row r="54" spans="2:8" ht="21.5" thickBot="1">
      <c r="B54" s="237" t="s">
        <v>67</v>
      </c>
      <c r="C54" s="238"/>
      <c r="D54" s="239"/>
      <c r="E54" s="240">
        <f>SUM(E41:H53)</f>
        <v>0</v>
      </c>
      <c r="F54" s="241"/>
      <c r="G54" s="241"/>
      <c r="H54" s="242"/>
    </row>
    <row r="55" spans="2:8" ht="19" thickBot="1">
      <c r="B55" s="237"/>
      <c r="C55" s="238"/>
      <c r="D55" s="239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7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6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237" t="s">
        <v>65</v>
      </c>
      <c r="C44" s="238"/>
      <c r="D44" s="239"/>
      <c r="E44" s="185">
        <f>SUM(B17:B18)</f>
        <v>0</v>
      </c>
      <c r="F44" s="186"/>
      <c r="G44" s="186"/>
      <c r="H44" s="187"/>
    </row>
    <row r="45" spans="1:8" ht="19" thickBot="1">
      <c r="B45" s="237" t="s">
        <v>66</v>
      </c>
      <c r="C45" s="238"/>
      <c r="D45" s="239"/>
      <c r="E45" s="185">
        <f>SUM(B19:B20)</f>
        <v>0</v>
      </c>
      <c r="F45" s="186"/>
      <c r="G45" s="186"/>
      <c r="H45" s="187"/>
    </row>
    <row r="46" spans="1:8" ht="19" thickBot="1">
      <c r="B46" s="237" t="s">
        <v>58</v>
      </c>
      <c r="C46" s="238"/>
      <c r="D46" s="239"/>
      <c r="E46" s="185">
        <f>B21</f>
        <v>0</v>
      </c>
      <c r="F46" s="188"/>
      <c r="G46" s="188"/>
      <c r="H46" s="189"/>
    </row>
    <row r="47" spans="1:8" ht="19" thickBot="1">
      <c r="B47" s="237" t="s">
        <v>58</v>
      </c>
      <c r="C47" s="238"/>
      <c r="D47" s="239"/>
      <c r="E47" s="185">
        <f t="shared" ref="E47:E53" si="0">B22</f>
        <v>0</v>
      </c>
      <c r="F47" s="188"/>
      <c r="G47" s="188"/>
      <c r="H47" s="189"/>
    </row>
    <row r="48" spans="1:8" ht="19" thickBot="1">
      <c r="B48" s="237" t="s">
        <v>58</v>
      </c>
      <c r="C48" s="238"/>
      <c r="D48" s="239"/>
      <c r="E48" s="185">
        <f t="shared" si="0"/>
        <v>0</v>
      </c>
      <c r="F48" s="188"/>
      <c r="G48" s="188"/>
      <c r="H48" s="189"/>
    </row>
    <row r="49" spans="2:8" ht="19" thickBot="1">
      <c r="B49" s="237" t="s">
        <v>58</v>
      </c>
      <c r="C49" s="238"/>
      <c r="D49" s="239"/>
      <c r="E49" s="185">
        <f t="shared" si="0"/>
        <v>0</v>
      </c>
      <c r="F49" s="188"/>
      <c r="G49" s="188"/>
      <c r="H49" s="189"/>
    </row>
    <row r="50" spans="2:8" ht="19" thickBot="1">
      <c r="B50" s="237" t="s">
        <v>58</v>
      </c>
      <c r="C50" s="238"/>
      <c r="D50" s="239"/>
      <c r="E50" s="185">
        <f t="shared" si="0"/>
        <v>0</v>
      </c>
      <c r="F50" s="188"/>
      <c r="G50" s="188"/>
      <c r="H50" s="189"/>
    </row>
    <row r="51" spans="2:8" ht="19" thickBot="1">
      <c r="B51" s="237" t="s">
        <v>58</v>
      </c>
      <c r="C51" s="238"/>
      <c r="D51" s="239"/>
      <c r="E51" s="185">
        <f t="shared" si="0"/>
        <v>0</v>
      </c>
      <c r="F51" s="188"/>
      <c r="G51" s="188"/>
      <c r="H51" s="189"/>
    </row>
    <row r="52" spans="2:8" ht="19" thickBot="1">
      <c r="B52" s="237" t="s">
        <v>58</v>
      </c>
      <c r="C52" s="238"/>
      <c r="D52" s="239"/>
      <c r="E52" s="185">
        <f t="shared" si="0"/>
        <v>0</v>
      </c>
      <c r="F52" s="188"/>
      <c r="G52" s="188"/>
      <c r="H52" s="189"/>
    </row>
    <row r="53" spans="2:8" ht="19" thickBot="1">
      <c r="B53" s="237" t="s">
        <v>58</v>
      </c>
      <c r="C53" s="238"/>
      <c r="D53" s="239"/>
      <c r="E53" s="185">
        <f t="shared" si="0"/>
        <v>0</v>
      </c>
      <c r="F53" s="188"/>
      <c r="G53" s="188"/>
      <c r="H53" s="189"/>
    </row>
    <row r="54" spans="2:8" ht="21.5" thickBot="1">
      <c r="B54" s="237" t="s">
        <v>67</v>
      </c>
      <c r="C54" s="238"/>
      <c r="D54" s="239"/>
      <c r="E54" s="240">
        <f>SUM(E41:H53)</f>
        <v>0</v>
      </c>
      <c r="F54" s="241"/>
      <c r="G54" s="241"/>
      <c r="H54" s="242"/>
    </row>
    <row r="55" spans="2:8" ht="19" thickBot="1">
      <c r="B55" s="237"/>
      <c r="C55" s="238"/>
      <c r="D55" s="239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7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6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237" t="s">
        <v>65</v>
      </c>
      <c r="C44" s="238"/>
      <c r="D44" s="239"/>
      <c r="E44" s="185">
        <f>SUM(B17:B18)</f>
        <v>0</v>
      </c>
      <c r="F44" s="186"/>
      <c r="G44" s="186"/>
      <c r="H44" s="187"/>
    </row>
    <row r="45" spans="1:8" ht="19" thickBot="1">
      <c r="B45" s="237" t="s">
        <v>66</v>
      </c>
      <c r="C45" s="238"/>
      <c r="D45" s="239"/>
      <c r="E45" s="185">
        <f>SUM(B19:B20)</f>
        <v>0</v>
      </c>
      <c r="F45" s="186"/>
      <c r="G45" s="186"/>
      <c r="H45" s="187"/>
    </row>
    <row r="46" spans="1:8" ht="19" thickBot="1">
      <c r="B46" s="237" t="s">
        <v>58</v>
      </c>
      <c r="C46" s="238"/>
      <c r="D46" s="239"/>
      <c r="E46" s="185">
        <f>B21</f>
        <v>0</v>
      </c>
      <c r="F46" s="188"/>
      <c r="G46" s="188"/>
      <c r="H46" s="189"/>
    </row>
    <row r="47" spans="1:8" ht="19" thickBot="1">
      <c r="B47" s="237" t="s">
        <v>58</v>
      </c>
      <c r="C47" s="238"/>
      <c r="D47" s="239"/>
      <c r="E47" s="185">
        <f t="shared" ref="E47:E53" si="0">B22</f>
        <v>0</v>
      </c>
      <c r="F47" s="188"/>
      <c r="G47" s="188"/>
      <c r="H47" s="189"/>
    </row>
    <row r="48" spans="1:8" ht="19" thickBot="1">
      <c r="B48" s="237" t="s">
        <v>58</v>
      </c>
      <c r="C48" s="238"/>
      <c r="D48" s="239"/>
      <c r="E48" s="185">
        <f t="shared" si="0"/>
        <v>0</v>
      </c>
      <c r="F48" s="188"/>
      <c r="G48" s="188"/>
      <c r="H48" s="189"/>
    </row>
    <row r="49" spans="2:8" ht="19" thickBot="1">
      <c r="B49" s="237" t="s">
        <v>58</v>
      </c>
      <c r="C49" s="238"/>
      <c r="D49" s="239"/>
      <c r="E49" s="185">
        <f t="shared" si="0"/>
        <v>0</v>
      </c>
      <c r="F49" s="188"/>
      <c r="G49" s="188"/>
      <c r="H49" s="189"/>
    </row>
    <row r="50" spans="2:8" ht="19" thickBot="1">
      <c r="B50" s="237" t="s">
        <v>58</v>
      </c>
      <c r="C50" s="238"/>
      <c r="D50" s="239"/>
      <c r="E50" s="185">
        <f t="shared" si="0"/>
        <v>0</v>
      </c>
      <c r="F50" s="188"/>
      <c r="G50" s="188"/>
      <c r="H50" s="189"/>
    </row>
    <row r="51" spans="2:8" ht="19" thickBot="1">
      <c r="B51" s="237" t="s">
        <v>58</v>
      </c>
      <c r="C51" s="238"/>
      <c r="D51" s="239"/>
      <c r="E51" s="185">
        <f t="shared" si="0"/>
        <v>0</v>
      </c>
      <c r="F51" s="188"/>
      <c r="G51" s="188"/>
      <c r="H51" s="189"/>
    </row>
    <row r="52" spans="2:8" ht="19" thickBot="1">
      <c r="B52" s="237" t="s">
        <v>58</v>
      </c>
      <c r="C52" s="238"/>
      <c r="D52" s="239"/>
      <c r="E52" s="185">
        <f t="shared" si="0"/>
        <v>0</v>
      </c>
      <c r="F52" s="188"/>
      <c r="G52" s="188"/>
      <c r="H52" s="189"/>
    </row>
    <row r="53" spans="2:8" ht="19" thickBot="1">
      <c r="B53" s="237" t="s">
        <v>58</v>
      </c>
      <c r="C53" s="238"/>
      <c r="D53" s="239"/>
      <c r="E53" s="185">
        <f t="shared" si="0"/>
        <v>0</v>
      </c>
      <c r="F53" s="188"/>
      <c r="G53" s="188"/>
      <c r="H53" s="189"/>
    </row>
    <row r="54" spans="2:8" ht="21.5" thickBot="1">
      <c r="B54" s="237" t="s">
        <v>67</v>
      </c>
      <c r="C54" s="238"/>
      <c r="D54" s="239"/>
      <c r="E54" s="240">
        <f>SUM(E41:H53)</f>
        <v>0</v>
      </c>
      <c r="F54" s="241"/>
      <c r="G54" s="241"/>
      <c r="H54" s="242"/>
    </row>
    <row r="55" spans="2:8" ht="19" thickBot="1">
      <c r="B55" s="237"/>
      <c r="C55" s="238"/>
      <c r="D55" s="239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7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6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237" t="s">
        <v>65</v>
      </c>
      <c r="C44" s="238"/>
      <c r="D44" s="239"/>
      <c r="E44" s="185">
        <f>SUM(B17:B18)</f>
        <v>0</v>
      </c>
      <c r="F44" s="186"/>
      <c r="G44" s="186"/>
      <c r="H44" s="187"/>
    </row>
    <row r="45" spans="1:8" ht="19" thickBot="1">
      <c r="B45" s="237" t="s">
        <v>66</v>
      </c>
      <c r="C45" s="238"/>
      <c r="D45" s="239"/>
      <c r="E45" s="185">
        <f>SUM(B19:B20)</f>
        <v>0</v>
      </c>
      <c r="F45" s="186"/>
      <c r="G45" s="186"/>
      <c r="H45" s="187"/>
    </row>
    <row r="46" spans="1:8" ht="19" thickBot="1">
      <c r="B46" s="237" t="s">
        <v>58</v>
      </c>
      <c r="C46" s="238"/>
      <c r="D46" s="239"/>
      <c r="E46" s="185">
        <f>B21</f>
        <v>0</v>
      </c>
      <c r="F46" s="188"/>
      <c r="G46" s="188"/>
      <c r="H46" s="189"/>
    </row>
    <row r="47" spans="1:8" ht="19" thickBot="1">
      <c r="B47" s="237" t="s">
        <v>58</v>
      </c>
      <c r="C47" s="238"/>
      <c r="D47" s="239"/>
      <c r="E47" s="185">
        <f t="shared" ref="E47:E53" si="0">B22</f>
        <v>0</v>
      </c>
      <c r="F47" s="188"/>
      <c r="G47" s="188"/>
      <c r="H47" s="189"/>
    </row>
    <row r="48" spans="1:8" ht="19" thickBot="1">
      <c r="B48" s="237" t="s">
        <v>58</v>
      </c>
      <c r="C48" s="238"/>
      <c r="D48" s="239"/>
      <c r="E48" s="185">
        <f t="shared" si="0"/>
        <v>0</v>
      </c>
      <c r="F48" s="188"/>
      <c r="G48" s="188"/>
      <c r="H48" s="189"/>
    </row>
    <row r="49" spans="2:8" ht="19" thickBot="1">
      <c r="B49" s="237" t="s">
        <v>58</v>
      </c>
      <c r="C49" s="238"/>
      <c r="D49" s="239"/>
      <c r="E49" s="185">
        <f t="shared" si="0"/>
        <v>0</v>
      </c>
      <c r="F49" s="188"/>
      <c r="G49" s="188"/>
      <c r="H49" s="189"/>
    </row>
    <row r="50" spans="2:8" ht="19" thickBot="1">
      <c r="B50" s="237" t="s">
        <v>58</v>
      </c>
      <c r="C50" s="238"/>
      <c r="D50" s="239"/>
      <c r="E50" s="185">
        <f t="shared" si="0"/>
        <v>0</v>
      </c>
      <c r="F50" s="188"/>
      <c r="G50" s="188"/>
      <c r="H50" s="189"/>
    </row>
    <row r="51" spans="2:8" ht="19" thickBot="1">
      <c r="B51" s="237" t="s">
        <v>58</v>
      </c>
      <c r="C51" s="238"/>
      <c r="D51" s="239"/>
      <c r="E51" s="185">
        <f t="shared" si="0"/>
        <v>0</v>
      </c>
      <c r="F51" s="188"/>
      <c r="G51" s="188"/>
      <c r="H51" s="189"/>
    </row>
    <row r="52" spans="2:8" ht="19" thickBot="1">
      <c r="B52" s="237" t="s">
        <v>58</v>
      </c>
      <c r="C52" s="238"/>
      <c r="D52" s="239"/>
      <c r="E52" s="185">
        <f t="shared" si="0"/>
        <v>0</v>
      </c>
      <c r="F52" s="188"/>
      <c r="G52" s="188"/>
      <c r="H52" s="189"/>
    </row>
    <row r="53" spans="2:8" ht="19" thickBot="1">
      <c r="B53" s="237" t="s">
        <v>58</v>
      </c>
      <c r="C53" s="238"/>
      <c r="D53" s="239"/>
      <c r="E53" s="185">
        <f t="shared" si="0"/>
        <v>0</v>
      </c>
      <c r="F53" s="188"/>
      <c r="G53" s="188"/>
      <c r="H53" s="189"/>
    </row>
    <row r="54" spans="2:8" ht="21.5" thickBot="1">
      <c r="B54" s="237" t="s">
        <v>67</v>
      </c>
      <c r="C54" s="238"/>
      <c r="D54" s="239"/>
      <c r="E54" s="240">
        <f>SUM(E41:H53)</f>
        <v>0</v>
      </c>
      <c r="F54" s="241"/>
      <c r="G54" s="241"/>
      <c r="H54" s="242"/>
    </row>
    <row r="55" spans="2:8" ht="19" thickBot="1">
      <c r="B55" s="237"/>
      <c r="C55" s="238"/>
      <c r="D55" s="239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50" t="s">
        <v>57</v>
      </c>
      <c r="B1" s="251"/>
      <c r="C1" s="251"/>
      <c r="D1" s="251"/>
      <c r="E1" s="251"/>
      <c r="F1" s="251"/>
      <c r="G1" s="251"/>
      <c r="H1" s="252"/>
    </row>
    <row r="2" spans="1:8" ht="15" thickBot="1">
      <c r="A2" s="253"/>
      <c r="B2" s="254"/>
      <c r="C2" s="254"/>
      <c r="D2" s="254"/>
      <c r="E2" s="254"/>
      <c r="F2" s="254"/>
      <c r="G2" s="254"/>
      <c r="H2" s="255"/>
    </row>
    <row r="3" spans="1:8">
      <c r="A3" s="256" t="s">
        <v>39</v>
      </c>
      <c r="B3" s="257"/>
      <c r="C3" s="257"/>
      <c r="D3" s="257"/>
      <c r="E3" s="257"/>
      <c r="F3" s="257"/>
      <c r="G3" s="257"/>
      <c r="H3" s="258"/>
    </row>
    <row r="4" spans="1:8" ht="15" thickBot="1">
      <c r="A4" s="259"/>
      <c r="B4" s="260"/>
      <c r="C4" s="260"/>
      <c r="D4" s="260"/>
      <c r="E4" s="260"/>
      <c r="F4" s="260"/>
      <c r="G4" s="260"/>
      <c r="H4" s="261"/>
    </row>
    <row r="5" spans="1:8" ht="15" thickBot="1">
      <c r="A5" s="93" t="s">
        <v>40</v>
      </c>
      <c r="B5" s="93" t="s">
        <v>41</v>
      </c>
      <c r="C5" s="143" t="s">
        <v>42</v>
      </c>
      <c r="D5" s="144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f>SUM(C39:C44)</f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3" customHeight="1" thickBot="1">
      <c r="A48" s="39"/>
      <c r="B48" s="262" t="s">
        <v>60</v>
      </c>
      <c r="C48" s="263"/>
      <c r="D48" s="264"/>
      <c r="E48" s="262" t="s">
        <v>61</v>
      </c>
      <c r="F48" s="263"/>
      <c r="G48" s="263"/>
      <c r="H48" s="264"/>
    </row>
    <row r="49" spans="1:8" ht="22" customHeight="1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22.5" customHeight="1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24.5" customHeight="1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22" customHeight="1" thickBot="1">
      <c r="B52" s="237" t="s">
        <v>65</v>
      </c>
      <c r="C52" s="238"/>
      <c r="D52" s="239"/>
      <c r="E52" s="185">
        <f>SUM(B17:B18)</f>
        <v>0</v>
      </c>
      <c r="F52" s="186"/>
      <c r="G52" s="186"/>
      <c r="H52" s="187"/>
    </row>
    <row r="53" spans="1:8" ht="22" customHeight="1" thickBot="1">
      <c r="B53" s="237" t="s">
        <v>66</v>
      </c>
      <c r="C53" s="238"/>
      <c r="D53" s="239"/>
      <c r="E53" s="185">
        <f>SUM(B19:B20)</f>
        <v>0</v>
      </c>
      <c r="F53" s="186"/>
      <c r="G53" s="186"/>
      <c r="H53" s="187"/>
    </row>
    <row r="54" spans="1:8" ht="22" customHeight="1" thickBot="1">
      <c r="B54" s="237" t="s">
        <v>58</v>
      </c>
      <c r="C54" s="238"/>
      <c r="D54" s="239"/>
      <c r="E54" s="185">
        <f>B29</f>
        <v>0</v>
      </c>
      <c r="F54" s="188"/>
      <c r="G54" s="188"/>
      <c r="H54" s="189"/>
    </row>
    <row r="55" spans="1:8" ht="22" customHeight="1" thickBot="1">
      <c r="B55" s="237" t="s">
        <v>58</v>
      </c>
      <c r="C55" s="238"/>
      <c r="D55" s="239"/>
      <c r="E55" s="185">
        <f t="shared" ref="E55:E61" si="3">B30</f>
        <v>0</v>
      </c>
      <c r="F55" s="188"/>
      <c r="G55" s="188"/>
      <c r="H55" s="189"/>
    </row>
    <row r="56" spans="1:8" ht="22" customHeight="1" thickBot="1">
      <c r="B56" s="237" t="s">
        <v>58</v>
      </c>
      <c r="C56" s="238"/>
      <c r="D56" s="239"/>
      <c r="E56" s="185">
        <f t="shared" si="3"/>
        <v>0</v>
      </c>
      <c r="F56" s="188"/>
      <c r="G56" s="188"/>
      <c r="H56" s="189"/>
    </row>
    <row r="57" spans="1:8" ht="22" customHeight="1" thickBot="1">
      <c r="B57" s="237" t="s">
        <v>58</v>
      </c>
      <c r="C57" s="238"/>
      <c r="D57" s="239"/>
      <c r="E57" s="185">
        <f t="shared" si="3"/>
        <v>0</v>
      </c>
      <c r="F57" s="188"/>
      <c r="G57" s="188"/>
      <c r="H57" s="189"/>
    </row>
    <row r="58" spans="1:8" ht="24.5" customHeight="1" thickBot="1">
      <c r="B58" s="237" t="s">
        <v>58</v>
      </c>
      <c r="C58" s="238"/>
      <c r="D58" s="239"/>
      <c r="E58" s="185">
        <f t="shared" si="3"/>
        <v>0</v>
      </c>
      <c r="F58" s="188"/>
      <c r="G58" s="188"/>
      <c r="H58" s="189"/>
    </row>
    <row r="59" spans="1:8" ht="25" customHeight="1" thickBot="1">
      <c r="B59" s="237" t="s">
        <v>58</v>
      </c>
      <c r="C59" s="238"/>
      <c r="D59" s="239"/>
      <c r="E59" s="185">
        <f t="shared" si="3"/>
        <v>0</v>
      </c>
      <c r="F59" s="188"/>
      <c r="G59" s="188"/>
      <c r="H59" s="189"/>
    </row>
    <row r="60" spans="1:8" ht="19" thickBot="1">
      <c r="B60" s="237" t="s">
        <v>58</v>
      </c>
      <c r="C60" s="238"/>
      <c r="D60" s="239"/>
      <c r="E60" s="185">
        <f t="shared" si="3"/>
        <v>0</v>
      </c>
      <c r="F60" s="188"/>
      <c r="G60" s="188"/>
      <c r="H60" s="189"/>
    </row>
    <row r="61" spans="1:8" ht="19" thickBot="1">
      <c r="B61" s="237" t="s">
        <v>58</v>
      </c>
      <c r="C61" s="238"/>
      <c r="D61" s="239"/>
      <c r="E61" s="185">
        <f t="shared" si="3"/>
        <v>0</v>
      </c>
      <c r="F61" s="188"/>
      <c r="G61" s="188"/>
      <c r="H61" s="189"/>
    </row>
    <row r="62" spans="1:8" ht="29" thickBot="1">
      <c r="B62" s="265" t="s">
        <v>67</v>
      </c>
      <c r="C62" s="266"/>
      <c r="D62" s="267"/>
      <c r="E62" s="268">
        <f>SUM(E49:H61)</f>
        <v>0</v>
      </c>
      <c r="F62" s="269"/>
      <c r="G62" s="269"/>
      <c r="H62" s="270"/>
    </row>
    <row r="63" spans="1:8" ht="19" thickBot="1">
      <c r="B63" s="237"/>
      <c r="C63" s="238"/>
      <c r="D63" s="239"/>
      <c r="E63" s="243"/>
      <c r="F63" s="244"/>
      <c r="G63" s="244"/>
      <c r="H63" s="245"/>
    </row>
  </sheetData>
  <sheetProtection password="C8CD" sheet="1" objects="1" scenarios="1"/>
  <mergeCells count="62">
    <mergeCell ref="B63:D63"/>
    <mergeCell ref="E63:H63"/>
    <mergeCell ref="B60:D60"/>
    <mergeCell ref="E60:H60"/>
    <mergeCell ref="B61:D61"/>
    <mergeCell ref="E61:H61"/>
    <mergeCell ref="B62:D62"/>
    <mergeCell ref="E62:H62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>
        <v>7670</v>
      </c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f>SUM(C31:C36)</f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4:D54"/>
    <mergeCell ref="E54:H54"/>
    <mergeCell ref="B55:D55"/>
    <mergeCell ref="E55:H55"/>
    <mergeCell ref="B52:D52"/>
    <mergeCell ref="E52:H52"/>
    <mergeCell ref="B53:D53"/>
    <mergeCell ref="E53:H53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69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>
        <v>15000</v>
      </c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>
        <v>9000</v>
      </c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29">
        <v>7670</v>
      </c>
      <c r="D8" s="130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29">
        <v>4130</v>
      </c>
      <c r="D9" s="130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29">
        <v>2124</v>
      </c>
      <c r="D10" s="130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29">
        <v>3540</v>
      </c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>
        <v>2006</v>
      </c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29">
        <v>1357</v>
      </c>
      <c r="D13" s="130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>
        <v>8363322</v>
      </c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f>SUM(C39:C44)</f>
        <v>8363322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20252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250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3782</v>
      </c>
      <c r="F51" s="180"/>
      <c r="G51" s="180"/>
      <c r="H51" s="181"/>
    </row>
    <row r="52" spans="1:8" ht="19" thickBot="1"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B55" s="182" t="s">
        <v>58</v>
      </c>
      <c r="C55" s="183"/>
      <c r="D55" s="184"/>
      <c r="E55" s="185">
        <f t="shared" ref="E55:E61" si="3">B30</f>
        <v>0</v>
      </c>
      <c r="F55" s="188"/>
      <c r="G55" s="188"/>
      <c r="H55" s="189"/>
    </row>
    <row r="56" spans="1:8" ht="19" thickBot="1">
      <c r="B56" s="182" t="s">
        <v>58</v>
      </c>
      <c r="C56" s="183"/>
      <c r="D56" s="184"/>
      <c r="E56" s="185">
        <f t="shared" si="3"/>
        <v>0</v>
      </c>
      <c r="F56" s="188"/>
      <c r="G56" s="188"/>
      <c r="H56" s="189"/>
    </row>
    <row r="57" spans="1:8" ht="19" thickBot="1">
      <c r="B57" s="182" t="s">
        <v>58</v>
      </c>
      <c r="C57" s="183"/>
      <c r="D57" s="184"/>
      <c r="E57" s="185">
        <f t="shared" si="3"/>
        <v>0</v>
      </c>
      <c r="F57" s="188"/>
      <c r="G57" s="188"/>
      <c r="H57" s="189"/>
    </row>
    <row r="58" spans="1:8" ht="19" thickBot="1">
      <c r="B58" s="182" t="s">
        <v>58</v>
      </c>
      <c r="C58" s="183"/>
      <c r="D58" s="184"/>
      <c r="E58" s="185">
        <f t="shared" si="3"/>
        <v>0</v>
      </c>
      <c r="F58" s="188"/>
      <c r="G58" s="188"/>
      <c r="H58" s="189"/>
    </row>
    <row r="59" spans="1:8" ht="19" thickBot="1">
      <c r="B59" s="182" t="s">
        <v>58</v>
      </c>
      <c r="C59" s="183"/>
      <c r="D59" s="184"/>
      <c r="E59" s="185">
        <f t="shared" si="3"/>
        <v>0</v>
      </c>
      <c r="F59" s="188"/>
      <c r="G59" s="188"/>
      <c r="H59" s="189"/>
    </row>
    <row r="60" spans="1:8" ht="19" thickBot="1">
      <c r="B60" s="182" t="s">
        <v>58</v>
      </c>
      <c r="C60" s="183"/>
      <c r="D60" s="184"/>
      <c r="E60" s="185">
        <f t="shared" si="3"/>
        <v>0</v>
      </c>
      <c r="F60" s="188"/>
      <c r="G60" s="188"/>
      <c r="H60" s="189"/>
    </row>
    <row r="61" spans="1:8" ht="19" thickBot="1">
      <c r="B61" s="182" t="s">
        <v>58</v>
      </c>
      <c r="C61" s="183"/>
      <c r="D61" s="184"/>
      <c r="E61" s="185">
        <f t="shared" si="3"/>
        <v>0</v>
      </c>
      <c r="F61" s="188"/>
      <c r="G61" s="188"/>
      <c r="H61" s="189"/>
    </row>
    <row r="62" spans="1:8" ht="24" thickBot="1">
      <c r="B62" s="182" t="s">
        <v>67</v>
      </c>
      <c r="C62" s="183"/>
      <c r="D62" s="184"/>
      <c r="E62" s="271">
        <f>SUM(E49:H61)</f>
        <v>24284</v>
      </c>
      <c r="F62" s="272"/>
      <c r="G62" s="272"/>
      <c r="H62" s="273"/>
    </row>
    <row r="63" spans="1:8" ht="19" thickBot="1">
      <c r="B63" s="182"/>
      <c r="C63" s="183"/>
      <c r="D63" s="184"/>
      <c r="E63" s="191"/>
      <c r="F63" s="192"/>
      <c r="G63" s="192"/>
      <c r="H63" s="193"/>
    </row>
  </sheetData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workbookViewId="0">
      <selection activeCell="A30" sqref="A30:H39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>
        <v>1357</v>
      </c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>
        <v>2124</v>
      </c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B52" s="237" t="s">
        <v>65</v>
      </c>
      <c r="C52" s="238"/>
      <c r="D52" s="239"/>
      <c r="E52" s="185">
        <f>SUM(B17:B18)</f>
        <v>0</v>
      </c>
      <c r="F52" s="186"/>
      <c r="G52" s="186"/>
      <c r="H52" s="187"/>
    </row>
    <row r="53" spans="1:8" ht="19" thickBot="1">
      <c r="B53" s="237" t="s">
        <v>66</v>
      </c>
      <c r="C53" s="238"/>
      <c r="D53" s="239"/>
      <c r="E53" s="185">
        <f>SUM(B19:B20)</f>
        <v>0</v>
      </c>
      <c r="F53" s="186"/>
      <c r="G53" s="186"/>
      <c r="H53" s="187"/>
    </row>
    <row r="54" spans="1:8" ht="19" thickBot="1">
      <c r="B54" s="237" t="s">
        <v>58</v>
      </c>
      <c r="C54" s="238"/>
      <c r="D54" s="239"/>
      <c r="E54" s="185">
        <f>B29</f>
        <v>0</v>
      </c>
      <c r="F54" s="188"/>
      <c r="G54" s="188"/>
      <c r="H54" s="189"/>
    </row>
    <row r="55" spans="1:8" ht="19" thickBot="1">
      <c r="B55" s="237" t="s">
        <v>58</v>
      </c>
      <c r="C55" s="238"/>
      <c r="D55" s="239"/>
      <c r="E55" s="185">
        <f t="shared" ref="E55:E61" si="3">B30</f>
        <v>0</v>
      </c>
      <c r="F55" s="188"/>
      <c r="G55" s="188"/>
      <c r="H55" s="189"/>
    </row>
    <row r="56" spans="1:8" ht="19" thickBot="1">
      <c r="B56" s="237" t="s">
        <v>58</v>
      </c>
      <c r="C56" s="238"/>
      <c r="D56" s="239"/>
      <c r="E56" s="185">
        <f t="shared" si="3"/>
        <v>0</v>
      </c>
      <c r="F56" s="188"/>
      <c r="G56" s="188"/>
      <c r="H56" s="189"/>
    </row>
    <row r="57" spans="1:8" ht="19" thickBot="1">
      <c r="B57" s="237" t="s">
        <v>58</v>
      </c>
      <c r="C57" s="238"/>
      <c r="D57" s="239"/>
      <c r="E57" s="185">
        <f t="shared" si="3"/>
        <v>0</v>
      </c>
      <c r="F57" s="188"/>
      <c r="G57" s="188"/>
      <c r="H57" s="189"/>
    </row>
    <row r="58" spans="1:8" ht="19" thickBot="1">
      <c r="B58" s="237" t="s">
        <v>58</v>
      </c>
      <c r="C58" s="238"/>
      <c r="D58" s="239"/>
      <c r="E58" s="185">
        <f t="shared" si="3"/>
        <v>0</v>
      </c>
      <c r="F58" s="188"/>
      <c r="G58" s="188"/>
      <c r="H58" s="189"/>
    </row>
    <row r="59" spans="1:8" ht="19" thickBot="1">
      <c r="B59" s="237" t="s">
        <v>58</v>
      </c>
      <c r="C59" s="238"/>
      <c r="D59" s="239"/>
      <c r="E59" s="185">
        <f t="shared" si="3"/>
        <v>0</v>
      </c>
      <c r="F59" s="188"/>
      <c r="G59" s="188"/>
      <c r="H59" s="189"/>
    </row>
    <row r="60" spans="1:8" ht="19" thickBot="1">
      <c r="B60" s="237" t="s">
        <v>58</v>
      </c>
      <c r="C60" s="238"/>
      <c r="D60" s="239"/>
      <c r="E60" s="185">
        <f t="shared" si="3"/>
        <v>0</v>
      </c>
      <c r="F60" s="188"/>
      <c r="G60" s="188"/>
      <c r="H60" s="189"/>
    </row>
    <row r="61" spans="1:8" ht="19" thickBot="1">
      <c r="B61" s="237" t="s">
        <v>58</v>
      </c>
      <c r="C61" s="238"/>
      <c r="D61" s="239"/>
      <c r="E61" s="185">
        <f t="shared" si="3"/>
        <v>0</v>
      </c>
      <c r="F61" s="188"/>
      <c r="G61" s="188"/>
      <c r="H61" s="189"/>
    </row>
    <row r="62" spans="1:8" ht="19" thickBot="1">
      <c r="B62" s="237" t="s">
        <v>67</v>
      </c>
      <c r="C62" s="238"/>
      <c r="D62" s="239"/>
      <c r="E62" s="190">
        <f>SUM(E49:H61)</f>
        <v>0</v>
      </c>
      <c r="F62" s="186"/>
      <c r="G62" s="186"/>
      <c r="H62" s="187"/>
    </row>
    <row r="63" spans="1:8" ht="19" thickBot="1">
      <c r="B63" s="237"/>
      <c r="C63" s="238"/>
      <c r="D63" s="239"/>
      <c r="E63" s="243"/>
      <c r="F63" s="244"/>
      <c r="G63" s="244"/>
      <c r="H63" s="245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44:B44"/>
    <mergeCell ref="E44:F44"/>
    <mergeCell ref="A45:B45"/>
    <mergeCell ref="E45:F45"/>
    <mergeCell ref="C14:D14"/>
    <mergeCell ref="E43:F4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>
        <v>1357</v>
      </c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53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60" t="s">
        <v>72</v>
      </c>
      <c r="B40" s="161"/>
      <c r="C40" s="71"/>
      <c r="D40" s="85"/>
      <c r="E40" s="129"/>
      <c r="F40" s="130"/>
      <c r="G40" s="86"/>
      <c r="H40" s="74"/>
    </row>
    <row r="41" spans="1:8" ht="15" thickBot="1">
      <c r="A41" s="160" t="s">
        <v>76</v>
      </c>
      <c r="B41" s="161"/>
      <c r="C41" s="72"/>
      <c r="D41" s="84"/>
      <c r="E41" s="283"/>
      <c r="F41" s="166"/>
      <c r="G41" s="86"/>
      <c r="H41" s="74"/>
    </row>
    <row r="42" spans="1:8" ht="15" thickBot="1">
      <c r="A42" s="160" t="s">
        <v>77</v>
      </c>
      <c r="B42" s="161"/>
      <c r="C42" s="73"/>
      <c r="D42" s="81"/>
      <c r="E42" s="284"/>
      <c r="F42" s="166"/>
      <c r="G42" s="15"/>
      <c r="H42" s="74"/>
    </row>
    <row r="43" spans="1:8" ht="15" thickBot="1">
      <c r="A43" s="160" t="s">
        <v>78</v>
      </c>
      <c r="B43" s="161"/>
      <c r="C43" s="75"/>
      <c r="D43" s="81"/>
      <c r="E43" s="274"/>
      <c r="F43" s="123"/>
      <c r="G43" s="15"/>
      <c r="H43" s="74"/>
    </row>
    <row r="44" spans="1:8" ht="15" thickBot="1">
      <c r="A44" s="160" t="s">
        <v>79</v>
      </c>
      <c r="B44" s="161"/>
      <c r="C44" s="76"/>
      <c r="D44" s="82"/>
      <c r="E44" s="274"/>
      <c r="F44" s="123"/>
      <c r="G44" s="15"/>
      <c r="H44" s="74"/>
    </row>
    <row r="45" spans="1:8" ht="15" thickBot="1">
      <c r="A45" s="160" t="s">
        <v>80</v>
      </c>
      <c r="B45" s="161"/>
      <c r="C45" s="92">
        <v>0</v>
      </c>
      <c r="D45" s="83"/>
      <c r="E45" s="275"/>
      <c r="F45" s="127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285"/>
      <c r="G49" s="285"/>
      <c r="H49" s="286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285"/>
      <c r="G50" s="285"/>
      <c r="H50" s="286"/>
    </row>
    <row r="51" spans="1:8" ht="19" thickBot="1">
      <c r="A51" s="39"/>
      <c r="B51" s="173" t="s">
        <v>64</v>
      </c>
      <c r="C51" s="174"/>
      <c r="D51" s="175"/>
      <c r="E51" s="176">
        <f>SUM(B13:B14)</f>
        <v>0</v>
      </c>
      <c r="F51" s="285"/>
      <c r="G51" s="285"/>
      <c r="H51" s="286"/>
    </row>
    <row r="52" spans="1:8" ht="19" thickBot="1">
      <c r="A52" s="62"/>
      <c r="B52" s="237" t="s">
        <v>65</v>
      </c>
      <c r="C52" s="238"/>
      <c r="D52" s="239"/>
      <c r="E52" s="185">
        <f>SUM(B17:B18)</f>
        <v>0</v>
      </c>
      <c r="F52" s="188"/>
      <c r="G52" s="188"/>
      <c r="H52" s="189"/>
    </row>
    <row r="53" spans="1:8" ht="19" thickBot="1">
      <c r="A53" s="62"/>
      <c r="B53" s="237" t="s">
        <v>66</v>
      </c>
      <c r="C53" s="238"/>
      <c r="D53" s="239"/>
      <c r="E53" s="185">
        <f>SUM(B19:B20)</f>
        <v>0</v>
      </c>
      <c r="F53" s="188"/>
      <c r="G53" s="188"/>
      <c r="H53" s="189"/>
    </row>
    <row r="54" spans="1:8" ht="19" thickBot="1">
      <c r="A54" s="62"/>
      <c r="B54" s="237" t="s">
        <v>58</v>
      </c>
      <c r="C54" s="238"/>
      <c r="D54" s="239"/>
      <c r="E54" s="185">
        <f>B29</f>
        <v>0</v>
      </c>
      <c r="F54" s="188"/>
      <c r="G54" s="188"/>
      <c r="H54" s="189"/>
    </row>
    <row r="55" spans="1:8" ht="19" thickBot="1">
      <c r="A55" s="62"/>
      <c r="B55" s="237" t="s">
        <v>58</v>
      </c>
      <c r="C55" s="238"/>
      <c r="D55" s="239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237" t="s">
        <v>58</v>
      </c>
      <c r="C56" s="238"/>
      <c r="D56" s="239"/>
      <c r="E56" s="185">
        <f t="shared" si="4"/>
        <v>0</v>
      </c>
      <c r="F56" s="188"/>
      <c r="G56" s="188"/>
      <c r="H56" s="189"/>
    </row>
    <row r="57" spans="1:8" ht="19" thickBot="1">
      <c r="A57" s="62"/>
      <c r="B57" s="237" t="s">
        <v>58</v>
      </c>
      <c r="C57" s="238"/>
      <c r="D57" s="239"/>
      <c r="E57" s="185">
        <f t="shared" si="4"/>
        <v>0</v>
      </c>
      <c r="F57" s="188"/>
      <c r="G57" s="188"/>
      <c r="H57" s="189"/>
    </row>
    <row r="58" spans="1:8" ht="19" thickBot="1">
      <c r="A58" s="62"/>
      <c r="B58" s="237" t="s">
        <v>58</v>
      </c>
      <c r="C58" s="238"/>
      <c r="D58" s="239"/>
      <c r="E58" s="185">
        <f t="shared" si="4"/>
        <v>0</v>
      </c>
      <c r="F58" s="188"/>
      <c r="G58" s="188"/>
      <c r="H58" s="189"/>
    </row>
    <row r="59" spans="1:8" ht="19" thickBot="1">
      <c r="A59" s="62"/>
      <c r="B59" s="237" t="s">
        <v>58</v>
      </c>
      <c r="C59" s="238"/>
      <c r="D59" s="239"/>
      <c r="E59" s="185">
        <f t="shared" si="4"/>
        <v>0</v>
      </c>
      <c r="F59" s="188"/>
      <c r="G59" s="188"/>
      <c r="H59" s="189"/>
    </row>
    <row r="60" spans="1:8" ht="19" thickBot="1">
      <c r="A60" s="62"/>
      <c r="B60" s="237" t="s">
        <v>58</v>
      </c>
      <c r="C60" s="238"/>
      <c r="D60" s="239"/>
      <c r="E60" s="185">
        <f t="shared" si="4"/>
        <v>0</v>
      </c>
      <c r="F60" s="188"/>
      <c r="G60" s="188"/>
      <c r="H60" s="189"/>
    </row>
    <row r="61" spans="1:8" ht="19" thickBot="1">
      <c r="A61" s="62"/>
      <c r="B61" s="237" t="s">
        <v>58</v>
      </c>
      <c r="C61" s="238"/>
      <c r="D61" s="239"/>
      <c r="E61" s="185">
        <f t="shared" si="4"/>
        <v>0</v>
      </c>
      <c r="F61" s="188"/>
      <c r="G61" s="188"/>
      <c r="H61" s="189"/>
    </row>
    <row r="62" spans="1:8" ht="19" thickBot="1">
      <c r="A62" s="62"/>
      <c r="B62" s="237" t="s">
        <v>67</v>
      </c>
      <c r="C62" s="238"/>
      <c r="D62" s="239"/>
      <c r="E62" s="190">
        <f>SUM(E49:H61)</f>
        <v>0</v>
      </c>
      <c r="F62" s="186"/>
      <c r="G62" s="186"/>
      <c r="H62" s="187"/>
    </row>
    <row r="63" spans="1:8" ht="19" thickBot="1">
      <c r="B63" s="182"/>
      <c r="C63" s="183"/>
      <c r="D63" s="184"/>
      <c r="E63" s="191"/>
      <c r="F63" s="192"/>
      <c r="G63" s="192"/>
      <c r="H63" s="193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A52" s="62"/>
      <c r="B52" s="237" t="s">
        <v>65</v>
      </c>
      <c r="C52" s="238"/>
      <c r="D52" s="239"/>
      <c r="E52" s="185">
        <f>SUM(B17:B18)</f>
        <v>0</v>
      </c>
      <c r="F52" s="186"/>
      <c r="G52" s="186"/>
      <c r="H52" s="187"/>
    </row>
    <row r="53" spans="1:8" ht="19" thickBot="1">
      <c r="A53" s="62"/>
      <c r="B53" s="237" t="s">
        <v>66</v>
      </c>
      <c r="C53" s="238"/>
      <c r="D53" s="239"/>
      <c r="E53" s="185">
        <f>SUM(B19:B20)</f>
        <v>0</v>
      </c>
      <c r="F53" s="186"/>
      <c r="G53" s="186"/>
      <c r="H53" s="187"/>
    </row>
    <row r="54" spans="1:8" ht="19" thickBot="1">
      <c r="A54" s="62"/>
      <c r="B54" s="237" t="s">
        <v>58</v>
      </c>
      <c r="C54" s="238"/>
      <c r="D54" s="239"/>
      <c r="E54" s="185">
        <f>B29</f>
        <v>0</v>
      </c>
      <c r="F54" s="188"/>
      <c r="G54" s="188"/>
      <c r="H54" s="189"/>
    </row>
    <row r="55" spans="1:8" ht="19" thickBot="1">
      <c r="A55" s="62"/>
      <c r="B55" s="237" t="s">
        <v>58</v>
      </c>
      <c r="C55" s="238"/>
      <c r="D55" s="239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237" t="s">
        <v>58</v>
      </c>
      <c r="C56" s="238"/>
      <c r="D56" s="239"/>
      <c r="E56" s="185">
        <f t="shared" si="4"/>
        <v>0</v>
      </c>
      <c r="F56" s="188"/>
      <c r="G56" s="188"/>
      <c r="H56" s="189"/>
    </row>
    <row r="57" spans="1:8" ht="19" thickBot="1">
      <c r="A57" s="62"/>
      <c r="B57" s="237" t="s">
        <v>58</v>
      </c>
      <c r="C57" s="238"/>
      <c r="D57" s="239"/>
      <c r="E57" s="185">
        <f t="shared" si="4"/>
        <v>0</v>
      </c>
      <c r="F57" s="188"/>
      <c r="G57" s="188"/>
      <c r="H57" s="189"/>
    </row>
    <row r="58" spans="1:8" ht="19" thickBot="1">
      <c r="A58" s="62"/>
      <c r="B58" s="237" t="s">
        <v>58</v>
      </c>
      <c r="C58" s="238"/>
      <c r="D58" s="239"/>
      <c r="E58" s="185">
        <f t="shared" si="4"/>
        <v>0</v>
      </c>
      <c r="F58" s="188"/>
      <c r="G58" s="188"/>
      <c r="H58" s="189"/>
    </row>
    <row r="59" spans="1:8" ht="19" thickBot="1">
      <c r="A59" s="62"/>
      <c r="B59" s="237" t="s">
        <v>58</v>
      </c>
      <c r="C59" s="238"/>
      <c r="D59" s="239"/>
      <c r="E59" s="185">
        <f t="shared" si="4"/>
        <v>0</v>
      </c>
      <c r="F59" s="188"/>
      <c r="G59" s="188"/>
      <c r="H59" s="189"/>
    </row>
    <row r="60" spans="1:8" ht="19" thickBot="1">
      <c r="A60" s="62"/>
      <c r="B60" s="237" t="s">
        <v>58</v>
      </c>
      <c r="C60" s="238"/>
      <c r="D60" s="239"/>
      <c r="E60" s="185">
        <f t="shared" si="4"/>
        <v>0</v>
      </c>
      <c r="F60" s="188"/>
      <c r="G60" s="188"/>
      <c r="H60" s="189"/>
    </row>
    <row r="61" spans="1:8" ht="19" thickBot="1">
      <c r="A61" s="62"/>
      <c r="B61" s="237" t="s">
        <v>58</v>
      </c>
      <c r="C61" s="238"/>
      <c r="D61" s="239"/>
      <c r="E61" s="185">
        <f t="shared" si="4"/>
        <v>0</v>
      </c>
      <c r="F61" s="188"/>
      <c r="G61" s="188"/>
      <c r="H61" s="189"/>
    </row>
    <row r="62" spans="1:8" ht="19" thickBot="1">
      <c r="A62" s="62"/>
      <c r="B62" s="237" t="s">
        <v>67</v>
      </c>
      <c r="C62" s="238"/>
      <c r="D62" s="239"/>
      <c r="E62" s="190">
        <f>SUM(E49:H61)</f>
        <v>0</v>
      </c>
      <c r="F62" s="186"/>
      <c r="G62" s="186"/>
      <c r="H62" s="187"/>
    </row>
    <row r="63" spans="1:8" ht="19" thickBot="1">
      <c r="B63" s="182"/>
      <c r="C63" s="183"/>
      <c r="D63" s="184"/>
      <c r="E63" s="191"/>
      <c r="F63" s="192"/>
      <c r="G63" s="192"/>
      <c r="H63" s="193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B52" s="237" t="s">
        <v>65</v>
      </c>
      <c r="C52" s="238"/>
      <c r="D52" s="239"/>
      <c r="E52" s="185">
        <f>SUM(B17:B18)</f>
        <v>0</v>
      </c>
      <c r="F52" s="186"/>
      <c r="G52" s="186"/>
      <c r="H52" s="187"/>
    </row>
    <row r="53" spans="1:8" ht="19" thickBot="1">
      <c r="B53" s="237" t="s">
        <v>66</v>
      </c>
      <c r="C53" s="238"/>
      <c r="D53" s="239"/>
      <c r="E53" s="185">
        <f>SUM(B19:B20)</f>
        <v>0</v>
      </c>
      <c r="F53" s="186"/>
      <c r="G53" s="186"/>
      <c r="H53" s="187"/>
    </row>
    <row r="54" spans="1:8" ht="19" thickBot="1">
      <c r="B54" s="237" t="s">
        <v>58</v>
      </c>
      <c r="C54" s="238"/>
      <c r="D54" s="239"/>
      <c r="E54" s="185">
        <f>B29</f>
        <v>0</v>
      </c>
      <c r="F54" s="188"/>
      <c r="G54" s="188"/>
      <c r="H54" s="189"/>
    </row>
    <row r="55" spans="1:8" ht="19" thickBot="1">
      <c r="B55" s="237" t="s">
        <v>58</v>
      </c>
      <c r="C55" s="238"/>
      <c r="D55" s="239"/>
      <c r="E55" s="185">
        <f t="shared" ref="E55:E61" si="4">B30</f>
        <v>0</v>
      </c>
      <c r="F55" s="188"/>
      <c r="G55" s="188"/>
      <c r="H55" s="189"/>
    </row>
    <row r="56" spans="1:8" ht="19" thickBot="1">
      <c r="B56" s="237" t="s">
        <v>58</v>
      </c>
      <c r="C56" s="238"/>
      <c r="D56" s="239"/>
      <c r="E56" s="185">
        <f t="shared" si="4"/>
        <v>0</v>
      </c>
      <c r="F56" s="188"/>
      <c r="G56" s="188"/>
      <c r="H56" s="189"/>
    </row>
    <row r="57" spans="1:8" ht="19" thickBot="1">
      <c r="B57" s="237" t="s">
        <v>58</v>
      </c>
      <c r="C57" s="238"/>
      <c r="D57" s="239"/>
      <c r="E57" s="185">
        <f t="shared" si="4"/>
        <v>0</v>
      </c>
      <c r="F57" s="188"/>
      <c r="G57" s="188"/>
      <c r="H57" s="189"/>
    </row>
    <row r="58" spans="1:8" ht="19" thickBot="1">
      <c r="B58" s="237" t="s">
        <v>58</v>
      </c>
      <c r="C58" s="238"/>
      <c r="D58" s="239"/>
      <c r="E58" s="185">
        <f t="shared" si="4"/>
        <v>0</v>
      </c>
      <c r="F58" s="188"/>
      <c r="G58" s="188"/>
      <c r="H58" s="189"/>
    </row>
    <row r="59" spans="1:8" ht="19" thickBot="1">
      <c r="B59" s="237" t="s">
        <v>58</v>
      </c>
      <c r="C59" s="238"/>
      <c r="D59" s="239"/>
      <c r="E59" s="185">
        <f t="shared" si="4"/>
        <v>0</v>
      </c>
      <c r="F59" s="188"/>
      <c r="G59" s="188"/>
      <c r="H59" s="189"/>
    </row>
    <row r="60" spans="1:8" ht="19" thickBot="1">
      <c r="B60" s="237" t="s">
        <v>58</v>
      </c>
      <c r="C60" s="238"/>
      <c r="D60" s="239"/>
      <c r="E60" s="185">
        <f t="shared" si="4"/>
        <v>0</v>
      </c>
      <c r="F60" s="188"/>
      <c r="G60" s="188"/>
      <c r="H60" s="189"/>
    </row>
    <row r="61" spans="1:8" ht="19" thickBot="1">
      <c r="B61" s="237" t="s">
        <v>58</v>
      </c>
      <c r="C61" s="238"/>
      <c r="D61" s="239"/>
      <c r="E61" s="185">
        <f t="shared" si="4"/>
        <v>0</v>
      </c>
      <c r="F61" s="188"/>
      <c r="G61" s="188"/>
      <c r="H61" s="189"/>
    </row>
    <row r="62" spans="1:8" ht="19" thickBot="1">
      <c r="B62" s="237" t="s">
        <v>67</v>
      </c>
      <c r="C62" s="238"/>
      <c r="D62" s="239"/>
      <c r="E62" s="190">
        <f>SUM(E49:H61)</f>
        <v>0</v>
      </c>
      <c r="F62" s="186"/>
      <c r="G62" s="186"/>
      <c r="H62" s="187"/>
    </row>
    <row r="63" spans="1:8" ht="19" thickBot="1">
      <c r="B63" s="237"/>
      <c r="C63" s="238"/>
      <c r="D63" s="239"/>
      <c r="E63" s="243"/>
      <c r="F63" s="244"/>
      <c r="G63" s="244"/>
      <c r="H63" s="245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SUM(B11:B14)</f>
        <v>0</v>
      </c>
      <c r="F49" s="285"/>
      <c r="G49" s="285"/>
      <c r="H49" s="286"/>
    </row>
    <row r="50" spans="1:8" ht="19" thickBot="1">
      <c r="A50" s="62"/>
      <c r="B50" s="173" t="s">
        <v>48</v>
      </c>
      <c r="C50" s="174"/>
      <c r="D50" s="175"/>
      <c r="E50" s="176">
        <f>SUM(B8:B10)</f>
        <v>0</v>
      </c>
      <c r="F50" s="285"/>
      <c r="G50" s="285"/>
      <c r="H50" s="286"/>
    </row>
    <row r="51" spans="1:8" ht="19" thickBot="1">
      <c r="A51" s="62"/>
      <c r="B51" s="173" t="s">
        <v>64</v>
      </c>
      <c r="C51" s="174"/>
      <c r="D51" s="175"/>
      <c r="E51" s="176">
        <f>SUM(B15:B16)</f>
        <v>0</v>
      </c>
      <c r="F51" s="285"/>
      <c r="G51" s="285"/>
      <c r="H51" s="286"/>
    </row>
    <row r="52" spans="1:8" ht="19" thickBot="1">
      <c r="A52" s="62"/>
      <c r="B52" s="237" t="s">
        <v>65</v>
      </c>
      <c r="C52" s="238"/>
      <c r="D52" s="239"/>
      <c r="E52" s="185">
        <f>SUM(B19:B20)</f>
        <v>0</v>
      </c>
      <c r="F52" s="188"/>
      <c r="G52" s="188"/>
      <c r="H52" s="189"/>
    </row>
    <row r="53" spans="1:8" ht="19" thickBot="1">
      <c r="A53" s="62"/>
      <c r="B53" s="237" t="s">
        <v>66</v>
      </c>
      <c r="C53" s="238"/>
      <c r="D53" s="239"/>
      <c r="E53" s="185">
        <f>SUM(B29:B30)</f>
        <v>0</v>
      </c>
      <c r="F53" s="188"/>
      <c r="G53" s="188"/>
      <c r="H53" s="189"/>
    </row>
    <row r="54" spans="1:8" ht="19" thickBot="1">
      <c r="A54" s="62"/>
      <c r="B54" s="237" t="s">
        <v>58</v>
      </c>
      <c r="C54" s="238"/>
      <c r="D54" s="239"/>
      <c r="E54" s="185">
        <f t="shared" ref="E54:E60" si="4">B31</f>
        <v>0</v>
      </c>
      <c r="F54" s="188"/>
      <c r="G54" s="188"/>
      <c r="H54" s="189"/>
    </row>
    <row r="55" spans="1:8" ht="19" thickBot="1">
      <c r="A55" s="62"/>
      <c r="B55" s="237" t="s">
        <v>58</v>
      </c>
      <c r="C55" s="238"/>
      <c r="D55" s="239"/>
      <c r="E55" s="185">
        <f t="shared" si="4"/>
        <v>0</v>
      </c>
      <c r="F55" s="188"/>
      <c r="G55" s="188"/>
      <c r="H55" s="189"/>
    </row>
    <row r="56" spans="1:8" ht="19" thickBot="1">
      <c r="A56" s="62"/>
      <c r="B56" s="237" t="s">
        <v>58</v>
      </c>
      <c r="C56" s="238"/>
      <c r="D56" s="239"/>
      <c r="E56" s="185">
        <f t="shared" si="4"/>
        <v>0</v>
      </c>
      <c r="F56" s="188"/>
      <c r="G56" s="188"/>
      <c r="H56" s="189"/>
    </row>
    <row r="57" spans="1:8" ht="19" thickBot="1">
      <c r="A57" s="62"/>
      <c r="B57" s="237" t="s">
        <v>58</v>
      </c>
      <c r="C57" s="238"/>
      <c r="D57" s="239"/>
      <c r="E57" s="185">
        <f t="shared" si="4"/>
        <v>0</v>
      </c>
      <c r="F57" s="188"/>
      <c r="G57" s="188"/>
      <c r="H57" s="189"/>
    </row>
    <row r="58" spans="1:8" ht="19" thickBot="1">
      <c r="A58" s="62"/>
      <c r="B58" s="237" t="s">
        <v>58</v>
      </c>
      <c r="C58" s="238"/>
      <c r="D58" s="239"/>
      <c r="E58" s="185">
        <f t="shared" si="4"/>
        <v>0</v>
      </c>
      <c r="F58" s="188"/>
      <c r="G58" s="188"/>
      <c r="H58" s="189"/>
    </row>
    <row r="59" spans="1:8" ht="19" thickBot="1">
      <c r="A59" s="62"/>
      <c r="B59" s="237" t="s">
        <v>58</v>
      </c>
      <c r="C59" s="238"/>
      <c r="D59" s="239"/>
      <c r="E59" s="185">
        <f t="shared" si="4"/>
        <v>0</v>
      </c>
      <c r="F59" s="188"/>
      <c r="G59" s="188"/>
      <c r="H59" s="189"/>
    </row>
    <row r="60" spans="1:8" ht="19" thickBot="1">
      <c r="A60" s="62"/>
      <c r="B60" s="237" t="s">
        <v>58</v>
      </c>
      <c r="C60" s="238"/>
      <c r="D60" s="239"/>
      <c r="E60" s="185">
        <f t="shared" si="4"/>
        <v>0</v>
      </c>
      <c r="F60" s="188"/>
      <c r="G60" s="188"/>
      <c r="H60" s="189"/>
    </row>
    <row r="61" spans="1:8" ht="19" thickBot="1">
      <c r="A61" s="62"/>
      <c r="B61" s="237" t="s">
        <v>58</v>
      </c>
      <c r="C61" s="238"/>
      <c r="D61" s="239"/>
      <c r="E61" s="185">
        <f t="shared" ref="E61" si="5">B45</f>
        <v>0</v>
      </c>
      <c r="F61" s="188"/>
      <c r="G61" s="188"/>
      <c r="H61" s="189"/>
    </row>
    <row r="62" spans="1:8" ht="19" thickBot="1">
      <c r="A62" s="62"/>
      <c r="B62" s="237" t="s">
        <v>67</v>
      </c>
      <c r="C62" s="238"/>
      <c r="D62" s="239"/>
      <c r="E62" s="190">
        <f>SUM(E49:H61)</f>
        <v>0</v>
      </c>
      <c r="F62" s="186"/>
      <c r="G62" s="186"/>
      <c r="H62" s="187"/>
    </row>
    <row r="63" spans="1:8" ht="19" thickBot="1">
      <c r="B63" s="182"/>
      <c r="C63" s="183"/>
      <c r="D63" s="184"/>
      <c r="E63" s="191"/>
      <c r="F63" s="192"/>
      <c r="G63" s="192"/>
      <c r="H63" s="193"/>
    </row>
  </sheetData>
  <sheetProtection password="C8CD" sheet="1" objects="1" scenarios="1"/>
  <mergeCells count="62"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  <mergeCell ref="B56:D56"/>
    <mergeCell ref="E56:H56"/>
    <mergeCell ref="B57:D57"/>
    <mergeCell ref="E57:H57"/>
    <mergeCell ref="B58:D58"/>
    <mergeCell ref="E58:H58"/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2:B42"/>
    <mergeCell ref="E42:F42"/>
    <mergeCell ref="A43:B43"/>
    <mergeCell ref="E43:F43"/>
    <mergeCell ref="A44:B44"/>
    <mergeCell ref="E44:F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abSelected="1" workbookViewId="0">
      <selection activeCell="C36" sqref="C36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84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>
        <v>220</v>
      </c>
      <c r="C7" s="145">
        <v>5900</v>
      </c>
      <c r="D7" s="146"/>
      <c r="E7" s="13">
        <f t="shared" si="0"/>
        <v>1298000</v>
      </c>
      <c r="F7" s="13">
        <f t="shared" si="1"/>
        <v>198000</v>
      </c>
      <c r="G7" s="13">
        <f>PRODUCT(B7*50)</f>
        <v>11000</v>
      </c>
      <c r="H7" s="14">
        <f t="shared" si="2"/>
        <v>209000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>
        <v>7000</v>
      </c>
      <c r="C11" s="129">
        <v>2124</v>
      </c>
      <c r="D11" s="130"/>
      <c r="E11" s="16">
        <f t="shared" si="0"/>
        <v>14868000</v>
      </c>
      <c r="F11" s="16">
        <f t="shared" si="1"/>
        <v>2268000</v>
      </c>
      <c r="G11" s="16">
        <f>PRODUCT(B11*30)</f>
        <v>210000</v>
      </c>
      <c r="H11" s="17">
        <f t="shared" si="2"/>
        <v>2478000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1370</v>
      </c>
      <c r="C13" s="129">
        <v>1357</v>
      </c>
      <c r="D13" s="130"/>
      <c r="E13" s="16">
        <f t="shared" si="0"/>
        <v>1859090</v>
      </c>
      <c r="F13" s="16">
        <f t="shared" si="1"/>
        <v>283590</v>
      </c>
      <c r="G13" s="16">
        <f>PRODUCT(B13*20)</f>
        <v>27400</v>
      </c>
      <c r="H13" s="17">
        <f t="shared" si="2"/>
        <v>310990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>
        <v>2066</v>
      </c>
      <c r="C17" s="35">
        <v>1180</v>
      </c>
      <c r="D17" s="35">
        <v>20</v>
      </c>
      <c r="E17" s="26">
        <f>PRODUCT(B17*C17)</f>
        <v>2437880</v>
      </c>
      <c r="F17" s="23">
        <f t="shared" ref="F17:F22" si="3">PRODUCT(E17*18)/118</f>
        <v>371880</v>
      </c>
      <c r="G17" s="23">
        <f>PRODUCT(B17*D17)</f>
        <v>41320</v>
      </c>
      <c r="H17" s="23">
        <f>SUM(F17:G17)</f>
        <v>413200</v>
      </c>
    </row>
    <row r="18" spans="1:8">
      <c r="A18" s="51" t="s">
        <v>65</v>
      </c>
      <c r="B18" s="36">
        <v>65</v>
      </c>
      <c r="C18" s="36"/>
      <c r="D18" s="36">
        <v>200</v>
      </c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13000</v>
      </c>
      <c r="H18" s="24">
        <f t="shared" ref="H18:H22" si="6">SUM(F18:G18)</f>
        <v>13000</v>
      </c>
    </row>
    <row r="19" spans="1:8">
      <c r="A19" s="52" t="s">
        <v>66</v>
      </c>
      <c r="B19" s="18">
        <v>28</v>
      </c>
      <c r="C19" s="18"/>
      <c r="D19" s="18">
        <v>465</v>
      </c>
      <c r="E19" s="27">
        <f t="shared" si="4"/>
        <v>0</v>
      </c>
      <c r="F19" s="24">
        <f t="shared" si="3"/>
        <v>0</v>
      </c>
      <c r="G19" s="24">
        <f t="shared" si="5"/>
        <v>13020</v>
      </c>
      <c r="H19" s="24">
        <f t="shared" si="6"/>
        <v>13020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20462970</v>
      </c>
      <c r="F29" s="33">
        <f>SUM(F6:F28)</f>
        <v>3121470</v>
      </c>
      <c r="G29" s="28">
        <f>SUM(G6:G28)</f>
        <v>315740</v>
      </c>
      <c r="H29" s="22">
        <f>SUM(F29:G29)</f>
        <v>3437210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>
        <v>3437210</v>
      </c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9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9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7000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220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1370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2131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28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10749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  <pageSetup orientation="portrait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topLeftCell="A28" workbookViewId="0">
      <selection activeCell="D33" sqref="D33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A52" s="62"/>
      <c r="B52" s="237" t="s">
        <v>65</v>
      </c>
      <c r="C52" s="238"/>
      <c r="D52" s="239"/>
      <c r="E52" s="185">
        <f>SUM(B17:B18)</f>
        <v>0</v>
      </c>
      <c r="F52" s="186"/>
      <c r="G52" s="186"/>
      <c r="H52" s="187"/>
    </row>
    <row r="53" spans="1:8" ht="19" thickBot="1">
      <c r="A53" s="62"/>
      <c r="B53" s="237" t="s">
        <v>66</v>
      </c>
      <c r="C53" s="238"/>
      <c r="D53" s="239"/>
      <c r="E53" s="185">
        <f>SUM(B19:B20)</f>
        <v>0</v>
      </c>
      <c r="F53" s="186"/>
      <c r="G53" s="186"/>
      <c r="H53" s="187"/>
    </row>
    <row r="54" spans="1:8" ht="19" thickBot="1">
      <c r="A54" s="62"/>
      <c r="B54" s="237" t="s">
        <v>58</v>
      </c>
      <c r="C54" s="238"/>
      <c r="D54" s="239"/>
      <c r="E54" s="185">
        <f>B29</f>
        <v>0</v>
      </c>
      <c r="F54" s="188"/>
      <c r="G54" s="188"/>
      <c r="H54" s="189"/>
    </row>
    <row r="55" spans="1:8" ht="19" thickBot="1">
      <c r="A55" s="62"/>
      <c r="B55" s="237" t="s">
        <v>58</v>
      </c>
      <c r="C55" s="238"/>
      <c r="D55" s="239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237" t="s">
        <v>58</v>
      </c>
      <c r="C56" s="238"/>
      <c r="D56" s="239"/>
      <c r="E56" s="185">
        <f t="shared" si="4"/>
        <v>0</v>
      </c>
      <c r="F56" s="188"/>
      <c r="G56" s="188"/>
      <c r="H56" s="189"/>
    </row>
    <row r="57" spans="1:8" ht="19" thickBot="1">
      <c r="A57" s="62"/>
      <c r="B57" s="237" t="s">
        <v>58</v>
      </c>
      <c r="C57" s="238"/>
      <c r="D57" s="239"/>
      <c r="E57" s="185">
        <f t="shared" si="4"/>
        <v>0</v>
      </c>
      <c r="F57" s="188"/>
      <c r="G57" s="188"/>
      <c r="H57" s="189"/>
    </row>
    <row r="58" spans="1:8" ht="19" thickBot="1">
      <c r="A58" s="62"/>
      <c r="B58" s="237" t="s">
        <v>58</v>
      </c>
      <c r="C58" s="238"/>
      <c r="D58" s="239"/>
      <c r="E58" s="185">
        <f t="shared" si="4"/>
        <v>0</v>
      </c>
      <c r="F58" s="188"/>
      <c r="G58" s="188"/>
      <c r="H58" s="189"/>
    </row>
    <row r="59" spans="1:8" ht="19" thickBot="1">
      <c r="A59" s="62"/>
      <c r="B59" s="237" t="s">
        <v>58</v>
      </c>
      <c r="C59" s="238"/>
      <c r="D59" s="239"/>
      <c r="E59" s="185">
        <f t="shared" si="4"/>
        <v>0</v>
      </c>
      <c r="F59" s="188"/>
      <c r="G59" s="188"/>
      <c r="H59" s="189"/>
    </row>
    <row r="60" spans="1:8" ht="19" thickBot="1">
      <c r="A60" s="62"/>
      <c r="B60" s="237" t="s">
        <v>58</v>
      </c>
      <c r="C60" s="238"/>
      <c r="D60" s="239"/>
      <c r="E60" s="185">
        <f t="shared" si="4"/>
        <v>0</v>
      </c>
      <c r="F60" s="188"/>
      <c r="G60" s="188"/>
      <c r="H60" s="189"/>
    </row>
    <row r="61" spans="1:8" ht="19" thickBot="1">
      <c r="A61" s="62"/>
      <c r="B61" s="237" t="s">
        <v>58</v>
      </c>
      <c r="C61" s="238"/>
      <c r="D61" s="239"/>
      <c r="E61" s="185">
        <f t="shared" si="4"/>
        <v>0</v>
      </c>
      <c r="F61" s="188"/>
      <c r="G61" s="188"/>
      <c r="H61" s="189"/>
    </row>
    <row r="62" spans="1:8" ht="19" thickBot="1">
      <c r="A62" s="62"/>
      <c r="B62" s="237" t="s">
        <v>67</v>
      </c>
      <c r="C62" s="238"/>
      <c r="D62" s="239"/>
      <c r="E62" s="190">
        <f>SUM(E49:H61)</f>
        <v>0</v>
      </c>
      <c r="F62" s="186"/>
      <c r="G62" s="186"/>
      <c r="H62" s="187"/>
    </row>
    <row r="63" spans="1:8" ht="19" thickBot="1">
      <c r="B63" s="182"/>
      <c r="C63" s="183"/>
      <c r="D63" s="184"/>
      <c r="E63" s="191"/>
      <c r="F63" s="192"/>
      <c r="G63" s="192"/>
      <c r="H63" s="193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287">
        <f>SUM(B9:B12)</f>
        <v>0</v>
      </c>
      <c r="F41" s="288"/>
      <c r="G41" s="288"/>
      <c r="H41" s="289"/>
    </row>
    <row r="42" spans="1:8" ht="19" thickBot="1">
      <c r="A42" s="39"/>
      <c r="B42" s="173" t="s">
        <v>48</v>
      </c>
      <c r="C42" s="174"/>
      <c r="D42" s="175"/>
      <c r="E42" s="287">
        <f>SUM(B6:B8)</f>
        <v>0</v>
      </c>
      <c r="F42" s="288"/>
      <c r="G42" s="288"/>
      <c r="H42" s="289"/>
    </row>
    <row r="43" spans="1:8" ht="19" thickBot="1">
      <c r="A43" s="39"/>
      <c r="B43" s="173" t="s">
        <v>64</v>
      </c>
      <c r="C43" s="174"/>
      <c r="D43" s="175"/>
      <c r="E43" s="290">
        <f>SUM(B13:B14)</f>
        <v>0</v>
      </c>
      <c r="F43" s="291"/>
      <c r="G43" s="291"/>
      <c r="H43" s="292"/>
    </row>
    <row r="44" spans="1:8" ht="19" thickBot="1">
      <c r="B44" s="182" t="s">
        <v>65</v>
      </c>
      <c r="C44" s="183"/>
      <c r="D44" s="184"/>
      <c r="E44" s="293">
        <f>SUM(B17:B18)</f>
        <v>0</v>
      </c>
      <c r="F44" s="192"/>
      <c r="G44" s="192"/>
      <c r="H44" s="193"/>
    </row>
    <row r="45" spans="1:8" ht="19" thickBot="1">
      <c r="B45" s="182" t="s">
        <v>66</v>
      </c>
      <c r="C45" s="183"/>
      <c r="D45" s="184"/>
      <c r="E45" s="293">
        <f>SUM(B19:B20)</f>
        <v>0</v>
      </c>
      <c r="F45" s="192"/>
      <c r="G45" s="192"/>
      <c r="H45" s="193"/>
    </row>
    <row r="46" spans="1:8" ht="19" thickBot="1">
      <c r="B46" s="182" t="s">
        <v>58</v>
      </c>
      <c r="C46" s="183"/>
      <c r="D46" s="184"/>
      <c r="E46" s="293">
        <f>B21</f>
        <v>0</v>
      </c>
      <c r="F46" s="294"/>
      <c r="G46" s="294"/>
      <c r="H46" s="295"/>
    </row>
    <row r="47" spans="1:8" ht="19" thickBot="1">
      <c r="B47" s="182" t="s">
        <v>58</v>
      </c>
      <c r="C47" s="183"/>
      <c r="D47" s="184"/>
      <c r="E47" s="293">
        <f t="shared" ref="E47:E53" si="10">B22</f>
        <v>0</v>
      </c>
      <c r="F47" s="294"/>
      <c r="G47" s="294"/>
      <c r="H47" s="295"/>
    </row>
    <row r="48" spans="1:8" ht="19" thickBot="1">
      <c r="B48" s="182" t="s">
        <v>58</v>
      </c>
      <c r="C48" s="183"/>
      <c r="D48" s="184"/>
      <c r="E48" s="293">
        <f t="shared" si="10"/>
        <v>0</v>
      </c>
      <c r="F48" s="294"/>
      <c r="G48" s="294"/>
      <c r="H48" s="295"/>
    </row>
    <row r="49" spans="2:8" ht="19" thickBot="1">
      <c r="B49" s="182" t="s">
        <v>58</v>
      </c>
      <c r="C49" s="183"/>
      <c r="D49" s="184"/>
      <c r="E49" s="293">
        <f t="shared" si="10"/>
        <v>0</v>
      </c>
      <c r="F49" s="294"/>
      <c r="G49" s="294"/>
      <c r="H49" s="295"/>
    </row>
    <row r="50" spans="2:8" ht="19" thickBot="1">
      <c r="B50" s="182" t="s">
        <v>58</v>
      </c>
      <c r="C50" s="183"/>
      <c r="D50" s="184"/>
      <c r="E50" s="293">
        <f t="shared" si="10"/>
        <v>0</v>
      </c>
      <c r="F50" s="294"/>
      <c r="G50" s="294"/>
      <c r="H50" s="295"/>
    </row>
    <row r="51" spans="2:8" ht="19" thickBot="1">
      <c r="B51" s="182" t="s">
        <v>58</v>
      </c>
      <c r="C51" s="183"/>
      <c r="D51" s="184"/>
      <c r="E51" s="293">
        <f t="shared" si="10"/>
        <v>0</v>
      </c>
      <c r="F51" s="294"/>
      <c r="G51" s="294"/>
      <c r="H51" s="295"/>
    </row>
    <row r="52" spans="2:8" ht="19" thickBot="1">
      <c r="B52" s="182" t="s">
        <v>58</v>
      </c>
      <c r="C52" s="183"/>
      <c r="D52" s="184"/>
      <c r="E52" s="293">
        <f t="shared" si="10"/>
        <v>0</v>
      </c>
      <c r="F52" s="294"/>
      <c r="G52" s="294"/>
      <c r="H52" s="295"/>
    </row>
    <row r="53" spans="2:8" ht="19" thickBot="1">
      <c r="B53" s="182" t="s">
        <v>58</v>
      </c>
      <c r="C53" s="183"/>
      <c r="D53" s="184"/>
      <c r="E53" s="293">
        <f t="shared" si="10"/>
        <v>0</v>
      </c>
      <c r="F53" s="294"/>
      <c r="G53" s="294"/>
      <c r="H53" s="295"/>
    </row>
    <row r="54" spans="2:8" ht="19" thickBot="1">
      <c r="B54" s="182" t="s">
        <v>67</v>
      </c>
      <c r="C54" s="183"/>
      <c r="D54" s="184"/>
      <c r="E54" s="191">
        <f>SUM(E41:H53)</f>
        <v>0</v>
      </c>
      <c r="F54" s="192"/>
      <c r="G54" s="192"/>
      <c r="H54" s="193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47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287">
        <f>SUM(B9:B12)</f>
        <v>0</v>
      </c>
      <c r="F41" s="288"/>
      <c r="G41" s="288"/>
      <c r="H41" s="289"/>
    </row>
    <row r="42" spans="1:8" ht="19" thickBot="1">
      <c r="A42" s="39"/>
      <c r="B42" s="173" t="s">
        <v>48</v>
      </c>
      <c r="C42" s="174"/>
      <c r="D42" s="175"/>
      <c r="E42" s="287">
        <f>SUM(B6:B8)</f>
        <v>0</v>
      </c>
      <c r="F42" s="288"/>
      <c r="G42" s="288"/>
      <c r="H42" s="289"/>
    </row>
    <row r="43" spans="1:8" ht="19" thickBot="1">
      <c r="A43" s="39"/>
      <c r="B43" s="173" t="s">
        <v>64</v>
      </c>
      <c r="C43" s="174"/>
      <c r="D43" s="175"/>
      <c r="E43" s="290">
        <f>SUM(B13:B14)</f>
        <v>0</v>
      </c>
      <c r="F43" s="291"/>
      <c r="G43" s="291"/>
      <c r="H43" s="292"/>
    </row>
    <row r="44" spans="1:8" ht="19" thickBot="1">
      <c r="B44" s="182" t="s">
        <v>65</v>
      </c>
      <c r="C44" s="183"/>
      <c r="D44" s="184"/>
      <c r="E44" s="293">
        <f>SUM(B17:B18)</f>
        <v>0</v>
      </c>
      <c r="F44" s="192"/>
      <c r="G44" s="192"/>
      <c r="H44" s="193"/>
    </row>
    <row r="45" spans="1:8" ht="19" thickBot="1">
      <c r="B45" s="182" t="s">
        <v>66</v>
      </c>
      <c r="C45" s="183"/>
      <c r="D45" s="184"/>
      <c r="E45" s="293">
        <f>SUM(B19:B20)</f>
        <v>0</v>
      </c>
      <c r="F45" s="192"/>
      <c r="G45" s="192"/>
      <c r="H45" s="193"/>
    </row>
    <row r="46" spans="1:8" ht="19" thickBot="1">
      <c r="B46" s="182" t="s">
        <v>58</v>
      </c>
      <c r="C46" s="183"/>
      <c r="D46" s="184"/>
      <c r="E46" s="293">
        <f>B21</f>
        <v>0</v>
      </c>
      <c r="F46" s="294"/>
      <c r="G46" s="294"/>
      <c r="H46" s="295"/>
    </row>
    <row r="47" spans="1:8" ht="19" thickBot="1">
      <c r="B47" s="182" t="s">
        <v>58</v>
      </c>
      <c r="C47" s="183"/>
      <c r="D47" s="184"/>
      <c r="E47" s="293">
        <f t="shared" ref="E47:E53" si="10">B22</f>
        <v>0</v>
      </c>
      <c r="F47" s="294"/>
      <c r="G47" s="294"/>
      <c r="H47" s="295"/>
    </row>
    <row r="48" spans="1:8" ht="19" thickBot="1">
      <c r="B48" s="182" t="s">
        <v>58</v>
      </c>
      <c r="C48" s="183"/>
      <c r="D48" s="184"/>
      <c r="E48" s="293">
        <f t="shared" si="10"/>
        <v>0</v>
      </c>
      <c r="F48" s="294"/>
      <c r="G48" s="294"/>
      <c r="H48" s="295"/>
    </row>
    <row r="49" spans="2:8" ht="19" thickBot="1">
      <c r="B49" s="182" t="s">
        <v>58</v>
      </c>
      <c r="C49" s="183"/>
      <c r="D49" s="184"/>
      <c r="E49" s="293">
        <f t="shared" si="10"/>
        <v>0</v>
      </c>
      <c r="F49" s="294"/>
      <c r="G49" s="294"/>
      <c r="H49" s="295"/>
    </row>
    <row r="50" spans="2:8" ht="19" thickBot="1">
      <c r="B50" s="182" t="s">
        <v>58</v>
      </c>
      <c r="C50" s="183"/>
      <c r="D50" s="184"/>
      <c r="E50" s="293">
        <f t="shared" si="10"/>
        <v>0</v>
      </c>
      <c r="F50" s="294"/>
      <c r="G50" s="294"/>
      <c r="H50" s="295"/>
    </row>
    <row r="51" spans="2:8" ht="19" thickBot="1">
      <c r="B51" s="182" t="s">
        <v>58</v>
      </c>
      <c r="C51" s="183"/>
      <c r="D51" s="184"/>
      <c r="E51" s="293">
        <f t="shared" si="10"/>
        <v>0</v>
      </c>
      <c r="F51" s="294"/>
      <c r="G51" s="294"/>
      <c r="H51" s="295"/>
    </row>
    <row r="52" spans="2:8" ht="19" thickBot="1">
      <c r="B52" s="182" t="s">
        <v>58</v>
      </c>
      <c r="C52" s="183"/>
      <c r="D52" s="184"/>
      <c r="E52" s="293">
        <f t="shared" si="10"/>
        <v>0</v>
      </c>
      <c r="F52" s="294"/>
      <c r="G52" s="294"/>
      <c r="H52" s="295"/>
    </row>
    <row r="53" spans="2:8" ht="19" thickBot="1">
      <c r="B53" s="182" t="s">
        <v>58</v>
      </c>
      <c r="C53" s="183"/>
      <c r="D53" s="184"/>
      <c r="E53" s="293">
        <f t="shared" si="10"/>
        <v>0</v>
      </c>
      <c r="F53" s="294"/>
      <c r="G53" s="294"/>
      <c r="H53" s="295"/>
    </row>
    <row r="54" spans="2:8" ht="19" thickBot="1">
      <c r="B54" s="182" t="s">
        <v>67</v>
      </c>
      <c r="C54" s="183"/>
      <c r="D54" s="184"/>
      <c r="E54" s="191">
        <f>SUM(E41:H53)</f>
        <v>0</v>
      </c>
      <c r="F54" s="192"/>
      <c r="G54" s="192"/>
      <c r="H54" s="193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  <mergeCell ref="B44:D44"/>
    <mergeCell ref="E44:H44"/>
    <mergeCell ref="B45:D45"/>
    <mergeCell ref="E45:H45"/>
    <mergeCell ref="B50:D50"/>
    <mergeCell ref="E50:H50"/>
    <mergeCell ref="B48:D48"/>
    <mergeCell ref="B49:D49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7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6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237" t="s">
        <v>65</v>
      </c>
      <c r="C44" s="238"/>
      <c r="D44" s="239"/>
      <c r="E44" s="185">
        <f>SUM(B17:B18)</f>
        <v>0</v>
      </c>
      <c r="F44" s="186"/>
      <c r="G44" s="186"/>
      <c r="H44" s="187"/>
    </row>
    <row r="45" spans="1:8" ht="19" thickBot="1">
      <c r="B45" s="237" t="s">
        <v>66</v>
      </c>
      <c r="C45" s="238"/>
      <c r="D45" s="239"/>
      <c r="E45" s="185">
        <f>SUM(B19:B20)</f>
        <v>0</v>
      </c>
      <c r="F45" s="186"/>
      <c r="G45" s="186"/>
      <c r="H45" s="187"/>
    </row>
    <row r="46" spans="1:8" ht="19" thickBot="1">
      <c r="B46" s="237" t="s">
        <v>58</v>
      </c>
      <c r="C46" s="238"/>
      <c r="D46" s="239"/>
      <c r="E46" s="185">
        <f>B21</f>
        <v>0</v>
      </c>
      <c r="F46" s="188"/>
      <c r="G46" s="188"/>
      <c r="H46" s="189"/>
    </row>
    <row r="47" spans="1:8" ht="19" thickBot="1">
      <c r="B47" s="237" t="s">
        <v>58</v>
      </c>
      <c r="C47" s="238"/>
      <c r="D47" s="239"/>
      <c r="E47" s="185">
        <f t="shared" ref="E47:E53" si="0">B22</f>
        <v>0</v>
      </c>
      <c r="F47" s="188"/>
      <c r="G47" s="188"/>
      <c r="H47" s="189"/>
    </row>
    <row r="48" spans="1:8" ht="19" thickBot="1">
      <c r="B48" s="237" t="s">
        <v>58</v>
      </c>
      <c r="C48" s="238"/>
      <c r="D48" s="239"/>
      <c r="E48" s="185">
        <f t="shared" si="0"/>
        <v>0</v>
      </c>
      <c r="F48" s="188"/>
      <c r="G48" s="188"/>
      <c r="H48" s="189"/>
    </row>
    <row r="49" spans="2:8" ht="19" thickBot="1">
      <c r="B49" s="237" t="s">
        <v>58</v>
      </c>
      <c r="C49" s="238"/>
      <c r="D49" s="239"/>
      <c r="E49" s="185">
        <f t="shared" si="0"/>
        <v>0</v>
      </c>
      <c r="F49" s="188"/>
      <c r="G49" s="188"/>
      <c r="H49" s="189"/>
    </row>
    <row r="50" spans="2:8" ht="19" thickBot="1">
      <c r="B50" s="237" t="s">
        <v>58</v>
      </c>
      <c r="C50" s="238"/>
      <c r="D50" s="239"/>
      <c r="E50" s="185">
        <f t="shared" si="0"/>
        <v>0</v>
      </c>
      <c r="F50" s="188"/>
      <c r="G50" s="188"/>
      <c r="H50" s="189"/>
    </row>
    <row r="51" spans="2:8" ht="19" thickBot="1">
      <c r="B51" s="237" t="s">
        <v>58</v>
      </c>
      <c r="C51" s="238"/>
      <c r="D51" s="239"/>
      <c r="E51" s="185">
        <f t="shared" si="0"/>
        <v>0</v>
      </c>
      <c r="F51" s="188"/>
      <c r="G51" s="188"/>
      <c r="H51" s="189"/>
    </row>
    <row r="52" spans="2:8" ht="19" thickBot="1">
      <c r="B52" s="237" t="s">
        <v>58</v>
      </c>
      <c r="C52" s="238"/>
      <c r="D52" s="239"/>
      <c r="E52" s="185">
        <f t="shared" si="0"/>
        <v>0</v>
      </c>
      <c r="F52" s="188"/>
      <c r="G52" s="188"/>
      <c r="H52" s="189"/>
    </row>
    <row r="53" spans="2:8" ht="19" thickBot="1">
      <c r="B53" s="237" t="s">
        <v>58</v>
      </c>
      <c r="C53" s="238"/>
      <c r="D53" s="239"/>
      <c r="E53" s="185">
        <f t="shared" si="0"/>
        <v>0</v>
      </c>
      <c r="F53" s="188"/>
      <c r="G53" s="188"/>
      <c r="H53" s="189"/>
    </row>
    <row r="54" spans="2:8" ht="21.5" thickBot="1">
      <c r="B54" s="237" t="s">
        <v>67</v>
      </c>
      <c r="C54" s="238"/>
      <c r="D54" s="239"/>
      <c r="E54" s="240">
        <f>SUM(E41:H53)</f>
        <v>0</v>
      </c>
      <c r="F54" s="241"/>
      <c r="G54" s="241"/>
      <c r="H54" s="242"/>
    </row>
    <row r="55" spans="2:8" ht="19" thickBot="1">
      <c r="B55" s="237"/>
      <c r="C55" s="238"/>
      <c r="D55" s="239"/>
      <c r="E55" s="243"/>
      <c r="F55" s="244"/>
      <c r="G55" s="244"/>
      <c r="H55" s="245"/>
    </row>
  </sheetData>
  <sheetProtection password="C8CD" sheet="1" objects="1" scenarios="1" formatCells="0"/>
  <mergeCells count="62"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B46:D46"/>
    <mergeCell ref="E46:H46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167" t="s">
        <v>59</v>
      </c>
      <c r="B1" s="168"/>
      <c r="C1" s="168"/>
      <c r="D1" s="168"/>
      <c r="E1" s="168"/>
      <c r="F1" s="168"/>
      <c r="G1" s="169"/>
    </row>
    <row r="2" spans="1:7" ht="15" thickBot="1">
      <c r="A2" s="170"/>
      <c r="B2" s="171"/>
      <c r="C2" s="171"/>
      <c r="D2" s="171"/>
      <c r="E2" s="171"/>
      <c r="F2" s="171"/>
      <c r="G2" s="172"/>
    </row>
    <row r="3" spans="1:7" ht="28.5" thickBot="1">
      <c r="A3" s="302" t="s">
        <v>60</v>
      </c>
      <c r="B3" s="303"/>
      <c r="C3" s="304"/>
      <c r="D3" s="302" t="s">
        <v>61</v>
      </c>
      <c r="E3" s="303"/>
      <c r="F3" s="303"/>
      <c r="G3" s="304"/>
    </row>
    <row r="4" spans="1:7" ht="41.5" customHeight="1" thickBot="1">
      <c r="A4" s="296" t="s">
        <v>63</v>
      </c>
      <c r="B4" s="297"/>
      <c r="C4" s="298"/>
      <c r="D4" s="29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27252</v>
      </c>
      <c r="E4" s="300"/>
      <c r="F4" s="300"/>
      <c r="G4" s="301"/>
    </row>
    <row r="5" spans="1:7" ht="37" customHeight="1" thickBot="1">
      <c r="A5" s="296" t="s">
        <v>48</v>
      </c>
      <c r="B5" s="297"/>
      <c r="C5" s="298"/>
      <c r="D5" s="29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470</v>
      </c>
      <c r="E5" s="300"/>
      <c r="F5" s="300"/>
      <c r="G5" s="301"/>
    </row>
    <row r="6" spans="1:7" ht="40" customHeight="1" thickBot="1">
      <c r="A6" s="296" t="s">
        <v>62</v>
      </c>
      <c r="B6" s="297"/>
      <c r="C6" s="298"/>
      <c r="D6" s="29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5152</v>
      </c>
      <c r="E6" s="300"/>
      <c r="F6" s="300"/>
      <c r="G6" s="301"/>
    </row>
    <row r="7" spans="1:7" ht="38.5" customHeight="1" thickBot="1">
      <c r="A7" s="305" t="s">
        <v>65</v>
      </c>
      <c r="B7" s="306"/>
      <c r="C7" s="307"/>
      <c r="D7" s="29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2131</v>
      </c>
      <c r="E7" s="300"/>
      <c r="F7" s="300"/>
      <c r="G7" s="301"/>
    </row>
    <row r="8" spans="1:7" ht="40" customHeight="1" thickBot="1">
      <c r="A8" s="305" t="s">
        <v>66</v>
      </c>
      <c r="B8" s="306"/>
      <c r="C8" s="307"/>
      <c r="D8" s="29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28</v>
      </c>
      <c r="E8" s="300"/>
      <c r="F8" s="300"/>
      <c r="G8" s="301"/>
    </row>
    <row r="9" spans="1:7" ht="38.5" customHeight="1" thickBot="1">
      <c r="A9" s="305" t="s">
        <v>58</v>
      </c>
      <c r="B9" s="306"/>
      <c r="C9" s="307"/>
      <c r="D9" s="29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300"/>
      <c r="F9" s="300"/>
      <c r="G9" s="301"/>
    </row>
    <row r="10" spans="1:7" ht="38" customHeight="1" thickBot="1">
      <c r="A10" s="305" t="s">
        <v>58</v>
      </c>
      <c r="B10" s="306"/>
      <c r="C10" s="307"/>
      <c r="D10" s="29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300"/>
      <c r="F10" s="300"/>
      <c r="G10" s="301"/>
    </row>
    <row r="11" spans="1:7" ht="38.5" customHeight="1" thickBot="1">
      <c r="A11" s="305" t="s">
        <v>58</v>
      </c>
      <c r="B11" s="306"/>
      <c r="C11" s="307"/>
      <c r="D11" s="29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300"/>
      <c r="F11" s="300"/>
      <c r="G11" s="301"/>
    </row>
    <row r="12" spans="1:7" ht="36.5" customHeight="1" thickBot="1">
      <c r="A12" s="305" t="s">
        <v>58</v>
      </c>
      <c r="B12" s="306"/>
      <c r="C12" s="307"/>
      <c r="D12" s="29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300"/>
      <c r="F12" s="300"/>
      <c r="G12" s="301"/>
    </row>
    <row r="13" spans="1:7" ht="38" customHeight="1" thickBot="1">
      <c r="A13" s="305" t="s">
        <v>58</v>
      </c>
      <c r="B13" s="306"/>
      <c r="C13" s="307"/>
      <c r="D13" s="29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300"/>
      <c r="F13" s="300"/>
      <c r="G13" s="301"/>
    </row>
    <row r="14" spans="1:7" ht="29" thickBot="1">
      <c r="A14" s="305" t="s">
        <v>58</v>
      </c>
      <c r="B14" s="306"/>
      <c r="C14" s="307"/>
      <c r="D14" s="29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300"/>
      <c r="F14" s="300"/>
      <c r="G14" s="301"/>
    </row>
    <row r="15" spans="1:7" ht="29" thickBot="1">
      <c r="A15" s="305" t="s">
        <v>58</v>
      </c>
      <c r="B15" s="306"/>
      <c r="C15" s="307"/>
      <c r="D15" s="29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300"/>
      <c r="F15" s="300"/>
      <c r="G15" s="301"/>
    </row>
    <row r="16" spans="1:7" ht="29" thickBot="1">
      <c r="A16" s="305" t="s">
        <v>58</v>
      </c>
      <c r="B16" s="306"/>
      <c r="C16" s="307"/>
      <c r="D16" s="29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300"/>
      <c r="F16" s="300"/>
      <c r="G16" s="301"/>
    </row>
    <row r="17" spans="1:7" ht="29" thickBot="1">
      <c r="A17" s="305" t="s">
        <v>67</v>
      </c>
      <c r="B17" s="306"/>
      <c r="C17" s="307"/>
      <c r="D17" s="308">
        <f>SUM(D4:D16)</f>
        <v>35033</v>
      </c>
      <c r="E17" s="309"/>
      <c r="F17" s="309"/>
      <c r="G17" s="31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NYIRAMUGISHA Esther</cp:lastModifiedBy>
  <cp:lastPrinted>2026-04-30T11:42:16Z</cp:lastPrinted>
  <dcterms:created xsi:type="dcterms:W3CDTF">2023-12-29T10:10:15Z</dcterms:created>
  <dcterms:modified xsi:type="dcterms:W3CDTF">2026-05-01T11:05:08Z</dcterms:modified>
</cp:coreProperties>
</file>