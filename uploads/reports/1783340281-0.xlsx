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bookViews>
    <workbookView xWindow="0" yWindow="0" windowWidth="23040" windowHeight="9072" tabRatio="965" activeTab="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GAB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RUTSIRO" sheetId="25" r:id="rId23"/>
    <sheet name="NGORORERO" sheetId="26" r:id="rId24"/>
    <sheet name="NYAMASHEKE" sheetId="27" r:id="rId25"/>
    <sheet name="FOURTH" sheetId="28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E11" i="2" l="1"/>
  <c r="F11" i="2" s="1"/>
  <c r="E74" i="2" l="1"/>
  <c r="E18" i="2"/>
  <c r="F18" i="2" s="1"/>
  <c r="G18" i="2"/>
  <c r="E19" i="2"/>
  <c r="F19" i="2" s="1"/>
  <c r="G19" i="2"/>
  <c r="E20" i="2"/>
  <c r="F20" i="2" s="1"/>
  <c r="G20" i="2"/>
  <c r="E21" i="2"/>
  <c r="F21" i="2" s="1"/>
  <c r="G21" i="2"/>
  <c r="E22" i="2"/>
  <c r="F22" i="2" s="1"/>
  <c r="G22" i="2"/>
  <c r="E23" i="2"/>
  <c r="F23" i="2" s="1"/>
  <c r="G23" i="2"/>
  <c r="E24" i="2"/>
  <c r="F24" i="2" s="1"/>
  <c r="G24" i="2"/>
  <c r="E25" i="2"/>
  <c r="F25" i="2" s="1"/>
  <c r="G25" i="2"/>
  <c r="E26" i="2"/>
  <c r="F26" i="2" s="1"/>
  <c r="G26" i="2"/>
  <c r="E27" i="2"/>
  <c r="F27" i="2" s="1"/>
  <c r="G27" i="2"/>
  <c r="E28" i="2"/>
  <c r="F28" i="2" s="1"/>
  <c r="G28" i="2"/>
  <c r="E29" i="2"/>
  <c r="F29" i="2" s="1"/>
  <c r="G29" i="2"/>
  <c r="E30" i="2"/>
  <c r="F30" i="2" s="1"/>
  <c r="G30" i="2"/>
  <c r="E31" i="2"/>
  <c r="F31" i="2" s="1"/>
  <c r="G31" i="2"/>
  <c r="E32" i="2"/>
  <c r="F32" i="2" s="1"/>
  <c r="G32" i="2"/>
  <c r="E33" i="2"/>
  <c r="F33" i="2" s="1"/>
  <c r="G33" i="2"/>
  <c r="E34" i="2"/>
  <c r="F34" i="2" s="1"/>
  <c r="G34" i="2"/>
  <c r="E35" i="2"/>
  <c r="F35" i="2" s="1"/>
  <c r="G35" i="2"/>
  <c r="E36" i="2"/>
  <c r="F36" i="2" s="1"/>
  <c r="H36" i="2" s="1"/>
  <c r="G36" i="2"/>
  <c r="G17" i="2"/>
  <c r="E17" i="2"/>
  <c r="F17" i="2" s="1"/>
  <c r="H32" i="2" l="1"/>
  <c r="H35" i="2"/>
  <c r="H34" i="2"/>
  <c r="H33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J28" i="1"/>
  <c r="J27" i="1"/>
  <c r="J26" i="1"/>
  <c r="I28" i="1"/>
  <c r="I27" i="1"/>
  <c r="I26" i="1"/>
  <c r="H28" i="1"/>
  <c r="H27" i="1"/>
  <c r="H26" i="1"/>
  <c r="G28" i="1"/>
  <c r="G27" i="1"/>
  <c r="G26" i="1"/>
  <c r="E28" i="1"/>
  <c r="E27" i="1"/>
  <c r="E26" i="1"/>
  <c r="D28" i="1"/>
  <c r="D27" i="1"/>
  <c r="D26" i="1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G37" i="28" s="1"/>
  <c r="E6" i="28"/>
  <c r="F6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G11" i="27"/>
  <c r="E11" i="27"/>
  <c r="F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E6" i="27"/>
  <c r="F6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G19" i="26"/>
  <c r="E19" i="26"/>
  <c r="F19" i="26" s="1"/>
  <c r="H19" i="26" s="1"/>
  <c r="G18" i="26"/>
  <c r="E18" i="26"/>
  <c r="F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H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E6" i="25"/>
  <c r="F6" i="25" s="1"/>
  <c r="H18" i="26" l="1"/>
  <c r="H12" i="25"/>
  <c r="H20" i="25"/>
  <c r="H26" i="25"/>
  <c r="H32" i="25"/>
  <c r="H12" i="26"/>
  <c r="H20" i="26"/>
  <c r="H26" i="26"/>
  <c r="H32" i="26"/>
  <c r="H12" i="27"/>
  <c r="H20" i="27"/>
  <c r="H26" i="27"/>
  <c r="H32" i="27"/>
  <c r="H12" i="28"/>
  <c r="H20" i="28"/>
  <c r="H26" i="28"/>
  <c r="H32" i="28"/>
  <c r="E62" i="28"/>
  <c r="G37" i="27"/>
  <c r="C28" i="1" s="1"/>
  <c r="H11" i="27"/>
  <c r="E62" i="27"/>
  <c r="E62" i="26"/>
  <c r="G37" i="26"/>
  <c r="C27" i="1" s="1"/>
  <c r="E62" i="25"/>
  <c r="G37" i="25"/>
  <c r="C26" i="1" s="1"/>
  <c r="F37" i="28"/>
  <c r="H6" i="28"/>
  <c r="E37" i="28"/>
  <c r="H6" i="27"/>
  <c r="F37" i="27"/>
  <c r="B28" i="1" s="1"/>
  <c r="E37" i="27"/>
  <c r="F37" i="26"/>
  <c r="B27" i="1" s="1"/>
  <c r="H6" i="26"/>
  <c r="E37" i="26"/>
  <c r="F37" i="25"/>
  <c r="B26" i="1" s="1"/>
  <c r="H6" i="25"/>
  <c r="H37" i="25" s="1"/>
  <c r="E37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D9" i="21" s="1"/>
  <c r="E53" i="24"/>
  <c r="E52" i="24"/>
  <c r="E51" i="24"/>
  <c r="E50" i="24"/>
  <c r="E49" i="24"/>
  <c r="C45" i="24"/>
  <c r="G36" i="24"/>
  <c r="F36" i="24"/>
  <c r="H36" i="24" s="1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F22" i="24"/>
  <c r="H22" i="24" s="1"/>
  <c r="E22" i="24"/>
  <c r="G21" i="24"/>
  <c r="E21" i="24"/>
  <c r="F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G11" i="24"/>
  <c r="E11" i="24"/>
  <c r="F11" i="24" s="1"/>
  <c r="H11" i="24" s="1"/>
  <c r="G10" i="24"/>
  <c r="E10" i="24"/>
  <c r="F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G35" i="23"/>
  <c r="E35" i="23"/>
  <c r="F35" i="23" s="1"/>
  <c r="H35" i="23" s="1"/>
  <c r="G34" i="23"/>
  <c r="E34" i="23"/>
  <c r="F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G30" i="23"/>
  <c r="E30" i="23"/>
  <c r="F30" i="23" s="1"/>
  <c r="G29" i="23"/>
  <c r="E29" i="23"/>
  <c r="F29" i="23" s="1"/>
  <c r="H29" i="23" s="1"/>
  <c r="G28" i="23"/>
  <c r="E28" i="23"/>
  <c r="F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G9" i="23"/>
  <c r="E9" i="23"/>
  <c r="F9" i="23" s="1"/>
  <c r="H9" i="23" s="1"/>
  <c r="G8" i="23"/>
  <c r="E8" i="23"/>
  <c r="F8" i="23" s="1"/>
  <c r="G7" i="23"/>
  <c r="E7" i="23"/>
  <c r="F7" i="23" s="1"/>
  <c r="H7" i="23" s="1"/>
  <c r="G6" i="23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G35" i="18"/>
  <c r="E35" i="18"/>
  <c r="F35" i="18" s="1"/>
  <c r="H35" i="18" s="1"/>
  <c r="G34" i="18"/>
  <c r="E34" i="18"/>
  <c r="F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G9" i="18"/>
  <c r="E9" i="18"/>
  <c r="F9" i="18" s="1"/>
  <c r="H9" i="18" s="1"/>
  <c r="G8" i="18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G35" i="17"/>
  <c r="E35" i="17"/>
  <c r="F35" i="17" s="1"/>
  <c r="H35" i="17" s="1"/>
  <c r="G34" i="17"/>
  <c r="E34" i="17"/>
  <c r="F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H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G35" i="16"/>
  <c r="E35" i="16"/>
  <c r="F35" i="16" s="1"/>
  <c r="H35" i="16" s="1"/>
  <c r="G34" i="16"/>
  <c r="E34" i="16"/>
  <c r="F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G24" i="16"/>
  <c r="E24" i="16"/>
  <c r="F24" i="16" s="1"/>
  <c r="G23" i="16"/>
  <c r="E23" i="16"/>
  <c r="F23" i="16" s="1"/>
  <c r="G22" i="16"/>
  <c r="E22" i="16"/>
  <c r="F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G35" i="14"/>
  <c r="E35" i="14"/>
  <c r="F35" i="14" s="1"/>
  <c r="H35" i="14" s="1"/>
  <c r="G34" i="14"/>
  <c r="E34" i="14"/>
  <c r="F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G20" i="14"/>
  <c r="E20" i="14"/>
  <c r="F20" i="14" s="1"/>
  <c r="H20" i="14" s="1"/>
  <c r="G19" i="14"/>
  <c r="E19" i="14"/>
  <c r="F19" i="14" s="1"/>
  <c r="G18" i="14"/>
  <c r="E18" i="14"/>
  <c r="F18" i="14" s="1"/>
  <c r="G17" i="14"/>
  <c r="E17" i="14"/>
  <c r="F17" i="14" s="1"/>
  <c r="G14" i="14"/>
  <c r="E14" i="14"/>
  <c r="F14" i="14" s="1"/>
  <c r="G13" i="14"/>
  <c r="E13" i="14"/>
  <c r="F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G9" i="14"/>
  <c r="E9" i="14"/>
  <c r="F9" i="14" s="1"/>
  <c r="G8" i="14"/>
  <c r="E8" i="14"/>
  <c r="F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G35" i="13"/>
  <c r="E35" i="13"/>
  <c r="F35" i="13" s="1"/>
  <c r="H35" i="13" s="1"/>
  <c r="G34" i="13"/>
  <c r="E34" i="13"/>
  <c r="F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G23" i="13"/>
  <c r="E23" i="13"/>
  <c r="F23" i="13" s="1"/>
  <c r="H23" i="13" s="1"/>
  <c r="G22" i="13"/>
  <c r="E22" i="13"/>
  <c r="F22" i="13" s="1"/>
  <c r="G21" i="13"/>
  <c r="E21" i="13"/>
  <c r="F21" i="13" s="1"/>
  <c r="G20" i="13"/>
  <c r="E20" i="13"/>
  <c r="F20" i="13" s="1"/>
  <c r="G19" i="13"/>
  <c r="E19" i="13"/>
  <c r="F19" i="13" s="1"/>
  <c r="G18" i="13"/>
  <c r="E18" i="13"/>
  <c r="F18" i="13" s="1"/>
  <c r="G17" i="13"/>
  <c r="E17" i="13"/>
  <c r="F17" i="13" s="1"/>
  <c r="G14" i="13"/>
  <c r="E14" i="13"/>
  <c r="F14" i="13" s="1"/>
  <c r="G13" i="13"/>
  <c r="E13" i="13"/>
  <c r="F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G7" i="13"/>
  <c r="E7" i="13"/>
  <c r="F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G35" i="12"/>
  <c r="E35" i="12"/>
  <c r="F35" i="12" s="1"/>
  <c r="H35" i="12" s="1"/>
  <c r="G34" i="12"/>
  <c r="E34" i="12"/>
  <c r="F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G19" i="12"/>
  <c r="E19" i="12"/>
  <c r="F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E32" i="15"/>
  <c r="F32" i="15" s="1"/>
  <c r="H32" i="15" s="1"/>
  <c r="G31" i="15"/>
  <c r="E31" i="15"/>
  <c r="F31" i="15" s="1"/>
  <c r="G30" i="15"/>
  <c r="E30" i="15"/>
  <c r="F30" i="15" s="1"/>
  <c r="H30" i="15" s="1"/>
  <c r="G29" i="15"/>
  <c r="E29" i="15"/>
  <c r="F29" i="15" s="1"/>
  <c r="G28" i="15"/>
  <c r="E28" i="15"/>
  <c r="F28" i="15" s="1"/>
  <c r="H28" i="15" s="1"/>
  <c r="G27" i="15"/>
  <c r="E27" i="15"/>
  <c r="F27" i="15" s="1"/>
  <c r="G26" i="15"/>
  <c r="E26" i="15"/>
  <c r="F26" i="15" s="1"/>
  <c r="H26" i="15" s="1"/>
  <c r="G25" i="15"/>
  <c r="E25" i="15"/>
  <c r="F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G21" i="15"/>
  <c r="E21" i="15"/>
  <c r="F21" i="15" s="1"/>
  <c r="G20" i="15"/>
  <c r="E20" i="15"/>
  <c r="F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F12" i="15"/>
  <c r="E12" i="15"/>
  <c r="G11" i="15"/>
  <c r="F11" i="15"/>
  <c r="H11" i="15" s="1"/>
  <c r="E11" i="15"/>
  <c r="G10" i="15"/>
  <c r="E10" i="15"/>
  <c r="F10" i="15" s="1"/>
  <c r="G9" i="15"/>
  <c r="F9" i="15"/>
  <c r="E9" i="15"/>
  <c r="G8" i="15"/>
  <c r="F8" i="15"/>
  <c r="H8" i="15" s="1"/>
  <c r="E8" i="15"/>
  <c r="G7" i="15"/>
  <c r="E7" i="15"/>
  <c r="F7" i="15" s="1"/>
  <c r="G6" i="15"/>
  <c r="E6" i="15"/>
  <c r="F6" i="15" s="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E36" i="8"/>
  <c r="G35" i="8"/>
  <c r="E35" i="8"/>
  <c r="F35" i="8" s="1"/>
  <c r="H35" i="8" s="1"/>
  <c r="G34" i="8"/>
  <c r="F34" i="8"/>
  <c r="H34" i="8" s="1"/>
  <c r="E34" i="8"/>
  <c r="G33" i="8"/>
  <c r="E33" i="8"/>
  <c r="F33" i="8" s="1"/>
  <c r="H33" i="8" s="1"/>
  <c r="G32" i="8"/>
  <c r="F32" i="8"/>
  <c r="E32" i="8"/>
  <c r="G31" i="8"/>
  <c r="E31" i="8"/>
  <c r="F31" i="8" s="1"/>
  <c r="H31" i="8" s="1"/>
  <c r="G30" i="8"/>
  <c r="F30" i="8"/>
  <c r="H30" i="8" s="1"/>
  <c r="E30" i="8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E24" i="8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G20" i="6"/>
  <c r="E20" i="6"/>
  <c r="F20" i="6" s="1"/>
  <c r="G19" i="6"/>
  <c r="E19" i="6"/>
  <c r="F19" i="6" s="1"/>
  <c r="G18" i="6"/>
  <c r="E18" i="6"/>
  <c r="F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G11" i="19"/>
  <c r="E11" i="19"/>
  <c r="F11" i="19" s="1"/>
  <c r="H11" i="19" s="1"/>
  <c r="G10" i="19"/>
  <c r="E10" i="19"/>
  <c r="F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G20" i="7"/>
  <c r="E20" i="7"/>
  <c r="F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G11" i="4"/>
  <c r="E11" i="4"/>
  <c r="F11" i="4" s="1"/>
  <c r="H11" i="4" s="1"/>
  <c r="G10" i="4"/>
  <c r="E10" i="4"/>
  <c r="F10" i="4" s="1"/>
  <c r="G9" i="4"/>
  <c r="E9" i="4"/>
  <c r="F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81" i="2"/>
  <c r="E80" i="2"/>
  <c r="E79" i="2"/>
  <c r="E78" i="2"/>
  <c r="E77" i="2"/>
  <c r="D12" i="21" s="1"/>
  <c r="E76" i="2"/>
  <c r="D11" i="21" s="1"/>
  <c r="E75" i="2"/>
  <c r="E73" i="2"/>
  <c r="E72" i="2"/>
  <c r="E71" i="2"/>
  <c r="E70" i="2"/>
  <c r="E69" i="2"/>
  <c r="C65" i="2"/>
  <c r="G56" i="2"/>
  <c r="E56" i="2"/>
  <c r="F56" i="2" s="1"/>
  <c r="G55" i="2"/>
  <c r="E55" i="2"/>
  <c r="F55" i="2" s="1"/>
  <c r="G54" i="2"/>
  <c r="E54" i="2"/>
  <c r="F54" i="2" s="1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F46" i="2" s="1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14" i="2"/>
  <c r="E14" i="2"/>
  <c r="F14" i="2" s="1"/>
  <c r="E13" i="2"/>
  <c r="F13" i="2" s="1"/>
  <c r="G12" i="2"/>
  <c r="E12" i="2"/>
  <c r="F12" i="2" s="1"/>
  <c r="G11" i="2"/>
  <c r="G10" i="2"/>
  <c r="E10" i="2"/>
  <c r="F10" i="2" s="1"/>
  <c r="G9" i="2"/>
  <c r="E9" i="2"/>
  <c r="F9" i="2" s="1"/>
  <c r="G8" i="2"/>
  <c r="E8" i="2"/>
  <c r="F8" i="2" s="1"/>
  <c r="G7" i="2"/>
  <c r="E7" i="2"/>
  <c r="F7" i="2" s="1"/>
  <c r="G6" i="2"/>
  <c r="E6" i="2"/>
  <c r="F6" i="2" s="1"/>
  <c r="H18" i="5" l="1"/>
  <c r="H10" i="19"/>
  <c r="H21" i="6"/>
  <c r="H9" i="4"/>
  <c r="H9" i="14"/>
  <c r="H21" i="18"/>
  <c r="D10" i="21"/>
  <c r="G37" i="10"/>
  <c r="H29" i="15"/>
  <c r="H8" i="12"/>
  <c r="H14" i="12"/>
  <c r="H22" i="12"/>
  <c r="H28" i="12"/>
  <c r="H34" i="12"/>
  <c r="H8" i="13"/>
  <c r="H14" i="13"/>
  <c r="H22" i="13"/>
  <c r="H28" i="13"/>
  <c r="H34" i="13"/>
  <c r="H8" i="14"/>
  <c r="H14" i="14"/>
  <c r="H22" i="14"/>
  <c r="H28" i="14"/>
  <c r="H34" i="14"/>
  <c r="H8" i="16"/>
  <c r="H14" i="16"/>
  <c r="H28" i="16"/>
  <c r="H34" i="16"/>
  <c r="H8" i="17"/>
  <c r="H14" i="17"/>
  <c r="H28" i="17"/>
  <c r="H34" i="17"/>
  <c r="H8" i="18"/>
  <c r="H14" i="18"/>
  <c r="H22" i="18"/>
  <c r="H28" i="18"/>
  <c r="H34" i="18"/>
  <c r="H8" i="23"/>
  <c r="H14" i="23"/>
  <c r="H22" i="23"/>
  <c r="H28" i="23"/>
  <c r="H34" i="23"/>
  <c r="H20" i="24"/>
  <c r="H37" i="26"/>
  <c r="G37" i="19"/>
  <c r="C23" i="1" s="1"/>
  <c r="D13" i="21"/>
  <c r="H14" i="11"/>
  <c r="H22" i="11"/>
  <c r="H28" i="11"/>
  <c r="H34" i="11"/>
  <c r="H25" i="15"/>
  <c r="D14" i="21"/>
  <c r="H18" i="8"/>
  <c r="H20" i="15"/>
  <c r="H31" i="15"/>
  <c r="H36" i="15"/>
  <c r="H10" i="12"/>
  <c r="H24" i="12"/>
  <c r="H30" i="12"/>
  <c r="H36" i="12"/>
  <c r="H10" i="13"/>
  <c r="H24" i="13"/>
  <c r="H30" i="13"/>
  <c r="H36" i="13"/>
  <c r="H10" i="14"/>
  <c r="H24" i="14"/>
  <c r="H30" i="14"/>
  <c r="H36" i="14"/>
  <c r="H18" i="16"/>
  <c r="H30" i="16"/>
  <c r="H36" i="16"/>
  <c r="H24" i="17"/>
  <c r="H30" i="17"/>
  <c r="H36" i="17"/>
  <c r="H10" i="18"/>
  <c r="H18" i="18"/>
  <c r="H24" i="18"/>
  <c r="H30" i="18"/>
  <c r="H36" i="18"/>
  <c r="H10" i="23"/>
  <c r="H24" i="23"/>
  <c r="H30" i="23"/>
  <c r="H36" i="23"/>
  <c r="H27" i="24"/>
  <c r="G37" i="18"/>
  <c r="C22" i="1" s="1"/>
  <c r="E62" i="8"/>
  <c r="D16" i="21"/>
  <c r="H19" i="8"/>
  <c r="H11" i="23"/>
  <c r="H25" i="23"/>
  <c r="H31" i="23"/>
  <c r="H28" i="24"/>
  <c r="H37" i="28"/>
  <c r="D15" i="21"/>
  <c r="H12" i="5"/>
  <c r="H20" i="5"/>
  <c r="H26" i="5"/>
  <c r="H32" i="5"/>
  <c r="H20" i="3"/>
  <c r="H26" i="3"/>
  <c r="H32" i="3"/>
  <c r="H12" i="4"/>
  <c r="H20" i="4"/>
  <c r="H26" i="4"/>
  <c r="H32" i="4"/>
  <c r="H12" i="7"/>
  <c r="H20" i="7"/>
  <c r="H26" i="7"/>
  <c r="H32" i="7"/>
  <c r="H12" i="19"/>
  <c r="H20" i="19"/>
  <c r="H26" i="19"/>
  <c r="H32" i="19"/>
  <c r="H12" i="6"/>
  <c r="H20" i="6"/>
  <c r="H26" i="6"/>
  <c r="H32" i="6"/>
  <c r="H12" i="8"/>
  <c r="H24" i="8"/>
  <c r="H28" i="8"/>
  <c r="H32" i="8"/>
  <c r="H36" i="8"/>
  <c r="H10" i="22"/>
  <c r="H18" i="22"/>
  <c r="H24" i="22"/>
  <c r="H30" i="22"/>
  <c r="H36" i="22"/>
  <c r="H10" i="9"/>
  <c r="H18" i="9"/>
  <c r="H24" i="9"/>
  <c r="H30" i="9"/>
  <c r="H36" i="9"/>
  <c r="H10" i="10"/>
  <c r="H18" i="10"/>
  <c r="H24" i="10"/>
  <c r="H30" i="10"/>
  <c r="H36" i="10"/>
  <c r="H10" i="11"/>
  <c r="H18" i="11"/>
  <c r="H24" i="11"/>
  <c r="H30" i="11"/>
  <c r="H36" i="11"/>
  <c r="H27" i="15"/>
  <c r="H23" i="24"/>
  <c r="E62" i="9"/>
  <c r="H25" i="16"/>
  <c r="H24" i="16"/>
  <c r="H23" i="16"/>
  <c r="H22" i="16"/>
  <c r="H21" i="16"/>
  <c r="H20" i="16"/>
  <c r="H19" i="16"/>
  <c r="E62" i="16"/>
  <c r="G37" i="16"/>
  <c r="C20" i="1" s="1"/>
  <c r="H17" i="16"/>
  <c r="E62" i="7"/>
  <c r="H13" i="15"/>
  <c r="H7" i="15"/>
  <c r="H9" i="15"/>
  <c r="H12" i="15"/>
  <c r="H21" i="12"/>
  <c r="H20" i="12"/>
  <c r="H19" i="12"/>
  <c r="H18" i="12"/>
  <c r="H17" i="12"/>
  <c r="E62" i="12"/>
  <c r="H20" i="23"/>
  <c r="H19" i="23"/>
  <c r="H18" i="23"/>
  <c r="G37" i="23"/>
  <c r="C24" i="1" s="1"/>
  <c r="H17" i="23"/>
  <c r="H21" i="14"/>
  <c r="H19" i="14"/>
  <c r="H18" i="14"/>
  <c r="D7" i="21"/>
  <c r="H17" i="14"/>
  <c r="G37" i="14"/>
  <c r="C18" i="1" s="1"/>
  <c r="D6" i="21"/>
  <c r="H13" i="14"/>
  <c r="E62" i="14"/>
  <c r="H21" i="13"/>
  <c r="H20" i="13"/>
  <c r="D8" i="21"/>
  <c r="H19" i="13"/>
  <c r="H18" i="13"/>
  <c r="H17" i="13"/>
  <c r="H13" i="13"/>
  <c r="H7" i="13"/>
  <c r="H18" i="4"/>
  <c r="D4" i="21"/>
  <c r="H12" i="24"/>
  <c r="H19" i="24"/>
  <c r="H21" i="24"/>
  <c r="H9" i="3"/>
  <c r="H11" i="3"/>
  <c r="H10" i="3"/>
  <c r="H12" i="3"/>
  <c r="H17" i="24"/>
  <c r="H10" i="24"/>
  <c r="G37" i="24"/>
  <c r="C25" i="1" s="1"/>
  <c r="E62" i="24"/>
  <c r="H23" i="17"/>
  <c r="H22" i="17"/>
  <c r="H20" i="17"/>
  <c r="H19" i="17"/>
  <c r="H18" i="17"/>
  <c r="H17" i="17"/>
  <c r="G37" i="17"/>
  <c r="C21" i="1" s="1"/>
  <c r="H21" i="7"/>
  <c r="H19" i="7"/>
  <c r="H18" i="7"/>
  <c r="H17" i="7"/>
  <c r="H13" i="7"/>
  <c r="H7" i="7"/>
  <c r="H22" i="15"/>
  <c r="H21" i="15"/>
  <c r="H19" i="15"/>
  <c r="H18" i="15"/>
  <c r="H17" i="15"/>
  <c r="H10" i="15"/>
  <c r="D5" i="21"/>
  <c r="H19" i="6"/>
  <c r="H18" i="6"/>
  <c r="H35" i="6"/>
  <c r="H13" i="6"/>
  <c r="E62" i="6"/>
  <c r="G37" i="6"/>
  <c r="C9" i="1" s="1"/>
  <c r="H8" i="6"/>
  <c r="H56" i="2"/>
  <c r="H55" i="2"/>
  <c r="H13" i="2"/>
  <c r="H7" i="2"/>
  <c r="H9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14" i="2"/>
  <c r="H38" i="2"/>
  <c r="H37" i="2"/>
  <c r="H12" i="2"/>
  <c r="H11" i="2"/>
  <c r="H8" i="2"/>
  <c r="H37" i="27"/>
  <c r="H13" i="3"/>
  <c r="H8" i="3"/>
  <c r="E62" i="3"/>
  <c r="H10" i="2"/>
  <c r="C37" i="1"/>
  <c r="G37" i="3"/>
  <c r="G57" i="2"/>
  <c r="E8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57" i="2"/>
  <c r="H6" i="2"/>
  <c r="E57" i="2"/>
  <c r="H37" i="9" l="1"/>
  <c r="H37" i="13"/>
  <c r="H37" i="10"/>
  <c r="H37" i="11"/>
  <c r="H37" i="18"/>
  <c r="H37" i="8"/>
  <c r="H37" i="16"/>
  <c r="H37" i="12"/>
  <c r="H37" i="23"/>
  <c r="H37" i="14"/>
  <c r="H37" i="4"/>
  <c r="H37" i="5"/>
  <c r="H37" i="24"/>
  <c r="H37" i="7"/>
  <c r="H37" i="15"/>
  <c r="H37" i="6"/>
  <c r="H57" i="2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<sst xmlns="http://schemas.openxmlformats.org/spreadsheetml/2006/main" count="2033" uniqueCount="121">
  <si>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</si>
  <si>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</si>
  <si>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</si>
  <si>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</si>
  <si>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</si>
  <si>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</si>
  <si>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</si>
  <si>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</si>
  <si>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</si>
  <si>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</si>
  <si>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</si>
  <si>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</si>
  <si>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</si>
  <si>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</si>
  <si>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</si>
  <si>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</si>
  <si>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</si>
  <si>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</si>
  <si>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</si>
  <si>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</si>
  <si>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</si>
  <si>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</si>
  <si>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</si>
  <si>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</si>
  <si>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</si>
  <si>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</si>
  <si>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</si>
  <si>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</si>
  <si>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</si>
  <si>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</si>
  <si>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</si>
  <si>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</si>
  <si>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</si>
  <si>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</si>
  <si>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</si>
  <si>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</si>
  <si>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</si>
  <si>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</si>
  <si>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</si>
  <si>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</si>
  <si>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</si>
  <si>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</si>
  <si>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</si>
  <si>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</si>
  <si>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</si>
  <si>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</si>
  <si>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</si>
  <si>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</si>
  <si>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</si>
  <si>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</si>
  <si>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</si>
  <si>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</si>
  <si>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</si>
  <si>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</si>
  <si>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</si>
  <si>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</si>
  <si>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</si>
  <si>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</si>
  <si>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</si>
  <si>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</si>
  <si>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</si>
  <si>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</si>
  <si>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</si>
  <si>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</si>
  <si>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</si>
  <si>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</si>
  <si>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</si>
  <si>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</si>
  <si>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</si>
  <si>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</si>
  <si>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</si>
  <si>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</si>
  <si>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</si>
  <si>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</si>
  <si>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</si>
  <si>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</si>
  <si>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</si>
  <si>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</si>
  <si>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</si>
  <si>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</si>
  <si>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</si>
  <si>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</si>
  <si>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</si>
  <si>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</si>
  <si>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</si>
  <si>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NYAMAGABE</t>
  </si>
  <si>
    <t>RUTSIRO</t>
  </si>
  <si>
    <t>NGORORERO</t>
  </si>
  <si>
    <t>MUNYONGORO</t>
  </si>
  <si>
    <t>IBIPANDE BYA PINUS</t>
  </si>
  <si>
    <t>SIPURI</t>
  </si>
  <si>
    <t>DECHET</t>
  </si>
  <si>
    <t>IBIPANDE bya Pinus</t>
  </si>
  <si>
    <t>PINUS NINI,</t>
  </si>
  <si>
    <t>INTURUSU NTOYA</t>
  </si>
  <si>
    <t xml:space="preserve">PINUS </t>
  </si>
  <si>
    <t xml:space="preserve">SIPURE </t>
  </si>
  <si>
    <t>MADRIENNINI</t>
  </si>
  <si>
    <t>MADRIEN NTOYA</t>
  </si>
  <si>
    <t>Madrien zidasanzwe</t>
  </si>
  <si>
    <t>GEREVERIYA</t>
  </si>
  <si>
    <t>IBIPANDE BYA SIPURE</t>
  </si>
  <si>
    <t>INTURUSU NINI</t>
  </si>
  <si>
    <t>Madrien</t>
  </si>
  <si>
    <t>Planche</t>
  </si>
  <si>
    <t>Madrien Cadrema</t>
  </si>
  <si>
    <t>MONTHLY REPORT OF MAY 2026</t>
  </si>
  <si>
    <t>PLANCHE Z'IBIPANDE</t>
  </si>
  <si>
    <t xml:space="preserve">IBIPANDE </t>
  </si>
  <si>
    <t>IBIPANDE BITOYA</t>
  </si>
  <si>
    <t>DECHETS</t>
  </si>
  <si>
    <t>INGIGA</t>
  </si>
  <si>
    <t>PLANCHE ZA GEREVERIYA</t>
  </si>
  <si>
    <t>PALCNHE ZA PINUS</t>
  </si>
  <si>
    <t>IBIPANDE BYA CEDERERA</t>
  </si>
  <si>
    <t>DECHET Z'INTURUSU</t>
  </si>
  <si>
    <t xml:space="preserve">INTURUSU  </t>
  </si>
  <si>
    <t>NYAMASHEKE</t>
  </si>
  <si>
    <t>DESCHET</t>
  </si>
  <si>
    <t>IBIPANDE BY'INTURUSU</t>
  </si>
  <si>
    <t>MONTHLY REPORT OF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</si>
</sst>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8">
    <xf numFmtId="0" fontId="0" fillId="0" borderId="0" xfId="0"/>
    <xf numFmtId="165" fontId="8" fillId="0" borderId="26" xfId="1" applyNumberFormat="1" applyFont="1" applyBorder="1" applyProtection="1">
      <protection locked="0"/>
    </xf>
    <xf numFmtId="165" fontId="9" fillId="0" borderId="28" xfId="1" applyNumberFormat="1" applyFont="1" applyBorder="1" applyProtection="1">
      <protection hidden="1"/>
    </xf>
    <xf numFmtId="165" fontId="8" fillId="0" borderId="29" xfId="1" applyNumberFormat="1" applyFont="1" applyBorder="1" applyProtection="1">
      <protection locked="0"/>
    </xf>
    <xf numFmtId="165" fontId="9" fillId="0" borderId="3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3" xfId="1" applyNumberFormat="1" applyFont="1" applyFill="1" applyBorder="1" applyProtection="1">
      <protection locked="0"/>
    </xf>
    <xf numFmtId="165" fontId="9" fillId="4" borderId="34" xfId="1" applyNumberFormat="1" applyFont="1" applyFill="1" applyBorder="1" applyProtection="1">
      <protection hidden="1"/>
    </xf>
    <xf numFmtId="165" fontId="9" fillId="0" borderId="35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6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Protection="1">
      <protection locked="0"/>
    </xf>
    <xf numFmtId="165" fontId="9" fillId="4" borderId="37" xfId="1" applyNumberFormat="1" applyFont="1" applyFill="1" applyBorder="1" applyProtection="1">
      <protection locked="0"/>
    </xf>
    <xf numFmtId="165" fontId="9" fillId="4" borderId="38" xfId="1" applyNumberFormat="1" applyFont="1" applyFill="1" applyBorder="1" applyProtection="1">
      <protection locked="0"/>
    </xf>
    <xf numFmtId="165" fontId="9" fillId="4" borderId="25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6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7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5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5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6" xfId="1" applyNumberFormat="1" applyFont="1" applyFill="1" applyBorder="1" applyProtection="1">
      <protection locked="0"/>
    </xf>
    <xf numFmtId="165" fontId="3" fillId="4" borderId="37" xfId="1" applyNumberFormat="1" applyFont="1" applyFill="1" applyBorder="1" applyProtection="1">
      <protection locked="0"/>
    </xf>
    <xf numFmtId="165" fontId="0" fillId="4" borderId="37" xfId="1" applyNumberFormat="1" applyFont="1" applyFill="1" applyBorder="1" applyProtection="1">
      <protection locked="0"/>
    </xf>
    <xf numFmtId="165" fontId="0" fillId="4" borderId="40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39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39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7" xfId="1" applyNumberFormat="1" applyFont="1" applyBorder="1" applyProtection="1">
      <protection hidden="1"/>
    </xf>
    <xf numFmtId="165" fontId="9" fillId="0" borderId="30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0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7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0" borderId="47" xfId="1" applyNumberFormat="1" applyFont="1" applyBorder="1" applyAlignment="1" applyProtection="1">
      <protection locked="0"/>
    </xf>
    <xf numFmtId="165" fontId="3" fillId="0" borderId="46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15" fillId="0" borderId="26" xfId="1" applyNumberFormat="1" applyFont="1" applyBorder="1" applyAlignment="1" applyProtection="1">
      <alignment horizontal="center"/>
      <protection locked="0"/>
    </xf>
    <xf numFmtId="165" fontId="15" fillId="0" borderId="28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Alignment="1" applyProtection="1">
      <alignment horizontal="center"/>
      <protection locked="0"/>
    </xf>
    <xf numFmtId="165" fontId="15" fillId="0" borderId="31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Protection="1">
      <protection locked="0"/>
    </xf>
    <xf numFmtId="165" fontId="15" fillId="0" borderId="31" xfId="1" applyNumberFormat="1" applyFont="1" applyBorder="1" applyProtection="1">
      <protection locked="0"/>
    </xf>
    <xf numFmtId="165" fontId="15" fillId="0" borderId="41" xfId="1" applyNumberFormat="1" applyFont="1" applyBorder="1" applyProtection="1">
      <protection locked="0"/>
    </xf>
    <xf numFmtId="165" fontId="15" fillId="0" borderId="42" xfId="1" applyNumberFormat="1" applyFont="1" applyBorder="1" applyProtection="1">
      <protection locked="0"/>
    </xf>
    <xf numFmtId="165" fontId="15" fillId="0" borderId="26" xfId="1" applyNumberFormat="1" applyFont="1" applyBorder="1" applyProtection="1">
      <protection locked="0"/>
    </xf>
    <xf numFmtId="165" fontId="15" fillId="0" borderId="30" xfId="1" applyNumberFormat="1" applyFont="1" applyBorder="1" applyAlignment="1" applyProtection="1">
      <protection locked="0"/>
    </xf>
    <xf numFmtId="165" fontId="15" fillId="0" borderId="29" xfId="1" applyNumberFormat="1" applyFont="1" applyBorder="1" applyAlignment="1" applyProtection="1">
      <protection locked="0"/>
    </xf>
    <xf numFmtId="165" fontId="15" fillId="0" borderId="47" xfId="1" applyNumberFormat="1" applyFont="1" applyBorder="1" applyAlignment="1" applyProtection="1">
      <protection locked="0"/>
    </xf>
    <xf numFmtId="165" fontId="15" fillId="0" borderId="41" xfId="1" applyNumberFormat="1" applyFont="1" applyBorder="1" applyAlignment="1" applyProtection="1">
      <protection locked="0"/>
    </xf>
    <xf numFmtId="165" fontId="11" fillId="4" borderId="25" xfId="1" applyNumberFormat="1" applyFont="1" applyFill="1" applyBorder="1" applyAlignment="1" applyProtection="1">
      <alignment horizontal="left"/>
      <protection locked="0"/>
    </xf>
    <xf numFmtId="165" fontId="11" fillId="4" borderId="7" xfId="1" applyNumberFormat="1" applyFont="1" applyFill="1" applyBorder="1" applyAlignment="1" applyProtection="1">
      <alignment horizontal="left"/>
      <protection locked="0"/>
    </xf>
    <xf numFmtId="165" fontId="11" fillId="4" borderId="8" xfId="1" applyNumberFormat="1" applyFont="1" applyFill="1" applyBorder="1" applyProtection="1">
      <protection locked="0"/>
    </xf>
    <xf numFmtId="165" fontId="11" fillId="0" borderId="29" xfId="1" applyNumberFormat="1" applyFont="1" applyBorder="1" applyProtection="1">
      <protection locked="0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8" fillId="0" borderId="29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3" xfId="1" applyNumberFormat="1" applyFont="1" applyFill="1" applyBorder="1" applyAlignment="1" applyProtection="1">
      <alignment horizontal="center" vertical="center"/>
      <protection locked="0"/>
    </xf>
    <xf numFmtId="165" fontId="9" fillId="3" borderId="44" xfId="1" applyNumberFormat="1" applyFont="1" applyFill="1" applyBorder="1" applyAlignment="1" applyProtection="1">
      <alignment horizontal="center" vertic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26" xfId="1" applyNumberFormat="1" applyFont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39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0" fillId="3" borderId="20" xfId="1" applyNumberFormat="1" applyFont="1" applyFill="1" applyBorder="1" applyAlignment="1" applyProtection="1">
      <alignment horizontal="center"/>
      <protection hidden="1"/>
    </xf>
    <xf numFmtId="165" fontId="10" fillId="3" borderId="4" xfId="1" applyNumberFormat="1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A29" sqref="A29"/>
    </sheetView>
  </sheetViews>
  <sheetFormatPr defaultColWidth="8.88671875" defaultRowHeight="18"/>
  <cols>
    <col min="1" max="1" width="22.77734375" style="73" customWidth="1"/>
    <col min="2" max="2" width="28.21875" style="77" customWidth="1"/>
    <col min="3" max="3" width="24.44140625" style="78" customWidth="1"/>
    <col min="4" max="4" width="16.109375" style="73" customWidth="1"/>
    <col min="5" max="5" width="21.77734375" style="73" customWidth="1"/>
    <col min="6" max="6" width="20.6640625" style="75" customWidth="1"/>
    <col min="7" max="7" width="20.109375" style="75" customWidth="1"/>
    <col min="8" max="8" width="17" style="73" customWidth="1"/>
    <col min="9" max="9" width="16.77734375" style="73" customWidth="1"/>
    <col min="10" max="10" width="14.6640625" style="73" customWidth="1"/>
    <col min="11" max="11" width="8.88671875" style="73"/>
    <col min="12" max="12" width="19.88671875" style="73" customWidth="1"/>
    <col min="13" max="16384" width="8.88671875" style="73"/>
  </cols>
  <sheetData>
    <row r="1" spans="1:15" ht="50.4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72"/>
      <c r="M1" s="72"/>
      <c r="N1" s="72"/>
    </row>
    <row r="2" spans="1:15" ht="31.05" customHeight="1">
      <c r="A2" s="123" t="s">
        <v>35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72"/>
      <c r="M2" s="72"/>
      <c r="N2" s="72"/>
    </row>
    <row r="3" spans="1:15" ht="15" customHeight="1" thickBot="1">
      <c r="A3" s="123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72"/>
      <c r="M3" s="72"/>
      <c r="N3" s="72"/>
    </row>
    <row r="4" spans="1:15" ht="18.600000000000001" thickBot="1">
      <c r="A4" s="62" t="s">
        <v>0</v>
      </c>
      <c r="B4" s="55" t="s">
        <v>1</v>
      </c>
      <c r="C4" s="56" t="s">
        <v>2</v>
      </c>
      <c r="D4" s="57" t="s">
        <v>3</v>
      </c>
      <c r="E4" s="56" t="s">
        <v>4</v>
      </c>
      <c r="F4" s="56" t="s">
        <v>8</v>
      </c>
      <c r="G4" s="68" t="s">
        <v>5</v>
      </c>
      <c r="H4" s="68" t="s">
        <v>6</v>
      </c>
      <c r="I4" s="70" t="s">
        <v>78</v>
      </c>
      <c r="J4" s="56" t="s">
        <v>7</v>
      </c>
      <c r="K4" s="71"/>
      <c r="L4" s="72"/>
      <c r="M4" s="67"/>
      <c r="N4" s="72"/>
      <c r="O4" s="72"/>
    </row>
    <row r="5" spans="1:15" ht="18.600000000000001" thickBot="1">
      <c r="A5" s="63" t="s">
        <v>16</v>
      </c>
      <c r="B5" s="36">
        <f>GISOZI!F57</f>
        <v>0</v>
      </c>
      <c r="C5" s="37">
        <f>GISOZI!G57</f>
        <v>0</v>
      </c>
      <c r="D5" s="37">
        <f>GISOZI!C63</f>
        <v>0</v>
      </c>
      <c r="E5" s="37">
        <f>GISOZI!C64</f>
        <v>0</v>
      </c>
      <c r="F5" s="41">
        <f>SUM(B5:C5)</f>
        <v>0</v>
      </c>
      <c r="G5" s="37">
        <f>GISOZI!C61</f>
        <v>0</v>
      </c>
      <c r="H5" s="37">
        <f>GISOZI!C59</f>
        <v>0</v>
      </c>
      <c r="I5" s="37">
        <f>GISOZI!C62</f>
        <v>0</v>
      </c>
      <c r="J5" s="37">
        <f>GISOZI!C60</f>
        <v>0</v>
      </c>
      <c r="K5" s="71"/>
      <c r="L5" s="72"/>
      <c r="M5" s="74"/>
      <c r="N5" s="72"/>
      <c r="O5" s="72"/>
    </row>
    <row r="6" spans="1:15" ht="18.600000000000001" thickBot="1">
      <c r="A6" s="64" t="s">
        <v>17</v>
      </c>
      <c r="B6" s="38">
        <f>GAHANGA!F37</f>
        <v>0</v>
      </c>
      <c r="C6" s="39">
        <f>GAHANGA!G37</f>
        <v>0</v>
      </c>
      <c r="D6" s="39">
        <f>GAHANGA!C43</f>
        <v>0</v>
      </c>
      <c r="E6" s="39">
        <f>GAHANGA!C44</f>
        <v>0</v>
      </c>
      <c r="F6" s="41">
        <f t="shared" ref="F6:F28" si="0">SUM(B6:C6)</f>
        <v>0</v>
      </c>
      <c r="G6" s="39">
        <f>GAHANGA!C41</f>
        <v>0</v>
      </c>
      <c r="H6" s="39">
        <f>GAHANGA!C39</f>
        <v>0</v>
      </c>
      <c r="I6" s="39">
        <f>GAHANGA!C42</f>
        <v>0</v>
      </c>
      <c r="J6" s="39">
        <f>GAHANGA!C40</f>
        <v>0</v>
      </c>
      <c r="K6" s="71"/>
      <c r="L6" s="72"/>
      <c r="M6" s="74"/>
      <c r="N6" s="72"/>
      <c r="O6" s="72"/>
    </row>
    <row r="7" spans="1:15" ht="18.600000000000001" thickBot="1">
      <c r="A7" s="64" t="s">
        <v>18</v>
      </c>
      <c r="B7" s="38">
        <f>KIMIRONKO!F37</f>
        <v>0</v>
      </c>
      <c r="C7" s="39">
        <f>KIMIRONKO!G37</f>
        <v>0</v>
      </c>
      <c r="D7" s="39">
        <f>KIMIRONKO!C43</f>
        <v>0</v>
      </c>
      <c r="E7" s="39">
        <f>KIMIRONKO!C44</f>
        <v>0</v>
      </c>
      <c r="F7" s="41">
        <f t="shared" si="0"/>
        <v>0</v>
      </c>
      <c r="G7" s="39">
        <f>KIMIRONKO!C41</f>
        <v>0</v>
      </c>
      <c r="H7" s="39">
        <f>KIMIRONKO!C39</f>
        <v>0</v>
      </c>
      <c r="I7" s="39">
        <f>KIMIRONKO!C42</f>
        <v>0</v>
      </c>
      <c r="J7" s="39">
        <f>KIMIRONKO!C40</f>
        <v>0</v>
      </c>
      <c r="K7" s="71"/>
      <c r="L7" s="72"/>
      <c r="M7" s="74"/>
      <c r="N7" s="72"/>
      <c r="O7" s="72"/>
    </row>
    <row r="8" spans="1:15" ht="18.600000000000001" thickBot="1">
      <c r="A8" s="64" t="s">
        <v>19</v>
      </c>
      <c r="B8" s="38">
        <f>BISHENYI!F37</f>
        <v>0</v>
      </c>
      <c r="C8" s="39">
        <f>BISHENYI!G37</f>
        <v>0</v>
      </c>
      <c r="D8" s="39">
        <f>BISHENYI!C43</f>
        <v>0</v>
      </c>
      <c r="E8" s="39">
        <f>BISHENYI!C44</f>
        <v>0</v>
      </c>
      <c r="F8" s="41">
        <f t="shared" si="0"/>
        <v>0</v>
      </c>
      <c r="G8" s="38">
        <f>BISHENYI!C41</f>
        <v>0</v>
      </c>
      <c r="H8" s="39">
        <f>BISHENYI!C39</f>
        <v>0</v>
      </c>
      <c r="I8" s="39">
        <f>BISHENYI!C42</f>
        <v>0</v>
      </c>
      <c r="J8" s="39">
        <f>BISHENYI!C40</f>
        <v>0</v>
      </c>
      <c r="K8" s="71"/>
      <c r="L8" s="72"/>
      <c r="M8" s="74"/>
      <c r="N8" s="72"/>
      <c r="O8" s="72"/>
    </row>
    <row r="9" spans="1:15" ht="18.600000000000001" thickBot="1">
      <c r="A9" s="64" t="s">
        <v>20</v>
      </c>
      <c r="B9" s="38">
        <f>RWAMAGANA!F37</f>
        <v>0</v>
      </c>
      <c r="C9" s="39">
        <f>RWAMAGANA!G37</f>
        <v>0</v>
      </c>
      <c r="D9" s="39">
        <f>RWAMAGANA!C43</f>
        <v>0</v>
      </c>
      <c r="E9" s="39">
        <f>RWAMAGANA!C44</f>
        <v>0</v>
      </c>
      <c r="F9" s="41">
        <f t="shared" si="0"/>
        <v>0</v>
      </c>
      <c r="G9" s="38">
        <f>RWAMAGANA!C41</f>
        <v>0</v>
      </c>
      <c r="H9" s="39">
        <f>RWAMAGANA!C39</f>
        <v>0</v>
      </c>
      <c r="I9" s="39">
        <f>RWAMAGANA!C42</f>
        <v>0</v>
      </c>
      <c r="J9" s="39">
        <f>RWAMAGANA!C40</f>
        <v>0</v>
      </c>
      <c r="K9" s="71"/>
      <c r="L9" s="72"/>
      <c r="M9" s="74"/>
      <c r="N9" s="72"/>
      <c r="O9" s="72"/>
    </row>
    <row r="10" spans="1:15" ht="18.600000000000001" thickBot="1">
      <c r="A10" s="64" t="s">
        <v>21</v>
      </c>
      <c r="B10" s="38">
        <f>BUGESERA!F37</f>
        <v>0</v>
      </c>
      <c r="C10" s="39">
        <f>BUGESERA!G37</f>
        <v>0</v>
      </c>
      <c r="D10" s="39">
        <f>BUGESERA!C43</f>
        <v>0</v>
      </c>
      <c r="E10" s="39">
        <f>BUGESERA!C44</f>
        <v>0</v>
      </c>
      <c r="F10" s="41">
        <f t="shared" si="0"/>
        <v>0</v>
      </c>
      <c r="G10" s="38">
        <f>BUGESERA!C41</f>
        <v>0</v>
      </c>
      <c r="H10" s="39">
        <f>BUGESERA!C39</f>
        <v>0</v>
      </c>
      <c r="I10" s="39">
        <f>BUGESERA!C42</f>
        <v>0</v>
      </c>
      <c r="J10" s="39">
        <f>BUGESERA!C40</f>
        <v>0</v>
      </c>
      <c r="K10" s="71"/>
      <c r="L10" s="72"/>
      <c r="M10" s="74"/>
      <c r="N10" s="72"/>
      <c r="O10" s="72"/>
    </row>
    <row r="11" spans="1:15" ht="18.600000000000001" thickBot="1">
      <c r="A11" s="64" t="s">
        <v>22</v>
      </c>
      <c r="B11" s="38">
        <f>MUHANGA!F37</f>
        <v>3807896.6440677969</v>
      </c>
      <c r="C11" s="39">
        <f>MUHANGA!G37</f>
        <v>321300</v>
      </c>
      <c r="D11" s="39">
        <f>MUHANGA!C43</f>
        <v>0</v>
      </c>
      <c r="E11" s="39">
        <f>MUHANGA!C44</f>
        <v>0</v>
      </c>
      <c r="F11" s="41">
        <f t="shared" si="0"/>
        <v>4129196.6440677969</v>
      </c>
      <c r="G11" s="38">
        <f>MUHANGA!C41</f>
        <v>0</v>
      </c>
      <c r="H11" s="39">
        <f>MUHANGA!C39</f>
        <v>4129197</v>
      </c>
      <c r="I11" s="39">
        <f>MUHANGA!C42</f>
        <v>0</v>
      </c>
      <c r="J11" s="39">
        <f>MUHANGA!C40</f>
        <v>0</v>
      </c>
      <c r="K11" s="71"/>
      <c r="L11" s="72"/>
      <c r="M11" s="74"/>
      <c r="N11" s="72"/>
      <c r="O11" s="72"/>
    </row>
    <row r="12" spans="1:15" ht="18.600000000000001" thickBot="1">
      <c r="A12" s="64" t="s">
        <v>23</v>
      </c>
      <c r="B12" s="38">
        <f>RUHANGO!F37</f>
        <v>306610.16949152539</v>
      </c>
      <c r="C12" s="39">
        <f>RUHANGO!G37</f>
        <v>33500</v>
      </c>
      <c r="D12" s="39">
        <f>RUHANGO!C43</f>
        <v>0</v>
      </c>
      <c r="E12" s="39">
        <f>RUHANGO!C44</f>
        <v>0</v>
      </c>
      <c r="F12" s="41">
        <f t="shared" si="0"/>
        <v>340110.16949152539</v>
      </c>
      <c r="G12" s="38">
        <f>RUHANGO!C41</f>
        <v>0</v>
      </c>
      <c r="H12" s="39">
        <f>RUHANGO!C39</f>
        <v>319805</v>
      </c>
      <c r="I12" s="39">
        <f>RUHANGO!C42</f>
        <v>0</v>
      </c>
      <c r="J12" s="39">
        <f>RUHANGO!C40</f>
        <v>0</v>
      </c>
      <c r="K12" s="71"/>
      <c r="L12" s="72"/>
      <c r="M12" s="74"/>
      <c r="N12" s="72"/>
      <c r="O12" s="72"/>
    </row>
    <row r="13" spans="1:15" ht="18.600000000000001" thickBot="1">
      <c r="A13" s="64" t="s">
        <v>24</v>
      </c>
      <c r="B13" s="38">
        <f>HUYE!F37</f>
        <v>3050026.779661017</v>
      </c>
      <c r="C13" s="39">
        <f>HUYE!G37</f>
        <v>353490</v>
      </c>
      <c r="D13" s="39">
        <f>HUYE!C43</f>
        <v>0</v>
      </c>
      <c r="E13" s="39">
        <f>HUYE!C44</f>
        <v>0</v>
      </c>
      <c r="F13" s="41">
        <f t="shared" si="0"/>
        <v>3403516.779661017</v>
      </c>
      <c r="G13" s="38">
        <f>HUYE!C41</f>
        <v>0</v>
      </c>
      <c r="H13" s="39">
        <f>HUYE!C39</f>
        <v>3152907</v>
      </c>
      <c r="I13" s="39">
        <f>HUYE!C42</f>
        <v>0</v>
      </c>
      <c r="J13" s="39">
        <f>HUYE!C40</f>
        <v>250610</v>
      </c>
      <c r="K13" s="71"/>
      <c r="L13" s="72"/>
      <c r="M13" s="74"/>
      <c r="N13" s="72"/>
      <c r="O13" s="72"/>
    </row>
    <row r="14" spans="1:15" ht="18.600000000000001" thickBot="1">
      <c r="A14" s="64" t="s">
        <v>25</v>
      </c>
      <c r="B14" s="38">
        <f>RUSIZI!F37</f>
        <v>0</v>
      </c>
      <c r="C14" s="39">
        <f>RUSIZI!G37</f>
        <v>0</v>
      </c>
      <c r="D14" s="39">
        <f>RUSIZI!C43</f>
        <v>0</v>
      </c>
      <c r="E14" s="39">
        <f>RUSIZI!C44</f>
        <v>0</v>
      </c>
      <c r="F14" s="41">
        <f t="shared" si="0"/>
        <v>0</v>
      </c>
      <c r="G14" s="38">
        <f>RUSIZI!C41</f>
        <v>0</v>
      </c>
      <c r="H14" s="39">
        <f>RUSIZI!C39</f>
        <v>0</v>
      </c>
      <c r="I14" s="39">
        <f>RUSIZI!C42</f>
        <v>0</v>
      </c>
      <c r="J14" s="39">
        <f>RUSIZI!C40</f>
        <v>0</v>
      </c>
      <c r="K14" s="71"/>
      <c r="L14" s="72"/>
      <c r="M14" s="74"/>
      <c r="N14" s="72"/>
      <c r="O14" s="72"/>
    </row>
    <row r="15" spans="1:15" ht="18.600000000000001" thickBot="1">
      <c r="A15" s="64" t="s">
        <v>85</v>
      </c>
      <c r="B15" s="38">
        <f>NYAMAGABE!F37</f>
        <v>913074.40677966108</v>
      </c>
      <c r="C15" s="39">
        <f>NYAMAGABE!G37</f>
        <v>79000</v>
      </c>
      <c r="D15" s="39">
        <f>NYAMAGABE!C43</f>
        <v>0</v>
      </c>
      <c r="E15" s="39">
        <f>NYAMAGABE!C44</f>
        <v>0</v>
      </c>
      <c r="F15" s="41">
        <f t="shared" si="0"/>
        <v>992074.40677966108</v>
      </c>
      <c r="G15" s="38">
        <f>NYAMAGABE!C41</f>
        <v>0</v>
      </c>
      <c r="H15" s="39">
        <f>NYAMAGABE!C39</f>
        <v>900574</v>
      </c>
      <c r="I15" s="39">
        <f>NYAMAGABE!C42</f>
        <v>0</v>
      </c>
      <c r="J15" s="39">
        <f>NYAMAGABE!C40</f>
        <v>91500</v>
      </c>
      <c r="K15" s="71"/>
      <c r="L15" s="72"/>
      <c r="M15" s="74"/>
      <c r="N15" s="72"/>
      <c r="O15" s="72"/>
    </row>
    <row r="16" spans="1:15" ht="18.600000000000001" thickBot="1">
      <c r="A16" s="64" t="s">
        <v>26</v>
      </c>
      <c r="B16" s="38">
        <f>KARONGI!F37</f>
        <v>1542712.2711864407</v>
      </c>
      <c r="C16" s="39">
        <f>KARONGI!G37</f>
        <v>316518</v>
      </c>
      <c r="D16" s="39">
        <f>KARONGI!C43</f>
        <v>0</v>
      </c>
      <c r="E16" s="39">
        <f>KARONGI!C44</f>
        <v>0</v>
      </c>
      <c r="F16" s="41">
        <f t="shared" si="0"/>
        <v>1859230.2711864407</v>
      </c>
      <c r="G16" s="38">
        <f>KARONGI!C41</f>
        <v>0</v>
      </c>
      <c r="H16" s="39">
        <f>KARONGI!C39</f>
        <v>1859414</v>
      </c>
      <c r="I16" s="39">
        <f>KARONGI!C42</f>
        <v>0</v>
      </c>
      <c r="J16" s="39">
        <f>KARONGI!C40</f>
        <v>0</v>
      </c>
      <c r="K16" s="71"/>
      <c r="L16" s="72"/>
      <c r="M16" s="74"/>
      <c r="N16" s="72"/>
      <c r="O16" s="72"/>
    </row>
    <row r="17" spans="1:15" ht="18.600000000000001" thickBot="1">
      <c r="A17" s="64" t="s">
        <v>27</v>
      </c>
      <c r="B17" s="38">
        <f>RUBAVU!F37</f>
        <v>3427578</v>
      </c>
      <c r="C17" s="39">
        <f>RUBAVU!G37</f>
        <v>292560</v>
      </c>
      <c r="D17" s="39">
        <f>RUBAVU!C43</f>
        <v>0</v>
      </c>
      <c r="E17" s="39">
        <f>RUBAVU!C44</f>
        <v>0</v>
      </c>
      <c r="F17" s="41">
        <f t="shared" si="0"/>
        <v>3720138</v>
      </c>
      <c r="G17" s="38">
        <f>RUBAVU!C41</f>
        <v>0</v>
      </c>
      <c r="H17" s="39">
        <f>RUBAVU!C39</f>
        <v>3220138</v>
      </c>
      <c r="I17" s="39">
        <f>RUBAVU!C42</f>
        <v>500000</v>
      </c>
      <c r="J17" s="39">
        <f>RUBAVU!C40</f>
        <v>0</v>
      </c>
      <c r="K17" s="71"/>
      <c r="L17" s="72"/>
      <c r="M17" s="74"/>
      <c r="N17" s="72"/>
      <c r="O17" s="72"/>
    </row>
    <row r="18" spans="1:15" ht="18.600000000000001" thickBot="1">
      <c r="A18" s="64" t="s">
        <v>28</v>
      </c>
      <c r="B18" s="38">
        <f>MUSANZE!F37</f>
        <v>1289028.8135593222</v>
      </c>
      <c r="C18" s="39">
        <f>MUSANZE!G37</f>
        <v>128030</v>
      </c>
      <c r="D18" s="39">
        <f>MUSANZE!C43</f>
        <v>0</v>
      </c>
      <c r="E18" s="39">
        <f>MUSANZE!C44</f>
        <v>0</v>
      </c>
      <c r="F18" s="41">
        <f t="shared" si="0"/>
        <v>1417058.8135593222</v>
      </c>
      <c r="G18" s="38">
        <f>MUSANZE!C41</f>
        <v>0</v>
      </c>
      <c r="H18" s="39">
        <f>MUSANZE!C39</f>
        <v>741310</v>
      </c>
      <c r="I18" s="39">
        <f>MUSANZE!C42</f>
        <v>0</v>
      </c>
      <c r="J18" s="39">
        <f>MUSANZE!C40</f>
        <v>675749</v>
      </c>
      <c r="K18" s="71"/>
      <c r="L18" s="72"/>
      <c r="M18" s="74"/>
      <c r="N18" s="72"/>
      <c r="O18" s="72"/>
    </row>
    <row r="19" spans="1:15" ht="18.600000000000001" thickBot="1">
      <c r="A19" s="64" t="s">
        <v>29</v>
      </c>
      <c r="B19" s="38">
        <f>KAYONZA!F37</f>
        <v>1620990</v>
      </c>
      <c r="C19" s="39">
        <f>KAYONZA!G37</f>
        <v>286560</v>
      </c>
      <c r="D19" s="39">
        <f>KAYONZA!C43</f>
        <v>0</v>
      </c>
      <c r="E19" s="39">
        <f>KAYONZA!C44</f>
        <v>0</v>
      </c>
      <c r="F19" s="41">
        <f t="shared" si="0"/>
        <v>1907550</v>
      </c>
      <c r="G19" s="38">
        <f>KAYONZA!C41</f>
        <v>0</v>
      </c>
      <c r="H19" s="39">
        <f>KAYONZA!C39</f>
        <v>1907550</v>
      </c>
      <c r="I19" s="39">
        <f>KAYONZA!C42</f>
        <v>0</v>
      </c>
      <c r="J19" s="39">
        <f>KAYONZA!C40</f>
        <v>0</v>
      </c>
      <c r="K19" s="71"/>
      <c r="L19" s="72"/>
      <c r="M19" s="74"/>
      <c r="N19" s="72"/>
      <c r="O19" s="72"/>
    </row>
    <row r="20" spans="1:15" ht="18.600000000000001" thickBot="1">
      <c r="A20" s="64" t="s">
        <v>30</v>
      </c>
      <c r="B20" s="38">
        <f>NYAGATARE!F37</f>
        <v>1466780.338983051</v>
      </c>
      <c r="C20" s="39">
        <f>NYAGATARE!G37</f>
        <v>182800</v>
      </c>
      <c r="D20" s="39">
        <f>NYAGATARE!C43</f>
        <v>0</v>
      </c>
      <c r="E20" s="39">
        <f>NYAGATARE!C44</f>
        <v>0</v>
      </c>
      <c r="F20" s="41">
        <f t="shared" si="0"/>
        <v>1649580.338983051</v>
      </c>
      <c r="G20" s="38">
        <f>NYAGATARE!C41</f>
        <v>0</v>
      </c>
      <c r="H20" s="39">
        <f>NYAGATARE!C39</f>
        <v>1649580</v>
      </c>
      <c r="I20" s="39">
        <f>NYAGATARE!C42</f>
        <v>0</v>
      </c>
      <c r="J20" s="39">
        <f>NYAGATARE!C40</f>
        <v>0</v>
      </c>
      <c r="K20" s="71"/>
      <c r="L20" s="72"/>
      <c r="M20" s="74"/>
      <c r="N20" s="72"/>
      <c r="O20" s="72"/>
    </row>
    <row r="21" spans="1:15" ht="18.600000000000001" thickBot="1">
      <c r="A21" s="64" t="s">
        <v>31</v>
      </c>
      <c r="B21" s="38">
        <f>KIREHE!F37</f>
        <v>1310977.0677966101</v>
      </c>
      <c r="C21" s="39">
        <f>KIREHE!G37</f>
        <v>273940</v>
      </c>
      <c r="D21" s="39">
        <f>KIREHE!C43</f>
        <v>0</v>
      </c>
      <c r="E21" s="39">
        <f>KIREHE!C44</f>
        <v>0</v>
      </c>
      <c r="F21" s="41">
        <f t="shared" si="0"/>
        <v>1584917.0677966101</v>
      </c>
      <c r="G21" s="38">
        <f>KIREHE!C41</f>
        <v>0</v>
      </c>
      <c r="H21" s="39">
        <f>KIREHE!C39</f>
        <v>1584917</v>
      </c>
      <c r="I21" s="39">
        <f>KIREHE!C42</f>
        <v>0</v>
      </c>
      <c r="J21" s="39">
        <f>KIREHE!C40</f>
        <v>0</v>
      </c>
      <c r="K21" s="71"/>
      <c r="L21" s="72"/>
      <c r="M21" s="74"/>
      <c r="N21" s="72"/>
      <c r="O21" s="72"/>
    </row>
    <row r="22" spans="1:15" ht="18.600000000000001" thickBot="1">
      <c r="A22" s="64" t="s">
        <v>32</v>
      </c>
      <c r="B22" s="38">
        <f>NYANZA!F37</f>
        <v>288305.0847457627</v>
      </c>
      <c r="C22" s="39">
        <f>NYANZA!G37</f>
        <v>31500</v>
      </c>
      <c r="D22" s="39">
        <f>NYANZA!C43</f>
        <v>0</v>
      </c>
      <c r="E22" s="39">
        <f>NYANZA!C44</f>
        <v>0</v>
      </c>
      <c r="F22" s="41">
        <f t="shared" si="0"/>
        <v>319805.0847457627</v>
      </c>
      <c r="G22" s="38">
        <f>NYANZA!C41</f>
        <v>0</v>
      </c>
      <c r="H22" s="39">
        <f>NYANZA!C39</f>
        <v>319805</v>
      </c>
      <c r="I22" s="39">
        <f>NYANZA!C42</f>
        <v>0</v>
      </c>
      <c r="J22" s="39">
        <f>NYANZA!C40</f>
        <v>0</v>
      </c>
      <c r="K22" s="71"/>
      <c r="L22" s="72"/>
      <c r="M22" s="74"/>
      <c r="N22" s="72"/>
      <c r="O22" s="72"/>
    </row>
    <row r="23" spans="1:15" ht="18.600000000000001" thickBot="1">
      <c r="A23" s="64" t="s">
        <v>33</v>
      </c>
      <c r="B23" s="38">
        <f>NYARUGENGE!F37</f>
        <v>0</v>
      </c>
      <c r="C23" s="39">
        <f>NYARUGENGE!G37</f>
        <v>0</v>
      </c>
      <c r="D23" s="39">
        <f>NYARUGENGE!C43</f>
        <v>0</v>
      </c>
      <c r="E23" s="39">
        <f>NYARUGENGE!C44</f>
        <v>0</v>
      </c>
      <c r="F23" s="41">
        <f t="shared" si="0"/>
        <v>0</v>
      </c>
      <c r="G23" s="38">
        <f>NYARUGENGE!C41</f>
        <v>0</v>
      </c>
      <c r="H23" s="39">
        <f>NYARUGENGE!C39</f>
        <v>0</v>
      </c>
      <c r="I23" s="39">
        <f>NYARUGENGE!C42</f>
        <v>0</v>
      </c>
      <c r="J23" s="39">
        <f>NYARUGENGE!C40</f>
        <v>0</v>
      </c>
      <c r="K23" s="71"/>
      <c r="L23" s="72"/>
      <c r="M23" s="74"/>
      <c r="N23" s="72"/>
      <c r="O23" s="72"/>
    </row>
    <row r="24" spans="1:15" ht="18.600000000000001" thickBot="1">
      <c r="A24" s="64" t="s">
        <v>66</v>
      </c>
      <c r="B24" s="38">
        <f>GATSIBO!F37</f>
        <v>243000</v>
      </c>
      <c r="C24" s="39">
        <f>GATSIBO!G37</f>
        <v>180670</v>
      </c>
      <c r="D24" s="39">
        <f>GATSIBO!C43</f>
        <v>0</v>
      </c>
      <c r="E24" s="39">
        <f>GATSIBO!C44</f>
        <v>0</v>
      </c>
      <c r="F24" s="41">
        <f t="shared" si="0"/>
        <v>423670</v>
      </c>
      <c r="G24" s="38">
        <f>GATSIBO!C41</f>
        <v>110150</v>
      </c>
      <c r="H24" s="40">
        <f>GATSIBO!C39</f>
        <v>533820</v>
      </c>
      <c r="I24" s="40">
        <f>GATSIBO!C42</f>
        <v>0</v>
      </c>
      <c r="J24" s="40">
        <f>GATSIBO!C40</f>
        <v>0</v>
      </c>
      <c r="K24" s="71"/>
      <c r="L24" s="72"/>
      <c r="M24" s="74"/>
      <c r="N24" s="72"/>
      <c r="O24" s="72"/>
    </row>
    <row r="25" spans="1:15" ht="18.600000000000001" thickBot="1">
      <c r="A25" s="64" t="s">
        <v>81</v>
      </c>
      <c r="B25" s="38">
        <f>GASHYUSHYA!F37</f>
        <v>0</v>
      </c>
      <c r="C25" s="39">
        <f>GASHYUSHYA!G37</f>
        <v>0</v>
      </c>
      <c r="D25" s="39">
        <f>GASHYUSHYA!C43</f>
        <v>0</v>
      </c>
      <c r="E25" s="39">
        <f>GASHYUSHYA!C44</f>
        <v>0</v>
      </c>
      <c r="F25" s="41">
        <f t="shared" si="0"/>
        <v>0</v>
      </c>
      <c r="G25" s="39">
        <f>GASHYUSHYA!C41</f>
        <v>0</v>
      </c>
      <c r="H25" s="40">
        <f>GASHYUSHYA!C39</f>
        <v>0</v>
      </c>
      <c r="I25" s="101">
        <f>GASHYUSHYA!C42</f>
        <v>0</v>
      </c>
      <c r="J25" s="102">
        <f>GASHYUSHYA!C40</f>
        <v>0</v>
      </c>
      <c r="K25" s="71"/>
      <c r="L25" s="72"/>
      <c r="M25" s="74"/>
      <c r="N25" s="72"/>
      <c r="O25" s="72"/>
    </row>
    <row r="26" spans="1:15" s="75" customFormat="1" ht="18.600000000000001" thickBot="1">
      <c r="A26" s="65" t="s">
        <v>86</v>
      </c>
      <c r="B26" s="38">
        <f>RUTSIRO!F37</f>
        <v>0</v>
      </c>
      <c r="C26" s="39">
        <f>RUTSIRO!G37</f>
        <v>0</v>
      </c>
      <c r="D26" s="39">
        <f>RUTSIRO!C43</f>
        <v>0</v>
      </c>
      <c r="E26" s="39">
        <f>RUTSIRO!C44</f>
        <v>0</v>
      </c>
      <c r="F26" s="41">
        <f t="shared" si="0"/>
        <v>0</v>
      </c>
      <c r="G26" s="39">
        <f>RUTSIRO!C41</f>
        <v>0</v>
      </c>
      <c r="H26" s="40">
        <f>RUTSIRO!C39</f>
        <v>0</v>
      </c>
      <c r="I26" s="101">
        <f>RUTSIRO!C42</f>
        <v>0</v>
      </c>
      <c r="J26" s="102">
        <f>RUTSIRO!C40</f>
        <v>0</v>
      </c>
      <c r="K26" s="71"/>
      <c r="L26" s="74"/>
      <c r="M26" s="74"/>
      <c r="N26" s="74"/>
      <c r="O26" s="74"/>
    </row>
    <row r="27" spans="1:15" ht="18.600000000000001" thickBot="1">
      <c r="A27" s="65" t="s">
        <v>87</v>
      </c>
      <c r="B27" s="38">
        <f>NGORORERO!F37</f>
        <v>58057.627118644072</v>
      </c>
      <c r="C27" s="39">
        <f>NGORORERO!G37</f>
        <v>8000</v>
      </c>
      <c r="D27" s="39">
        <f>NGORORERO!C43</f>
        <v>0</v>
      </c>
      <c r="E27" s="39">
        <f>NGORORERO!C44</f>
        <v>0</v>
      </c>
      <c r="F27" s="41">
        <f t="shared" si="0"/>
        <v>66057.627118644072</v>
      </c>
      <c r="G27" s="39">
        <f>NGORORERO!C41</f>
        <v>0</v>
      </c>
      <c r="H27" s="40">
        <f>NGORORERO!C39</f>
        <v>66058</v>
      </c>
      <c r="I27" s="101">
        <f>NGORORERO!C42</f>
        <v>0</v>
      </c>
      <c r="J27" s="102">
        <f>NGORORERO!C40</f>
        <v>0</v>
      </c>
      <c r="K27" s="71"/>
      <c r="L27" s="72"/>
      <c r="M27" s="74"/>
      <c r="N27" s="72"/>
      <c r="O27" s="72"/>
    </row>
    <row r="28" spans="1:15" ht="18.600000000000001" thickBot="1">
      <c r="A28" s="66" t="s">
        <v>117</v>
      </c>
      <c r="B28" s="38">
        <f>NYAMASHEKE!F37</f>
        <v>543024</v>
      </c>
      <c r="C28" s="39">
        <f>NYAMASHEKE!G37</f>
        <v>49680</v>
      </c>
      <c r="D28" s="39">
        <f>NYAMASHEKE!C43</f>
        <v>0</v>
      </c>
      <c r="E28" s="39">
        <f>NYAMASHEKE!C44</f>
        <v>0</v>
      </c>
      <c r="F28" s="41">
        <f t="shared" si="0"/>
        <v>592704</v>
      </c>
      <c r="G28" s="39">
        <f>NYAMASHEKE!C41</f>
        <v>0</v>
      </c>
      <c r="H28" s="40">
        <f>NYAMASHEKE!C39</f>
        <v>592704</v>
      </c>
      <c r="I28" s="101">
        <f>NYAMASHEKE!C42</f>
        <v>0</v>
      </c>
      <c r="J28" s="102">
        <f>NYAMASHEKE!C40</f>
        <v>0</v>
      </c>
      <c r="K28" s="71"/>
      <c r="L28" s="72"/>
      <c r="M28" s="74"/>
      <c r="N28" s="72"/>
      <c r="O28" s="72"/>
    </row>
    <row r="29" spans="1:15" ht="18.600000000000001" thickBot="1">
      <c r="A29" s="58"/>
      <c r="B29" s="59">
        <f t="shared" ref="B29:E29" si="1">SUM(B5:B28)</f>
        <v>19868061.203389827</v>
      </c>
      <c r="C29" s="60">
        <f t="shared" si="1"/>
        <v>2537548</v>
      </c>
      <c r="D29" s="61">
        <f t="shared" si="1"/>
        <v>0</v>
      </c>
      <c r="E29" s="60">
        <f t="shared" si="1"/>
        <v>0</v>
      </c>
      <c r="F29" s="60">
        <f>SUM(F5:F28)</f>
        <v>22405609.203389831</v>
      </c>
      <c r="G29" s="61">
        <f>SUM(G5:G28)</f>
        <v>110150</v>
      </c>
      <c r="H29" s="61">
        <f>SUM(H5:H28)</f>
        <v>20977779</v>
      </c>
      <c r="I29" s="61">
        <f>SUM(I5:I28)</f>
        <v>500000</v>
      </c>
      <c r="J29" s="69">
        <f>SUM(J5:J28)</f>
        <v>1017859</v>
      </c>
      <c r="K29" s="71"/>
      <c r="M29" s="76"/>
    </row>
    <row r="30" spans="1:15" ht="15" thickBot="1">
      <c r="A30" s="160"/>
      <c r="B30" s="160"/>
      <c r="C30" s="160"/>
      <c r="D30" s="161"/>
      <c r="E30" s="151" t="s">
        <v>11</v>
      </c>
      <c r="F30" s="152"/>
      <c r="G30" s="152"/>
      <c r="H30" s="152"/>
      <c r="I30" s="153"/>
      <c r="J30" s="125"/>
      <c r="K30" s="126"/>
      <c r="L30" s="72"/>
    </row>
    <row r="31" spans="1:15" ht="18.600000000000001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7"/>
      <c r="K31" s="128"/>
      <c r="L31" s="72"/>
    </row>
    <row r="32" spans="1:15" ht="15" thickBot="1">
      <c r="A32" s="144" t="s">
        <v>12</v>
      </c>
      <c r="B32" s="145"/>
      <c r="C32" s="162">
        <f>SUM(B29+C29)</f>
        <v>22405609.203389827</v>
      </c>
      <c r="D32" s="163"/>
      <c r="E32" s="154"/>
      <c r="F32" s="155"/>
      <c r="G32" s="155"/>
      <c r="H32" s="155"/>
      <c r="I32" s="156"/>
      <c r="J32" s="127"/>
      <c r="K32" s="128"/>
      <c r="L32" s="72"/>
    </row>
    <row r="33" spans="1:12" ht="15" thickBot="1">
      <c r="A33" s="144" t="s">
        <v>13</v>
      </c>
      <c r="B33" s="145"/>
      <c r="C33" s="140">
        <f>SUM(F29,G29)</f>
        <v>22515759.203389831</v>
      </c>
      <c r="D33" s="150"/>
      <c r="E33" s="154"/>
      <c r="F33" s="155"/>
      <c r="G33" s="155"/>
      <c r="H33" s="155"/>
      <c r="I33" s="156"/>
      <c r="J33" s="127"/>
      <c r="K33" s="128"/>
      <c r="L33" s="72"/>
    </row>
    <row r="34" spans="1:12" ht="15" thickBot="1">
      <c r="A34" s="142" t="s">
        <v>80</v>
      </c>
      <c r="B34" s="143"/>
      <c r="C34" s="140">
        <f>SUM(H29,J29,I29+G29)</f>
        <v>22605788</v>
      </c>
      <c r="D34" s="141"/>
      <c r="E34" s="154"/>
      <c r="F34" s="155"/>
      <c r="G34" s="155"/>
      <c r="H34" s="155"/>
      <c r="I34" s="156"/>
      <c r="J34" s="127"/>
      <c r="K34" s="128"/>
      <c r="L34" s="72"/>
    </row>
    <row r="35" spans="1:12" ht="15" thickBot="1">
      <c r="A35" s="144" t="s">
        <v>10</v>
      </c>
      <c r="B35" s="145"/>
      <c r="C35" s="140">
        <f>SUM(D29:E29)</f>
        <v>0</v>
      </c>
      <c r="D35" s="141"/>
      <c r="E35" s="157"/>
      <c r="F35" s="158"/>
      <c r="G35" s="158"/>
      <c r="H35" s="158"/>
      <c r="I35" s="159"/>
      <c r="J35" s="127"/>
      <c r="K35" s="128"/>
      <c r="L35" s="72"/>
    </row>
    <row r="36" spans="1:12" ht="15" thickBot="1">
      <c r="A36" s="144" t="s">
        <v>82</v>
      </c>
      <c r="B36" s="145"/>
      <c r="C36" s="140">
        <f>SUM(H29+I29+J29+C35)</f>
        <v>22495638</v>
      </c>
      <c r="D36" s="141"/>
      <c r="E36" s="131" t="s">
        <v>34</v>
      </c>
      <c r="F36" s="132"/>
      <c r="G36" s="132"/>
      <c r="H36" s="132"/>
      <c r="I36" s="133"/>
      <c r="J36" s="127"/>
      <c r="K36" s="128"/>
      <c r="L36" s="72"/>
    </row>
    <row r="37" spans="1:12" ht="15" thickBot="1">
      <c r="A37" s="146" t="s">
        <v>14</v>
      </c>
      <c r="B37" s="147"/>
      <c r="C37" s="140">
        <f>NYANZA!C45+KIREHE!C45+NYAGATARE!C45+KAYONZA!C45+MUSANZE!C45+MUSANZE!C45+RUBAVU!C45+KARONGI!C45+NYAMAGABE!C45+RUSIZI!C45+HUYE!C45+RUHANGO!C45+MUHANGA!C45+BUGESERA!C45+RWAMAGANA!C45+NYARUGENGE!C45+BISHENYI!C45+GAHANGA!C45+KIMIRONKO!C45+GISOZI!C65+GATSIBO!C45+GASHYUSHYA!C45</f>
        <v>23364085</v>
      </c>
      <c r="D37" s="141"/>
      <c r="E37" s="134"/>
      <c r="F37" s="135"/>
      <c r="G37" s="135"/>
      <c r="H37" s="135"/>
      <c r="I37" s="136"/>
      <c r="J37" s="127"/>
      <c r="K37" s="128"/>
      <c r="L37" s="72"/>
    </row>
    <row r="38" spans="1:12" ht="26.4" thickBot="1">
      <c r="A38" s="137" t="s">
        <v>15</v>
      </c>
      <c r="B38" s="138"/>
      <c r="C38" s="138"/>
      <c r="D38" s="138"/>
      <c r="E38" s="138"/>
      <c r="F38" s="138"/>
      <c r="G38" s="138"/>
      <c r="H38" s="138"/>
      <c r="I38" s="139"/>
      <c r="J38" s="129"/>
      <c r="K38" s="130"/>
      <c r="L38" s="72"/>
    </row>
    <row r="39" spans="1:12">
      <c r="A39" s="72"/>
      <c r="B39" s="74"/>
      <c r="C39" s="74"/>
      <c r="D39" s="72"/>
      <c r="L39" s="72"/>
    </row>
    <row r="40" spans="1:12">
      <c r="A40" s="72"/>
      <c r="B40" s="74"/>
      <c r="C40" s="74"/>
      <c r="D40" s="72"/>
      <c r="L40" s="72"/>
    </row>
    <row r="41" spans="1:12">
      <c r="A41" s="72"/>
      <c r="B41" s="74"/>
      <c r="C41" s="74"/>
      <c r="D41" s="72"/>
      <c r="L41" s="72"/>
    </row>
    <row r="42" spans="1:12">
      <c r="A42" s="72"/>
      <c r="B42" s="74"/>
      <c r="C42" s="74"/>
      <c r="D42" s="72"/>
      <c r="L42" s="72"/>
    </row>
    <row r="43" spans="1:12">
      <c r="A43" s="72"/>
      <c r="B43" s="74"/>
      <c r="C43" s="74"/>
      <c r="D43" s="72"/>
      <c r="L43" s="72"/>
    </row>
    <row r="44" spans="1:12">
      <c r="A44" s="72"/>
      <c r="B44" s="74"/>
      <c r="C44" s="74"/>
      <c r="D44" s="72"/>
      <c r="L44" s="72"/>
    </row>
    <row r="45" spans="1:12">
      <c r="A45" s="72"/>
      <c r="B45" s="74"/>
      <c r="C45" s="74"/>
      <c r="D45" s="72"/>
      <c r="L45" s="72"/>
    </row>
    <row r="46" spans="1:12">
      <c r="A46" s="72"/>
      <c r="B46" s="74"/>
      <c r="C46" s="74"/>
      <c r="D46" s="72"/>
      <c r="L46" s="72"/>
    </row>
    <row r="47" spans="1:12">
      <c r="A47" s="72"/>
      <c r="B47" s="74"/>
      <c r="C47" s="74"/>
      <c r="D47" s="72"/>
      <c r="L47" s="72"/>
    </row>
    <row r="48" spans="1:12">
      <c r="A48" s="72"/>
      <c r="B48" s="74"/>
      <c r="C48" s="74"/>
      <c r="D48" s="72"/>
      <c r="L48" s="72"/>
    </row>
    <row r="49" spans="1:12">
      <c r="A49" s="72"/>
      <c r="B49" s="74"/>
      <c r="C49" s="74"/>
      <c r="D49" s="72"/>
      <c r="L49" s="72"/>
    </row>
    <row r="50" spans="1:12">
      <c r="A50" s="72"/>
      <c r="B50" s="74"/>
      <c r="C50" s="74"/>
      <c r="D50" s="72"/>
      <c r="L50" s="72"/>
    </row>
    <row r="51" spans="1:12">
      <c r="A51" s="72"/>
      <c r="B51" s="74"/>
      <c r="C51" s="74"/>
      <c r="D51" s="72"/>
      <c r="L51" s="72"/>
    </row>
    <row r="52" spans="1:12">
      <c r="A52" s="72"/>
      <c r="B52" s="74"/>
      <c r="C52" s="74"/>
      <c r="D52" s="72"/>
    </row>
    <row r="53" spans="1:12">
      <c r="A53" s="72"/>
      <c r="B53" s="74"/>
      <c r="C53" s="74"/>
      <c r="D53" s="72"/>
    </row>
    <row r="54" spans="1:12">
      <c r="A54" s="72"/>
      <c r="B54" s="74"/>
      <c r="C54" s="74"/>
      <c r="D54" s="72"/>
    </row>
    <row r="55" spans="1:12">
      <c r="A55" s="72"/>
      <c r="B55" s="74"/>
      <c r="C55" s="74"/>
      <c r="D55" s="72"/>
    </row>
    <row r="56" spans="1:12">
      <c r="A56" s="72"/>
      <c r="B56" s="74"/>
      <c r="C56" s="74"/>
      <c r="D56" s="72"/>
    </row>
    <row r="57" spans="1:12">
      <c r="A57" s="72"/>
      <c r="B57" s="74"/>
      <c r="C57" s="74"/>
      <c r="D57" s="72"/>
    </row>
    <row r="58" spans="1:12">
      <c r="A58" s="72"/>
      <c r="B58" s="74"/>
      <c r="C58" s="74"/>
      <c r="D58" s="72"/>
    </row>
    <row r="59" spans="1:12">
      <c r="A59" s="72"/>
      <c r="B59" s="74"/>
      <c r="C59" s="74"/>
      <c r="D59" s="72"/>
    </row>
    <row r="60" spans="1:12">
      <c r="A60" s="72"/>
      <c r="B60" s="74"/>
      <c r="C60" s="74"/>
      <c r="D60" s="72"/>
    </row>
    <row r="61" spans="1:12">
      <c r="A61" s="72"/>
      <c r="B61" s="74"/>
      <c r="C61" s="74"/>
      <c r="D61" s="72"/>
    </row>
    <row r="62" spans="1:12">
      <c r="A62" s="72"/>
      <c r="B62" s="74"/>
      <c r="C62" s="74"/>
      <c r="D62" s="72"/>
    </row>
    <row r="63" spans="1:12">
      <c r="A63" s="72"/>
      <c r="B63" s="74"/>
      <c r="C63" s="74"/>
      <c r="D63" s="72"/>
    </row>
    <row r="64" spans="1:12">
      <c r="A64" s="72"/>
      <c r="B64" s="74"/>
      <c r="C64" s="74"/>
      <c r="D64" s="72"/>
    </row>
    <row r="65" spans="1:4">
      <c r="A65" s="72"/>
      <c r="B65" s="74"/>
      <c r="C65" s="74"/>
      <c r="D65" s="72"/>
    </row>
    <row r="66" spans="1:4">
      <c r="A66" s="72"/>
      <c r="B66" s="74"/>
      <c r="C66" s="74"/>
      <c r="D66" s="72"/>
    </row>
    <row r="67" spans="1:4">
      <c r="A67" s="72"/>
      <c r="B67" s="74"/>
      <c r="C67" s="74"/>
      <c r="D67" s="72"/>
    </row>
    <row r="68" spans="1:4">
      <c r="A68" s="72"/>
      <c r="B68" s="74"/>
      <c r="C68" s="74"/>
      <c r="D68" s="72"/>
    </row>
    <row r="69" spans="1:4">
      <c r="A69" s="72"/>
      <c r="B69" s="74"/>
      <c r="C69" s="74"/>
      <c r="D69" s="72"/>
    </row>
    <row r="70" spans="1:4">
      <c r="A70" s="72"/>
      <c r="B70" s="74"/>
      <c r="C70" s="74"/>
      <c r="D70" s="72"/>
    </row>
    <row r="71" spans="1:4">
      <c r="A71" s="72"/>
      <c r="B71" s="74"/>
      <c r="C71" s="74"/>
      <c r="D71" s="72"/>
    </row>
    <row r="72" spans="1:4">
      <c r="A72" s="72"/>
      <c r="B72" s="74"/>
      <c r="C72" s="74"/>
      <c r="D72" s="72"/>
    </row>
    <row r="73" spans="1:4">
      <c r="A73" s="72"/>
      <c r="B73" s="74"/>
      <c r="C73" s="74"/>
      <c r="D73" s="72"/>
    </row>
    <row r="74" spans="1:4">
      <c r="A74" s="72"/>
      <c r="B74" s="74"/>
      <c r="C74" s="74"/>
      <c r="D74" s="72"/>
    </row>
    <row r="75" spans="1:4">
      <c r="A75" s="72"/>
      <c r="B75" s="74"/>
      <c r="C75" s="74"/>
      <c r="D75" s="72"/>
    </row>
    <row r="76" spans="1:4">
      <c r="A76" s="72"/>
      <c r="B76" s="74"/>
      <c r="C76" s="74"/>
      <c r="D76" s="72"/>
    </row>
    <row r="77" spans="1:4">
      <c r="A77" s="72"/>
      <c r="B77" s="74"/>
      <c r="C77" s="74"/>
      <c r="D77" s="72"/>
    </row>
    <row r="78" spans="1:4">
      <c r="A78" s="72"/>
      <c r="B78" s="74"/>
      <c r="C78" s="74"/>
      <c r="D78" s="72"/>
    </row>
    <row r="79" spans="1:4">
      <c r="A79" s="72"/>
      <c r="B79" s="74"/>
      <c r="C79" s="74"/>
      <c r="D79" s="72"/>
    </row>
    <row r="80" spans="1:4">
      <c r="A80" s="72"/>
      <c r="B80" s="74"/>
      <c r="C80" s="74"/>
      <c r="D80" s="72"/>
    </row>
    <row r="81" spans="1:4">
      <c r="A81" s="72"/>
      <c r="B81" s="74"/>
      <c r="C81" s="74"/>
      <c r="D81" s="72"/>
    </row>
    <row r="82" spans="1:4">
      <c r="A82" s="72"/>
      <c r="B82" s="74"/>
      <c r="C82" s="74"/>
      <c r="D82" s="72"/>
    </row>
    <row r="83" spans="1:4">
      <c r="A83" s="72"/>
      <c r="B83" s="74"/>
      <c r="C83" s="74"/>
      <c r="D83" s="72"/>
    </row>
    <row r="84" spans="1:4">
      <c r="A84" s="72"/>
      <c r="B84" s="74"/>
      <c r="C84" s="74"/>
      <c r="D84" s="72"/>
    </row>
    <row r="85" spans="1:4">
      <c r="A85" s="72"/>
      <c r="B85" s="74"/>
      <c r="C85" s="74"/>
      <c r="D85" s="72"/>
    </row>
    <row r="86" spans="1:4">
      <c r="A86" s="72"/>
      <c r="B86" s="74"/>
      <c r="C86" s="74"/>
      <c r="D86" s="72"/>
    </row>
    <row r="87" spans="1:4">
      <c r="A87" s="72"/>
      <c r="B87" s="74"/>
      <c r="C87" s="74"/>
      <c r="D87" s="72"/>
    </row>
    <row r="88" spans="1:4">
      <c r="A88" s="72"/>
      <c r="B88" s="74"/>
      <c r="C88" s="74"/>
      <c r="D88" s="72"/>
    </row>
    <row r="89" spans="1:4">
      <c r="A89" s="72"/>
      <c r="B89" s="74"/>
      <c r="C89" s="74"/>
      <c r="D89" s="72"/>
    </row>
    <row r="90" spans="1:4">
      <c r="A90" s="72"/>
      <c r="B90" s="74"/>
      <c r="C90" s="74"/>
      <c r="D90" s="72"/>
    </row>
    <row r="91" spans="1:4">
      <c r="A91" s="72"/>
      <c r="B91" s="74"/>
      <c r="C91" s="74"/>
      <c r="D91" s="72"/>
    </row>
    <row r="92" spans="1:4">
      <c r="A92" s="72"/>
      <c r="B92" s="74"/>
      <c r="C92" s="74"/>
      <c r="D92" s="72"/>
    </row>
    <row r="93" spans="1:4">
      <c r="A93" s="72"/>
      <c r="B93" s="74"/>
      <c r="C93" s="74"/>
      <c r="D93" s="72"/>
    </row>
    <row r="94" spans="1:4">
      <c r="A94" s="72"/>
      <c r="B94" s="74"/>
      <c r="C94" s="74"/>
      <c r="D94" s="72"/>
    </row>
    <row r="95" spans="1:4">
      <c r="A95" s="72"/>
      <c r="B95" s="74"/>
      <c r="C95" s="74"/>
      <c r="D95" s="72"/>
    </row>
    <row r="96" spans="1:4">
      <c r="A96" s="72"/>
      <c r="B96" s="74"/>
      <c r="C96" s="74"/>
      <c r="D96" s="72"/>
    </row>
    <row r="97" spans="1:4">
      <c r="A97" s="72"/>
      <c r="B97" s="74"/>
      <c r="C97" s="74"/>
      <c r="D97" s="72"/>
    </row>
    <row r="98" spans="1:4">
      <c r="A98" s="72"/>
      <c r="B98" s="74"/>
      <c r="C98" s="74"/>
      <c r="D98" s="72"/>
    </row>
    <row r="99" spans="1:4">
      <c r="A99" s="72"/>
      <c r="B99" s="74"/>
      <c r="C99" s="74"/>
      <c r="D99" s="72"/>
    </row>
    <row r="100" spans="1:4">
      <c r="A100" s="72"/>
      <c r="B100" s="74"/>
      <c r="C100" s="74"/>
      <c r="D100" s="72"/>
    </row>
    <row r="101" spans="1:4">
      <c r="A101" s="72"/>
      <c r="B101" s="74"/>
      <c r="C101" s="74"/>
      <c r="D101" s="72"/>
    </row>
    <row r="102" spans="1:4">
      <c r="A102" s="72"/>
      <c r="B102" s="74"/>
      <c r="C102" s="74"/>
      <c r="D102" s="72"/>
    </row>
    <row r="103" spans="1:4">
      <c r="A103" s="72"/>
      <c r="B103" s="74"/>
      <c r="C103" s="74"/>
      <c r="D103" s="72"/>
    </row>
    <row r="104" spans="1:4">
      <c r="A104" s="72"/>
      <c r="B104" s="74"/>
      <c r="C104" s="74"/>
      <c r="D104" s="72"/>
    </row>
    <row r="105" spans="1:4">
      <c r="A105" s="72"/>
      <c r="B105" s="74"/>
      <c r="C105" s="74"/>
      <c r="D105" s="72"/>
    </row>
    <row r="106" spans="1:4">
      <c r="A106" s="72"/>
      <c r="B106" s="74"/>
      <c r="C106" s="74"/>
      <c r="D106" s="72"/>
    </row>
    <row r="107" spans="1:4">
      <c r="A107" s="72"/>
      <c r="B107" s="74"/>
      <c r="C107" s="74"/>
      <c r="D107" s="72"/>
    </row>
    <row r="108" spans="1:4">
      <c r="A108" s="72"/>
      <c r="B108" s="74"/>
      <c r="C108" s="74"/>
      <c r="D108" s="72"/>
    </row>
    <row r="109" spans="1:4">
      <c r="A109" s="72"/>
      <c r="B109" s="74"/>
      <c r="C109" s="74"/>
      <c r="D109" s="72"/>
    </row>
    <row r="110" spans="1:4">
      <c r="A110" s="72"/>
      <c r="B110" s="74"/>
      <c r="C110" s="74"/>
      <c r="D110" s="72"/>
    </row>
    <row r="111" spans="1:4">
      <c r="A111" s="72"/>
      <c r="B111" s="74"/>
      <c r="C111" s="74"/>
      <c r="D111" s="72"/>
    </row>
    <row r="112" spans="1:4">
      <c r="A112" s="72"/>
      <c r="B112" s="74"/>
      <c r="C112" s="74"/>
      <c r="D112" s="72"/>
    </row>
    <row r="113" spans="1:4">
      <c r="A113" s="72"/>
      <c r="B113" s="74"/>
      <c r="C113" s="74"/>
      <c r="D113" s="72"/>
    </row>
    <row r="114" spans="1:4">
      <c r="A114" s="72"/>
      <c r="B114" s="74"/>
      <c r="C114" s="74"/>
      <c r="D114" s="72"/>
    </row>
    <row r="115" spans="1:4">
      <c r="A115" s="72"/>
      <c r="B115" s="74"/>
      <c r="C115" s="74"/>
      <c r="D115" s="72"/>
    </row>
    <row r="116" spans="1:4">
      <c r="A116" s="72"/>
      <c r="B116" s="74"/>
      <c r="C116" s="74"/>
      <c r="D116" s="72"/>
    </row>
    <row r="117" spans="1:4">
      <c r="A117" s="72"/>
      <c r="B117" s="74"/>
      <c r="C117" s="74"/>
      <c r="D117" s="72"/>
    </row>
    <row r="118" spans="1:4">
      <c r="A118" s="72"/>
      <c r="B118" s="74"/>
      <c r="C118" s="74"/>
      <c r="D118" s="72"/>
    </row>
    <row r="119" spans="1:4">
      <c r="A119" s="72"/>
      <c r="B119" s="74"/>
      <c r="C119" s="74"/>
      <c r="D119" s="72"/>
    </row>
    <row r="120" spans="1:4">
      <c r="A120" s="72"/>
      <c r="B120" s="74"/>
      <c r="C120" s="74"/>
      <c r="D120" s="72"/>
    </row>
    <row r="121" spans="1:4">
      <c r="A121" s="72"/>
      <c r="B121" s="74"/>
      <c r="C121" s="74"/>
      <c r="D121" s="72"/>
    </row>
    <row r="122" spans="1:4">
      <c r="A122" s="72"/>
      <c r="B122" s="74"/>
      <c r="C122" s="74"/>
      <c r="D122" s="72"/>
    </row>
    <row r="123" spans="1:4">
      <c r="A123" s="72"/>
      <c r="B123" s="74"/>
      <c r="C123" s="74"/>
      <c r="D123" s="72"/>
    </row>
    <row r="124" spans="1:4">
      <c r="A124" s="72"/>
      <c r="B124" s="74"/>
      <c r="C124" s="74"/>
      <c r="D124" s="72"/>
    </row>
    <row r="125" spans="1:4">
      <c r="A125" s="72"/>
      <c r="B125" s="74"/>
      <c r="C125" s="74"/>
      <c r="D125" s="72"/>
    </row>
    <row r="126" spans="1:4">
      <c r="A126" s="72"/>
      <c r="B126" s="74"/>
      <c r="C126" s="74"/>
      <c r="D126" s="72"/>
    </row>
    <row r="127" spans="1:4">
      <c r="A127" s="72"/>
      <c r="B127" s="74"/>
      <c r="C127" s="74"/>
      <c r="D127" s="72"/>
    </row>
    <row r="128" spans="1:4">
      <c r="A128" s="72"/>
      <c r="B128" s="74"/>
      <c r="C128" s="74"/>
      <c r="D128" s="72"/>
    </row>
    <row r="129" spans="1:4">
      <c r="A129" s="72"/>
      <c r="B129" s="74"/>
      <c r="C129" s="74"/>
      <c r="D129" s="72"/>
    </row>
    <row r="130" spans="1:4">
      <c r="A130" s="72"/>
      <c r="B130" s="74"/>
      <c r="C130" s="74"/>
      <c r="D130" s="72"/>
    </row>
    <row r="131" spans="1:4">
      <c r="A131" s="72"/>
      <c r="B131" s="74"/>
      <c r="C131" s="74"/>
      <c r="D131" s="72"/>
    </row>
    <row r="132" spans="1:4">
      <c r="A132" s="72"/>
      <c r="B132" s="74"/>
      <c r="C132" s="74"/>
      <c r="D132" s="72"/>
    </row>
    <row r="133" spans="1:4">
      <c r="A133" s="72"/>
      <c r="B133" s="74"/>
      <c r="C133" s="74"/>
      <c r="D133" s="72"/>
    </row>
    <row r="134" spans="1:4">
      <c r="A134" s="72"/>
      <c r="B134" s="74"/>
      <c r="C134" s="74"/>
      <c r="D134" s="72"/>
    </row>
    <row r="135" spans="1:4">
      <c r="A135" s="72"/>
      <c r="B135" s="74"/>
      <c r="C135" s="74"/>
      <c r="D135" s="72"/>
    </row>
    <row r="136" spans="1:4">
      <c r="A136" s="72"/>
      <c r="B136" s="74"/>
      <c r="C136" s="74"/>
      <c r="D136" s="72"/>
    </row>
    <row r="137" spans="1:4">
      <c r="A137" s="72"/>
      <c r="B137" s="74"/>
      <c r="C137" s="74"/>
      <c r="D137" s="72"/>
    </row>
    <row r="138" spans="1:4">
      <c r="A138" s="72"/>
      <c r="B138" s="74"/>
      <c r="C138" s="74"/>
      <c r="D138" s="72"/>
    </row>
    <row r="139" spans="1:4">
      <c r="A139" s="72"/>
      <c r="B139" s="74"/>
      <c r="C139" s="74"/>
      <c r="D139" s="72"/>
    </row>
    <row r="140" spans="1:4">
      <c r="A140" s="72"/>
      <c r="B140" s="74"/>
      <c r="C140" s="74"/>
      <c r="D140" s="72"/>
    </row>
    <row r="141" spans="1:4">
      <c r="A141" s="72"/>
      <c r="B141" s="74"/>
      <c r="C141" s="74"/>
      <c r="D141" s="72"/>
    </row>
    <row r="142" spans="1:4">
      <c r="A142" s="72"/>
      <c r="B142" s="74"/>
      <c r="C142" s="74"/>
      <c r="D142" s="72"/>
    </row>
    <row r="143" spans="1:4">
      <c r="A143" s="72"/>
      <c r="B143" s="74"/>
      <c r="C143" s="74"/>
      <c r="D143" s="72"/>
    </row>
    <row r="144" spans="1:4">
      <c r="A144" s="72"/>
      <c r="B144" s="74"/>
      <c r="C144" s="74"/>
      <c r="D144" s="72"/>
    </row>
    <row r="145" spans="1:4">
      <c r="A145" s="72"/>
      <c r="B145" s="74"/>
      <c r="C145" s="74"/>
      <c r="D145" s="72"/>
    </row>
    <row r="146" spans="1:4">
      <c r="A146" s="72"/>
      <c r="B146" s="74"/>
      <c r="C146" s="74"/>
      <c r="D146" s="72"/>
    </row>
    <row r="147" spans="1:4">
      <c r="A147" s="72"/>
      <c r="B147" s="74"/>
      <c r="C147" s="74"/>
      <c r="D147" s="72"/>
    </row>
    <row r="148" spans="1:4">
      <c r="A148" s="72"/>
      <c r="B148" s="74"/>
      <c r="C148" s="74"/>
      <c r="D148" s="72"/>
    </row>
    <row r="149" spans="1:4">
      <c r="A149" s="72"/>
      <c r="B149" s="74"/>
      <c r="C149" s="74"/>
      <c r="D149" s="72"/>
    </row>
    <row r="150" spans="1:4">
      <c r="A150" s="72"/>
      <c r="B150" s="74"/>
      <c r="C150" s="74"/>
      <c r="D150" s="72"/>
    </row>
    <row r="151" spans="1:4">
      <c r="A151" s="72"/>
      <c r="B151" s="74"/>
      <c r="C151" s="74"/>
      <c r="D151" s="72"/>
    </row>
    <row r="152" spans="1:4">
      <c r="A152" s="72"/>
      <c r="B152" s="74"/>
      <c r="C152" s="74"/>
      <c r="D152" s="72"/>
    </row>
    <row r="153" spans="1:4">
      <c r="A153" s="72"/>
      <c r="B153" s="74"/>
      <c r="C153" s="74"/>
      <c r="D153" s="72"/>
    </row>
    <row r="154" spans="1:4">
      <c r="A154" s="72"/>
      <c r="B154" s="74"/>
      <c r="C154" s="74"/>
      <c r="D154" s="72"/>
    </row>
    <row r="155" spans="1:4">
      <c r="A155" s="72"/>
      <c r="B155" s="74"/>
      <c r="C155" s="74"/>
      <c r="D155" s="72"/>
    </row>
    <row r="156" spans="1:4">
      <c r="A156" s="72"/>
      <c r="B156" s="74"/>
      <c r="C156" s="74"/>
      <c r="D156" s="72"/>
    </row>
    <row r="157" spans="1:4">
      <c r="A157" s="72"/>
      <c r="B157" s="74"/>
      <c r="C157" s="74"/>
      <c r="D157" s="72"/>
    </row>
    <row r="158" spans="1:4">
      <c r="A158" s="72"/>
      <c r="B158" s="74"/>
      <c r="C158" s="74"/>
      <c r="D158" s="72"/>
    </row>
    <row r="159" spans="1:4">
      <c r="A159" s="72"/>
      <c r="B159" s="74"/>
      <c r="C159" s="74"/>
      <c r="D159" s="72"/>
    </row>
    <row r="160" spans="1:4">
      <c r="A160" s="72"/>
      <c r="B160" s="74"/>
      <c r="C160" s="74"/>
      <c r="D160" s="72"/>
    </row>
    <row r="161" spans="1:4">
      <c r="A161" s="72"/>
      <c r="B161" s="74"/>
      <c r="C161" s="74"/>
      <c r="D161" s="72"/>
    </row>
    <row r="162" spans="1:4">
      <c r="A162" s="72"/>
      <c r="B162" s="74"/>
      <c r="C162" s="74"/>
      <c r="D162" s="72"/>
    </row>
    <row r="163" spans="1:4">
      <c r="A163" s="72"/>
      <c r="B163" s="74"/>
      <c r="C163" s="74"/>
      <c r="D163" s="72"/>
    </row>
    <row r="164" spans="1:4">
      <c r="A164" s="72"/>
      <c r="B164" s="74"/>
      <c r="C164" s="74"/>
      <c r="D164" s="72"/>
    </row>
    <row r="165" spans="1:4">
      <c r="A165" s="72"/>
      <c r="B165" s="74"/>
      <c r="C165" s="74"/>
      <c r="D165" s="72"/>
    </row>
    <row r="166" spans="1:4">
      <c r="A166" s="72"/>
      <c r="B166" s="74"/>
      <c r="C166" s="74"/>
      <c r="D166" s="72"/>
    </row>
    <row r="167" spans="1:4">
      <c r="A167" s="72"/>
      <c r="B167" s="74"/>
      <c r="C167" s="74"/>
      <c r="D167" s="72"/>
    </row>
    <row r="168" spans="1:4">
      <c r="A168" s="72"/>
      <c r="B168" s="74"/>
      <c r="C168" s="74"/>
      <c r="D168" s="72"/>
    </row>
    <row r="169" spans="1:4">
      <c r="A169" s="72"/>
      <c r="B169" s="74"/>
      <c r="C169" s="74"/>
      <c r="D169" s="72"/>
    </row>
    <row r="170" spans="1:4">
      <c r="A170" s="72"/>
      <c r="B170" s="74"/>
      <c r="C170" s="74"/>
      <c r="D170" s="72"/>
    </row>
    <row r="171" spans="1:4">
      <c r="A171" s="72"/>
      <c r="B171" s="74"/>
      <c r="C171" s="74"/>
      <c r="D171" s="72"/>
    </row>
    <row r="172" spans="1:4">
      <c r="A172" s="72"/>
      <c r="B172" s="74"/>
      <c r="C172" s="74"/>
      <c r="D172" s="72"/>
    </row>
    <row r="173" spans="1:4">
      <c r="A173" s="72"/>
      <c r="B173" s="74"/>
      <c r="C173" s="74"/>
      <c r="D173" s="72"/>
    </row>
    <row r="174" spans="1:4">
      <c r="A174" s="72"/>
      <c r="B174" s="74"/>
      <c r="C174" s="74"/>
      <c r="D174" s="72"/>
    </row>
    <row r="175" spans="1:4">
      <c r="A175" s="72"/>
      <c r="B175" s="74"/>
      <c r="C175" s="74"/>
      <c r="D175" s="72"/>
    </row>
    <row r="176" spans="1:4">
      <c r="A176" s="72"/>
      <c r="B176" s="74"/>
      <c r="C176" s="74"/>
      <c r="D176" s="72"/>
    </row>
    <row r="177" spans="1:4">
      <c r="A177" s="72"/>
      <c r="B177" s="74"/>
      <c r="C177" s="74"/>
      <c r="D177" s="72"/>
    </row>
    <row r="178" spans="1:4">
      <c r="A178" s="72"/>
      <c r="B178" s="74"/>
      <c r="C178" s="74"/>
      <c r="D178" s="72"/>
    </row>
    <row r="179" spans="1:4">
      <c r="A179" s="72"/>
      <c r="B179" s="74"/>
      <c r="C179" s="74"/>
      <c r="D179" s="72"/>
    </row>
    <row r="180" spans="1:4">
      <c r="A180" s="72"/>
      <c r="B180" s="74"/>
      <c r="C180" s="74"/>
      <c r="D180" s="72"/>
    </row>
    <row r="181" spans="1:4">
      <c r="A181" s="72"/>
      <c r="B181" s="74"/>
      <c r="C181" s="74"/>
      <c r="D181" s="72"/>
    </row>
    <row r="182" spans="1:4">
      <c r="A182" s="72"/>
      <c r="B182" s="74"/>
      <c r="C182" s="74"/>
      <c r="D182" s="72"/>
    </row>
    <row r="183" spans="1:4">
      <c r="A183" s="72"/>
      <c r="B183" s="74"/>
      <c r="C183" s="74"/>
      <c r="D183" s="72"/>
    </row>
    <row r="184" spans="1:4">
      <c r="A184" s="72"/>
      <c r="B184" s="74"/>
      <c r="C184" s="74"/>
      <c r="D184" s="72"/>
    </row>
    <row r="185" spans="1:4">
      <c r="A185" s="72"/>
      <c r="B185" s="74"/>
      <c r="C185" s="74"/>
      <c r="D185" s="72"/>
    </row>
    <row r="186" spans="1:4">
      <c r="A186" s="72"/>
      <c r="B186" s="74"/>
      <c r="C186" s="74"/>
      <c r="D186" s="72"/>
    </row>
    <row r="187" spans="1:4">
      <c r="A187" s="72"/>
      <c r="B187" s="74"/>
      <c r="C187" s="74"/>
      <c r="D187" s="72"/>
    </row>
    <row r="188" spans="1:4">
      <c r="A188" s="72"/>
      <c r="B188" s="74"/>
      <c r="C188" s="74"/>
      <c r="D188" s="72"/>
    </row>
    <row r="189" spans="1:4">
      <c r="A189" s="72"/>
      <c r="B189" s="74"/>
      <c r="C189" s="74"/>
      <c r="D189" s="72"/>
    </row>
    <row r="190" spans="1:4">
      <c r="A190" s="72"/>
      <c r="B190" s="74"/>
      <c r="C190" s="74"/>
      <c r="D190" s="72"/>
    </row>
    <row r="191" spans="1:4">
      <c r="A191" s="72"/>
      <c r="B191" s="74"/>
      <c r="C191" s="74"/>
      <c r="D191" s="72"/>
    </row>
    <row r="192" spans="1:4">
      <c r="A192" s="72"/>
      <c r="B192" s="74"/>
      <c r="C192" s="74"/>
      <c r="D192" s="72"/>
    </row>
    <row r="193" spans="1:4">
      <c r="A193" s="72"/>
      <c r="B193" s="74"/>
      <c r="C193" s="74"/>
      <c r="D193" s="72"/>
    </row>
    <row r="194" spans="1:4">
      <c r="A194" s="72"/>
      <c r="B194" s="74"/>
      <c r="C194" s="74"/>
      <c r="D194" s="72"/>
    </row>
    <row r="195" spans="1:4">
      <c r="A195" s="72"/>
      <c r="B195" s="74"/>
      <c r="C195" s="74"/>
      <c r="D195" s="72"/>
    </row>
    <row r="196" spans="1:4">
      <c r="A196" s="72"/>
      <c r="B196" s="74"/>
      <c r="C196" s="74"/>
      <c r="D196" s="72"/>
    </row>
    <row r="197" spans="1:4">
      <c r="A197" s="72"/>
      <c r="B197" s="74"/>
      <c r="C197" s="74"/>
      <c r="D197" s="72"/>
    </row>
    <row r="198" spans="1:4">
      <c r="A198" s="72"/>
      <c r="B198" s="74"/>
      <c r="C198" s="74"/>
      <c r="D198" s="72"/>
    </row>
    <row r="199" spans="1:4">
      <c r="A199" s="72"/>
      <c r="B199" s="74"/>
      <c r="C199" s="74"/>
      <c r="D199" s="72"/>
    </row>
    <row r="200" spans="1:4">
      <c r="A200" s="72"/>
      <c r="B200" s="74"/>
      <c r="C200" s="74"/>
      <c r="D200" s="72"/>
    </row>
    <row r="201" spans="1:4">
      <c r="A201" s="72"/>
      <c r="B201" s="74"/>
      <c r="C201" s="74"/>
      <c r="D201" s="72"/>
    </row>
    <row r="202" spans="1:4">
      <c r="A202" s="72"/>
      <c r="B202" s="74"/>
      <c r="C202" s="74"/>
      <c r="D202" s="72"/>
    </row>
    <row r="203" spans="1:4">
      <c r="A203" s="72"/>
      <c r="B203" s="74"/>
      <c r="C203" s="74"/>
      <c r="D203" s="72"/>
    </row>
    <row r="204" spans="1:4">
      <c r="A204" s="72"/>
      <c r="B204" s="74"/>
      <c r="C204" s="74"/>
      <c r="D204" s="72"/>
    </row>
    <row r="205" spans="1:4">
      <c r="A205" s="72"/>
      <c r="B205" s="74"/>
      <c r="C205" s="74"/>
      <c r="D205" s="72"/>
    </row>
    <row r="206" spans="1:4">
      <c r="A206" s="72"/>
      <c r="B206" s="74"/>
      <c r="C206" s="74"/>
      <c r="D206" s="72"/>
    </row>
    <row r="207" spans="1:4">
      <c r="A207" s="72"/>
      <c r="B207" s="74"/>
      <c r="C207" s="74"/>
      <c r="D207" s="72"/>
    </row>
    <row r="208" spans="1:4">
      <c r="A208" s="72"/>
      <c r="B208" s="74"/>
      <c r="C208" s="74"/>
      <c r="D208" s="72"/>
    </row>
    <row r="209" spans="1:4">
      <c r="A209" s="72"/>
      <c r="B209" s="74"/>
      <c r="C209" s="74"/>
      <c r="D209" s="72"/>
    </row>
    <row r="210" spans="1:4">
      <c r="A210" s="72"/>
      <c r="B210" s="74"/>
      <c r="C210" s="74"/>
      <c r="D210" s="72"/>
    </row>
    <row r="211" spans="1:4">
      <c r="A211" s="72"/>
      <c r="B211" s="74"/>
      <c r="C211" s="74"/>
      <c r="D211" s="72"/>
    </row>
    <row r="212" spans="1:4">
      <c r="A212" s="72"/>
      <c r="B212" s="74"/>
      <c r="C212" s="74"/>
      <c r="D212" s="72"/>
    </row>
    <row r="213" spans="1:4">
      <c r="A213" s="72"/>
      <c r="B213" s="74"/>
      <c r="C213" s="74"/>
      <c r="D213" s="72"/>
    </row>
    <row r="214" spans="1:4">
      <c r="A214" s="72"/>
      <c r="B214" s="74"/>
      <c r="C214" s="74"/>
      <c r="D214" s="72"/>
    </row>
    <row r="215" spans="1:4">
      <c r="A215" s="72"/>
      <c r="B215" s="74"/>
      <c r="C215" s="74"/>
      <c r="D215" s="72"/>
    </row>
    <row r="216" spans="1:4">
      <c r="A216" s="72"/>
      <c r="B216" s="74"/>
      <c r="C216" s="74"/>
      <c r="D216" s="72"/>
    </row>
    <row r="217" spans="1:4">
      <c r="A217" s="72"/>
      <c r="B217" s="74"/>
      <c r="C217" s="74"/>
      <c r="D217" s="72"/>
    </row>
    <row r="218" spans="1:4">
      <c r="A218" s="72"/>
      <c r="B218" s="74"/>
      <c r="C218" s="74"/>
      <c r="D218" s="72"/>
    </row>
    <row r="219" spans="1:4">
      <c r="A219" s="72"/>
      <c r="B219" s="74"/>
      <c r="C219" s="74"/>
      <c r="D219" s="72"/>
    </row>
    <row r="220" spans="1:4">
      <c r="A220" s="72"/>
      <c r="B220" s="74"/>
      <c r="C220" s="74"/>
      <c r="D220" s="72"/>
    </row>
    <row r="221" spans="1:4">
      <c r="A221" s="72"/>
      <c r="B221" s="74"/>
      <c r="C221" s="74"/>
      <c r="D221" s="72"/>
    </row>
    <row r="222" spans="1:4">
      <c r="A222" s="72"/>
      <c r="B222" s="74"/>
      <c r="C222" s="74"/>
      <c r="D222" s="72"/>
    </row>
    <row r="223" spans="1:4">
      <c r="A223" s="72"/>
      <c r="B223" s="74"/>
      <c r="C223" s="74"/>
      <c r="D223" s="72"/>
    </row>
    <row r="224" spans="1:4">
      <c r="A224" s="72"/>
      <c r="B224" s="74"/>
      <c r="C224" s="74"/>
      <c r="D224" s="72"/>
    </row>
    <row r="225" spans="1:4">
      <c r="A225" s="72"/>
      <c r="B225" s="74"/>
      <c r="C225" s="74"/>
      <c r="D225" s="72"/>
    </row>
    <row r="226" spans="1:4">
      <c r="A226" s="72"/>
      <c r="B226" s="74"/>
      <c r="C226" s="74"/>
      <c r="D226" s="72"/>
    </row>
    <row r="227" spans="1:4">
      <c r="A227" s="72"/>
      <c r="B227" s="74"/>
      <c r="C227" s="74"/>
      <c r="D227" s="72"/>
    </row>
    <row r="228" spans="1:4">
      <c r="A228" s="72"/>
      <c r="B228" s="74"/>
      <c r="C228" s="74"/>
      <c r="D228" s="72"/>
    </row>
    <row r="229" spans="1:4">
      <c r="A229" s="72"/>
      <c r="B229" s="74"/>
      <c r="C229" s="74"/>
      <c r="D229" s="72"/>
    </row>
    <row r="230" spans="1:4">
      <c r="A230" s="72"/>
      <c r="B230" s="74"/>
      <c r="C230" s="74"/>
      <c r="D230" s="72"/>
    </row>
    <row r="231" spans="1:4">
      <c r="A231" s="72"/>
      <c r="B231" s="74"/>
      <c r="C231" s="74"/>
      <c r="D231" s="72"/>
    </row>
    <row r="232" spans="1:4">
      <c r="A232" s="72"/>
      <c r="B232" s="74"/>
      <c r="C232" s="74"/>
      <c r="D232" s="72"/>
    </row>
    <row r="233" spans="1:4">
      <c r="A233" s="72"/>
      <c r="B233" s="74"/>
      <c r="C233" s="74"/>
      <c r="D233" s="72"/>
    </row>
    <row r="234" spans="1:4">
      <c r="A234" s="72"/>
      <c r="B234" s="74"/>
      <c r="C234" s="74"/>
      <c r="D234" s="72"/>
    </row>
    <row r="235" spans="1:4">
      <c r="A235" s="72"/>
      <c r="B235" s="74"/>
      <c r="C235" s="74"/>
      <c r="D235" s="72"/>
    </row>
    <row r="236" spans="1:4">
      <c r="A236" s="72"/>
      <c r="B236" s="74"/>
      <c r="C236" s="74"/>
      <c r="D236" s="72"/>
    </row>
    <row r="237" spans="1:4">
      <c r="A237" s="72"/>
      <c r="B237" s="74"/>
      <c r="C237" s="74"/>
      <c r="D237" s="72"/>
    </row>
    <row r="238" spans="1:4">
      <c r="A238" s="72"/>
      <c r="B238" s="74"/>
      <c r="C238" s="74"/>
      <c r="D238" s="72"/>
    </row>
    <row r="239" spans="1:4">
      <c r="A239" s="72"/>
      <c r="B239" s="74"/>
      <c r="C239" s="74"/>
      <c r="D239" s="72"/>
    </row>
    <row r="240" spans="1:4">
      <c r="A240" s="72"/>
      <c r="B240" s="74"/>
      <c r="C240" s="74"/>
      <c r="D240" s="72"/>
    </row>
    <row r="241" spans="1:4">
      <c r="A241" s="72"/>
      <c r="B241" s="74"/>
      <c r="C241" s="74"/>
      <c r="D241" s="72"/>
    </row>
    <row r="242" spans="1:4">
      <c r="A242" s="72"/>
      <c r="B242" s="74"/>
      <c r="C242" s="74"/>
      <c r="D242" s="72"/>
    </row>
    <row r="243" spans="1:4">
      <c r="A243" s="72"/>
      <c r="B243" s="74"/>
      <c r="C243" s="74"/>
      <c r="D243" s="72"/>
    </row>
    <row r="244" spans="1:4">
      <c r="A244" s="72"/>
      <c r="B244" s="74"/>
      <c r="C244" s="74"/>
      <c r="D244" s="72"/>
    </row>
    <row r="245" spans="1:4">
      <c r="A245" s="72"/>
      <c r="B245" s="74"/>
      <c r="C245" s="74"/>
      <c r="D245" s="72"/>
    </row>
    <row r="246" spans="1:4">
      <c r="A246" s="72"/>
      <c r="B246" s="74"/>
      <c r="C246" s="74"/>
      <c r="D246" s="72"/>
    </row>
    <row r="247" spans="1:4">
      <c r="A247" s="72"/>
      <c r="B247" s="74"/>
      <c r="C247" s="74"/>
      <c r="D247" s="72"/>
    </row>
    <row r="248" spans="1:4">
      <c r="A248" s="72"/>
      <c r="B248" s="74"/>
      <c r="C248" s="74"/>
      <c r="D248" s="72"/>
    </row>
    <row r="249" spans="1:4">
      <c r="A249" s="72"/>
      <c r="B249" s="74"/>
      <c r="C249" s="74"/>
      <c r="D249" s="72"/>
    </row>
    <row r="250" spans="1:4">
      <c r="A250" s="72"/>
      <c r="B250" s="74"/>
      <c r="C250" s="74"/>
      <c r="D250" s="72"/>
    </row>
    <row r="251" spans="1:4">
      <c r="A251" s="72"/>
      <c r="B251" s="74"/>
      <c r="C251" s="74"/>
      <c r="D251" s="72"/>
    </row>
    <row r="252" spans="1:4">
      <c r="A252" s="72"/>
      <c r="B252" s="74"/>
      <c r="C252" s="74"/>
      <c r="D252" s="72"/>
    </row>
    <row r="253" spans="1:4">
      <c r="A253" s="72"/>
      <c r="B253" s="74"/>
      <c r="C253" s="74"/>
      <c r="D253" s="72"/>
    </row>
    <row r="254" spans="1:4">
      <c r="A254" s="72"/>
      <c r="B254" s="74"/>
      <c r="C254" s="74"/>
      <c r="D254" s="72"/>
    </row>
    <row r="255" spans="1:4">
      <c r="A255" s="72"/>
      <c r="B255" s="74"/>
      <c r="C255" s="74"/>
      <c r="D255" s="72"/>
    </row>
    <row r="256" spans="1:4">
      <c r="A256" s="72"/>
      <c r="B256" s="74"/>
      <c r="C256" s="74"/>
      <c r="D256" s="72"/>
    </row>
    <row r="257" spans="1:4">
      <c r="A257" s="72"/>
      <c r="B257" s="74"/>
      <c r="C257" s="74"/>
      <c r="D257" s="72"/>
    </row>
    <row r="258" spans="1:4">
      <c r="A258" s="72"/>
      <c r="B258" s="74"/>
      <c r="C258" s="74"/>
      <c r="D258" s="72"/>
    </row>
    <row r="259" spans="1:4">
      <c r="A259" s="72"/>
      <c r="B259" s="74"/>
      <c r="C259" s="74"/>
      <c r="D259" s="72"/>
    </row>
    <row r="260" spans="1:4">
      <c r="A260" s="72"/>
      <c r="B260" s="74"/>
      <c r="C260" s="74"/>
      <c r="D260" s="72"/>
    </row>
    <row r="261" spans="1:4">
      <c r="A261" s="72"/>
      <c r="B261" s="74"/>
      <c r="C261" s="74"/>
      <c r="D261" s="72"/>
    </row>
    <row r="262" spans="1:4">
      <c r="A262" s="72"/>
      <c r="B262" s="74"/>
      <c r="C262" s="74"/>
      <c r="D262" s="72"/>
    </row>
    <row r="263" spans="1:4">
      <c r="A263" s="72"/>
      <c r="B263" s="74"/>
      <c r="C263" s="74"/>
      <c r="D263" s="72"/>
    </row>
    <row r="264" spans="1:4">
      <c r="A264" s="72"/>
      <c r="B264" s="74"/>
      <c r="C264" s="74"/>
      <c r="D264" s="72"/>
    </row>
    <row r="265" spans="1:4">
      <c r="A265" s="72"/>
      <c r="B265" s="74"/>
      <c r="C265" s="74"/>
      <c r="D265" s="72"/>
    </row>
    <row r="266" spans="1:4">
      <c r="A266" s="72"/>
      <c r="B266" s="74"/>
      <c r="C266" s="74"/>
      <c r="D266" s="72"/>
    </row>
    <row r="267" spans="1:4">
      <c r="A267" s="72"/>
      <c r="B267" s="74"/>
      <c r="C267" s="74"/>
      <c r="D267" s="72"/>
    </row>
    <row r="268" spans="1:4">
      <c r="A268" s="72"/>
      <c r="B268" s="74"/>
      <c r="C268" s="74"/>
      <c r="D268" s="72"/>
    </row>
    <row r="269" spans="1:4">
      <c r="A269" s="72"/>
      <c r="B269" s="74"/>
      <c r="C269" s="74"/>
      <c r="D269" s="72"/>
    </row>
    <row r="270" spans="1:4">
      <c r="A270" s="72"/>
      <c r="B270" s="74"/>
      <c r="C270" s="74"/>
      <c r="D270" s="72"/>
    </row>
    <row r="271" spans="1:4">
      <c r="A271" s="72"/>
      <c r="B271" s="74"/>
      <c r="C271" s="74"/>
      <c r="D271" s="72"/>
    </row>
    <row r="272" spans="1:4">
      <c r="A272" s="72"/>
      <c r="B272" s="74"/>
      <c r="C272" s="74"/>
      <c r="D272" s="72"/>
    </row>
    <row r="273" spans="1:4">
      <c r="A273" s="72"/>
      <c r="B273" s="74"/>
      <c r="C273" s="74"/>
      <c r="D273" s="72"/>
    </row>
    <row r="274" spans="1:4">
      <c r="A274" s="72"/>
      <c r="B274" s="74"/>
      <c r="C274" s="74"/>
      <c r="D274" s="72"/>
    </row>
    <row r="275" spans="1:4">
      <c r="A275" s="72"/>
      <c r="B275" s="74"/>
      <c r="C275" s="74"/>
      <c r="D275" s="72"/>
    </row>
    <row r="276" spans="1:4">
      <c r="A276" s="72"/>
      <c r="B276" s="74"/>
      <c r="C276" s="74"/>
      <c r="D276" s="72"/>
    </row>
    <row r="277" spans="1:4">
      <c r="A277" s="72"/>
      <c r="B277" s="74"/>
      <c r="C277" s="74"/>
      <c r="D277" s="72"/>
    </row>
    <row r="278" spans="1:4">
      <c r="A278" s="72"/>
      <c r="B278" s="74"/>
      <c r="C278" s="74"/>
      <c r="D278" s="72"/>
    </row>
    <row r="279" spans="1:4">
      <c r="A279" s="72"/>
      <c r="B279" s="74"/>
      <c r="C279" s="74"/>
      <c r="D279" s="72"/>
    </row>
    <row r="280" spans="1:4">
      <c r="A280" s="72"/>
      <c r="B280" s="74"/>
      <c r="C280" s="74"/>
      <c r="D280" s="72"/>
    </row>
    <row r="281" spans="1:4">
      <c r="A281" s="72"/>
      <c r="B281" s="74"/>
      <c r="C281" s="74"/>
      <c r="D281" s="72"/>
    </row>
    <row r="282" spans="1:4">
      <c r="A282" s="72"/>
      <c r="B282" s="74"/>
      <c r="C282" s="74"/>
      <c r="D282" s="72"/>
    </row>
    <row r="283" spans="1:4">
      <c r="A283" s="72"/>
      <c r="B283" s="74"/>
      <c r="C283" s="74"/>
      <c r="D283" s="72"/>
    </row>
    <row r="284" spans="1:4">
      <c r="A284" s="72"/>
      <c r="B284" s="74"/>
      <c r="C284" s="74"/>
      <c r="D284" s="72"/>
    </row>
    <row r="285" spans="1:4">
      <c r="A285" s="72"/>
      <c r="B285" s="74"/>
      <c r="C285" s="74"/>
      <c r="D285" s="72"/>
    </row>
    <row r="286" spans="1:4">
      <c r="A286" s="72"/>
      <c r="B286" s="74"/>
      <c r="C286" s="74"/>
      <c r="D286" s="72"/>
    </row>
    <row r="287" spans="1:4">
      <c r="A287" s="72"/>
      <c r="B287" s="74"/>
      <c r="C287" s="74"/>
      <c r="D287" s="72"/>
    </row>
    <row r="288" spans="1:4">
      <c r="A288" s="72"/>
      <c r="B288" s="74"/>
      <c r="C288" s="74"/>
      <c r="D288" s="72"/>
    </row>
    <row r="289" spans="1:4">
      <c r="A289" s="72"/>
      <c r="B289" s="74"/>
      <c r="C289" s="74"/>
      <c r="D289" s="72"/>
    </row>
    <row r="290" spans="1:4">
      <c r="A290" s="72"/>
      <c r="B290" s="74"/>
      <c r="C290" s="74"/>
      <c r="D290" s="72"/>
    </row>
    <row r="291" spans="1:4">
      <c r="A291" s="72"/>
      <c r="B291" s="74"/>
      <c r="C291" s="74"/>
      <c r="D291" s="72"/>
    </row>
    <row r="292" spans="1:4">
      <c r="A292" s="72"/>
      <c r="B292" s="74"/>
      <c r="C292" s="74"/>
      <c r="D292" s="72"/>
    </row>
    <row r="293" spans="1:4">
      <c r="A293" s="72"/>
      <c r="B293" s="74"/>
      <c r="C293" s="74"/>
      <c r="D293" s="72"/>
    </row>
    <row r="294" spans="1:4">
      <c r="A294" s="72"/>
      <c r="B294" s="74"/>
      <c r="C294" s="74"/>
      <c r="D294" s="72"/>
    </row>
    <row r="295" spans="1:4">
      <c r="A295" s="72"/>
      <c r="B295" s="74"/>
      <c r="C295" s="74"/>
      <c r="D295" s="72"/>
    </row>
    <row r="296" spans="1:4">
      <c r="A296" s="72"/>
      <c r="B296" s="74"/>
      <c r="C296" s="74"/>
      <c r="D296" s="72"/>
    </row>
    <row r="297" spans="1:4">
      <c r="A297" s="72"/>
      <c r="B297" s="74"/>
      <c r="C297" s="74"/>
      <c r="D297" s="72"/>
    </row>
    <row r="298" spans="1:4">
      <c r="A298" s="72"/>
      <c r="B298" s="74"/>
      <c r="C298" s="74"/>
      <c r="D298" s="72"/>
    </row>
    <row r="299" spans="1:4">
      <c r="A299" s="72"/>
      <c r="B299" s="74"/>
      <c r="C299" s="74"/>
      <c r="D299" s="72"/>
    </row>
    <row r="300" spans="1:4">
      <c r="A300" s="72"/>
      <c r="B300" s="74"/>
      <c r="C300" s="74"/>
      <c r="D300" s="72"/>
    </row>
    <row r="301" spans="1:4">
      <c r="A301" s="72"/>
      <c r="B301" s="74"/>
      <c r="C301" s="74"/>
      <c r="D301" s="72"/>
    </row>
    <row r="302" spans="1:4">
      <c r="A302" s="72"/>
      <c r="B302" s="74"/>
      <c r="C302" s="74"/>
      <c r="D302" s="72"/>
    </row>
    <row r="303" spans="1:4">
      <c r="A303" s="72"/>
      <c r="B303" s="74"/>
      <c r="C303" s="74"/>
      <c r="D303" s="72"/>
    </row>
    <row r="304" spans="1:4">
      <c r="A304" s="72"/>
      <c r="B304" s="74"/>
      <c r="C304" s="74"/>
      <c r="D304" s="72"/>
    </row>
    <row r="305" spans="1:4">
      <c r="A305" s="72"/>
      <c r="B305" s="74"/>
      <c r="C305" s="74"/>
      <c r="D305" s="72"/>
    </row>
    <row r="306" spans="1:4">
      <c r="A306" s="72"/>
      <c r="B306" s="74"/>
      <c r="C306" s="74"/>
      <c r="D306" s="72"/>
    </row>
    <row r="307" spans="1:4">
      <c r="A307" s="72"/>
      <c r="B307" s="74"/>
      <c r="C307" s="74"/>
      <c r="D307" s="72"/>
    </row>
    <row r="308" spans="1:4">
      <c r="A308" s="72"/>
      <c r="B308" s="74"/>
      <c r="C308" s="74"/>
      <c r="D308" s="72"/>
    </row>
    <row r="309" spans="1:4">
      <c r="A309" s="72"/>
      <c r="B309" s="74"/>
      <c r="C309" s="74"/>
      <c r="D309" s="72"/>
    </row>
    <row r="310" spans="1:4">
      <c r="A310" s="72"/>
      <c r="B310" s="74"/>
      <c r="C310" s="74"/>
      <c r="D310" s="72"/>
    </row>
    <row r="311" spans="1:4">
      <c r="A311" s="72"/>
      <c r="B311" s="74"/>
      <c r="C311" s="74"/>
      <c r="D311" s="72"/>
    </row>
    <row r="312" spans="1:4">
      <c r="A312" s="72"/>
      <c r="B312" s="74"/>
      <c r="C312" s="74"/>
      <c r="D312" s="72"/>
    </row>
    <row r="313" spans="1:4">
      <c r="A313" s="72"/>
      <c r="B313" s="74"/>
      <c r="C313" s="74"/>
      <c r="D313" s="72"/>
    </row>
    <row r="314" spans="1:4">
      <c r="A314" s="72"/>
      <c r="B314" s="74"/>
      <c r="C314" s="74"/>
      <c r="D314" s="72"/>
    </row>
    <row r="315" spans="1:4">
      <c r="A315" s="72"/>
      <c r="B315" s="74"/>
      <c r="C315" s="74"/>
      <c r="D315" s="72"/>
    </row>
    <row r="316" spans="1:4">
      <c r="A316" s="72"/>
      <c r="B316" s="74"/>
      <c r="C316" s="74"/>
      <c r="D316" s="72"/>
    </row>
    <row r="317" spans="1:4">
      <c r="A317" s="72"/>
      <c r="B317" s="74"/>
      <c r="C317" s="74"/>
      <c r="D317" s="72"/>
    </row>
    <row r="318" spans="1:4">
      <c r="A318" s="72"/>
      <c r="B318" s="74"/>
      <c r="C318" s="74"/>
      <c r="D318" s="72"/>
    </row>
    <row r="319" spans="1:4">
      <c r="A319" s="72"/>
      <c r="B319" s="74"/>
      <c r="C319" s="74"/>
      <c r="D319" s="72"/>
    </row>
    <row r="320" spans="1:4">
      <c r="A320" s="72"/>
      <c r="B320" s="74"/>
      <c r="C320" s="74"/>
      <c r="D320" s="72"/>
    </row>
    <row r="321" spans="1:4">
      <c r="A321" s="72"/>
      <c r="B321" s="74"/>
      <c r="C321" s="74"/>
      <c r="D321" s="72"/>
    </row>
    <row r="322" spans="1:4">
      <c r="A322" s="72"/>
      <c r="B322" s="74"/>
      <c r="C322" s="74"/>
      <c r="D322" s="72"/>
    </row>
    <row r="323" spans="1:4">
      <c r="A323" s="72"/>
      <c r="B323" s="74"/>
      <c r="C323" s="74"/>
      <c r="D323" s="72"/>
    </row>
    <row r="324" spans="1:4">
      <c r="A324" s="72"/>
      <c r="B324" s="74"/>
      <c r="C324" s="74"/>
      <c r="D324" s="72"/>
    </row>
    <row r="325" spans="1:4">
      <c r="A325" s="72"/>
      <c r="B325" s="74"/>
      <c r="C325" s="74"/>
      <c r="D325" s="72"/>
    </row>
    <row r="326" spans="1:4">
      <c r="A326" s="72"/>
      <c r="B326" s="74"/>
      <c r="C326" s="74"/>
      <c r="D326" s="72"/>
    </row>
    <row r="327" spans="1:4">
      <c r="A327" s="72"/>
      <c r="B327" s="74"/>
      <c r="C327" s="74"/>
      <c r="D327" s="72"/>
    </row>
    <row r="328" spans="1:4">
      <c r="A328" s="72"/>
      <c r="B328" s="74"/>
      <c r="C328" s="74"/>
      <c r="D328" s="72"/>
    </row>
    <row r="329" spans="1:4">
      <c r="A329" s="72"/>
      <c r="B329" s="74"/>
      <c r="C329" s="74"/>
      <c r="D329" s="72"/>
    </row>
    <row r="330" spans="1:4">
      <c r="A330" s="72"/>
      <c r="B330" s="74"/>
      <c r="C330" s="74"/>
      <c r="D330" s="72"/>
    </row>
    <row r="331" spans="1:4">
      <c r="A331" s="72"/>
      <c r="B331" s="74"/>
      <c r="C331" s="74"/>
      <c r="D331" s="72"/>
    </row>
    <row r="332" spans="1:4">
      <c r="A332" s="72"/>
      <c r="B332" s="74"/>
      <c r="C332" s="74"/>
      <c r="D332" s="72"/>
    </row>
    <row r="333" spans="1:4">
      <c r="A333" s="72"/>
      <c r="B333" s="74"/>
      <c r="C333" s="74"/>
      <c r="D333" s="72"/>
    </row>
    <row r="334" spans="1:4">
      <c r="A334" s="72"/>
      <c r="B334" s="74"/>
      <c r="C334" s="74"/>
      <c r="D334" s="72"/>
    </row>
    <row r="335" spans="1:4">
      <c r="A335" s="72"/>
      <c r="B335" s="74"/>
      <c r="C335" s="74"/>
      <c r="D335" s="72"/>
    </row>
    <row r="336" spans="1:4">
      <c r="A336" s="72"/>
      <c r="B336" s="74"/>
      <c r="C336" s="74"/>
      <c r="D336" s="72"/>
    </row>
    <row r="337" spans="1:4">
      <c r="A337" s="72"/>
      <c r="B337" s="74"/>
      <c r="C337" s="74"/>
      <c r="D337" s="72"/>
    </row>
    <row r="338" spans="1:4">
      <c r="A338" s="72"/>
      <c r="B338" s="74"/>
      <c r="C338" s="74"/>
      <c r="D338" s="72"/>
    </row>
    <row r="339" spans="1:4">
      <c r="A339" s="72"/>
      <c r="B339" s="74"/>
      <c r="C339" s="74"/>
      <c r="D339" s="72"/>
    </row>
    <row r="340" spans="1:4">
      <c r="A340" s="72"/>
      <c r="B340" s="74"/>
      <c r="C340" s="74"/>
      <c r="D340" s="72"/>
    </row>
    <row r="341" spans="1:4">
      <c r="A341" s="72"/>
      <c r="B341" s="74"/>
      <c r="C341" s="74"/>
      <c r="D341" s="72"/>
    </row>
    <row r="342" spans="1:4">
      <c r="A342" s="72"/>
      <c r="B342" s="74"/>
      <c r="C342" s="74"/>
      <c r="D342" s="72"/>
    </row>
    <row r="343" spans="1:4">
      <c r="A343" s="72"/>
      <c r="B343" s="74"/>
      <c r="C343" s="74"/>
      <c r="D343" s="72"/>
    </row>
    <row r="344" spans="1:4">
      <c r="A344" s="72"/>
      <c r="B344" s="74"/>
      <c r="C344" s="74"/>
      <c r="D344" s="72"/>
    </row>
    <row r="345" spans="1:4">
      <c r="A345" s="72"/>
      <c r="B345" s="74"/>
      <c r="C345" s="74"/>
      <c r="D345" s="72"/>
    </row>
    <row r="346" spans="1:4">
      <c r="A346" s="72"/>
      <c r="B346" s="74"/>
      <c r="C346" s="74"/>
      <c r="D346" s="72"/>
    </row>
    <row r="347" spans="1:4">
      <c r="A347" s="72"/>
      <c r="B347" s="74"/>
      <c r="C347" s="74"/>
      <c r="D347" s="72"/>
    </row>
    <row r="348" spans="1:4">
      <c r="A348" s="72"/>
      <c r="B348" s="74"/>
      <c r="C348" s="74"/>
      <c r="D348" s="72"/>
    </row>
    <row r="349" spans="1:4">
      <c r="A349" s="72"/>
      <c r="B349" s="74"/>
      <c r="C349" s="74"/>
      <c r="D349" s="72"/>
    </row>
    <row r="350" spans="1:4">
      <c r="A350" s="72"/>
      <c r="B350" s="74"/>
      <c r="C350" s="74"/>
      <c r="D350" s="72"/>
    </row>
    <row r="351" spans="1:4">
      <c r="A351" s="72"/>
      <c r="B351" s="74"/>
      <c r="C351" s="74"/>
      <c r="D351" s="72"/>
    </row>
    <row r="352" spans="1:4">
      <c r="A352" s="72"/>
      <c r="B352" s="74"/>
      <c r="C352" s="74"/>
      <c r="D352" s="72"/>
    </row>
    <row r="353" spans="1:4">
      <c r="A353" s="72"/>
      <c r="B353" s="74"/>
      <c r="C353" s="74"/>
      <c r="D353" s="72"/>
    </row>
    <row r="354" spans="1:4">
      <c r="A354" s="72"/>
      <c r="B354" s="74"/>
      <c r="C354" s="74"/>
      <c r="D354" s="72"/>
    </row>
    <row r="355" spans="1:4">
      <c r="A355" s="72"/>
      <c r="B355" s="74"/>
      <c r="C355" s="74"/>
      <c r="D355" s="72"/>
    </row>
    <row r="356" spans="1:4">
      <c r="A356" s="72"/>
      <c r="B356" s="74"/>
      <c r="C356" s="74"/>
      <c r="D356" s="72"/>
    </row>
    <row r="357" spans="1:4">
      <c r="A357" s="72"/>
      <c r="B357" s="74"/>
      <c r="C357" s="74"/>
      <c r="D357" s="72"/>
    </row>
    <row r="358" spans="1:4">
      <c r="A358" s="72"/>
      <c r="B358" s="74"/>
      <c r="C358" s="74"/>
      <c r="D358" s="72"/>
    </row>
    <row r="359" spans="1:4">
      <c r="A359" s="72"/>
      <c r="B359" s="74"/>
      <c r="C359" s="74"/>
      <c r="D359" s="72"/>
    </row>
    <row r="360" spans="1:4">
      <c r="A360" s="72"/>
      <c r="B360" s="74"/>
      <c r="C360" s="74"/>
      <c r="D360" s="72"/>
    </row>
    <row r="361" spans="1:4">
      <c r="A361" s="72"/>
      <c r="B361" s="74"/>
      <c r="C361" s="74"/>
      <c r="D361" s="72"/>
    </row>
    <row r="362" spans="1:4">
      <c r="A362" s="72"/>
      <c r="B362" s="74"/>
      <c r="C362" s="74"/>
      <c r="D362" s="72"/>
    </row>
    <row r="363" spans="1:4">
      <c r="A363" s="72"/>
      <c r="B363" s="74"/>
      <c r="C363" s="74"/>
      <c r="D363" s="72"/>
    </row>
    <row r="364" spans="1:4">
      <c r="A364" s="72"/>
      <c r="B364" s="74"/>
      <c r="C364" s="74"/>
      <c r="D364" s="72"/>
    </row>
    <row r="365" spans="1:4">
      <c r="A365" s="72"/>
      <c r="B365" s="74"/>
      <c r="C365" s="74"/>
      <c r="D365" s="72"/>
    </row>
    <row r="366" spans="1:4">
      <c r="A366" s="72"/>
      <c r="B366" s="74"/>
      <c r="C366" s="74"/>
      <c r="D366" s="72"/>
    </row>
    <row r="367" spans="1:4">
      <c r="A367" s="72"/>
      <c r="B367" s="74"/>
      <c r="C367" s="74"/>
      <c r="D367" s="72"/>
    </row>
    <row r="368" spans="1:4">
      <c r="A368" s="72"/>
      <c r="B368" s="74"/>
      <c r="C368" s="74"/>
      <c r="D368" s="72"/>
    </row>
    <row r="369" spans="1:4">
      <c r="A369" s="72"/>
      <c r="B369" s="74"/>
      <c r="C369" s="74"/>
      <c r="D369" s="72"/>
    </row>
    <row r="370" spans="1:4">
      <c r="A370" s="72"/>
      <c r="B370" s="74"/>
      <c r="C370" s="74"/>
      <c r="D370" s="72"/>
    </row>
    <row r="371" spans="1:4">
      <c r="A371" s="72"/>
      <c r="B371" s="74"/>
      <c r="C371" s="74"/>
      <c r="D371" s="72"/>
    </row>
    <row r="372" spans="1:4">
      <c r="A372" s="72"/>
      <c r="B372" s="74"/>
      <c r="C372" s="74"/>
      <c r="D372" s="72"/>
    </row>
    <row r="373" spans="1:4">
      <c r="A373" s="72"/>
      <c r="B373" s="74"/>
      <c r="C373" s="74"/>
      <c r="D373" s="72"/>
    </row>
    <row r="374" spans="1:4">
      <c r="A374" s="72"/>
      <c r="B374" s="74"/>
      <c r="C374" s="74"/>
      <c r="D374" s="72"/>
    </row>
    <row r="375" spans="1:4">
      <c r="A375" s="72"/>
      <c r="B375" s="74"/>
      <c r="C375" s="74"/>
      <c r="D375" s="72"/>
    </row>
    <row r="376" spans="1:4">
      <c r="A376" s="72"/>
      <c r="B376" s="74"/>
      <c r="C376" s="74"/>
      <c r="D376" s="72"/>
    </row>
    <row r="377" spans="1:4">
      <c r="A377" s="72"/>
      <c r="B377" s="74"/>
      <c r="C377" s="74"/>
      <c r="D377" s="72"/>
    </row>
    <row r="378" spans="1:4">
      <c r="A378" s="72"/>
      <c r="B378" s="74"/>
      <c r="C378" s="74"/>
      <c r="D378" s="72"/>
    </row>
    <row r="379" spans="1:4">
      <c r="A379" s="72"/>
      <c r="B379" s="74"/>
      <c r="C379" s="74"/>
      <c r="D379" s="72"/>
    </row>
    <row r="380" spans="1:4">
      <c r="A380" s="72"/>
      <c r="B380" s="74"/>
      <c r="C380" s="74"/>
      <c r="D380" s="72"/>
    </row>
    <row r="381" spans="1:4">
      <c r="A381" s="72"/>
      <c r="B381" s="74"/>
      <c r="C381" s="74"/>
      <c r="D381" s="72"/>
    </row>
    <row r="382" spans="1:4">
      <c r="A382" s="72"/>
      <c r="B382" s="74"/>
      <c r="C382" s="74"/>
      <c r="D382" s="72"/>
    </row>
    <row r="383" spans="1:4">
      <c r="A383" s="72"/>
      <c r="B383" s="74"/>
      <c r="C383" s="74"/>
      <c r="D383" s="72"/>
    </row>
    <row r="384" spans="1:4">
      <c r="A384" s="72"/>
      <c r="B384" s="74"/>
      <c r="C384" s="74"/>
      <c r="D384" s="72"/>
    </row>
    <row r="385" spans="1:4">
      <c r="A385" s="72"/>
      <c r="B385" s="74"/>
      <c r="C385" s="74"/>
      <c r="D385" s="72"/>
    </row>
    <row r="386" spans="1:4">
      <c r="A386" s="72"/>
      <c r="B386" s="74"/>
      <c r="C386" s="74"/>
      <c r="D386" s="72"/>
    </row>
    <row r="387" spans="1:4">
      <c r="A387" s="72"/>
      <c r="B387" s="74"/>
      <c r="C387" s="74"/>
      <c r="D387" s="72"/>
    </row>
    <row r="388" spans="1:4">
      <c r="A388" s="72"/>
      <c r="B388" s="74"/>
      <c r="C388" s="74"/>
      <c r="D388" s="72"/>
    </row>
    <row r="389" spans="1:4">
      <c r="A389" s="72"/>
      <c r="B389" s="74"/>
      <c r="C389" s="74"/>
      <c r="D389" s="72"/>
    </row>
    <row r="390" spans="1:4">
      <c r="A390" s="72"/>
      <c r="B390" s="74"/>
      <c r="C390" s="74"/>
      <c r="D390" s="72"/>
    </row>
    <row r="391" spans="1:4">
      <c r="A391" s="72"/>
      <c r="B391" s="74"/>
      <c r="C391" s="74"/>
      <c r="D391" s="72"/>
    </row>
    <row r="392" spans="1:4">
      <c r="A392" s="72"/>
      <c r="B392" s="74"/>
      <c r="C392" s="74"/>
      <c r="D392" s="72"/>
    </row>
    <row r="393" spans="1:4">
      <c r="A393" s="72"/>
      <c r="B393" s="74"/>
      <c r="C393" s="74"/>
      <c r="D393" s="72"/>
    </row>
    <row r="394" spans="1:4">
      <c r="A394" s="72"/>
      <c r="B394" s="74"/>
      <c r="C394" s="74"/>
      <c r="D394" s="72"/>
    </row>
    <row r="395" spans="1:4">
      <c r="A395" s="72"/>
      <c r="B395" s="74"/>
      <c r="C395" s="74"/>
      <c r="D395" s="72"/>
    </row>
    <row r="396" spans="1:4">
      <c r="A396" s="72"/>
      <c r="B396" s="74"/>
      <c r="C396" s="74"/>
      <c r="D396" s="72"/>
    </row>
    <row r="397" spans="1:4">
      <c r="A397" s="72"/>
      <c r="B397" s="74"/>
      <c r="C397" s="74"/>
      <c r="D397" s="72"/>
    </row>
    <row r="398" spans="1:4">
      <c r="A398" s="72"/>
      <c r="B398" s="74"/>
      <c r="C398" s="74"/>
      <c r="D398" s="72"/>
    </row>
    <row r="399" spans="1:4">
      <c r="A399" s="72"/>
      <c r="B399" s="74"/>
      <c r="C399" s="74"/>
      <c r="D399" s="72"/>
    </row>
    <row r="400" spans="1:4">
      <c r="A400" s="72"/>
      <c r="B400" s="74"/>
      <c r="C400" s="74"/>
      <c r="D400" s="72"/>
    </row>
    <row r="401" spans="1:4">
      <c r="A401" s="72"/>
      <c r="B401" s="74"/>
      <c r="C401" s="74"/>
      <c r="D401" s="72"/>
    </row>
    <row r="402" spans="1:4">
      <c r="A402" s="72"/>
      <c r="B402" s="74"/>
      <c r="C402" s="74"/>
      <c r="D402" s="72"/>
    </row>
    <row r="403" spans="1:4">
      <c r="A403" s="72"/>
      <c r="B403" s="74"/>
      <c r="C403" s="74"/>
      <c r="D403" s="72"/>
    </row>
    <row r="404" spans="1:4">
      <c r="A404" s="72"/>
      <c r="B404" s="74"/>
      <c r="C404" s="74"/>
      <c r="D404" s="72"/>
    </row>
    <row r="405" spans="1:4">
      <c r="A405" s="72"/>
      <c r="B405" s="74"/>
      <c r="C405" s="74"/>
      <c r="D405" s="72"/>
    </row>
    <row r="406" spans="1:4">
      <c r="A406" s="72"/>
      <c r="B406" s="74"/>
      <c r="C406" s="74"/>
      <c r="D406" s="72"/>
    </row>
    <row r="407" spans="1:4">
      <c r="A407" s="72"/>
      <c r="B407" s="74"/>
      <c r="C407" s="74"/>
      <c r="D407" s="72"/>
    </row>
    <row r="408" spans="1:4">
      <c r="A408" s="72"/>
      <c r="B408" s="74"/>
      <c r="C408" s="74"/>
      <c r="D408" s="72"/>
    </row>
    <row r="409" spans="1:4">
      <c r="A409" s="72"/>
      <c r="B409" s="74"/>
      <c r="C409" s="74"/>
      <c r="D409" s="72"/>
    </row>
    <row r="410" spans="1:4">
      <c r="A410" s="72"/>
      <c r="B410" s="74"/>
      <c r="C410" s="74"/>
      <c r="D410" s="72"/>
    </row>
    <row r="411" spans="1:4">
      <c r="A411" s="72"/>
      <c r="B411" s="74"/>
      <c r="C411" s="74"/>
      <c r="D411" s="72"/>
    </row>
    <row r="412" spans="1:4">
      <c r="A412" s="72"/>
      <c r="B412" s="74"/>
      <c r="C412" s="74"/>
      <c r="D412" s="72"/>
    </row>
    <row r="413" spans="1:4">
      <c r="A413" s="72"/>
      <c r="B413" s="74"/>
      <c r="C413" s="74"/>
      <c r="D413" s="72"/>
    </row>
    <row r="414" spans="1:4">
      <c r="A414" s="72"/>
      <c r="B414" s="74"/>
      <c r="C414" s="74"/>
      <c r="D414" s="72"/>
    </row>
    <row r="415" spans="1:4">
      <c r="A415" s="72"/>
      <c r="B415" s="74"/>
      <c r="C415" s="74"/>
      <c r="D415" s="72"/>
    </row>
    <row r="416" spans="1:4">
      <c r="A416" s="72"/>
      <c r="B416" s="74"/>
      <c r="C416" s="74"/>
      <c r="D416" s="72"/>
    </row>
    <row r="417" spans="1:4">
      <c r="A417" s="72"/>
      <c r="B417" s="74"/>
      <c r="C417" s="74"/>
      <c r="D417" s="72"/>
    </row>
    <row r="418" spans="1:4">
      <c r="A418" s="72"/>
      <c r="B418" s="74"/>
      <c r="C418" s="74"/>
      <c r="D418" s="72"/>
    </row>
    <row r="419" spans="1:4">
      <c r="A419" s="72"/>
      <c r="B419" s="74"/>
      <c r="C419" s="74"/>
      <c r="D419" s="72"/>
    </row>
    <row r="420" spans="1:4">
      <c r="A420" s="72"/>
      <c r="B420" s="74"/>
      <c r="C420" s="74"/>
      <c r="D420" s="72"/>
    </row>
    <row r="421" spans="1:4">
      <c r="A421" s="72"/>
      <c r="B421" s="74"/>
      <c r="C421" s="74"/>
      <c r="D421" s="72"/>
    </row>
    <row r="422" spans="1:4">
      <c r="A422" s="72"/>
      <c r="B422" s="74"/>
      <c r="C422" s="74"/>
      <c r="D422" s="72"/>
    </row>
    <row r="423" spans="1:4">
      <c r="A423" s="72"/>
      <c r="B423" s="74"/>
      <c r="C423" s="74"/>
      <c r="D423" s="72"/>
    </row>
    <row r="424" spans="1:4">
      <c r="A424" s="72"/>
      <c r="B424" s="74"/>
      <c r="C424" s="74"/>
      <c r="D424" s="72"/>
    </row>
    <row r="425" spans="1:4">
      <c r="A425" s="72"/>
      <c r="B425" s="74"/>
      <c r="C425" s="74"/>
      <c r="D425" s="72"/>
    </row>
    <row r="426" spans="1:4">
      <c r="A426" s="72"/>
      <c r="B426" s="74"/>
      <c r="C426" s="74"/>
      <c r="D426" s="72"/>
    </row>
    <row r="427" spans="1:4">
      <c r="A427" s="72"/>
      <c r="B427" s="74"/>
      <c r="C427" s="74"/>
      <c r="D427" s="72"/>
    </row>
    <row r="428" spans="1:4">
      <c r="A428" s="72"/>
      <c r="B428" s="74"/>
      <c r="C428" s="74"/>
      <c r="D428" s="72"/>
    </row>
    <row r="429" spans="1:4">
      <c r="A429" s="72"/>
      <c r="B429" s="74"/>
      <c r="C429" s="74"/>
      <c r="D429" s="72"/>
    </row>
    <row r="430" spans="1:4">
      <c r="A430" s="72"/>
      <c r="B430" s="74"/>
      <c r="C430" s="74"/>
      <c r="D430" s="72"/>
    </row>
    <row r="431" spans="1:4">
      <c r="A431" s="72"/>
      <c r="B431" s="74"/>
      <c r="C431" s="74"/>
      <c r="D431" s="72"/>
    </row>
    <row r="432" spans="1:4">
      <c r="A432" s="72"/>
      <c r="B432" s="74"/>
      <c r="C432" s="74"/>
      <c r="D432" s="72"/>
    </row>
    <row r="433" spans="1:4">
      <c r="A433" s="72"/>
      <c r="B433" s="74"/>
      <c r="C433" s="74"/>
      <c r="D433" s="72"/>
    </row>
    <row r="434" spans="1:4">
      <c r="A434" s="72"/>
      <c r="B434" s="74"/>
      <c r="C434" s="74"/>
      <c r="D434" s="72"/>
    </row>
    <row r="435" spans="1:4">
      <c r="A435" s="72"/>
      <c r="B435" s="74"/>
      <c r="C435" s="74"/>
      <c r="D435" s="72"/>
    </row>
    <row r="436" spans="1:4">
      <c r="A436" s="72"/>
      <c r="B436" s="74"/>
      <c r="C436" s="74"/>
      <c r="D436" s="72"/>
    </row>
    <row r="437" spans="1:4">
      <c r="A437" s="72"/>
      <c r="B437" s="74"/>
      <c r="C437" s="74"/>
      <c r="D437" s="72"/>
    </row>
    <row r="438" spans="1:4">
      <c r="A438" s="72"/>
      <c r="B438" s="74"/>
      <c r="C438" s="74"/>
      <c r="D438" s="72"/>
    </row>
    <row r="439" spans="1:4">
      <c r="A439" s="72"/>
      <c r="B439" s="74"/>
      <c r="C439" s="74"/>
      <c r="D439" s="72"/>
    </row>
    <row r="440" spans="1:4">
      <c r="A440" s="72"/>
      <c r="B440" s="74"/>
      <c r="C440" s="74"/>
      <c r="D440" s="72"/>
    </row>
    <row r="441" spans="1:4">
      <c r="A441" s="72"/>
      <c r="B441" s="74"/>
      <c r="C441" s="74"/>
      <c r="D441" s="72"/>
    </row>
    <row r="442" spans="1:4">
      <c r="A442" s="72"/>
      <c r="B442" s="74"/>
      <c r="C442" s="74"/>
      <c r="D442" s="72"/>
    </row>
    <row r="443" spans="1:4">
      <c r="A443" s="72"/>
      <c r="B443" s="74"/>
      <c r="C443" s="74"/>
      <c r="D443" s="72"/>
    </row>
    <row r="444" spans="1:4">
      <c r="A444" s="72"/>
      <c r="B444" s="74"/>
      <c r="C444" s="74"/>
      <c r="D444" s="72"/>
    </row>
    <row r="445" spans="1:4">
      <c r="A445" s="72"/>
      <c r="B445" s="74"/>
      <c r="C445" s="74"/>
      <c r="D445" s="72"/>
    </row>
    <row r="446" spans="1:4">
      <c r="A446" s="72"/>
      <c r="B446" s="74"/>
      <c r="C446" s="74"/>
      <c r="D446" s="72"/>
    </row>
    <row r="447" spans="1:4">
      <c r="A447" s="72"/>
      <c r="B447" s="74"/>
      <c r="C447" s="74"/>
      <c r="D447" s="72"/>
    </row>
    <row r="448" spans="1:4">
      <c r="A448" s="72"/>
      <c r="B448" s="74"/>
      <c r="C448" s="74"/>
      <c r="D448" s="72"/>
    </row>
    <row r="449" spans="1:4">
      <c r="A449" s="72"/>
      <c r="B449" s="74"/>
      <c r="C449" s="74"/>
      <c r="D449" s="72"/>
    </row>
    <row r="450" spans="1:4">
      <c r="A450" s="72"/>
      <c r="B450" s="74"/>
      <c r="C450" s="74"/>
      <c r="D450" s="72"/>
    </row>
    <row r="451" spans="1:4">
      <c r="A451" s="72"/>
      <c r="B451" s="74"/>
      <c r="C451" s="74"/>
      <c r="D451" s="72"/>
    </row>
    <row r="452" spans="1:4">
      <c r="A452" s="72"/>
      <c r="B452" s="74"/>
      <c r="C452" s="74"/>
      <c r="D452" s="72"/>
    </row>
    <row r="453" spans="1:4">
      <c r="A453" s="72"/>
      <c r="B453" s="74"/>
      <c r="C453" s="74"/>
      <c r="D453" s="72"/>
    </row>
    <row r="454" spans="1:4">
      <c r="A454" s="72"/>
      <c r="B454" s="74"/>
      <c r="C454" s="74"/>
      <c r="D454" s="72"/>
    </row>
    <row r="455" spans="1:4">
      <c r="A455" s="72"/>
      <c r="B455" s="74"/>
      <c r="C455" s="74"/>
      <c r="D455" s="72"/>
    </row>
    <row r="456" spans="1:4">
      <c r="A456" s="72"/>
      <c r="B456" s="74"/>
      <c r="C456" s="74"/>
      <c r="D456" s="72"/>
    </row>
    <row r="457" spans="1:4">
      <c r="A457" s="72"/>
      <c r="B457" s="74"/>
      <c r="C457" s="74"/>
      <c r="D457" s="72"/>
    </row>
    <row r="458" spans="1:4">
      <c r="A458" s="72"/>
      <c r="B458" s="74"/>
      <c r="C458" s="74"/>
      <c r="D458" s="72"/>
    </row>
    <row r="459" spans="1:4">
      <c r="A459" s="72"/>
      <c r="B459" s="74"/>
      <c r="C459" s="74"/>
      <c r="D459" s="72"/>
    </row>
    <row r="460" spans="1:4">
      <c r="A460" s="72"/>
      <c r="B460" s="74"/>
      <c r="C460" s="74"/>
      <c r="D460" s="72"/>
    </row>
    <row r="461" spans="1:4">
      <c r="A461" s="72"/>
      <c r="B461" s="74"/>
      <c r="C461" s="74"/>
      <c r="D461" s="72"/>
    </row>
    <row r="462" spans="1:4">
      <c r="A462" s="72"/>
      <c r="B462" s="74"/>
      <c r="C462" s="74"/>
      <c r="D462" s="72"/>
    </row>
    <row r="463" spans="1:4">
      <c r="A463" s="72"/>
      <c r="B463" s="74"/>
      <c r="C463" s="74"/>
      <c r="D463" s="72"/>
    </row>
    <row r="464" spans="1:4">
      <c r="A464" s="72"/>
      <c r="B464" s="74"/>
      <c r="C464" s="74"/>
      <c r="D464" s="72"/>
    </row>
    <row r="465" spans="1:4">
      <c r="A465" s="72"/>
      <c r="B465" s="74"/>
      <c r="C465" s="74"/>
      <c r="D465" s="72"/>
    </row>
    <row r="466" spans="1:4">
      <c r="A466" s="72"/>
      <c r="B466" s="74"/>
      <c r="C466" s="74"/>
      <c r="D466" s="72"/>
    </row>
    <row r="467" spans="1:4">
      <c r="A467" s="72"/>
      <c r="B467" s="74"/>
      <c r="C467" s="74"/>
      <c r="D467" s="72"/>
    </row>
    <row r="468" spans="1:4">
      <c r="A468" s="72"/>
      <c r="B468" s="74"/>
      <c r="C468" s="74"/>
      <c r="D468" s="72"/>
    </row>
    <row r="469" spans="1:4">
      <c r="A469" s="72"/>
      <c r="B469" s="74"/>
      <c r="C469" s="74"/>
      <c r="D469" s="72"/>
    </row>
    <row r="470" spans="1:4">
      <c r="A470" s="72"/>
      <c r="B470" s="74"/>
      <c r="C470" s="74"/>
      <c r="D470" s="72"/>
    </row>
    <row r="471" spans="1:4">
      <c r="A471" s="72"/>
      <c r="B471" s="74"/>
      <c r="C471" s="74"/>
      <c r="D471" s="72"/>
    </row>
    <row r="472" spans="1:4">
      <c r="A472" s="72"/>
      <c r="B472" s="74"/>
      <c r="C472" s="74"/>
      <c r="D472" s="72"/>
    </row>
    <row r="473" spans="1:4">
      <c r="A473" s="72"/>
      <c r="B473" s="74"/>
      <c r="C473" s="74"/>
      <c r="D473" s="72"/>
    </row>
    <row r="474" spans="1:4">
      <c r="A474" s="72"/>
      <c r="B474" s="74"/>
      <c r="C474" s="74"/>
      <c r="D474" s="72"/>
    </row>
    <row r="475" spans="1:4">
      <c r="A475" s="72"/>
      <c r="B475" s="74"/>
      <c r="C475" s="74"/>
      <c r="D475" s="72"/>
    </row>
    <row r="476" spans="1:4">
      <c r="A476" s="72"/>
      <c r="B476" s="74"/>
      <c r="C476" s="74"/>
      <c r="D476" s="72"/>
    </row>
    <row r="477" spans="1:4">
      <c r="A477" s="72"/>
      <c r="B477" s="74"/>
      <c r="C477" s="74"/>
      <c r="D477" s="72"/>
    </row>
    <row r="478" spans="1:4">
      <c r="A478" s="72"/>
      <c r="B478" s="74"/>
      <c r="C478" s="74"/>
      <c r="D478" s="72"/>
    </row>
    <row r="479" spans="1:4">
      <c r="A479" s="72"/>
      <c r="B479" s="74"/>
      <c r="C479" s="74"/>
      <c r="D479" s="72"/>
    </row>
    <row r="480" spans="1:4">
      <c r="A480" s="72"/>
      <c r="B480" s="74"/>
      <c r="C480" s="74"/>
      <c r="D480" s="72"/>
    </row>
    <row r="481" spans="1:4">
      <c r="A481" s="72"/>
      <c r="B481" s="74"/>
      <c r="C481" s="74"/>
      <c r="D481" s="72"/>
    </row>
    <row r="482" spans="1:4">
      <c r="A482" s="72"/>
      <c r="B482" s="74"/>
      <c r="C482" s="74"/>
      <c r="D482" s="72"/>
    </row>
    <row r="483" spans="1:4">
      <c r="A483" s="72"/>
      <c r="B483" s="74"/>
      <c r="C483" s="74"/>
      <c r="D483" s="72"/>
    </row>
    <row r="484" spans="1:4">
      <c r="A484" s="72"/>
      <c r="B484" s="74"/>
      <c r="C484" s="74"/>
      <c r="D484" s="72"/>
    </row>
    <row r="485" spans="1:4">
      <c r="A485" s="72"/>
      <c r="B485" s="74"/>
      <c r="C485" s="74"/>
      <c r="D485" s="72"/>
    </row>
    <row r="486" spans="1:4">
      <c r="A486" s="72"/>
      <c r="B486" s="74"/>
      <c r="C486" s="74"/>
      <c r="D486" s="72"/>
    </row>
    <row r="487" spans="1:4">
      <c r="A487" s="72"/>
      <c r="B487" s="74"/>
      <c r="C487" s="74"/>
      <c r="D487" s="72"/>
    </row>
    <row r="488" spans="1:4">
      <c r="A488" s="72"/>
      <c r="B488" s="74"/>
      <c r="C488" s="74"/>
      <c r="D488" s="72"/>
    </row>
    <row r="489" spans="1:4">
      <c r="A489" s="72"/>
      <c r="B489" s="74"/>
      <c r="C489" s="74"/>
      <c r="D489" s="72"/>
    </row>
    <row r="490" spans="1:4">
      <c r="A490" s="72"/>
      <c r="B490" s="74"/>
      <c r="C490" s="74"/>
      <c r="D490" s="72"/>
    </row>
    <row r="491" spans="1:4">
      <c r="A491" s="72"/>
      <c r="B491" s="74"/>
      <c r="C491" s="74"/>
      <c r="D491" s="72"/>
    </row>
    <row r="492" spans="1:4">
      <c r="A492" s="72"/>
      <c r="B492" s="74"/>
      <c r="C492" s="74"/>
      <c r="D492" s="72"/>
    </row>
    <row r="493" spans="1:4">
      <c r="A493" s="72"/>
      <c r="B493" s="74"/>
      <c r="C493" s="74"/>
      <c r="D493" s="72"/>
    </row>
    <row r="494" spans="1:4">
      <c r="A494" s="72"/>
      <c r="B494" s="74"/>
      <c r="C494" s="74"/>
      <c r="D494" s="72"/>
    </row>
    <row r="495" spans="1:4">
      <c r="A495" s="72"/>
      <c r="B495" s="74"/>
      <c r="C495" s="74"/>
      <c r="D495" s="72"/>
    </row>
    <row r="496" spans="1:4">
      <c r="A496" s="72"/>
      <c r="B496" s="74"/>
      <c r="C496" s="74"/>
      <c r="D496" s="72"/>
    </row>
    <row r="497" spans="1:4">
      <c r="A497" s="72"/>
      <c r="B497" s="74"/>
      <c r="C497" s="74"/>
      <c r="D497" s="72"/>
    </row>
    <row r="498" spans="1:4">
      <c r="A498" s="72"/>
      <c r="B498" s="74"/>
      <c r="C498" s="74"/>
      <c r="D498" s="72"/>
    </row>
    <row r="499" spans="1:4">
      <c r="A499" s="72"/>
      <c r="B499" s="74"/>
      <c r="C499" s="74"/>
      <c r="D499" s="72"/>
    </row>
    <row r="500" spans="1:4">
      <c r="A500" s="72"/>
      <c r="B500" s="74"/>
      <c r="C500" s="74"/>
      <c r="D500" s="72"/>
    </row>
    <row r="501" spans="1:4">
      <c r="A501" s="72"/>
      <c r="B501" s="74"/>
      <c r="C501" s="74"/>
      <c r="D501" s="72"/>
    </row>
    <row r="502" spans="1:4">
      <c r="A502" s="72"/>
      <c r="B502" s="74"/>
      <c r="C502" s="74"/>
      <c r="D502" s="72"/>
    </row>
    <row r="503" spans="1:4">
      <c r="A503" s="72"/>
      <c r="B503" s="74"/>
      <c r="C503" s="74"/>
      <c r="D503" s="72"/>
    </row>
    <row r="504" spans="1:4">
      <c r="A504" s="72"/>
      <c r="B504" s="74"/>
      <c r="C504" s="74"/>
      <c r="D504" s="72"/>
    </row>
    <row r="505" spans="1:4">
      <c r="A505" s="72"/>
      <c r="B505" s="74"/>
      <c r="C505" s="74"/>
      <c r="D505" s="72"/>
    </row>
    <row r="506" spans="1:4">
      <c r="A506" s="72"/>
      <c r="B506" s="74"/>
      <c r="C506" s="74"/>
      <c r="D506" s="72"/>
    </row>
    <row r="507" spans="1:4">
      <c r="A507" s="72"/>
      <c r="B507" s="74"/>
      <c r="C507" s="74"/>
      <c r="D507" s="72"/>
    </row>
    <row r="508" spans="1:4">
      <c r="A508" s="72"/>
      <c r="B508" s="74"/>
      <c r="C508" s="74"/>
      <c r="D508" s="72"/>
    </row>
    <row r="509" spans="1:4">
      <c r="A509" s="72"/>
      <c r="B509" s="74"/>
      <c r="C509" s="74"/>
      <c r="D509" s="72"/>
    </row>
    <row r="510" spans="1:4">
      <c r="A510" s="72"/>
      <c r="B510" s="74"/>
      <c r="C510" s="74"/>
      <c r="D510" s="72"/>
    </row>
    <row r="511" spans="1:4">
      <c r="A511" s="72"/>
      <c r="B511" s="74"/>
      <c r="C511" s="74"/>
      <c r="D511" s="72"/>
    </row>
    <row r="512" spans="1:4">
      <c r="A512" s="72"/>
      <c r="B512" s="74"/>
      <c r="C512" s="74"/>
      <c r="D512" s="72"/>
    </row>
    <row r="513" spans="1:4">
      <c r="A513" s="72"/>
      <c r="B513" s="74"/>
      <c r="C513" s="74"/>
      <c r="D513" s="72"/>
    </row>
    <row r="514" spans="1:4">
      <c r="A514" s="72"/>
      <c r="B514" s="74"/>
      <c r="C514" s="74"/>
      <c r="D514" s="72"/>
    </row>
    <row r="515" spans="1:4">
      <c r="A515" s="72"/>
      <c r="B515" s="74"/>
      <c r="C515" s="74"/>
      <c r="D515" s="72"/>
    </row>
    <row r="516" spans="1:4">
      <c r="A516" s="72"/>
      <c r="B516" s="74"/>
      <c r="C516" s="74"/>
      <c r="D516" s="72"/>
    </row>
    <row r="517" spans="1:4">
      <c r="A517" s="72"/>
      <c r="B517" s="74"/>
      <c r="C517" s="74"/>
      <c r="D517" s="72"/>
    </row>
    <row r="518" spans="1:4">
      <c r="A518" s="72"/>
      <c r="B518" s="74"/>
      <c r="C518" s="74"/>
      <c r="D518" s="72"/>
    </row>
    <row r="519" spans="1:4">
      <c r="A519" s="72"/>
      <c r="B519" s="74"/>
      <c r="C519" s="74"/>
      <c r="D519" s="72"/>
    </row>
    <row r="520" spans="1:4">
      <c r="A520" s="72"/>
      <c r="B520" s="74"/>
      <c r="C520" s="74"/>
      <c r="D520" s="72"/>
    </row>
    <row r="521" spans="1:4">
      <c r="A521" s="72"/>
      <c r="B521" s="74"/>
      <c r="C521" s="74"/>
      <c r="D521" s="72"/>
    </row>
    <row r="522" spans="1:4">
      <c r="A522" s="72"/>
      <c r="B522" s="74"/>
      <c r="C522" s="74"/>
      <c r="D522" s="72"/>
    </row>
    <row r="523" spans="1:4">
      <c r="A523" s="72"/>
      <c r="B523" s="74"/>
      <c r="C523" s="74"/>
      <c r="D523" s="72"/>
    </row>
    <row r="524" spans="1:4">
      <c r="A524" s="72"/>
      <c r="B524" s="74"/>
      <c r="C524" s="74"/>
      <c r="D524" s="72"/>
    </row>
    <row r="525" spans="1:4">
      <c r="A525" s="72"/>
      <c r="B525" s="74"/>
      <c r="C525" s="74"/>
      <c r="D525" s="72"/>
    </row>
    <row r="526" spans="1:4">
      <c r="A526" s="72"/>
      <c r="B526" s="74"/>
      <c r="C526" s="74"/>
      <c r="D526" s="72"/>
    </row>
    <row r="527" spans="1:4">
      <c r="A527" s="72"/>
      <c r="B527" s="74"/>
      <c r="C527" s="74"/>
      <c r="D527" s="72"/>
    </row>
    <row r="528" spans="1:4">
      <c r="A528" s="72"/>
      <c r="B528" s="74"/>
      <c r="C528" s="74"/>
      <c r="D528" s="72"/>
    </row>
    <row r="529" spans="1:4">
      <c r="A529" s="72"/>
      <c r="B529" s="74"/>
      <c r="C529" s="74"/>
      <c r="D529" s="72"/>
    </row>
    <row r="530" spans="1:4">
      <c r="A530" s="72"/>
      <c r="B530" s="74"/>
      <c r="C530" s="74"/>
      <c r="D530" s="72"/>
    </row>
    <row r="531" spans="1:4">
      <c r="A531" s="72"/>
      <c r="B531" s="74"/>
      <c r="C531" s="74"/>
      <c r="D531" s="72"/>
    </row>
    <row r="532" spans="1:4">
      <c r="A532" s="72"/>
      <c r="B532" s="74"/>
      <c r="C532" s="74"/>
      <c r="D532" s="72"/>
    </row>
    <row r="533" spans="1:4">
      <c r="A533" s="72"/>
      <c r="B533" s="74"/>
      <c r="C533" s="74"/>
      <c r="D533" s="72"/>
    </row>
    <row r="534" spans="1:4">
      <c r="A534" s="72"/>
      <c r="B534" s="74"/>
      <c r="C534" s="74"/>
      <c r="D534" s="72"/>
    </row>
    <row r="535" spans="1:4">
      <c r="A535" s="72"/>
      <c r="B535" s="74"/>
      <c r="C535" s="74"/>
      <c r="D535" s="72"/>
    </row>
    <row r="536" spans="1:4">
      <c r="A536" s="72"/>
      <c r="B536" s="74"/>
      <c r="C536" s="74"/>
      <c r="D536" s="72"/>
    </row>
    <row r="537" spans="1:4">
      <c r="A537" s="72"/>
      <c r="B537" s="74"/>
      <c r="C537" s="74"/>
      <c r="D537" s="72"/>
    </row>
    <row r="538" spans="1:4">
      <c r="A538" s="72"/>
      <c r="B538" s="74"/>
      <c r="C538" s="74"/>
      <c r="D538" s="72"/>
    </row>
    <row r="539" spans="1:4">
      <c r="A539" s="72"/>
      <c r="B539" s="74"/>
      <c r="C539" s="74"/>
      <c r="D539" s="72"/>
    </row>
    <row r="540" spans="1:4">
      <c r="A540" s="72"/>
      <c r="B540" s="74"/>
      <c r="C540" s="74"/>
      <c r="D540" s="72"/>
    </row>
    <row r="541" spans="1:4">
      <c r="A541" s="72"/>
      <c r="B541" s="74"/>
      <c r="C541" s="74"/>
      <c r="D541" s="72"/>
    </row>
    <row r="542" spans="1:4">
      <c r="A542" s="72"/>
      <c r="B542" s="74"/>
      <c r="C542" s="74"/>
      <c r="D542" s="72"/>
    </row>
    <row r="543" spans="1:4">
      <c r="A543" s="72"/>
      <c r="B543" s="74"/>
      <c r="C543" s="74"/>
      <c r="D543" s="72"/>
    </row>
    <row r="544" spans="1:4">
      <c r="A544" s="72"/>
      <c r="B544" s="74"/>
      <c r="C544" s="74"/>
      <c r="D544" s="72"/>
    </row>
    <row r="545" spans="1:4">
      <c r="A545" s="72"/>
      <c r="B545" s="74"/>
      <c r="C545" s="74"/>
      <c r="D545" s="72"/>
    </row>
    <row r="546" spans="1:4">
      <c r="A546" s="72"/>
      <c r="B546" s="74"/>
      <c r="C546" s="74"/>
      <c r="D546" s="72"/>
    </row>
    <row r="547" spans="1:4">
      <c r="A547" s="72"/>
      <c r="B547" s="74"/>
      <c r="C547" s="74"/>
      <c r="D547" s="72"/>
    </row>
    <row r="548" spans="1:4">
      <c r="A548" s="72"/>
      <c r="B548" s="74"/>
      <c r="C548" s="74"/>
      <c r="D548" s="72"/>
    </row>
    <row r="549" spans="1:4">
      <c r="A549" s="72"/>
      <c r="B549" s="74"/>
      <c r="C549" s="74"/>
      <c r="D549" s="72"/>
    </row>
    <row r="550" spans="1:4">
      <c r="A550" s="72"/>
      <c r="B550" s="74"/>
      <c r="C550" s="74"/>
      <c r="D550" s="72"/>
    </row>
    <row r="551" spans="1:4">
      <c r="A551" s="72"/>
      <c r="B551" s="74"/>
      <c r="C551" s="74"/>
      <c r="D551" s="72"/>
    </row>
    <row r="552" spans="1:4">
      <c r="A552" s="72"/>
      <c r="B552" s="74"/>
      <c r="C552" s="74"/>
      <c r="D552" s="72"/>
    </row>
    <row r="553" spans="1:4">
      <c r="A553" s="72"/>
      <c r="B553" s="74"/>
      <c r="C553" s="74"/>
      <c r="D553" s="72"/>
    </row>
    <row r="554" spans="1:4">
      <c r="A554" s="72"/>
      <c r="B554" s="74"/>
      <c r="C554" s="74"/>
      <c r="D554" s="72"/>
    </row>
    <row r="555" spans="1:4">
      <c r="A555" s="72"/>
      <c r="B555" s="74"/>
      <c r="C555" s="74"/>
      <c r="D555" s="72"/>
    </row>
    <row r="556" spans="1:4">
      <c r="A556" s="72"/>
      <c r="B556" s="74"/>
      <c r="C556" s="74"/>
      <c r="D556" s="72"/>
    </row>
    <row r="557" spans="1:4">
      <c r="A557" s="72"/>
      <c r="B557" s="74"/>
      <c r="C557" s="74"/>
      <c r="D557" s="72"/>
    </row>
    <row r="558" spans="1:4">
      <c r="A558" s="72"/>
      <c r="B558" s="74"/>
      <c r="C558" s="74"/>
      <c r="D558" s="72"/>
    </row>
    <row r="559" spans="1:4">
      <c r="A559" s="72"/>
      <c r="B559" s="74"/>
      <c r="C559" s="74"/>
      <c r="D559" s="72"/>
    </row>
    <row r="560" spans="1:4">
      <c r="A560" s="72"/>
      <c r="B560" s="74"/>
      <c r="C560" s="74"/>
      <c r="D560" s="72"/>
    </row>
    <row r="561" spans="1:4">
      <c r="A561" s="72"/>
      <c r="B561" s="74"/>
      <c r="C561" s="74"/>
      <c r="D561" s="72"/>
    </row>
    <row r="562" spans="1:4">
      <c r="A562" s="72"/>
      <c r="B562" s="74"/>
      <c r="C562" s="74"/>
      <c r="D562" s="72"/>
    </row>
    <row r="563" spans="1:4">
      <c r="A563" s="72"/>
      <c r="B563" s="74"/>
      <c r="C563" s="74"/>
      <c r="D563" s="72"/>
    </row>
    <row r="564" spans="1:4">
      <c r="A564" s="72"/>
      <c r="B564" s="74"/>
      <c r="C564" s="74"/>
      <c r="D564" s="72"/>
    </row>
    <row r="565" spans="1:4">
      <c r="A565" s="72"/>
      <c r="B565" s="74"/>
      <c r="C565" s="74"/>
      <c r="D565" s="72"/>
    </row>
    <row r="566" spans="1:4">
      <c r="A566" s="72"/>
      <c r="B566" s="74"/>
      <c r="C566" s="74"/>
      <c r="D566" s="72"/>
    </row>
    <row r="567" spans="1:4">
      <c r="A567" s="72"/>
      <c r="B567" s="74"/>
      <c r="C567" s="74"/>
      <c r="D567" s="72"/>
    </row>
    <row r="568" spans="1:4">
      <c r="A568" s="72"/>
      <c r="B568" s="74"/>
      <c r="C568" s="74"/>
      <c r="D568" s="72"/>
    </row>
    <row r="569" spans="1:4">
      <c r="A569" s="72"/>
      <c r="B569" s="74"/>
      <c r="C569" s="74"/>
      <c r="D569" s="72"/>
    </row>
    <row r="570" spans="1:4">
      <c r="A570" s="72"/>
      <c r="B570" s="74"/>
      <c r="C570" s="74"/>
      <c r="D570" s="72"/>
    </row>
    <row r="571" spans="1:4">
      <c r="A571" s="72"/>
      <c r="B571" s="74"/>
      <c r="C571" s="74"/>
      <c r="D571" s="72"/>
    </row>
    <row r="572" spans="1:4">
      <c r="A572" s="72"/>
      <c r="B572" s="74"/>
      <c r="C572" s="74"/>
      <c r="D572" s="72"/>
    </row>
    <row r="573" spans="1:4">
      <c r="A573" s="72"/>
      <c r="B573" s="74"/>
      <c r="C573" s="74"/>
      <c r="D573" s="72"/>
    </row>
    <row r="574" spans="1:4">
      <c r="A574" s="72"/>
      <c r="B574" s="74"/>
      <c r="C574" s="74"/>
      <c r="D574" s="72"/>
    </row>
    <row r="575" spans="1:4">
      <c r="A575" s="72"/>
      <c r="B575" s="74"/>
      <c r="C575" s="74"/>
      <c r="D575" s="72"/>
    </row>
    <row r="576" spans="1:4">
      <c r="A576" s="72"/>
      <c r="B576" s="74"/>
      <c r="C576" s="74"/>
      <c r="D576" s="72"/>
    </row>
    <row r="577" spans="1:4">
      <c r="A577" s="72"/>
      <c r="B577" s="74"/>
      <c r="C577" s="74"/>
      <c r="D577" s="72"/>
    </row>
    <row r="578" spans="1:4">
      <c r="A578" s="72"/>
      <c r="B578" s="74"/>
      <c r="C578" s="74"/>
      <c r="D578" s="72"/>
    </row>
    <row r="579" spans="1:4">
      <c r="A579" s="72"/>
      <c r="B579" s="74"/>
      <c r="C579" s="74"/>
      <c r="D579" s="72"/>
    </row>
    <row r="580" spans="1:4">
      <c r="A580" s="72"/>
      <c r="B580" s="74"/>
      <c r="C580" s="74"/>
      <c r="D580" s="72"/>
    </row>
    <row r="581" spans="1:4">
      <c r="A581" s="72"/>
      <c r="B581" s="74"/>
      <c r="C581" s="74"/>
      <c r="D581" s="72"/>
    </row>
    <row r="582" spans="1:4">
      <c r="A582" s="72"/>
      <c r="B582" s="74"/>
      <c r="C582" s="74"/>
      <c r="D582" s="72"/>
    </row>
    <row r="583" spans="1:4">
      <c r="A583" s="72"/>
      <c r="B583" s="74"/>
      <c r="C583" s="74"/>
      <c r="D583" s="72"/>
    </row>
    <row r="584" spans="1:4">
      <c r="A584" s="72"/>
      <c r="B584" s="74"/>
      <c r="C584" s="74"/>
      <c r="D584" s="72"/>
    </row>
    <row r="585" spans="1:4">
      <c r="A585" s="72"/>
      <c r="B585" s="74"/>
      <c r="C585" s="74"/>
      <c r="D585" s="72"/>
    </row>
    <row r="586" spans="1:4">
      <c r="A586" s="72"/>
      <c r="B586" s="74"/>
      <c r="C586" s="74"/>
      <c r="D586" s="72"/>
    </row>
    <row r="587" spans="1:4">
      <c r="A587" s="72"/>
      <c r="B587" s="74"/>
      <c r="C587" s="74"/>
      <c r="D587" s="72"/>
    </row>
    <row r="588" spans="1:4">
      <c r="A588" s="72"/>
      <c r="B588" s="74"/>
      <c r="C588" s="74"/>
      <c r="D588" s="72"/>
    </row>
    <row r="589" spans="1:4">
      <c r="A589" s="72"/>
      <c r="B589" s="74"/>
      <c r="C589" s="74"/>
      <c r="D589" s="72"/>
    </row>
    <row r="590" spans="1:4">
      <c r="A590" s="72"/>
      <c r="B590" s="74"/>
      <c r="C590" s="74"/>
      <c r="D590" s="72"/>
    </row>
    <row r="591" spans="1:4">
      <c r="A591" s="72"/>
      <c r="B591" s="74"/>
      <c r="C591" s="74"/>
      <c r="D591" s="72"/>
    </row>
    <row r="592" spans="1:4">
      <c r="A592" s="72"/>
      <c r="B592" s="74"/>
      <c r="C592" s="74"/>
      <c r="D592" s="72"/>
    </row>
    <row r="593" spans="1:4">
      <c r="A593" s="72"/>
      <c r="B593" s="74"/>
      <c r="C593" s="74"/>
      <c r="D593" s="72"/>
    </row>
    <row r="594" spans="1:4">
      <c r="A594" s="72"/>
      <c r="B594" s="74"/>
      <c r="C594" s="74"/>
      <c r="D594" s="72"/>
    </row>
    <row r="595" spans="1:4">
      <c r="A595" s="72"/>
      <c r="B595" s="74"/>
      <c r="C595" s="74"/>
      <c r="D595" s="72"/>
    </row>
    <row r="596" spans="1:4">
      <c r="A596" s="72"/>
      <c r="B596" s="74"/>
      <c r="C596" s="74"/>
      <c r="D596" s="72"/>
    </row>
    <row r="597" spans="1:4">
      <c r="A597" s="72"/>
      <c r="B597" s="74"/>
      <c r="C597" s="74"/>
      <c r="D597" s="72"/>
    </row>
    <row r="598" spans="1:4">
      <c r="A598" s="72"/>
      <c r="B598" s="74"/>
      <c r="C598" s="74"/>
      <c r="D598" s="72"/>
    </row>
    <row r="599" spans="1:4">
      <c r="A599" s="72"/>
      <c r="B599" s="74"/>
      <c r="C599" s="74"/>
      <c r="D599" s="72"/>
    </row>
    <row r="600" spans="1:4">
      <c r="A600" s="72"/>
      <c r="B600" s="74"/>
      <c r="C600" s="74"/>
      <c r="D600" s="72"/>
    </row>
    <row r="601" spans="1:4">
      <c r="A601" s="72"/>
      <c r="B601" s="74"/>
      <c r="C601" s="74"/>
      <c r="D601" s="72"/>
    </row>
    <row r="602" spans="1:4">
      <c r="A602" s="72"/>
      <c r="B602" s="74"/>
      <c r="C602" s="74"/>
      <c r="D602" s="72"/>
    </row>
    <row r="603" spans="1:4">
      <c r="A603" s="72"/>
      <c r="B603" s="74"/>
      <c r="C603" s="74"/>
      <c r="D603" s="72"/>
    </row>
    <row r="604" spans="1:4">
      <c r="A604" s="72"/>
      <c r="B604" s="74"/>
      <c r="C604" s="74"/>
      <c r="D604" s="72"/>
    </row>
    <row r="605" spans="1:4">
      <c r="A605" s="72"/>
      <c r="B605" s="74"/>
      <c r="C605" s="74"/>
      <c r="D605" s="72"/>
    </row>
    <row r="606" spans="1:4">
      <c r="A606" s="72"/>
      <c r="B606" s="74"/>
      <c r="C606" s="74"/>
      <c r="D606" s="72"/>
    </row>
    <row r="607" spans="1:4">
      <c r="A607" s="72"/>
      <c r="B607" s="74"/>
      <c r="C607" s="74"/>
      <c r="D607" s="72"/>
    </row>
    <row r="608" spans="1:4">
      <c r="A608" s="72"/>
      <c r="B608" s="74"/>
      <c r="C608" s="74"/>
      <c r="D608" s="72"/>
    </row>
    <row r="609" spans="1:4">
      <c r="A609" s="72"/>
      <c r="B609" s="74"/>
      <c r="C609" s="74"/>
      <c r="D609" s="72"/>
    </row>
    <row r="610" spans="1:4">
      <c r="A610" s="72"/>
      <c r="B610" s="74"/>
      <c r="C610" s="74"/>
      <c r="D610" s="72"/>
    </row>
    <row r="611" spans="1:4">
      <c r="A611" s="72"/>
      <c r="B611" s="74"/>
      <c r="C611" s="74"/>
      <c r="D611" s="72"/>
    </row>
    <row r="612" spans="1:4">
      <c r="A612" s="72"/>
      <c r="B612" s="74"/>
      <c r="C612" s="74"/>
      <c r="D612" s="72"/>
    </row>
    <row r="613" spans="1:4">
      <c r="A613" s="72"/>
      <c r="B613" s="74"/>
      <c r="C613" s="74"/>
      <c r="D613" s="72"/>
    </row>
    <row r="614" spans="1:4">
      <c r="A614" s="72"/>
      <c r="B614" s="74"/>
      <c r="C614" s="74"/>
      <c r="D614" s="72"/>
    </row>
    <row r="615" spans="1:4">
      <c r="A615" s="72"/>
      <c r="B615" s="74"/>
      <c r="C615" s="74"/>
      <c r="D615" s="72"/>
    </row>
    <row r="616" spans="1:4">
      <c r="A616" s="72"/>
      <c r="B616" s="74"/>
      <c r="C616" s="74"/>
      <c r="D616" s="72"/>
    </row>
    <row r="617" spans="1:4">
      <c r="A617" s="72"/>
      <c r="B617" s="74"/>
      <c r="C617" s="74"/>
      <c r="D617" s="72"/>
    </row>
    <row r="618" spans="1:4">
      <c r="A618" s="72"/>
      <c r="B618" s="74"/>
      <c r="C618" s="74"/>
      <c r="D618" s="72"/>
    </row>
    <row r="619" spans="1:4">
      <c r="A619" s="72"/>
      <c r="B619" s="74"/>
      <c r="C619" s="74"/>
      <c r="D619" s="72"/>
    </row>
    <row r="620" spans="1:4">
      <c r="A620" s="72"/>
      <c r="B620" s="74"/>
      <c r="C620" s="74"/>
      <c r="D620" s="72"/>
    </row>
    <row r="621" spans="1:4">
      <c r="A621" s="72"/>
      <c r="B621" s="74"/>
      <c r="C621" s="74"/>
      <c r="D621" s="72"/>
    </row>
    <row r="622" spans="1:4">
      <c r="A622" s="72"/>
      <c r="B622" s="74"/>
      <c r="C622" s="74"/>
      <c r="D622" s="72"/>
    </row>
    <row r="623" spans="1:4">
      <c r="A623" s="72"/>
      <c r="B623" s="74"/>
      <c r="C623" s="74"/>
      <c r="D623" s="72"/>
    </row>
    <row r="624" spans="1:4">
      <c r="A624" s="72"/>
      <c r="B624" s="74"/>
      <c r="C624" s="74"/>
      <c r="D624" s="72"/>
    </row>
    <row r="625" spans="1:4">
      <c r="A625" s="72"/>
      <c r="B625" s="74"/>
      <c r="C625" s="74"/>
      <c r="D625" s="72"/>
    </row>
    <row r="626" spans="1:4">
      <c r="A626" s="72"/>
      <c r="B626" s="74"/>
      <c r="C626" s="74"/>
      <c r="D626" s="72"/>
    </row>
    <row r="627" spans="1:4">
      <c r="A627" s="72"/>
      <c r="B627" s="74"/>
      <c r="C627" s="74"/>
      <c r="D627" s="72"/>
    </row>
    <row r="628" spans="1:4">
      <c r="A628" s="72"/>
      <c r="B628" s="74"/>
      <c r="C628" s="74"/>
      <c r="D628" s="72"/>
    </row>
    <row r="629" spans="1:4">
      <c r="A629" s="72"/>
      <c r="B629" s="74"/>
      <c r="C629" s="74"/>
      <c r="D629" s="72"/>
    </row>
    <row r="630" spans="1:4">
      <c r="A630" s="72"/>
      <c r="B630" s="74"/>
      <c r="C630" s="74"/>
      <c r="D630" s="72"/>
    </row>
    <row r="631" spans="1:4">
      <c r="A631" s="72"/>
      <c r="B631" s="74"/>
      <c r="C631" s="74"/>
      <c r="D631" s="72"/>
    </row>
    <row r="632" spans="1:4">
      <c r="A632" s="72"/>
      <c r="B632" s="74"/>
      <c r="C632" s="74"/>
      <c r="D632" s="72"/>
    </row>
    <row r="633" spans="1:4">
      <c r="A633" s="72"/>
      <c r="B633" s="74"/>
      <c r="C633" s="74"/>
      <c r="D633" s="72"/>
    </row>
    <row r="634" spans="1:4">
      <c r="A634" s="72"/>
      <c r="B634" s="74"/>
      <c r="C634" s="74"/>
      <c r="D634" s="72"/>
    </row>
    <row r="635" spans="1:4">
      <c r="A635" s="72"/>
      <c r="B635" s="74"/>
      <c r="C635" s="74"/>
      <c r="D635" s="72"/>
    </row>
    <row r="636" spans="1:4">
      <c r="A636" s="72"/>
      <c r="B636" s="74"/>
      <c r="C636" s="74"/>
      <c r="D636" s="72"/>
    </row>
    <row r="637" spans="1:4">
      <c r="A637" s="72"/>
      <c r="B637" s="74"/>
      <c r="C637" s="74"/>
      <c r="D637" s="72"/>
    </row>
    <row r="638" spans="1:4">
      <c r="A638" s="72"/>
      <c r="B638" s="74"/>
      <c r="C638" s="74"/>
      <c r="D638" s="72"/>
    </row>
    <row r="639" spans="1:4">
      <c r="A639" s="72"/>
      <c r="B639" s="74"/>
      <c r="C639" s="74"/>
      <c r="D639" s="72"/>
    </row>
    <row r="640" spans="1:4">
      <c r="A640" s="72"/>
      <c r="B640" s="74"/>
      <c r="C640" s="74"/>
      <c r="D640" s="72"/>
    </row>
    <row r="641" spans="1:4">
      <c r="A641" s="72"/>
      <c r="B641" s="74"/>
      <c r="C641" s="74"/>
      <c r="D641" s="72"/>
    </row>
    <row r="642" spans="1:4">
      <c r="A642" s="72"/>
      <c r="B642" s="74"/>
      <c r="C642" s="74"/>
      <c r="D642" s="72"/>
    </row>
    <row r="643" spans="1:4">
      <c r="A643" s="72"/>
      <c r="B643" s="74"/>
      <c r="C643" s="74"/>
      <c r="D643" s="72"/>
    </row>
    <row r="644" spans="1:4">
      <c r="A644" s="72"/>
      <c r="B644" s="74"/>
      <c r="C644" s="74"/>
      <c r="D644" s="72"/>
    </row>
    <row r="645" spans="1:4">
      <c r="A645" s="72"/>
      <c r="B645" s="74"/>
      <c r="C645" s="74"/>
      <c r="D645" s="72"/>
    </row>
    <row r="646" spans="1:4">
      <c r="A646" s="72"/>
      <c r="B646" s="74"/>
      <c r="C646" s="74"/>
      <c r="D646" s="72"/>
    </row>
    <row r="647" spans="1:4">
      <c r="A647" s="72"/>
      <c r="B647" s="74"/>
      <c r="C647" s="74"/>
      <c r="D647" s="72"/>
    </row>
    <row r="648" spans="1:4">
      <c r="A648" s="72"/>
      <c r="B648" s="74"/>
      <c r="C648" s="74"/>
      <c r="D648" s="72"/>
    </row>
    <row r="649" spans="1:4">
      <c r="A649" s="72"/>
      <c r="B649" s="74"/>
      <c r="C649" s="74"/>
      <c r="D649" s="72"/>
    </row>
    <row r="650" spans="1:4">
      <c r="A650" s="72"/>
      <c r="B650" s="74"/>
      <c r="C650" s="74"/>
      <c r="D650" s="72"/>
    </row>
    <row r="651" spans="1:4">
      <c r="A651" s="72"/>
      <c r="B651" s="74"/>
      <c r="C651" s="74"/>
      <c r="D651" s="72"/>
    </row>
    <row r="652" spans="1:4">
      <c r="A652" s="72"/>
      <c r="B652" s="74"/>
      <c r="C652" s="74"/>
      <c r="D652" s="72"/>
    </row>
    <row r="653" spans="1:4">
      <c r="A653" s="72"/>
      <c r="B653" s="74"/>
      <c r="C653" s="74"/>
      <c r="D653" s="72"/>
    </row>
    <row r="654" spans="1:4">
      <c r="A654" s="72"/>
      <c r="B654" s="74"/>
      <c r="C654" s="74"/>
      <c r="D654" s="72"/>
    </row>
    <row r="655" spans="1:4">
      <c r="A655" s="72"/>
      <c r="B655" s="74"/>
      <c r="C655" s="74"/>
      <c r="D655" s="72"/>
    </row>
    <row r="656" spans="1:4">
      <c r="A656" s="72"/>
      <c r="B656" s="74"/>
      <c r="C656" s="74"/>
      <c r="D656" s="72"/>
    </row>
    <row r="657" spans="1:4">
      <c r="A657" s="72"/>
      <c r="B657" s="74"/>
      <c r="C657" s="74"/>
      <c r="D657" s="72"/>
    </row>
    <row r="658" spans="1:4">
      <c r="A658" s="72"/>
      <c r="B658" s="74"/>
      <c r="C658" s="74"/>
      <c r="D658" s="72"/>
    </row>
    <row r="659" spans="1:4">
      <c r="A659" s="72"/>
      <c r="B659" s="74"/>
      <c r="C659" s="74"/>
      <c r="D659" s="72"/>
    </row>
    <row r="660" spans="1:4">
      <c r="A660" s="72"/>
      <c r="B660" s="74"/>
      <c r="C660" s="74"/>
      <c r="D660" s="72"/>
    </row>
    <row r="661" spans="1:4">
      <c r="A661" s="72"/>
      <c r="B661" s="74"/>
      <c r="C661" s="74"/>
      <c r="D661" s="72"/>
    </row>
    <row r="662" spans="1:4">
      <c r="A662" s="72"/>
      <c r="B662" s="74"/>
      <c r="C662" s="74"/>
      <c r="D662" s="72"/>
    </row>
    <row r="663" spans="1:4">
      <c r="A663" s="72"/>
      <c r="B663" s="74"/>
      <c r="C663" s="74"/>
      <c r="D663" s="72"/>
    </row>
    <row r="664" spans="1:4">
      <c r="A664" s="72"/>
      <c r="B664" s="74"/>
      <c r="C664" s="74"/>
      <c r="D664" s="72"/>
    </row>
    <row r="665" spans="1:4">
      <c r="A665" s="72"/>
      <c r="B665" s="74"/>
      <c r="C665" s="74"/>
      <c r="D665" s="72"/>
    </row>
    <row r="666" spans="1:4">
      <c r="A666" s="72"/>
      <c r="B666" s="74"/>
      <c r="C666" s="74"/>
      <c r="D666" s="72"/>
    </row>
    <row r="667" spans="1:4">
      <c r="A667" s="72"/>
      <c r="B667" s="74"/>
      <c r="C667" s="74"/>
      <c r="D667" s="72"/>
    </row>
    <row r="668" spans="1:4">
      <c r="A668" s="72"/>
      <c r="B668" s="74"/>
      <c r="C668" s="74"/>
      <c r="D668" s="72"/>
    </row>
    <row r="669" spans="1:4">
      <c r="A669" s="72"/>
      <c r="B669" s="74"/>
      <c r="C669" s="74"/>
      <c r="D669" s="72"/>
    </row>
    <row r="670" spans="1:4">
      <c r="A670" s="72"/>
      <c r="B670" s="74"/>
      <c r="C670" s="74"/>
      <c r="D670" s="72"/>
    </row>
    <row r="671" spans="1:4">
      <c r="A671" s="72"/>
      <c r="B671" s="74"/>
      <c r="C671" s="74"/>
      <c r="D671" s="72"/>
    </row>
    <row r="672" spans="1:4">
      <c r="A672" s="72"/>
      <c r="B672" s="74"/>
      <c r="C672" s="74"/>
      <c r="D672" s="72"/>
    </row>
    <row r="673" spans="1:4">
      <c r="A673" s="72"/>
      <c r="B673" s="74"/>
      <c r="C673" s="74"/>
      <c r="D673" s="72"/>
    </row>
    <row r="674" spans="1:4">
      <c r="A674" s="72"/>
      <c r="B674" s="74"/>
      <c r="C674" s="74"/>
      <c r="D674" s="72"/>
    </row>
    <row r="675" spans="1:4">
      <c r="A675" s="72"/>
      <c r="B675" s="74"/>
      <c r="C675" s="74"/>
      <c r="D675" s="72"/>
    </row>
    <row r="676" spans="1:4">
      <c r="A676" s="72"/>
      <c r="B676" s="74"/>
      <c r="C676" s="74"/>
      <c r="D676" s="72"/>
    </row>
    <row r="677" spans="1:4">
      <c r="A677" s="72"/>
      <c r="B677" s="74"/>
      <c r="C677" s="74"/>
      <c r="D677" s="72"/>
    </row>
    <row r="678" spans="1:4">
      <c r="A678" s="72"/>
      <c r="B678" s="74"/>
      <c r="C678" s="74"/>
      <c r="D678" s="72"/>
    </row>
    <row r="679" spans="1:4">
      <c r="A679" s="72"/>
      <c r="B679" s="74"/>
      <c r="C679" s="74"/>
      <c r="D679" s="72"/>
    </row>
    <row r="680" spans="1:4">
      <c r="A680" s="72"/>
      <c r="B680" s="74"/>
      <c r="C680" s="74"/>
      <c r="D680" s="72"/>
    </row>
    <row r="681" spans="1:4">
      <c r="A681" s="72"/>
      <c r="B681" s="74"/>
      <c r="C681" s="74"/>
      <c r="D681" s="72"/>
    </row>
    <row r="682" spans="1:4">
      <c r="A682" s="72"/>
      <c r="B682" s="74"/>
      <c r="C682" s="74"/>
      <c r="D682" s="72"/>
    </row>
    <row r="683" spans="1:4">
      <c r="A683" s="72"/>
      <c r="B683" s="74"/>
      <c r="C683" s="74"/>
      <c r="D683" s="72"/>
    </row>
    <row r="684" spans="1:4">
      <c r="A684" s="72"/>
      <c r="B684" s="74"/>
      <c r="C684" s="74"/>
      <c r="D684" s="72"/>
    </row>
    <row r="685" spans="1:4">
      <c r="A685" s="72"/>
      <c r="B685" s="74"/>
      <c r="C685" s="74"/>
      <c r="D685" s="72"/>
    </row>
    <row r="686" spans="1:4">
      <c r="A686" s="72"/>
      <c r="B686" s="74"/>
      <c r="C686" s="74"/>
      <c r="D686" s="72"/>
    </row>
    <row r="687" spans="1:4">
      <c r="A687" s="72"/>
      <c r="B687" s="74"/>
      <c r="C687" s="74"/>
      <c r="D687" s="72"/>
    </row>
    <row r="688" spans="1:4">
      <c r="A688" s="72"/>
      <c r="B688" s="74"/>
      <c r="C688" s="74"/>
      <c r="D688" s="72"/>
    </row>
    <row r="689" spans="1:4">
      <c r="A689" s="72"/>
      <c r="B689" s="74"/>
      <c r="C689" s="74"/>
      <c r="D689" s="72"/>
    </row>
    <row r="690" spans="1:4">
      <c r="A690" s="72"/>
      <c r="B690" s="74"/>
      <c r="C690" s="74"/>
      <c r="D690" s="72"/>
    </row>
    <row r="691" spans="1:4">
      <c r="A691" s="72"/>
      <c r="B691" s="74"/>
      <c r="C691" s="74"/>
      <c r="D691" s="72"/>
    </row>
    <row r="692" spans="1:4">
      <c r="A692" s="72"/>
      <c r="B692" s="74"/>
      <c r="C692" s="74"/>
      <c r="D692" s="72"/>
    </row>
    <row r="693" spans="1:4">
      <c r="A693" s="72"/>
      <c r="B693" s="74"/>
      <c r="C693" s="74"/>
      <c r="D693" s="72"/>
    </row>
    <row r="694" spans="1:4">
      <c r="A694" s="72"/>
      <c r="B694" s="74"/>
      <c r="C694" s="74"/>
      <c r="D694" s="72"/>
    </row>
    <row r="695" spans="1:4">
      <c r="A695" s="72"/>
      <c r="B695" s="74"/>
      <c r="C695" s="74"/>
      <c r="D695" s="72"/>
    </row>
    <row r="696" spans="1:4">
      <c r="A696" s="72"/>
      <c r="B696" s="74"/>
      <c r="C696" s="74"/>
      <c r="D696" s="72"/>
    </row>
    <row r="697" spans="1:4">
      <c r="A697" s="72"/>
      <c r="B697" s="74"/>
      <c r="C697" s="74"/>
      <c r="D697" s="72"/>
    </row>
    <row r="698" spans="1:4">
      <c r="A698" s="72"/>
      <c r="B698" s="74"/>
      <c r="C698" s="74"/>
      <c r="D698" s="72"/>
    </row>
    <row r="699" spans="1:4">
      <c r="A699" s="72"/>
      <c r="B699" s="74"/>
      <c r="C699" s="74"/>
      <c r="D699" s="72"/>
    </row>
    <row r="700" spans="1:4">
      <c r="A700" s="72"/>
      <c r="B700" s="74"/>
      <c r="C700" s="74"/>
      <c r="D700" s="72"/>
    </row>
    <row r="701" spans="1:4">
      <c r="A701" s="72"/>
      <c r="B701" s="74"/>
      <c r="C701" s="74"/>
      <c r="D701" s="72"/>
    </row>
    <row r="702" spans="1:4">
      <c r="A702" s="72"/>
      <c r="B702" s="74"/>
      <c r="C702" s="74"/>
      <c r="D702" s="72"/>
    </row>
    <row r="703" spans="1:4">
      <c r="A703" s="72"/>
      <c r="B703" s="74"/>
      <c r="C703" s="74"/>
      <c r="D703" s="72"/>
    </row>
    <row r="704" spans="1:4">
      <c r="A704" s="72"/>
      <c r="B704" s="74"/>
      <c r="C704" s="74"/>
      <c r="D704" s="72"/>
    </row>
    <row r="705" spans="1:4">
      <c r="A705" s="72"/>
      <c r="B705" s="74"/>
      <c r="C705" s="74"/>
      <c r="D705" s="72"/>
    </row>
    <row r="706" spans="1:4">
      <c r="A706" s="72"/>
      <c r="B706" s="74"/>
      <c r="C706" s="74"/>
      <c r="D706" s="72"/>
    </row>
    <row r="707" spans="1:4">
      <c r="A707" s="72"/>
      <c r="B707" s="74"/>
      <c r="C707" s="74"/>
      <c r="D707" s="72"/>
    </row>
    <row r="708" spans="1:4">
      <c r="A708" s="72"/>
      <c r="B708" s="74"/>
      <c r="C708" s="74"/>
      <c r="D708" s="72"/>
    </row>
    <row r="709" spans="1:4">
      <c r="A709" s="72"/>
      <c r="B709" s="74"/>
      <c r="C709" s="74"/>
      <c r="D709" s="72"/>
    </row>
    <row r="710" spans="1:4">
      <c r="A710" s="72"/>
      <c r="B710" s="74"/>
      <c r="C710" s="74"/>
      <c r="D710" s="72"/>
    </row>
    <row r="711" spans="1:4">
      <c r="A711" s="72"/>
      <c r="B711" s="74"/>
      <c r="C711" s="74"/>
      <c r="D711" s="72"/>
    </row>
    <row r="712" spans="1:4">
      <c r="A712" s="72"/>
      <c r="B712" s="74"/>
      <c r="C712" s="74"/>
      <c r="D712" s="72"/>
    </row>
    <row r="713" spans="1:4">
      <c r="A713" s="72"/>
      <c r="B713" s="74"/>
      <c r="C713" s="74"/>
      <c r="D713" s="72"/>
    </row>
    <row r="714" spans="1:4">
      <c r="A714" s="72"/>
      <c r="B714" s="74"/>
      <c r="C714" s="74"/>
      <c r="D714" s="72"/>
    </row>
    <row r="715" spans="1:4">
      <c r="A715" s="72"/>
      <c r="B715" s="74"/>
      <c r="C715" s="74"/>
      <c r="D715" s="72"/>
    </row>
    <row r="716" spans="1:4">
      <c r="A716" s="72"/>
      <c r="B716" s="74"/>
      <c r="C716" s="74"/>
      <c r="D716" s="72"/>
    </row>
    <row r="717" spans="1:4">
      <c r="A717" s="72"/>
      <c r="B717" s="74"/>
      <c r="C717" s="74"/>
      <c r="D717" s="72"/>
    </row>
    <row r="718" spans="1:4">
      <c r="A718" s="72"/>
      <c r="B718" s="74"/>
      <c r="C718" s="74"/>
      <c r="D718" s="72"/>
    </row>
    <row r="719" spans="1:4">
      <c r="A719" s="72"/>
      <c r="B719" s="74"/>
      <c r="C719" s="74"/>
      <c r="D719" s="72"/>
    </row>
    <row r="720" spans="1:4">
      <c r="A720" s="72"/>
      <c r="B720" s="74"/>
      <c r="C720" s="74"/>
      <c r="D720" s="72"/>
    </row>
    <row r="721" spans="1:4">
      <c r="A721" s="72"/>
      <c r="B721" s="74"/>
      <c r="C721" s="74"/>
      <c r="D721" s="72"/>
    </row>
    <row r="722" spans="1:4">
      <c r="A722" s="72"/>
      <c r="B722" s="74"/>
      <c r="C722" s="74"/>
      <c r="D722" s="72"/>
    </row>
    <row r="723" spans="1:4">
      <c r="A723" s="72"/>
      <c r="B723" s="74"/>
      <c r="C723" s="74"/>
      <c r="D723" s="72"/>
    </row>
    <row r="724" spans="1:4">
      <c r="A724" s="72"/>
      <c r="B724" s="74"/>
      <c r="C724" s="74"/>
      <c r="D724" s="72"/>
    </row>
    <row r="725" spans="1:4">
      <c r="A725" s="72"/>
      <c r="B725" s="74"/>
      <c r="C725" s="74"/>
      <c r="D725" s="72"/>
    </row>
    <row r="726" spans="1:4">
      <c r="A726" s="72"/>
      <c r="B726" s="74"/>
      <c r="C726" s="74"/>
      <c r="D726" s="72"/>
    </row>
    <row r="727" spans="1:4">
      <c r="A727" s="72"/>
      <c r="B727" s="74"/>
      <c r="C727" s="74"/>
      <c r="D727" s="72"/>
    </row>
    <row r="728" spans="1:4">
      <c r="A728" s="72"/>
      <c r="B728" s="74"/>
      <c r="C728" s="74"/>
      <c r="D728" s="72"/>
    </row>
    <row r="729" spans="1:4">
      <c r="A729" s="72"/>
      <c r="B729" s="74"/>
      <c r="C729" s="74"/>
      <c r="D729" s="72"/>
    </row>
    <row r="730" spans="1:4">
      <c r="A730" s="72"/>
      <c r="B730" s="74"/>
      <c r="C730" s="74"/>
      <c r="D730" s="72"/>
    </row>
    <row r="731" spans="1:4">
      <c r="A731" s="72"/>
      <c r="B731" s="74"/>
      <c r="C731" s="74"/>
      <c r="D731" s="72"/>
    </row>
    <row r="732" spans="1:4">
      <c r="A732" s="72"/>
      <c r="B732" s="74"/>
      <c r="C732" s="74"/>
      <c r="D732" s="72"/>
    </row>
    <row r="733" spans="1:4">
      <c r="A733" s="72"/>
      <c r="B733" s="74"/>
      <c r="C733" s="74"/>
      <c r="D733" s="72"/>
    </row>
    <row r="734" spans="1:4">
      <c r="A734" s="72"/>
      <c r="B734" s="74"/>
      <c r="C734" s="74"/>
      <c r="D734" s="72"/>
    </row>
    <row r="735" spans="1:4">
      <c r="A735" s="72"/>
      <c r="B735" s="74"/>
      <c r="C735" s="74"/>
      <c r="D735" s="72"/>
    </row>
    <row r="736" spans="1:4">
      <c r="A736" s="72"/>
      <c r="B736" s="74"/>
      <c r="C736" s="74"/>
      <c r="D736" s="72"/>
    </row>
    <row r="737" spans="1:4">
      <c r="A737" s="72"/>
      <c r="B737" s="74"/>
      <c r="C737" s="74"/>
      <c r="D737" s="72"/>
    </row>
    <row r="738" spans="1:4">
      <c r="A738" s="72"/>
      <c r="B738" s="74"/>
      <c r="C738" s="74"/>
      <c r="D738" s="72"/>
    </row>
    <row r="739" spans="1:4">
      <c r="A739" s="72"/>
      <c r="B739" s="74"/>
      <c r="C739" s="74"/>
      <c r="D739" s="72"/>
    </row>
    <row r="740" spans="1:4">
      <c r="A740" s="72"/>
      <c r="B740" s="74"/>
      <c r="C740" s="74"/>
      <c r="D740" s="72"/>
    </row>
    <row r="741" spans="1:4">
      <c r="A741" s="72"/>
      <c r="B741" s="74"/>
      <c r="C741" s="74"/>
      <c r="D741" s="72"/>
    </row>
    <row r="742" spans="1:4">
      <c r="A742" s="72"/>
      <c r="B742" s="74"/>
      <c r="C742" s="74"/>
      <c r="D742" s="72"/>
    </row>
    <row r="743" spans="1:4">
      <c r="A743" s="72"/>
      <c r="B743" s="74"/>
      <c r="C743" s="74"/>
      <c r="D743" s="72"/>
    </row>
    <row r="744" spans="1:4">
      <c r="A744" s="72"/>
      <c r="B744" s="74"/>
      <c r="C744" s="74"/>
      <c r="D744" s="72"/>
    </row>
    <row r="745" spans="1:4">
      <c r="A745" s="72"/>
      <c r="B745" s="74"/>
      <c r="C745" s="74"/>
      <c r="D745" s="72"/>
    </row>
    <row r="746" spans="1:4">
      <c r="A746" s="72"/>
      <c r="B746" s="74"/>
      <c r="C746" s="74"/>
      <c r="D746" s="72"/>
    </row>
    <row r="747" spans="1:4">
      <c r="A747" s="72"/>
      <c r="B747" s="74"/>
      <c r="C747" s="74"/>
      <c r="D747" s="72"/>
    </row>
    <row r="748" spans="1:4">
      <c r="A748" s="72"/>
      <c r="B748" s="74"/>
      <c r="C748" s="74"/>
      <c r="D748" s="72"/>
    </row>
    <row r="749" spans="1:4">
      <c r="A749" s="72"/>
      <c r="B749" s="74"/>
      <c r="C749" s="74"/>
      <c r="D749" s="72"/>
    </row>
    <row r="750" spans="1:4">
      <c r="A750" s="72"/>
      <c r="B750" s="74"/>
      <c r="C750" s="74"/>
      <c r="D750" s="72"/>
    </row>
    <row r="751" spans="1:4">
      <c r="A751" s="72"/>
      <c r="B751" s="74"/>
      <c r="C751" s="74"/>
      <c r="D751" s="72"/>
    </row>
    <row r="752" spans="1:4">
      <c r="A752" s="72"/>
      <c r="B752" s="74"/>
      <c r="C752" s="74"/>
      <c r="D752" s="72"/>
    </row>
    <row r="753" spans="1:4">
      <c r="A753" s="72"/>
      <c r="B753" s="74"/>
      <c r="C753" s="74"/>
      <c r="D753" s="72"/>
    </row>
    <row r="754" spans="1:4">
      <c r="A754" s="72"/>
      <c r="B754" s="74"/>
      <c r="C754" s="74"/>
      <c r="D754" s="72"/>
    </row>
    <row r="755" spans="1:4">
      <c r="A755" s="72"/>
      <c r="B755" s="74"/>
      <c r="C755" s="74"/>
      <c r="D755" s="72"/>
    </row>
    <row r="756" spans="1:4">
      <c r="A756" s="72"/>
      <c r="B756" s="74"/>
      <c r="C756" s="74"/>
      <c r="D756" s="72"/>
    </row>
    <row r="757" spans="1:4">
      <c r="A757" s="72"/>
      <c r="B757" s="74"/>
      <c r="C757" s="74"/>
      <c r="D757" s="72"/>
    </row>
    <row r="758" spans="1:4">
      <c r="A758" s="72"/>
      <c r="B758" s="74"/>
      <c r="C758" s="74"/>
      <c r="D758" s="72"/>
    </row>
    <row r="759" spans="1:4">
      <c r="A759" s="72"/>
      <c r="B759" s="74"/>
      <c r="C759" s="74"/>
      <c r="D759" s="72"/>
    </row>
    <row r="760" spans="1:4">
      <c r="A760" s="72"/>
      <c r="B760" s="74"/>
      <c r="C760" s="74"/>
      <c r="D760" s="72"/>
    </row>
    <row r="761" spans="1:4">
      <c r="A761" s="72"/>
      <c r="B761" s="74"/>
      <c r="C761" s="74"/>
      <c r="D761" s="72"/>
    </row>
    <row r="762" spans="1:4">
      <c r="A762" s="72"/>
      <c r="B762" s="74"/>
      <c r="C762" s="74"/>
      <c r="D762" s="72"/>
    </row>
    <row r="763" spans="1:4">
      <c r="A763" s="72"/>
      <c r="B763" s="74"/>
      <c r="C763" s="74"/>
      <c r="D763" s="72"/>
    </row>
    <row r="764" spans="1:4">
      <c r="A764" s="72"/>
      <c r="B764" s="74"/>
      <c r="C764" s="74"/>
      <c r="D764" s="72"/>
    </row>
    <row r="765" spans="1:4">
      <c r="A765" s="72"/>
      <c r="B765" s="74"/>
      <c r="C765" s="74"/>
      <c r="D765" s="72"/>
    </row>
    <row r="766" spans="1:4">
      <c r="A766" s="72"/>
      <c r="B766" s="74"/>
      <c r="C766" s="74"/>
      <c r="D766" s="72"/>
    </row>
    <row r="767" spans="1:4">
      <c r="A767" s="72"/>
      <c r="B767" s="74"/>
      <c r="C767" s="74"/>
      <c r="D767" s="72"/>
    </row>
    <row r="768" spans="1:4">
      <c r="A768" s="72"/>
      <c r="B768" s="74"/>
      <c r="C768" s="74"/>
      <c r="D768" s="72"/>
    </row>
    <row r="769" spans="1:4">
      <c r="A769" s="72"/>
      <c r="B769" s="74"/>
      <c r="C769" s="74"/>
      <c r="D769" s="72"/>
    </row>
    <row r="770" spans="1:4">
      <c r="A770" s="72"/>
      <c r="B770" s="74"/>
      <c r="C770" s="74"/>
      <c r="D770" s="72"/>
    </row>
    <row r="771" spans="1:4">
      <c r="A771" s="72"/>
      <c r="B771" s="74"/>
      <c r="C771" s="74"/>
      <c r="D771" s="72"/>
    </row>
    <row r="772" spans="1:4">
      <c r="A772" s="72"/>
      <c r="B772" s="74"/>
      <c r="C772" s="74"/>
      <c r="D772" s="72"/>
    </row>
    <row r="773" spans="1:4">
      <c r="A773" s="72"/>
      <c r="B773" s="74"/>
      <c r="C773" s="74"/>
      <c r="D773" s="72"/>
    </row>
    <row r="774" spans="1:4">
      <c r="A774" s="72"/>
      <c r="B774" s="74"/>
      <c r="C774" s="74"/>
      <c r="D774" s="72"/>
    </row>
    <row r="775" spans="1:4">
      <c r="A775" s="72"/>
      <c r="B775" s="74"/>
      <c r="C775" s="74"/>
      <c r="D775" s="72"/>
    </row>
    <row r="776" spans="1:4">
      <c r="A776" s="72"/>
      <c r="B776" s="74"/>
      <c r="C776" s="74"/>
      <c r="D776" s="72"/>
    </row>
    <row r="777" spans="1:4">
      <c r="A777" s="72"/>
      <c r="B777" s="74"/>
      <c r="C777" s="74"/>
      <c r="D777" s="72"/>
    </row>
    <row r="778" spans="1:4">
      <c r="A778" s="72"/>
      <c r="B778" s="74"/>
      <c r="C778" s="74"/>
      <c r="D778" s="72"/>
    </row>
    <row r="779" spans="1:4">
      <c r="A779" s="72"/>
      <c r="B779" s="74"/>
      <c r="C779" s="74"/>
      <c r="D779" s="72"/>
    </row>
    <row r="780" spans="1:4">
      <c r="A780" s="72"/>
      <c r="B780" s="74"/>
      <c r="C780" s="74"/>
      <c r="D780" s="72"/>
    </row>
    <row r="781" spans="1:4">
      <c r="A781" s="72"/>
      <c r="B781" s="74"/>
      <c r="C781" s="74"/>
      <c r="D781" s="72"/>
    </row>
    <row r="782" spans="1:4">
      <c r="A782" s="72"/>
      <c r="B782" s="74"/>
      <c r="C782" s="74"/>
      <c r="D782" s="72"/>
    </row>
    <row r="783" spans="1:4">
      <c r="A783" s="72"/>
      <c r="B783" s="74"/>
      <c r="C783" s="74"/>
      <c r="D783" s="72"/>
    </row>
    <row r="784" spans="1:4">
      <c r="A784" s="72"/>
      <c r="B784" s="74"/>
      <c r="C784" s="74"/>
      <c r="D784" s="72"/>
    </row>
    <row r="785" spans="1:4">
      <c r="A785" s="72"/>
      <c r="B785" s="74"/>
      <c r="C785" s="74"/>
      <c r="D785" s="72"/>
    </row>
    <row r="786" spans="1:4">
      <c r="A786" s="72"/>
      <c r="B786" s="74"/>
      <c r="C786" s="74"/>
      <c r="D786" s="72"/>
    </row>
    <row r="787" spans="1:4">
      <c r="A787" s="72"/>
      <c r="B787" s="74"/>
      <c r="C787" s="74"/>
      <c r="D787" s="72"/>
    </row>
    <row r="788" spans="1:4">
      <c r="A788" s="72"/>
      <c r="B788" s="74"/>
      <c r="C788" s="74"/>
      <c r="D788" s="72"/>
    </row>
    <row r="789" spans="1:4">
      <c r="A789" s="72"/>
      <c r="B789" s="74"/>
      <c r="C789" s="74"/>
      <c r="D789" s="72"/>
    </row>
    <row r="790" spans="1:4">
      <c r="A790" s="72"/>
      <c r="B790" s="74"/>
      <c r="C790" s="74"/>
      <c r="D790" s="72"/>
    </row>
    <row r="791" spans="1:4">
      <c r="A791" s="72"/>
      <c r="B791" s="74"/>
      <c r="C791" s="74"/>
      <c r="D791" s="72"/>
    </row>
    <row r="792" spans="1:4">
      <c r="A792" s="72"/>
      <c r="B792" s="74"/>
      <c r="C792" s="74"/>
      <c r="D792" s="72"/>
    </row>
    <row r="793" spans="1:4">
      <c r="A793" s="72"/>
      <c r="B793" s="74"/>
      <c r="C793" s="74"/>
      <c r="D793" s="72"/>
    </row>
    <row r="794" spans="1:4">
      <c r="A794" s="72"/>
      <c r="B794" s="74"/>
      <c r="C794" s="74"/>
      <c r="D794" s="72"/>
    </row>
    <row r="795" spans="1:4">
      <c r="A795" s="72"/>
      <c r="B795" s="74"/>
      <c r="C795" s="74"/>
      <c r="D795" s="72"/>
    </row>
    <row r="796" spans="1:4">
      <c r="A796" s="72"/>
      <c r="B796" s="74"/>
      <c r="C796" s="74"/>
      <c r="D796" s="72"/>
    </row>
    <row r="797" spans="1:4">
      <c r="A797" s="72"/>
      <c r="B797" s="74"/>
      <c r="C797" s="74"/>
      <c r="D797" s="72"/>
    </row>
    <row r="798" spans="1:4">
      <c r="A798" s="72"/>
      <c r="B798" s="74"/>
      <c r="C798" s="74"/>
      <c r="D798" s="72"/>
    </row>
    <row r="799" spans="1:4">
      <c r="A799" s="72"/>
      <c r="B799" s="74"/>
      <c r="C799" s="74"/>
      <c r="D799" s="72"/>
    </row>
    <row r="800" spans="1:4">
      <c r="A800" s="72"/>
      <c r="B800" s="74"/>
      <c r="C800" s="74"/>
      <c r="D800" s="72"/>
    </row>
    <row r="801" spans="1:4">
      <c r="A801" s="72"/>
      <c r="B801" s="74"/>
      <c r="C801" s="74"/>
      <c r="D801" s="72"/>
    </row>
    <row r="802" spans="1:4">
      <c r="A802" s="72"/>
      <c r="B802" s="74"/>
      <c r="C802" s="74"/>
      <c r="D802" s="72"/>
    </row>
    <row r="803" spans="1:4">
      <c r="A803" s="72"/>
      <c r="B803" s="74"/>
      <c r="C803" s="74"/>
      <c r="D803" s="72"/>
    </row>
    <row r="804" spans="1:4">
      <c r="A804" s="72"/>
      <c r="B804" s="74"/>
      <c r="C804" s="74"/>
      <c r="D804" s="72"/>
    </row>
    <row r="805" spans="1:4">
      <c r="A805" s="72"/>
      <c r="B805" s="74"/>
      <c r="C805" s="74"/>
      <c r="D805" s="72"/>
    </row>
    <row r="806" spans="1:4">
      <c r="A806" s="72"/>
      <c r="B806" s="74"/>
      <c r="C806" s="74"/>
      <c r="D806" s="72"/>
    </row>
    <row r="807" spans="1:4">
      <c r="A807" s="72"/>
      <c r="B807" s="74"/>
      <c r="C807" s="74"/>
      <c r="D807" s="72"/>
    </row>
    <row r="808" spans="1:4">
      <c r="A808" s="72"/>
      <c r="B808" s="74"/>
      <c r="C808" s="74"/>
      <c r="D808" s="72"/>
    </row>
    <row r="809" spans="1:4">
      <c r="A809" s="72"/>
      <c r="B809" s="74"/>
      <c r="C809" s="74"/>
      <c r="D809" s="72"/>
    </row>
    <row r="810" spans="1:4">
      <c r="A810" s="72"/>
      <c r="B810" s="74"/>
      <c r="C810" s="74"/>
      <c r="D810" s="72"/>
    </row>
    <row r="811" spans="1:4">
      <c r="A811" s="72"/>
      <c r="B811" s="74"/>
      <c r="C811" s="74"/>
      <c r="D811" s="72"/>
    </row>
    <row r="812" spans="1:4">
      <c r="A812" s="72"/>
      <c r="B812" s="74"/>
      <c r="C812" s="74"/>
      <c r="D812" s="72"/>
    </row>
    <row r="813" spans="1:4">
      <c r="A813" s="72"/>
      <c r="B813" s="74"/>
      <c r="C813" s="74"/>
      <c r="D813" s="72"/>
    </row>
    <row r="814" spans="1:4">
      <c r="A814" s="72"/>
      <c r="B814" s="74"/>
      <c r="C814" s="74"/>
      <c r="D814" s="72"/>
    </row>
    <row r="815" spans="1:4">
      <c r="A815" s="72"/>
      <c r="B815" s="74"/>
      <c r="C815" s="74"/>
      <c r="D815" s="72"/>
    </row>
    <row r="816" spans="1:4">
      <c r="A816" s="72"/>
      <c r="B816" s="74"/>
      <c r="C816" s="74"/>
      <c r="D816" s="72"/>
    </row>
    <row r="817" spans="1:4">
      <c r="A817" s="72"/>
      <c r="B817" s="74"/>
      <c r="C817" s="74"/>
      <c r="D817" s="72"/>
    </row>
    <row r="818" spans="1:4">
      <c r="A818" s="72"/>
      <c r="B818" s="74"/>
      <c r="C818" s="74"/>
      <c r="D818" s="72"/>
    </row>
    <row r="819" spans="1:4">
      <c r="A819" s="72"/>
      <c r="B819" s="74"/>
      <c r="C819" s="74"/>
      <c r="D819" s="72"/>
    </row>
    <row r="820" spans="1:4">
      <c r="A820" s="72"/>
      <c r="B820" s="74"/>
      <c r="C820" s="74"/>
      <c r="D820" s="72"/>
    </row>
    <row r="821" spans="1:4">
      <c r="A821" s="72"/>
      <c r="B821" s="74"/>
      <c r="C821" s="74"/>
      <c r="D821" s="72"/>
    </row>
    <row r="822" spans="1:4">
      <c r="A822" s="72"/>
      <c r="B822" s="74"/>
      <c r="C822" s="74"/>
      <c r="D822" s="72"/>
    </row>
    <row r="823" spans="1:4">
      <c r="A823" s="72"/>
      <c r="B823" s="74"/>
      <c r="C823" s="74"/>
      <c r="D823" s="72"/>
    </row>
    <row r="824" spans="1:4">
      <c r="A824" s="72"/>
      <c r="B824" s="74"/>
      <c r="C824" s="74"/>
      <c r="D824" s="72"/>
    </row>
    <row r="825" spans="1:4">
      <c r="A825" s="72"/>
      <c r="B825" s="74"/>
      <c r="C825" s="74"/>
      <c r="D825" s="72"/>
    </row>
    <row r="826" spans="1:4">
      <c r="A826" s="72"/>
      <c r="B826" s="74"/>
      <c r="C826" s="74"/>
      <c r="D826" s="72"/>
    </row>
    <row r="827" spans="1:4">
      <c r="A827" s="72"/>
      <c r="B827" s="74"/>
      <c r="C827" s="74"/>
      <c r="D827" s="72"/>
    </row>
    <row r="828" spans="1:4">
      <c r="A828" s="72"/>
      <c r="B828" s="74"/>
      <c r="C828" s="74"/>
      <c r="D828" s="72"/>
    </row>
    <row r="829" spans="1:4">
      <c r="A829" s="72"/>
      <c r="B829" s="74"/>
      <c r="C829" s="74"/>
      <c r="D829" s="72"/>
    </row>
    <row r="830" spans="1:4">
      <c r="A830" s="72"/>
      <c r="B830" s="74"/>
      <c r="C830" s="74"/>
      <c r="D830" s="72"/>
    </row>
    <row r="831" spans="1:4">
      <c r="A831" s="72"/>
      <c r="B831" s="74"/>
      <c r="C831" s="74"/>
      <c r="D831" s="72"/>
    </row>
    <row r="832" spans="1:4">
      <c r="A832" s="72"/>
      <c r="B832" s="74"/>
      <c r="C832" s="74"/>
      <c r="D832" s="72"/>
    </row>
    <row r="833" spans="1:4">
      <c r="A833" s="72"/>
      <c r="B833" s="74"/>
      <c r="C833" s="74"/>
      <c r="D833" s="72"/>
    </row>
    <row r="834" spans="1:4">
      <c r="A834" s="72"/>
      <c r="B834" s="74"/>
      <c r="C834" s="74"/>
      <c r="D834" s="72"/>
    </row>
    <row r="835" spans="1:4">
      <c r="A835" s="72"/>
      <c r="B835" s="74"/>
      <c r="C835" s="74"/>
      <c r="D835" s="72"/>
    </row>
    <row r="836" spans="1:4">
      <c r="A836" s="72"/>
      <c r="B836" s="74"/>
      <c r="C836" s="74"/>
      <c r="D836" s="72"/>
    </row>
    <row r="837" spans="1:4">
      <c r="A837" s="72"/>
      <c r="B837" s="74"/>
      <c r="C837" s="74"/>
      <c r="D837" s="72"/>
    </row>
    <row r="838" spans="1:4">
      <c r="A838" s="72"/>
      <c r="B838" s="74"/>
      <c r="C838" s="74"/>
      <c r="D838" s="72"/>
    </row>
    <row r="839" spans="1:4">
      <c r="A839" s="72"/>
      <c r="B839" s="74"/>
      <c r="C839" s="74"/>
      <c r="D839" s="72"/>
    </row>
    <row r="840" spans="1:4">
      <c r="A840" s="72"/>
      <c r="B840" s="74"/>
      <c r="C840" s="74"/>
      <c r="D840" s="72"/>
    </row>
    <row r="841" spans="1:4">
      <c r="A841" s="72"/>
      <c r="B841" s="74"/>
      <c r="C841" s="74"/>
      <c r="D841" s="72"/>
    </row>
    <row r="842" spans="1:4">
      <c r="A842" s="72"/>
      <c r="B842" s="74"/>
      <c r="C842" s="74"/>
      <c r="D842" s="72"/>
    </row>
    <row r="843" spans="1:4">
      <c r="A843" s="72"/>
      <c r="B843" s="74"/>
      <c r="C843" s="74"/>
      <c r="D843" s="72"/>
    </row>
    <row r="844" spans="1:4">
      <c r="A844" s="72"/>
      <c r="B844" s="74"/>
      <c r="C844" s="74"/>
      <c r="D844" s="72"/>
    </row>
    <row r="845" spans="1:4">
      <c r="A845" s="72"/>
      <c r="B845" s="74"/>
      <c r="C845" s="74"/>
      <c r="D845" s="72"/>
    </row>
    <row r="846" spans="1:4">
      <c r="A846" s="72"/>
      <c r="B846" s="74"/>
      <c r="C846" s="74"/>
      <c r="D846" s="72"/>
    </row>
    <row r="847" spans="1:4">
      <c r="A847" s="72"/>
      <c r="B847" s="74"/>
      <c r="C847" s="74"/>
      <c r="D847" s="72"/>
    </row>
    <row r="848" spans="1:4">
      <c r="A848" s="72"/>
      <c r="B848" s="74"/>
      <c r="C848" s="74"/>
      <c r="D848" s="72"/>
    </row>
    <row r="849" spans="1:4">
      <c r="A849" s="72"/>
      <c r="B849" s="74"/>
      <c r="C849" s="74"/>
      <c r="D849" s="72"/>
    </row>
    <row r="850" spans="1:4">
      <c r="A850" s="72"/>
      <c r="B850" s="74"/>
      <c r="C850" s="74"/>
      <c r="D850" s="72"/>
    </row>
    <row r="851" spans="1:4">
      <c r="A851" s="72"/>
      <c r="B851" s="74"/>
      <c r="C851" s="74"/>
      <c r="D851" s="72"/>
    </row>
    <row r="852" spans="1:4">
      <c r="A852" s="72"/>
      <c r="B852" s="74"/>
      <c r="C852" s="74"/>
      <c r="D852" s="72"/>
    </row>
    <row r="853" spans="1:4">
      <c r="A853" s="72"/>
      <c r="B853" s="74"/>
      <c r="C853" s="74"/>
      <c r="D853" s="72"/>
    </row>
    <row r="854" spans="1:4">
      <c r="A854" s="72"/>
      <c r="B854" s="74"/>
      <c r="C854" s="74"/>
      <c r="D854" s="72"/>
    </row>
    <row r="855" spans="1:4">
      <c r="A855" s="72"/>
      <c r="B855" s="74"/>
      <c r="C855" s="74"/>
      <c r="D855" s="72"/>
    </row>
    <row r="856" spans="1:4">
      <c r="A856" s="72"/>
      <c r="B856" s="74"/>
      <c r="C856" s="74"/>
      <c r="D856" s="72"/>
    </row>
    <row r="857" spans="1:4">
      <c r="A857" s="72"/>
      <c r="B857" s="74"/>
      <c r="C857" s="74"/>
      <c r="D857" s="72"/>
    </row>
    <row r="858" spans="1:4">
      <c r="A858" s="72"/>
      <c r="B858" s="74"/>
      <c r="C858" s="74"/>
      <c r="D858" s="72"/>
    </row>
    <row r="859" spans="1:4">
      <c r="A859" s="72"/>
      <c r="B859" s="74"/>
      <c r="C859" s="74"/>
      <c r="D859" s="72"/>
    </row>
    <row r="860" spans="1:4">
      <c r="A860" s="72"/>
      <c r="B860" s="74"/>
      <c r="C860" s="74"/>
      <c r="D860" s="72"/>
    </row>
    <row r="861" spans="1:4">
      <c r="A861" s="72"/>
      <c r="B861" s="74"/>
      <c r="C861" s="74"/>
      <c r="D861" s="72"/>
    </row>
    <row r="862" spans="1:4">
      <c r="A862" s="72"/>
      <c r="B862" s="74"/>
      <c r="C862" s="74"/>
      <c r="D862" s="72"/>
    </row>
    <row r="863" spans="1:4">
      <c r="A863" s="72"/>
      <c r="B863" s="74"/>
      <c r="C863" s="74"/>
      <c r="D863" s="72"/>
    </row>
    <row r="864" spans="1:4">
      <c r="A864" s="72"/>
      <c r="B864" s="74"/>
      <c r="C864" s="74"/>
      <c r="D864" s="72"/>
    </row>
    <row r="865" spans="1:4">
      <c r="A865" s="72"/>
      <c r="B865" s="74"/>
      <c r="C865" s="74"/>
      <c r="D865" s="72"/>
    </row>
    <row r="866" spans="1:4">
      <c r="A866" s="72"/>
      <c r="B866" s="74"/>
      <c r="C866" s="74"/>
      <c r="D866" s="72"/>
    </row>
    <row r="867" spans="1:4">
      <c r="A867" s="72"/>
      <c r="B867" s="74"/>
      <c r="C867" s="74"/>
      <c r="D867" s="72"/>
    </row>
    <row r="868" spans="1:4">
      <c r="A868" s="72"/>
      <c r="B868" s="74"/>
      <c r="C868" s="74"/>
      <c r="D868" s="72"/>
    </row>
    <row r="869" spans="1:4">
      <c r="A869" s="72"/>
      <c r="B869" s="74"/>
      <c r="C869" s="74"/>
      <c r="D869" s="72"/>
    </row>
    <row r="870" spans="1:4">
      <c r="A870" s="72"/>
      <c r="B870" s="74"/>
      <c r="C870" s="74"/>
      <c r="D870" s="72"/>
    </row>
    <row r="871" spans="1:4">
      <c r="A871" s="72"/>
      <c r="B871" s="74"/>
      <c r="C871" s="74"/>
      <c r="D871" s="72"/>
    </row>
    <row r="872" spans="1:4">
      <c r="A872" s="72"/>
      <c r="B872" s="74"/>
      <c r="C872" s="74"/>
      <c r="D872" s="72"/>
    </row>
    <row r="873" spans="1:4">
      <c r="A873" s="72"/>
      <c r="B873" s="74"/>
      <c r="C873" s="74"/>
      <c r="D873" s="72"/>
    </row>
    <row r="874" spans="1:4">
      <c r="A874" s="72"/>
      <c r="B874" s="74"/>
      <c r="C874" s="74"/>
      <c r="D874" s="72"/>
    </row>
    <row r="875" spans="1:4">
      <c r="A875" s="72"/>
      <c r="B875" s="74"/>
      <c r="C875" s="74"/>
      <c r="D875" s="72"/>
    </row>
    <row r="876" spans="1:4">
      <c r="A876" s="72"/>
      <c r="B876" s="74"/>
      <c r="C876" s="74"/>
      <c r="D876" s="72"/>
    </row>
    <row r="877" spans="1:4">
      <c r="A877" s="72"/>
      <c r="B877" s="74"/>
      <c r="C877" s="74"/>
      <c r="D877" s="72"/>
    </row>
    <row r="878" spans="1:4">
      <c r="A878" s="72"/>
      <c r="B878" s="74"/>
      <c r="C878" s="74"/>
      <c r="D878" s="72"/>
    </row>
    <row r="879" spans="1:4">
      <c r="A879" s="72"/>
      <c r="B879" s="74"/>
      <c r="C879" s="74"/>
      <c r="D879" s="72"/>
    </row>
    <row r="880" spans="1:4">
      <c r="A880" s="72"/>
      <c r="B880" s="74"/>
      <c r="C880" s="74"/>
      <c r="D880" s="72"/>
    </row>
    <row r="881" spans="1:4">
      <c r="A881" s="72"/>
      <c r="B881" s="74"/>
      <c r="C881" s="74"/>
      <c r="D881" s="72"/>
    </row>
    <row r="882" spans="1:4">
      <c r="A882" s="72"/>
      <c r="B882" s="74"/>
      <c r="C882" s="74"/>
      <c r="D882" s="72"/>
    </row>
    <row r="883" spans="1:4">
      <c r="A883" s="72"/>
      <c r="B883" s="74"/>
      <c r="C883" s="74"/>
      <c r="D883" s="72"/>
    </row>
    <row r="884" spans="1:4">
      <c r="A884" s="72"/>
      <c r="B884" s="74"/>
      <c r="C884" s="74"/>
      <c r="D884" s="72"/>
    </row>
    <row r="885" spans="1:4">
      <c r="A885" s="72"/>
      <c r="B885" s="74"/>
      <c r="C885" s="74"/>
      <c r="D885" s="72"/>
    </row>
    <row r="886" spans="1:4">
      <c r="A886" s="72"/>
      <c r="B886" s="74"/>
      <c r="C886" s="74"/>
      <c r="D886" s="72"/>
    </row>
    <row r="887" spans="1:4">
      <c r="A887" s="72"/>
      <c r="B887" s="74"/>
      <c r="C887" s="74"/>
      <c r="D887" s="72"/>
    </row>
    <row r="888" spans="1:4">
      <c r="A888" s="72"/>
      <c r="B888" s="74"/>
      <c r="C888" s="74"/>
      <c r="D888" s="72"/>
    </row>
    <row r="889" spans="1:4">
      <c r="A889" s="72"/>
      <c r="B889" s="74"/>
      <c r="C889" s="74"/>
      <c r="D889" s="72"/>
    </row>
    <row r="890" spans="1:4">
      <c r="A890" s="72"/>
      <c r="B890" s="74"/>
      <c r="C890" s="74"/>
      <c r="D890" s="72"/>
    </row>
    <row r="891" spans="1:4">
      <c r="A891" s="72"/>
      <c r="B891" s="74"/>
      <c r="C891" s="74"/>
      <c r="D891" s="72"/>
    </row>
    <row r="892" spans="1:4">
      <c r="A892" s="72"/>
      <c r="B892" s="74"/>
      <c r="C892" s="74"/>
      <c r="D892" s="72"/>
    </row>
    <row r="893" spans="1:4">
      <c r="A893" s="72"/>
      <c r="B893" s="74"/>
      <c r="C893" s="74"/>
      <c r="D893" s="72"/>
    </row>
    <row r="894" spans="1:4">
      <c r="A894" s="72"/>
      <c r="B894" s="74"/>
      <c r="C894" s="74"/>
      <c r="D894" s="72"/>
    </row>
    <row r="895" spans="1:4">
      <c r="A895" s="72"/>
      <c r="B895" s="74"/>
      <c r="C895" s="74"/>
      <c r="D895" s="72"/>
    </row>
    <row r="896" spans="1:4">
      <c r="A896" s="72"/>
      <c r="B896" s="74"/>
      <c r="C896" s="74"/>
      <c r="D896" s="72"/>
    </row>
    <row r="897" spans="1:4">
      <c r="A897" s="72"/>
      <c r="B897" s="74"/>
      <c r="C897" s="74"/>
      <c r="D897" s="72"/>
    </row>
    <row r="898" spans="1:4">
      <c r="A898" s="72"/>
      <c r="B898" s="74"/>
      <c r="C898" s="74"/>
      <c r="D898" s="72"/>
    </row>
    <row r="899" spans="1:4">
      <c r="A899" s="72"/>
      <c r="B899" s="74"/>
      <c r="C899" s="74"/>
      <c r="D899" s="72"/>
    </row>
    <row r="900" spans="1:4">
      <c r="A900" s="72"/>
      <c r="B900" s="74"/>
      <c r="C900" s="74"/>
      <c r="D900" s="72"/>
    </row>
    <row r="901" spans="1:4">
      <c r="A901" s="72"/>
      <c r="B901" s="74"/>
      <c r="C901" s="74"/>
      <c r="D901" s="72"/>
    </row>
    <row r="902" spans="1:4">
      <c r="A902" s="72"/>
      <c r="B902" s="74"/>
      <c r="C902" s="74"/>
      <c r="D902" s="72"/>
    </row>
    <row r="903" spans="1:4">
      <c r="A903" s="72"/>
      <c r="B903" s="74"/>
      <c r="C903" s="74"/>
      <c r="D903" s="72"/>
    </row>
    <row r="904" spans="1:4">
      <c r="A904" s="72"/>
      <c r="B904" s="74"/>
      <c r="C904" s="74"/>
      <c r="D904" s="72"/>
    </row>
    <row r="905" spans="1:4">
      <c r="A905" s="72"/>
      <c r="B905" s="74"/>
      <c r="C905" s="74"/>
      <c r="D905" s="72"/>
    </row>
    <row r="906" spans="1:4">
      <c r="A906" s="72"/>
      <c r="B906" s="74"/>
      <c r="C906" s="74"/>
      <c r="D906" s="72"/>
    </row>
    <row r="907" spans="1:4">
      <c r="A907" s="72"/>
      <c r="B907" s="74"/>
      <c r="C907" s="74"/>
      <c r="D907" s="72"/>
    </row>
    <row r="908" spans="1:4">
      <c r="A908" s="72"/>
      <c r="B908" s="74"/>
      <c r="C908" s="74"/>
      <c r="D908" s="72"/>
    </row>
    <row r="909" spans="1:4">
      <c r="A909" s="72"/>
      <c r="B909" s="74"/>
      <c r="C909" s="74"/>
      <c r="D909" s="72"/>
    </row>
    <row r="910" spans="1:4">
      <c r="A910" s="72"/>
      <c r="B910" s="74"/>
      <c r="C910" s="74"/>
      <c r="D910" s="72"/>
    </row>
    <row r="911" spans="1:4">
      <c r="A911" s="72"/>
      <c r="B911" s="74"/>
      <c r="C911" s="74"/>
      <c r="D911" s="72"/>
    </row>
    <row r="912" spans="1:4">
      <c r="A912" s="72"/>
      <c r="B912" s="74"/>
      <c r="C912" s="74"/>
      <c r="D912" s="72"/>
    </row>
    <row r="913" spans="1:4">
      <c r="A913" s="72"/>
      <c r="B913" s="74"/>
      <c r="C913" s="74"/>
      <c r="D913" s="72"/>
    </row>
    <row r="914" spans="1:4">
      <c r="A914" s="72"/>
      <c r="B914" s="74"/>
      <c r="C914" s="74"/>
      <c r="D914" s="72"/>
    </row>
    <row r="915" spans="1:4">
      <c r="A915" s="72"/>
      <c r="B915" s="74"/>
      <c r="C915" s="74"/>
      <c r="D915" s="72"/>
    </row>
    <row r="916" spans="1:4">
      <c r="A916" s="72"/>
      <c r="B916" s="74"/>
      <c r="C916" s="74"/>
      <c r="D916" s="72"/>
    </row>
    <row r="917" spans="1:4">
      <c r="A917" s="72"/>
      <c r="B917" s="74"/>
      <c r="C917" s="74"/>
      <c r="D917" s="72"/>
    </row>
    <row r="918" spans="1:4">
      <c r="A918" s="72"/>
      <c r="B918" s="74"/>
      <c r="C918" s="74"/>
      <c r="D918" s="72"/>
    </row>
    <row r="919" spans="1:4">
      <c r="A919" s="72"/>
      <c r="B919" s="74"/>
      <c r="C919" s="74"/>
      <c r="D919" s="72"/>
    </row>
    <row r="920" spans="1:4">
      <c r="A920" s="72"/>
      <c r="B920" s="74"/>
      <c r="C920" s="74"/>
      <c r="D920" s="72"/>
    </row>
    <row r="921" spans="1:4">
      <c r="A921" s="72"/>
      <c r="B921" s="74"/>
      <c r="C921" s="74"/>
      <c r="D921" s="72"/>
    </row>
    <row r="922" spans="1:4">
      <c r="A922" s="72"/>
      <c r="B922" s="74"/>
      <c r="C922" s="74"/>
      <c r="D922" s="72"/>
    </row>
    <row r="923" spans="1:4">
      <c r="A923" s="72"/>
      <c r="B923" s="74"/>
      <c r="C923" s="74"/>
      <c r="D923" s="72"/>
    </row>
    <row r="924" spans="1:4">
      <c r="A924" s="72"/>
      <c r="B924" s="74"/>
      <c r="C924" s="74"/>
      <c r="D924" s="72"/>
    </row>
    <row r="925" spans="1:4">
      <c r="A925" s="72"/>
      <c r="B925" s="74"/>
      <c r="C925" s="74"/>
      <c r="D925" s="72"/>
    </row>
    <row r="926" spans="1:4">
      <c r="A926" s="72"/>
      <c r="B926" s="74"/>
      <c r="C926" s="74"/>
      <c r="D926" s="72"/>
    </row>
    <row r="927" spans="1:4">
      <c r="A927" s="72"/>
      <c r="B927" s="74"/>
      <c r="C927" s="74"/>
      <c r="D927" s="72"/>
    </row>
    <row r="928" spans="1:4">
      <c r="A928" s="72"/>
      <c r="B928" s="74"/>
      <c r="C928" s="74"/>
      <c r="D928" s="72"/>
    </row>
    <row r="929" spans="1:4">
      <c r="A929" s="72"/>
      <c r="B929" s="74"/>
      <c r="C929" s="74"/>
      <c r="D929" s="72"/>
    </row>
    <row r="930" spans="1:4">
      <c r="A930" s="72"/>
      <c r="B930" s="74"/>
      <c r="C930" s="74"/>
      <c r="D930" s="72"/>
    </row>
    <row r="931" spans="1:4">
      <c r="A931" s="72"/>
      <c r="B931" s="74"/>
      <c r="C931" s="74"/>
      <c r="D931" s="72"/>
    </row>
    <row r="932" spans="1:4">
      <c r="A932" s="72"/>
      <c r="B932" s="74"/>
      <c r="C932" s="74"/>
      <c r="D932" s="72"/>
    </row>
    <row r="933" spans="1:4">
      <c r="A933" s="72"/>
      <c r="B933" s="74"/>
      <c r="C933" s="74"/>
      <c r="D933" s="72"/>
    </row>
    <row r="934" spans="1:4">
      <c r="A934" s="72"/>
      <c r="B934" s="74"/>
      <c r="C934" s="74"/>
      <c r="D934" s="72"/>
    </row>
    <row r="935" spans="1:4">
      <c r="A935" s="72"/>
      <c r="B935" s="74"/>
      <c r="C935" s="74"/>
      <c r="D935" s="72"/>
    </row>
    <row r="936" spans="1:4">
      <c r="A936" s="72"/>
      <c r="B936" s="74"/>
      <c r="C936" s="74"/>
      <c r="D936" s="72"/>
    </row>
    <row r="937" spans="1:4">
      <c r="A937" s="72"/>
      <c r="B937" s="74"/>
      <c r="C937" s="74"/>
      <c r="D937" s="72"/>
    </row>
    <row r="938" spans="1:4">
      <c r="A938" s="72"/>
      <c r="B938" s="74"/>
      <c r="C938" s="74"/>
      <c r="D938" s="72"/>
    </row>
    <row r="939" spans="1:4">
      <c r="A939" s="72"/>
      <c r="B939" s="74"/>
      <c r="C939" s="74"/>
      <c r="D939" s="72"/>
    </row>
    <row r="940" spans="1:4">
      <c r="A940" s="72"/>
      <c r="B940" s="74"/>
      <c r="C940" s="74"/>
      <c r="D940" s="72"/>
    </row>
    <row r="941" spans="1:4">
      <c r="A941" s="72"/>
      <c r="B941" s="74"/>
      <c r="C941" s="74"/>
      <c r="D941" s="72"/>
    </row>
    <row r="942" spans="1:4">
      <c r="A942" s="72"/>
      <c r="B942" s="74"/>
      <c r="C942" s="74"/>
      <c r="D942" s="72"/>
    </row>
    <row r="943" spans="1:4">
      <c r="A943" s="72"/>
      <c r="B943" s="74"/>
      <c r="C943" s="74"/>
      <c r="D943" s="72"/>
    </row>
    <row r="944" spans="1:4">
      <c r="A944" s="72"/>
      <c r="B944" s="74"/>
      <c r="C944" s="74"/>
      <c r="D944" s="72"/>
    </row>
    <row r="945" spans="1:4">
      <c r="A945" s="72"/>
      <c r="B945" s="74"/>
      <c r="C945" s="74"/>
      <c r="D945" s="72"/>
    </row>
    <row r="946" spans="1:4">
      <c r="A946" s="72"/>
      <c r="B946" s="74"/>
      <c r="C946" s="74"/>
      <c r="D946" s="72"/>
    </row>
    <row r="947" spans="1:4">
      <c r="A947" s="72"/>
      <c r="B947" s="74"/>
      <c r="C947" s="74"/>
      <c r="D947" s="72"/>
    </row>
    <row r="948" spans="1:4">
      <c r="A948" s="72"/>
      <c r="B948" s="74"/>
      <c r="C948" s="74"/>
      <c r="D948" s="72"/>
    </row>
    <row r="949" spans="1:4">
      <c r="A949" s="72"/>
      <c r="B949" s="74"/>
      <c r="C949" s="74"/>
      <c r="D949" s="72"/>
    </row>
    <row r="950" spans="1:4">
      <c r="A950" s="72"/>
      <c r="B950" s="74"/>
      <c r="C950" s="74"/>
      <c r="D950" s="72"/>
    </row>
    <row r="951" spans="1:4">
      <c r="A951" s="72"/>
      <c r="B951" s="74"/>
      <c r="C951" s="74"/>
      <c r="D951" s="72"/>
    </row>
    <row r="952" spans="1:4">
      <c r="A952" s="72"/>
      <c r="B952" s="74"/>
      <c r="C952" s="74"/>
      <c r="D952" s="72"/>
    </row>
    <row r="953" spans="1:4">
      <c r="A953" s="72"/>
      <c r="B953" s="74"/>
      <c r="C953" s="74"/>
      <c r="D953" s="72"/>
    </row>
    <row r="954" spans="1:4">
      <c r="A954" s="72"/>
      <c r="B954" s="74"/>
      <c r="C954" s="74"/>
      <c r="D954" s="72"/>
    </row>
    <row r="955" spans="1:4">
      <c r="A955" s="72"/>
      <c r="B955" s="74"/>
      <c r="C955" s="74"/>
      <c r="D955" s="72"/>
    </row>
    <row r="956" spans="1:4">
      <c r="A956" s="72"/>
      <c r="B956" s="74"/>
      <c r="C956" s="74"/>
      <c r="D956" s="72"/>
    </row>
    <row r="957" spans="1:4">
      <c r="A957" s="72"/>
      <c r="B957" s="74"/>
      <c r="C957" s="74"/>
      <c r="D957" s="72"/>
    </row>
    <row r="958" spans="1:4">
      <c r="A958" s="72"/>
      <c r="B958" s="74"/>
      <c r="C958" s="74"/>
      <c r="D958" s="72"/>
    </row>
    <row r="959" spans="1:4">
      <c r="A959" s="72"/>
      <c r="B959" s="74"/>
      <c r="C959" s="74"/>
      <c r="D959" s="72"/>
    </row>
    <row r="960" spans="1:4">
      <c r="A960" s="72"/>
      <c r="B960" s="74"/>
      <c r="C960" s="74"/>
      <c r="D960" s="72"/>
    </row>
    <row r="961" spans="1:4">
      <c r="A961" s="72"/>
      <c r="B961" s="74"/>
      <c r="C961" s="74"/>
      <c r="D961" s="72"/>
    </row>
    <row r="962" spans="1:4">
      <c r="A962" s="72"/>
      <c r="B962" s="74"/>
      <c r="C962" s="74"/>
      <c r="D962" s="72"/>
    </row>
    <row r="963" spans="1:4">
      <c r="A963" s="72"/>
      <c r="B963" s="74"/>
      <c r="C963" s="74"/>
      <c r="D963" s="72"/>
    </row>
    <row r="964" spans="1:4">
      <c r="A964" s="72"/>
      <c r="B964" s="74"/>
      <c r="C964" s="74"/>
      <c r="D964" s="72"/>
    </row>
    <row r="965" spans="1:4">
      <c r="A965" s="72"/>
      <c r="B965" s="74"/>
      <c r="C965" s="74"/>
      <c r="D965" s="72"/>
    </row>
    <row r="966" spans="1:4">
      <c r="A966" s="72"/>
      <c r="B966" s="74"/>
      <c r="C966" s="74"/>
      <c r="D966" s="72"/>
    </row>
    <row r="967" spans="1:4">
      <c r="A967" s="72"/>
      <c r="B967" s="74"/>
      <c r="C967" s="74"/>
      <c r="D967" s="72"/>
    </row>
    <row r="968" spans="1:4">
      <c r="A968" s="72"/>
      <c r="B968" s="74"/>
      <c r="C968" s="74"/>
      <c r="D968" s="72"/>
    </row>
    <row r="969" spans="1:4">
      <c r="A969" s="72"/>
      <c r="B969" s="74"/>
      <c r="C969" s="74"/>
      <c r="D969" s="72"/>
    </row>
    <row r="970" spans="1:4">
      <c r="A970" s="72"/>
      <c r="B970" s="74"/>
      <c r="C970" s="74"/>
      <c r="D970" s="72"/>
    </row>
    <row r="971" spans="1:4">
      <c r="A971" s="72"/>
      <c r="B971" s="74"/>
      <c r="C971" s="74"/>
      <c r="D971" s="72"/>
    </row>
    <row r="972" spans="1:4">
      <c r="A972" s="72"/>
      <c r="B972" s="74"/>
      <c r="C972" s="74"/>
      <c r="D972" s="72"/>
    </row>
    <row r="973" spans="1:4">
      <c r="A973" s="72"/>
      <c r="B973" s="74"/>
      <c r="C973" s="74"/>
      <c r="D973" s="72"/>
    </row>
    <row r="974" spans="1:4">
      <c r="A974" s="72"/>
      <c r="B974" s="74"/>
      <c r="C974" s="74"/>
      <c r="D974" s="72"/>
    </row>
    <row r="975" spans="1:4">
      <c r="A975" s="72"/>
      <c r="B975" s="74"/>
      <c r="C975" s="74"/>
      <c r="D975" s="72"/>
    </row>
    <row r="976" spans="1:4">
      <c r="A976" s="72"/>
      <c r="B976" s="74"/>
      <c r="C976" s="74"/>
      <c r="D976" s="72"/>
    </row>
    <row r="977" spans="1:4">
      <c r="A977" s="72"/>
      <c r="B977" s="74"/>
      <c r="C977" s="74"/>
      <c r="D977" s="72"/>
    </row>
    <row r="978" spans="1:4">
      <c r="A978" s="72"/>
      <c r="B978" s="74"/>
      <c r="C978" s="74"/>
      <c r="D978" s="72"/>
    </row>
    <row r="979" spans="1:4">
      <c r="A979" s="72"/>
      <c r="B979" s="74"/>
      <c r="C979" s="74"/>
      <c r="D979" s="72"/>
    </row>
    <row r="980" spans="1:4">
      <c r="A980" s="72"/>
      <c r="B980" s="74"/>
      <c r="C980" s="74"/>
      <c r="D980" s="72"/>
    </row>
    <row r="981" spans="1:4">
      <c r="A981" s="72"/>
      <c r="B981" s="74"/>
      <c r="C981" s="74"/>
      <c r="D981" s="72"/>
    </row>
    <row r="982" spans="1:4">
      <c r="A982" s="72"/>
      <c r="B982" s="74"/>
      <c r="C982" s="74"/>
      <c r="D982" s="72"/>
    </row>
    <row r="983" spans="1:4">
      <c r="A983" s="72"/>
      <c r="B983" s="74"/>
      <c r="C983" s="74"/>
      <c r="D983" s="72"/>
    </row>
    <row r="984" spans="1:4">
      <c r="A984" s="72"/>
      <c r="B984" s="74"/>
      <c r="C984" s="74"/>
      <c r="D984" s="72"/>
    </row>
    <row r="985" spans="1:4">
      <c r="A985" s="72"/>
      <c r="B985" s="74"/>
      <c r="C985" s="74"/>
      <c r="D985" s="72"/>
    </row>
    <row r="986" spans="1:4">
      <c r="A986" s="72"/>
      <c r="B986" s="74"/>
      <c r="C986" s="74"/>
      <c r="D986" s="72"/>
    </row>
    <row r="987" spans="1:4">
      <c r="A987" s="72"/>
      <c r="B987" s="74"/>
      <c r="C987" s="74"/>
      <c r="D987" s="72"/>
    </row>
    <row r="988" spans="1:4">
      <c r="A988" s="72"/>
      <c r="B988" s="74"/>
      <c r="C988" s="74"/>
      <c r="D988" s="72"/>
    </row>
    <row r="989" spans="1:4">
      <c r="A989" s="72"/>
      <c r="B989" s="74"/>
      <c r="C989" s="74"/>
      <c r="D989" s="72"/>
    </row>
    <row r="990" spans="1:4">
      <c r="A990" s="72"/>
      <c r="B990" s="74"/>
      <c r="C990" s="74"/>
      <c r="D990" s="72"/>
    </row>
    <row r="991" spans="1:4">
      <c r="A991" s="72"/>
      <c r="B991" s="74"/>
      <c r="C991" s="74"/>
      <c r="D991" s="72"/>
    </row>
    <row r="992" spans="1:4">
      <c r="A992" s="72"/>
      <c r="B992" s="74"/>
      <c r="C992" s="74"/>
      <c r="D992" s="72"/>
    </row>
    <row r="993" spans="1:4">
      <c r="A993" s="72"/>
      <c r="B993" s="74"/>
      <c r="C993" s="74"/>
      <c r="D993" s="72"/>
    </row>
    <row r="994" spans="1:4">
      <c r="A994" s="72"/>
      <c r="B994" s="74"/>
      <c r="C994" s="74"/>
      <c r="D994" s="72"/>
    </row>
    <row r="995" spans="1:4">
      <c r="A995" s="72"/>
      <c r="B995" s="74"/>
      <c r="C995" s="74"/>
      <c r="D995" s="72"/>
    </row>
    <row r="996" spans="1:4">
      <c r="A996" s="72"/>
      <c r="B996" s="74"/>
      <c r="C996" s="74"/>
      <c r="D996" s="72"/>
    </row>
    <row r="997" spans="1:4">
      <c r="A997" s="72"/>
      <c r="B997" s="74"/>
      <c r="C997" s="74"/>
      <c r="D997" s="72"/>
    </row>
    <row r="998" spans="1:4">
      <c r="A998" s="72"/>
      <c r="B998" s="74"/>
      <c r="C998" s="74"/>
      <c r="D998" s="72"/>
    </row>
    <row r="999" spans="1:4">
      <c r="A999" s="72"/>
      <c r="B999" s="74"/>
      <c r="C999" s="74"/>
      <c r="D999" s="72"/>
    </row>
    <row r="1000" spans="1:4">
      <c r="A1000" s="72"/>
      <c r="B1000" s="74"/>
      <c r="C1000" s="74"/>
      <c r="D1000" s="72"/>
    </row>
    <row r="1001" spans="1:4">
      <c r="A1001" s="72"/>
      <c r="B1001" s="74"/>
      <c r="C1001" s="74"/>
      <c r="D1001" s="72"/>
    </row>
    <row r="1002" spans="1:4">
      <c r="A1002" s="72"/>
      <c r="B1002" s="74"/>
      <c r="C1002" s="74"/>
      <c r="D1002" s="72"/>
    </row>
    <row r="1003" spans="1:4">
      <c r="A1003" s="72"/>
      <c r="B1003" s="74"/>
      <c r="C1003" s="74"/>
      <c r="D1003" s="72"/>
    </row>
    <row r="1004" spans="1:4">
      <c r="A1004" s="72"/>
      <c r="B1004" s="74"/>
      <c r="C1004" s="74"/>
      <c r="D1004" s="72"/>
    </row>
    <row r="1005" spans="1:4">
      <c r="A1005" s="72"/>
      <c r="B1005" s="74"/>
      <c r="C1005" s="74"/>
      <c r="D1005" s="72"/>
    </row>
    <row r="1006" spans="1:4">
      <c r="A1006" s="72"/>
      <c r="B1006" s="74"/>
      <c r="C1006" s="74"/>
      <c r="D1006" s="72"/>
    </row>
    <row r="1007" spans="1:4">
      <c r="A1007" s="72"/>
      <c r="B1007" s="74"/>
      <c r="C1007" s="74"/>
      <c r="D1007" s="72"/>
    </row>
    <row r="1008" spans="1:4">
      <c r="A1008" s="72"/>
      <c r="B1008" s="74"/>
      <c r="C1008" s="74"/>
      <c r="D1008" s="72"/>
    </row>
    <row r="1009" spans="1:4">
      <c r="A1009" s="72"/>
      <c r="B1009" s="74"/>
      <c r="C1009" s="74"/>
      <c r="D1009" s="72"/>
    </row>
    <row r="1010" spans="1:4">
      <c r="A1010" s="72"/>
      <c r="B1010" s="74"/>
      <c r="C1010" s="74"/>
      <c r="D1010" s="72"/>
    </row>
    <row r="1011" spans="1:4">
      <c r="A1011" s="72"/>
      <c r="B1011" s="74"/>
      <c r="C1011" s="74"/>
      <c r="D1011" s="72"/>
    </row>
    <row r="1012" spans="1:4">
      <c r="A1012" s="72"/>
      <c r="B1012" s="74"/>
      <c r="C1012" s="74"/>
      <c r="D1012" s="72"/>
    </row>
    <row r="1013" spans="1:4">
      <c r="A1013" s="72"/>
      <c r="B1013" s="74"/>
      <c r="C1013" s="74"/>
      <c r="D1013" s="72"/>
    </row>
    <row r="1014" spans="1:4">
      <c r="A1014" s="72"/>
      <c r="B1014" s="74"/>
      <c r="C1014" s="74"/>
      <c r="D1014" s="72"/>
    </row>
    <row r="1015" spans="1:4">
      <c r="A1015" s="72"/>
      <c r="B1015" s="74"/>
      <c r="C1015" s="74"/>
      <c r="D1015" s="72"/>
    </row>
    <row r="1016" spans="1:4">
      <c r="A1016" s="72"/>
      <c r="B1016" s="74"/>
      <c r="C1016" s="74"/>
      <c r="D1016" s="72"/>
    </row>
    <row r="1017" spans="1:4">
      <c r="A1017" s="72"/>
      <c r="B1017" s="74"/>
      <c r="C1017" s="74"/>
      <c r="D1017" s="72"/>
    </row>
    <row r="1018" spans="1:4">
      <c r="A1018" s="72"/>
      <c r="B1018" s="74"/>
      <c r="C1018" s="74"/>
      <c r="D1018" s="72"/>
    </row>
    <row r="1019" spans="1:4">
      <c r="A1019" s="72"/>
      <c r="B1019" s="74"/>
      <c r="C1019" s="74"/>
      <c r="D1019" s="72"/>
    </row>
    <row r="1020" spans="1:4">
      <c r="A1020" s="72"/>
      <c r="B1020" s="74"/>
      <c r="C1020" s="74"/>
      <c r="D1020" s="72"/>
    </row>
    <row r="1021" spans="1:4">
      <c r="A1021" s="72"/>
      <c r="B1021" s="74"/>
      <c r="C1021" s="74"/>
      <c r="D1021" s="72"/>
    </row>
    <row r="1022" spans="1:4">
      <c r="A1022" s="72"/>
      <c r="B1022" s="74"/>
      <c r="C1022" s="74"/>
      <c r="D1022" s="72"/>
    </row>
    <row r="1023" spans="1:4">
      <c r="A1023" s="72"/>
      <c r="B1023" s="74"/>
      <c r="C1023" s="74"/>
      <c r="D1023" s="72"/>
    </row>
    <row r="1024" spans="1:4">
      <c r="A1024" s="72"/>
      <c r="B1024" s="74"/>
      <c r="C1024" s="74"/>
      <c r="D1024" s="72"/>
    </row>
    <row r="1025" spans="1:4">
      <c r="A1025" s="72"/>
      <c r="B1025" s="74"/>
      <c r="C1025" s="74"/>
      <c r="D1025" s="72"/>
    </row>
    <row r="1026" spans="1:4">
      <c r="A1026" s="72"/>
      <c r="B1026" s="74"/>
      <c r="C1026" s="74"/>
      <c r="D1026" s="72"/>
    </row>
    <row r="1027" spans="1:4">
      <c r="A1027" s="72"/>
      <c r="B1027" s="74"/>
      <c r="C1027" s="74"/>
      <c r="D1027" s="72"/>
    </row>
    <row r="1028" spans="1:4">
      <c r="A1028" s="72"/>
      <c r="B1028" s="74"/>
      <c r="C1028" s="74"/>
      <c r="D1028" s="72"/>
    </row>
    <row r="1029" spans="1:4">
      <c r="A1029" s="72"/>
      <c r="B1029" s="74"/>
      <c r="C1029" s="74"/>
      <c r="D1029" s="72"/>
    </row>
    <row r="1030" spans="1:4">
      <c r="A1030" s="72"/>
      <c r="B1030" s="74"/>
      <c r="C1030" s="74"/>
      <c r="D1030" s="72"/>
    </row>
    <row r="1031" spans="1:4">
      <c r="A1031" s="72"/>
      <c r="B1031" s="74"/>
      <c r="C1031" s="74"/>
      <c r="D1031" s="72"/>
    </row>
    <row r="1032" spans="1:4">
      <c r="A1032" s="72"/>
      <c r="B1032" s="74"/>
      <c r="C1032" s="74"/>
      <c r="D1032" s="72"/>
    </row>
    <row r="1033" spans="1:4">
      <c r="A1033" s="72"/>
      <c r="B1033" s="74"/>
      <c r="C1033" s="74"/>
      <c r="D1033" s="72"/>
    </row>
    <row r="1034" spans="1:4">
      <c r="A1034" s="72"/>
      <c r="B1034" s="74"/>
      <c r="C1034" s="74"/>
      <c r="D1034" s="72"/>
    </row>
    <row r="1035" spans="1:4">
      <c r="A1035" s="72"/>
      <c r="B1035" s="74"/>
      <c r="C1035" s="74"/>
      <c r="D1035" s="72"/>
    </row>
    <row r="1036" spans="1:4">
      <c r="A1036" s="72"/>
      <c r="B1036" s="74"/>
      <c r="C1036" s="74"/>
      <c r="D1036" s="72"/>
    </row>
    <row r="1037" spans="1:4">
      <c r="A1037" s="72"/>
      <c r="B1037" s="74"/>
      <c r="C1037" s="74"/>
      <c r="D1037" s="72"/>
    </row>
    <row r="1038" spans="1:4">
      <c r="A1038" s="72"/>
      <c r="B1038" s="74"/>
      <c r="C1038" s="74"/>
      <c r="D1038" s="72"/>
    </row>
    <row r="1039" spans="1:4">
      <c r="A1039" s="72"/>
      <c r="B1039" s="74"/>
      <c r="C1039" s="74"/>
      <c r="D1039" s="72"/>
    </row>
    <row r="1040" spans="1:4">
      <c r="A1040" s="72"/>
      <c r="B1040" s="74"/>
      <c r="C1040" s="74"/>
      <c r="D1040" s="72"/>
    </row>
    <row r="1041" spans="1:4">
      <c r="A1041" s="72"/>
      <c r="B1041" s="74"/>
      <c r="C1041" s="74"/>
      <c r="D1041" s="72"/>
    </row>
    <row r="1042" spans="1:4">
      <c r="A1042" s="72"/>
      <c r="B1042" s="74"/>
      <c r="C1042" s="74"/>
      <c r="D1042" s="72"/>
    </row>
    <row r="1043" spans="1:4">
      <c r="A1043" s="72"/>
      <c r="B1043" s="74"/>
      <c r="C1043" s="74"/>
      <c r="D1043" s="72"/>
    </row>
    <row r="1044" spans="1:4">
      <c r="A1044" s="72"/>
      <c r="B1044" s="74"/>
      <c r="C1044" s="74"/>
      <c r="D1044" s="72"/>
    </row>
    <row r="1045" spans="1:4">
      <c r="A1045" s="72"/>
      <c r="B1045" s="74"/>
      <c r="C1045" s="74"/>
      <c r="D1045" s="72"/>
    </row>
    <row r="1046" spans="1:4">
      <c r="A1046" s="72"/>
      <c r="B1046" s="74"/>
      <c r="C1046" s="74"/>
      <c r="D1046" s="72"/>
    </row>
    <row r="1047" spans="1:4">
      <c r="A1047" s="72"/>
      <c r="B1047" s="74"/>
      <c r="C1047" s="74"/>
      <c r="D1047" s="72"/>
    </row>
    <row r="1048" spans="1:4">
      <c r="A1048" s="72"/>
      <c r="B1048" s="74"/>
      <c r="C1048" s="74"/>
      <c r="D1048" s="72"/>
    </row>
    <row r="1049" spans="1:4">
      <c r="A1049" s="72"/>
      <c r="B1049" s="74"/>
      <c r="C1049" s="74"/>
      <c r="D1049" s="72"/>
    </row>
    <row r="1050" spans="1:4">
      <c r="A1050" s="72"/>
      <c r="B1050" s="74"/>
      <c r="C1050" s="74"/>
      <c r="D1050" s="72"/>
    </row>
    <row r="1051" spans="1:4">
      <c r="A1051" s="72"/>
      <c r="B1051" s="74"/>
      <c r="C1051" s="74"/>
      <c r="D1051" s="72"/>
    </row>
    <row r="1052" spans="1:4">
      <c r="A1052" s="72"/>
      <c r="B1052" s="74"/>
      <c r="C1052" s="74"/>
      <c r="D1052" s="72"/>
    </row>
    <row r="1053" spans="1:4">
      <c r="A1053" s="72"/>
      <c r="B1053" s="74"/>
      <c r="C1053" s="74"/>
      <c r="D1053" s="72"/>
    </row>
    <row r="1054" spans="1:4">
      <c r="A1054" s="72"/>
      <c r="B1054" s="74"/>
      <c r="C1054" s="74"/>
      <c r="D1054" s="72"/>
    </row>
    <row r="1055" spans="1:4">
      <c r="A1055" s="72"/>
      <c r="B1055" s="74"/>
      <c r="C1055" s="74"/>
      <c r="D1055" s="72"/>
    </row>
    <row r="1056" spans="1:4">
      <c r="A1056" s="72"/>
      <c r="B1056" s="74"/>
      <c r="C1056" s="74"/>
      <c r="D1056" s="72"/>
    </row>
    <row r="1057" spans="1:4">
      <c r="A1057" s="72"/>
      <c r="B1057" s="74"/>
      <c r="C1057" s="74"/>
      <c r="D1057" s="72"/>
    </row>
    <row r="1058" spans="1:4">
      <c r="A1058" s="72"/>
      <c r="B1058" s="74"/>
      <c r="C1058" s="74"/>
      <c r="D1058" s="72"/>
    </row>
    <row r="1059" spans="1:4">
      <c r="A1059" s="72"/>
      <c r="B1059" s="74"/>
      <c r="C1059" s="74"/>
      <c r="D1059" s="72"/>
    </row>
    <row r="1060" spans="1:4">
      <c r="A1060" s="72"/>
      <c r="B1060" s="74"/>
      <c r="C1060" s="74"/>
      <c r="D1060" s="72"/>
    </row>
    <row r="1061" spans="1:4">
      <c r="A1061" s="72"/>
      <c r="B1061" s="74"/>
      <c r="C1061" s="74"/>
      <c r="D1061" s="72"/>
    </row>
    <row r="1062" spans="1:4">
      <c r="A1062" s="72"/>
      <c r="B1062" s="74"/>
      <c r="C1062" s="74"/>
      <c r="D1062" s="72"/>
    </row>
    <row r="1063" spans="1:4">
      <c r="A1063" s="72"/>
      <c r="B1063" s="74"/>
      <c r="C1063" s="74"/>
      <c r="D1063" s="72"/>
    </row>
    <row r="1064" spans="1:4">
      <c r="A1064" s="72"/>
      <c r="B1064" s="74"/>
      <c r="C1064" s="74"/>
      <c r="D1064" s="72"/>
    </row>
    <row r="1065" spans="1:4">
      <c r="A1065" s="72"/>
      <c r="B1065" s="74"/>
      <c r="C1065" s="74"/>
      <c r="D1065" s="7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zoomScale="90" zoomScaleNormal="90" workbookViewId="0">
      <selection activeCell="A3" sqref="A3:H4"/>
    </sheetView>
  </sheetViews>
  <sheetFormatPr defaultColWidth="8.77734375" defaultRowHeight="14.4"/>
  <cols>
    <col min="1" max="1" width="18.88671875" style="34" customWidth="1"/>
    <col min="2" max="2" width="21.88671875" style="34" customWidth="1"/>
    <col min="3" max="3" width="25" style="34" customWidth="1"/>
    <col min="4" max="4" width="15.33203125" style="34" customWidth="1"/>
    <col min="5" max="5" width="25.33203125" style="34" customWidth="1"/>
    <col min="6" max="6" width="25.44140625" style="34" customWidth="1"/>
    <col min="7" max="7" width="16.5546875" style="34" customWidth="1"/>
    <col min="8" max="8" width="34.218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6.5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120</v>
      </c>
      <c r="B3" s="222"/>
      <c r="C3" s="222"/>
      <c r="D3" s="222"/>
      <c r="E3" s="222"/>
      <c r="F3" s="222"/>
      <c r="G3" s="222"/>
      <c r="H3" s="223"/>
      <c r="I3" s="165"/>
    </row>
    <row r="4" spans="1:9" ht="28.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>
        <v>12000</v>
      </c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>
        <v>8000</v>
      </c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>
        <v>5000</v>
      </c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>
        <v>3776</v>
      </c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>
        <v>2000</v>
      </c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>
        <v>2124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>
        <v>3500</v>
      </c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>
        <v>1357</v>
      </c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88</v>
      </c>
      <c r="B14" s="3"/>
      <c r="C14" s="203">
        <v>2500</v>
      </c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116</v>
      </c>
      <c r="B17" s="18"/>
      <c r="C17" s="18">
        <v>3000</v>
      </c>
      <c r="D17" s="18">
        <v>30</v>
      </c>
      <c r="E17" s="11">
        <f>PRODUCT(B17*C17)</f>
        <v>0</v>
      </c>
      <c r="F17" s="8">
        <f t="shared" ref="F17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89</v>
      </c>
      <c r="B18" s="18"/>
      <c r="C18" s="18">
        <v>2000</v>
      </c>
      <c r="D18" s="18">
        <v>25</v>
      </c>
      <c r="E18" s="11">
        <f t="shared" ref="E18:E36" si="4">PRODUCT(B18*C18)</f>
        <v>0</v>
      </c>
      <c r="F18" s="8">
        <f t="shared" ref="F18:F36" si="5">PRODUCT(E18*18)/118</f>
        <v>0</v>
      </c>
      <c r="G18" s="84">
        <f t="shared" ref="G18:G36" si="6">PRODUCT(B18*D18)</f>
        <v>0</v>
      </c>
      <c r="H18" s="92">
        <f t="shared" ref="H18:H36" si="7">SUM(F18:G18)</f>
        <v>0</v>
      </c>
      <c r="I18" s="165"/>
    </row>
    <row r="19" spans="1:9" ht="15" thickBot="1">
      <c r="A19" s="27" t="s">
        <v>45</v>
      </c>
      <c r="B19" s="18"/>
      <c r="C19" s="18">
        <v>11000</v>
      </c>
      <c r="D19" s="18">
        <v>50</v>
      </c>
      <c r="E19" s="11">
        <f t="shared" si="4"/>
        <v>0</v>
      </c>
      <c r="F19" s="8">
        <f t="shared" si="5"/>
        <v>0</v>
      </c>
      <c r="G19" s="84">
        <f t="shared" si="6"/>
        <v>0</v>
      </c>
      <c r="H19" s="92">
        <f t="shared" si="7"/>
        <v>0</v>
      </c>
      <c r="I19" s="165"/>
    </row>
    <row r="20" spans="1:9" ht="15" thickBot="1">
      <c r="A20" s="27" t="s">
        <v>119</v>
      </c>
      <c r="B20" s="18"/>
      <c r="C20" s="18">
        <v>1500</v>
      </c>
      <c r="D20" s="18">
        <v>20</v>
      </c>
      <c r="E20" s="11">
        <f t="shared" si="4"/>
        <v>0</v>
      </c>
      <c r="F20" s="8">
        <f t="shared" si="5"/>
        <v>0</v>
      </c>
      <c r="G20" s="84">
        <f t="shared" si="6"/>
        <v>0</v>
      </c>
      <c r="H20" s="92">
        <f t="shared" si="7"/>
        <v>0</v>
      </c>
      <c r="I20" s="165"/>
    </row>
    <row r="21" spans="1:9" ht="15" thickBot="1">
      <c r="A21" s="28" t="s">
        <v>90</v>
      </c>
      <c r="B21" s="18"/>
      <c r="C21" s="18">
        <v>8000</v>
      </c>
      <c r="D21" s="18">
        <v>50</v>
      </c>
      <c r="E21" s="11">
        <f t="shared" si="4"/>
        <v>0</v>
      </c>
      <c r="F21" s="8">
        <f t="shared" si="5"/>
        <v>0</v>
      </c>
      <c r="G21" s="84">
        <f t="shared" si="6"/>
        <v>0</v>
      </c>
      <c r="H21" s="92">
        <f t="shared" si="7"/>
        <v>0</v>
      </c>
      <c r="I21" s="165"/>
    </row>
    <row r="22" spans="1:9" ht="15" thickBot="1">
      <c r="A22" s="28" t="s">
        <v>88</v>
      </c>
      <c r="B22" s="18"/>
      <c r="C22" s="18">
        <v>3000</v>
      </c>
      <c r="D22" s="18">
        <v>20</v>
      </c>
      <c r="E22" s="11">
        <f t="shared" si="4"/>
        <v>0</v>
      </c>
      <c r="F22" s="8">
        <f t="shared" si="5"/>
        <v>0</v>
      </c>
      <c r="G22" s="84">
        <f t="shared" si="6"/>
        <v>0</v>
      </c>
      <c r="H22" s="92">
        <f t="shared" si="7"/>
        <v>0</v>
      </c>
      <c r="I22" s="165"/>
    </row>
    <row r="23" spans="1:9" ht="15" thickBot="1">
      <c r="A23" s="28" t="s">
        <v>93</v>
      </c>
      <c r="B23" s="18"/>
      <c r="C23" s="18">
        <v>10620</v>
      </c>
      <c r="D23" s="18">
        <v>50</v>
      </c>
      <c r="E23" s="11">
        <f t="shared" si="4"/>
        <v>0</v>
      </c>
      <c r="F23" s="8">
        <f t="shared" si="5"/>
        <v>0</v>
      </c>
      <c r="G23" s="84">
        <f t="shared" si="6"/>
        <v>0</v>
      </c>
      <c r="H23" s="92">
        <f t="shared" si="7"/>
        <v>0</v>
      </c>
      <c r="I23" s="165"/>
    </row>
    <row r="24" spans="1:9" ht="15" thickBot="1">
      <c r="A24" s="28" t="s">
        <v>45</v>
      </c>
      <c r="B24" s="18"/>
      <c r="C24" s="18">
        <v>4720</v>
      </c>
      <c r="D24" s="18">
        <v>50</v>
      </c>
      <c r="E24" s="11">
        <f t="shared" si="4"/>
        <v>0</v>
      </c>
      <c r="F24" s="8">
        <f t="shared" si="5"/>
        <v>0</v>
      </c>
      <c r="G24" s="84">
        <f t="shared" si="6"/>
        <v>0</v>
      </c>
      <c r="H24" s="92">
        <f t="shared" si="7"/>
        <v>0</v>
      </c>
      <c r="I24" s="165"/>
    </row>
    <row r="25" spans="1:9" ht="15" thickBot="1">
      <c r="A25" s="28" t="s">
        <v>65</v>
      </c>
      <c r="B25" s="18"/>
      <c r="C25" s="18">
        <v>2596</v>
      </c>
      <c r="D25" s="18">
        <v>30</v>
      </c>
      <c r="E25" s="11">
        <f t="shared" si="4"/>
        <v>0</v>
      </c>
      <c r="F25" s="8">
        <f t="shared" si="5"/>
        <v>0</v>
      </c>
      <c r="G25" s="84">
        <f t="shared" si="6"/>
        <v>0</v>
      </c>
      <c r="H25" s="92">
        <f t="shared" si="7"/>
        <v>0</v>
      </c>
      <c r="I25" s="165"/>
    </row>
    <row r="26" spans="1:9" ht="15" thickBot="1">
      <c r="A26" s="28" t="s">
        <v>44</v>
      </c>
      <c r="B26" s="18"/>
      <c r="C26" s="18">
        <v>7000</v>
      </c>
      <c r="D26" s="18">
        <v>50</v>
      </c>
      <c r="E26" s="11">
        <f t="shared" si="4"/>
        <v>0</v>
      </c>
      <c r="F26" s="8">
        <f t="shared" si="5"/>
        <v>0</v>
      </c>
      <c r="G26" s="84">
        <f t="shared" si="6"/>
        <v>0</v>
      </c>
      <c r="H26" s="92">
        <f t="shared" si="7"/>
        <v>0</v>
      </c>
      <c r="I26" s="165"/>
    </row>
    <row r="27" spans="1:9" ht="15" thickBot="1">
      <c r="A27" s="28" t="s">
        <v>92</v>
      </c>
      <c r="B27" s="18"/>
      <c r="C27" s="18">
        <v>2000</v>
      </c>
      <c r="D27" s="18">
        <v>25</v>
      </c>
      <c r="E27" s="11">
        <f t="shared" si="4"/>
        <v>0</v>
      </c>
      <c r="F27" s="8">
        <f t="shared" si="5"/>
        <v>0</v>
      </c>
      <c r="G27" s="84">
        <f t="shared" si="6"/>
        <v>0</v>
      </c>
      <c r="H27" s="92">
        <f t="shared" si="7"/>
        <v>0</v>
      </c>
      <c r="I27" s="165"/>
    </row>
    <row r="28" spans="1:9" ht="15" thickBot="1">
      <c r="A28" s="29" t="s">
        <v>45</v>
      </c>
      <c r="B28" s="18"/>
      <c r="C28" s="18">
        <v>6000</v>
      </c>
      <c r="D28" s="18">
        <v>50</v>
      </c>
      <c r="E28" s="11">
        <f t="shared" si="4"/>
        <v>0</v>
      </c>
      <c r="F28" s="8">
        <f t="shared" si="5"/>
        <v>0</v>
      </c>
      <c r="G28" s="84">
        <f t="shared" si="6"/>
        <v>0</v>
      </c>
      <c r="H28" s="92">
        <f t="shared" si="7"/>
        <v>0</v>
      </c>
      <c r="I28" s="165"/>
    </row>
    <row r="29" spans="1:9" ht="15" thickBot="1">
      <c r="A29" s="28" t="s">
        <v>90</v>
      </c>
      <c r="B29" s="18"/>
      <c r="C29" s="18">
        <v>21000</v>
      </c>
      <c r="D29" s="18">
        <v>50</v>
      </c>
      <c r="E29" s="11">
        <f t="shared" si="4"/>
        <v>0</v>
      </c>
      <c r="F29" s="8">
        <f t="shared" si="5"/>
        <v>0</v>
      </c>
      <c r="G29" s="84">
        <f t="shared" si="6"/>
        <v>0</v>
      </c>
      <c r="H29" s="92">
        <f t="shared" si="7"/>
        <v>0</v>
      </c>
      <c r="I29" s="165"/>
    </row>
    <row r="30" spans="1:9" ht="15" thickBot="1">
      <c r="A30" s="28" t="s">
        <v>94</v>
      </c>
      <c r="B30" s="18"/>
      <c r="C30" s="18">
        <v>2500</v>
      </c>
      <c r="D30" s="18">
        <v>30</v>
      </c>
      <c r="E30" s="11">
        <f t="shared" si="4"/>
        <v>0</v>
      </c>
      <c r="F30" s="8">
        <f t="shared" si="5"/>
        <v>0</v>
      </c>
      <c r="G30" s="84">
        <f t="shared" si="6"/>
        <v>0</v>
      </c>
      <c r="H30" s="92">
        <f t="shared" si="7"/>
        <v>0</v>
      </c>
      <c r="I30" s="165"/>
    </row>
    <row r="31" spans="1:9" ht="15" thickBot="1">
      <c r="A31" s="28" t="s">
        <v>91</v>
      </c>
      <c r="B31" s="18"/>
      <c r="C31" s="18"/>
      <c r="D31" s="18">
        <v>5000</v>
      </c>
      <c r="E31" s="11">
        <f t="shared" si="4"/>
        <v>0</v>
      </c>
      <c r="F31" s="8">
        <f t="shared" si="5"/>
        <v>0</v>
      </c>
      <c r="G31" s="84">
        <f t="shared" si="6"/>
        <v>0</v>
      </c>
      <c r="H31" s="92">
        <f t="shared" si="7"/>
        <v>0</v>
      </c>
      <c r="I31" s="165"/>
    </row>
    <row r="32" spans="1:9" ht="15" thickBot="1">
      <c r="A32" s="28" t="s">
        <v>91</v>
      </c>
      <c r="B32" s="18"/>
      <c r="C32" s="18">
        <v>10000</v>
      </c>
      <c r="D32" s="18"/>
      <c r="E32" s="11">
        <f t="shared" si="4"/>
        <v>0</v>
      </c>
      <c r="F32" s="8">
        <f t="shared" si="5"/>
        <v>0</v>
      </c>
      <c r="G32" s="84">
        <f t="shared" si="6"/>
        <v>0</v>
      </c>
      <c r="H32" s="92">
        <f t="shared" si="7"/>
        <v>0</v>
      </c>
      <c r="I32" s="165"/>
    </row>
    <row r="33" spans="1:9" ht="15" thickBot="1">
      <c r="A33" s="28" t="s">
        <v>88</v>
      </c>
      <c r="B33" s="18"/>
      <c r="C33" s="18">
        <v>3000</v>
      </c>
      <c r="D33" s="18">
        <v>20</v>
      </c>
      <c r="E33" s="11">
        <f t="shared" si="4"/>
        <v>0</v>
      </c>
      <c r="F33" s="8">
        <f t="shared" si="5"/>
        <v>0</v>
      </c>
      <c r="G33" s="84">
        <f t="shared" si="6"/>
        <v>0</v>
      </c>
      <c r="H33" s="92">
        <f t="shared" si="7"/>
        <v>0</v>
      </c>
      <c r="I33" s="165"/>
    </row>
    <row r="34" spans="1:9" ht="15" thickBot="1">
      <c r="A34" s="28" t="s">
        <v>88</v>
      </c>
      <c r="B34" s="18"/>
      <c r="C34" s="18">
        <v>3800</v>
      </c>
      <c r="D34" s="18">
        <v>20</v>
      </c>
      <c r="E34" s="11">
        <f t="shared" si="4"/>
        <v>0</v>
      </c>
      <c r="F34" s="8">
        <f t="shared" si="5"/>
        <v>0</v>
      </c>
      <c r="G34" s="84">
        <f t="shared" si="6"/>
        <v>0</v>
      </c>
      <c r="H34" s="92">
        <f t="shared" si="7"/>
        <v>0</v>
      </c>
      <c r="I34" s="165"/>
    </row>
    <row r="35" spans="1:9" ht="15" thickBot="1">
      <c r="A35" s="28" t="s">
        <v>52</v>
      </c>
      <c r="B35" s="18"/>
      <c r="C35" s="18"/>
      <c r="D35" s="18"/>
      <c r="E35" s="11">
        <f t="shared" si="4"/>
        <v>0</v>
      </c>
      <c r="F35" s="8">
        <f t="shared" si="5"/>
        <v>0</v>
      </c>
      <c r="G35" s="84">
        <f t="shared" si="6"/>
        <v>0</v>
      </c>
      <c r="H35" s="92">
        <f t="shared" si="7"/>
        <v>0</v>
      </c>
      <c r="I35" s="165"/>
    </row>
    <row r="36" spans="1:9" ht="15.45" customHeight="1" thickBot="1">
      <c r="A36" s="117" t="s">
        <v>45</v>
      </c>
      <c r="B36" s="104"/>
      <c r="C36" s="105">
        <v>10000</v>
      </c>
      <c r="D36" s="105">
        <v>50</v>
      </c>
      <c r="E36" s="11">
        <f t="shared" si="4"/>
        <v>0</v>
      </c>
      <c r="F36" s="8">
        <f t="shared" si="5"/>
        <v>0</v>
      </c>
      <c r="G36" s="84">
        <f t="shared" si="6"/>
        <v>0</v>
      </c>
      <c r="H36" s="92">
        <f t="shared" si="7"/>
        <v>0</v>
      </c>
      <c r="I36" s="165"/>
    </row>
    <row r="37" spans="1:9" ht="15" thickBot="1">
      <c r="A37" s="118" t="s">
        <v>88</v>
      </c>
      <c r="B37" s="106"/>
      <c r="C37" s="107">
        <v>2360</v>
      </c>
      <c r="D37" s="107">
        <v>20</v>
      </c>
      <c r="E37" s="11">
        <f>PRODUCT(B37*C37)</f>
        <v>0</v>
      </c>
      <c r="F37" s="8">
        <f t="shared" ref="F37:F56" si="8">PRODUCT(E37*18)/118</f>
        <v>0</v>
      </c>
      <c r="G37" s="84">
        <f>PRODUCT(B37*D37)</f>
        <v>0</v>
      </c>
      <c r="H37" s="92">
        <f>SUM(F37:G37)</f>
        <v>0</v>
      </c>
      <c r="I37" s="165"/>
    </row>
    <row r="38" spans="1:9" ht="15" thickBot="1">
      <c r="A38" s="32" t="s">
        <v>65</v>
      </c>
      <c r="B38" s="108"/>
      <c r="C38" s="109">
        <v>2700</v>
      </c>
      <c r="D38" s="109">
        <v>30</v>
      </c>
      <c r="E38" s="12">
        <f t="shared" ref="E38:E42" si="9">PRODUCT(B38*C38)</f>
        <v>0</v>
      </c>
      <c r="F38" s="9">
        <f t="shared" si="8"/>
        <v>0</v>
      </c>
      <c r="G38" s="7">
        <f t="shared" ref="G38:G42" si="10">PRODUCT(B38*D38)</f>
        <v>0</v>
      </c>
      <c r="H38" s="93">
        <f t="shared" ref="H38:H42" si="11">SUM(F38:G38)</f>
        <v>0</v>
      </c>
      <c r="I38" s="165"/>
    </row>
    <row r="39" spans="1:9" ht="15" thickBot="1">
      <c r="A39" s="119" t="s">
        <v>89</v>
      </c>
      <c r="B39" s="110"/>
      <c r="C39" s="111">
        <v>2000</v>
      </c>
      <c r="D39" s="111">
        <v>25</v>
      </c>
      <c r="E39" s="12">
        <f t="shared" si="9"/>
        <v>0</v>
      </c>
      <c r="F39" s="9">
        <f t="shared" si="8"/>
        <v>0</v>
      </c>
      <c r="G39" s="7">
        <f t="shared" si="10"/>
        <v>0</v>
      </c>
      <c r="H39" s="93">
        <f t="shared" si="11"/>
        <v>0</v>
      </c>
      <c r="I39" s="165"/>
    </row>
    <row r="40" spans="1:9" ht="15" thickBot="1">
      <c r="A40" s="117" t="s">
        <v>95</v>
      </c>
      <c r="B40" s="104"/>
      <c r="C40" s="105">
        <v>4000</v>
      </c>
      <c r="D40" s="105">
        <v>50</v>
      </c>
      <c r="E40" s="12">
        <f t="shared" si="9"/>
        <v>0</v>
      </c>
      <c r="F40" s="9">
        <f t="shared" si="8"/>
        <v>0</v>
      </c>
      <c r="G40" s="85">
        <f t="shared" si="10"/>
        <v>0</v>
      </c>
      <c r="H40" s="94">
        <f t="shared" si="11"/>
        <v>0</v>
      </c>
      <c r="I40" s="165"/>
    </row>
    <row r="41" spans="1:9" ht="15" thickBot="1">
      <c r="A41" s="32" t="s">
        <v>96</v>
      </c>
      <c r="B41" s="108"/>
      <c r="C41" s="109">
        <v>18000</v>
      </c>
      <c r="D41" s="109">
        <v>50</v>
      </c>
      <c r="E41" s="12">
        <f t="shared" si="9"/>
        <v>0</v>
      </c>
      <c r="F41" s="9">
        <f t="shared" si="8"/>
        <v>0</v>
      </c>
      <c r="G41" s="7">
        <f t="shared" si="10"/>
        <v>0</v>
      </c>
      <c r="H41" s="93">
        <f t="shared" si="11"/>
        <v>0</v>
      </c>
      <c r="I41" s="165"/>
    </row>
    <row r="42" spans="1:9" ht="15" thickBot="1">
      <c r="A42" s="32" t="s">
        <v>94</v>
      </c>
      <c r="B42" s="108"/>
      <c r="C42" s="109">
        <v>2500</v>
      </c>
      <c r="D42" s="109">
        <v>30</v>
      </c>
      <c r="E42" s="12">
        <f t="shared" si="9"/>
        <v>0</v>
      </c>
      <c r="F42" s="9">
        <f t="shared" si="8"/>
        <v>0</v>
      </c>
      <c r="G42" s="85">
        <f t="shared" si="10"/>
        <v>0</v>
      </c>
      <c r="H42" s="94">
        <f t="shared" si="11"/>
        <v>0</v>
      </c>
      <c r="I42" s="165"/>
    </row>
    <row r="43" spans="1:9" ht="15" thickBot="1">
      <c r="A43" s="119" t="s">
        <v>91</v>
      </c>
      <c r="B43" s="110"/>
      <c r="C43" s="111">
        <v>10000</v>
      </c>
      <c r="D43" s="111"/>
      <c r="E43" s="12">
        <f>PRODUCT(B43*C43)</f>
        <v>0</v>
      </c>
      <c r="F43" s="9">
        <f t="shared" si="8"/>
        <v>0</v>
      </c>
      <c r="G43" s="7">
        <f>PRODUCT(B43*D43)</f>
        <v>0</v>
      </c>
      <c r="H43" s="93">
        <f>SUM(F43:G43)</f>
        <v>0</v>
      </c>
      <c r="I43" s="165"/>
    </row>
    <row r="44" spans="1:9" ht="15" thickBot="1">
      <c r="A44" s="117" t="s">
        <v>91</v>
      </c>
      <c r="B44" s="104"/>
      <c r="C44" s="105"/>
      <c r="D44" s="105">
        <v>5000</v>
      </c>
      <c r="E44" s="12">
        <f t="shared" ref="E44:E56" si="12">PRODUCT(B44*C44)</f>
        <v>0</v>
      </c>
      <c r="F44" s="9">
        <f t="shared" si="8"/>
        <v>0</v>
      </c>
      <c r="G44" s="85">
        <f t="shared" ref="G44:G56" si="13">PRODUCT(B44*D44)</f>
        <v>0</v>
      </c>
      <c r="H44" s="94">
        <f t="shared" ref="H44:H56" si="14">SUM(F44:G44)</f>
        <v>0</v>
      </c>
      <c r="I44" s="165"/>
    </row>
    <row r="45" spans="1:9" ht="15" thickBot="1">
      <c r="A45" s="118" t="s">
        <v>88</v>
      </c>
      <c r="B45" s="106"/>
      <c r="C45" s="107"/>
      <c r="D45" s="107">
        <v>20</v>
      </c>
      <c r="E45" s="12">
        <f t="shared" si="12"/>
        <v>0</v>
      </c>
      <c r="F45" s="9">
        <f t="shared" si="8"/>
        <v>0</v>
      </c>
      <c r="G45" s="7">
        <f t="shared" si="13"/>
        <v>0</v>
      </c>
      <c r="H45" s="93">
        <f t="shared" si="14"/>
        <v>0</v>
      </c>
      <c r="I45" s="165"/>
    </row>
    <row r="46" spans="1:9" ht="15" thickBot="1">
      <c r="A46" s="32" t="s">
        <v>99</v>
      </c>
      <c r="B46" s="108"/>
      <c r="C46" s="109">
        <v>2124</v>
      </c>
      <c r="D46" s="109"/>
      <c r="E46" s="12">
        <f t="shared" si="12"/>
        <v>0</v>
      </c>
      <c r="F46" s="9">
        <f t="shared" si="8"/>
        <v>0</v>
      </c>
      <c r="G46" s="84">
        <f t="shared" si="13"/>
        <v>0</v>
      </c>
      <c r="H46" s="92">
        <f t="shared" si="14"/>
        <v>0</v>
      </c>
      <c r="I46" s="165"/>
    </row>
    <row r="47" spans="1:9" ht="15" thickBot="1">
      <c r="A47" s="32" t="s">
        <v>65</v>
      </c>
      <c r="B47" s="108"/>
      <c r="C47" s="109">
        <v>3000</v>
      </c>
      <c r="D47" s="109">
        <v>30</v>
      </c>
      <c r="E47" s="12">
        <f t="shared" si="12"/>
        <v>0</v>
      </c>
      <c r="F47" s="9">
        <f t="shared" si="8"/>
        <v>0</v>
      </c>
      <c r="G47" s="7">
        <f t="shared" si="13"/>
        <v>0</v>
      </c>
      <c r="H47" s="93">
        <f t="shared" si="14"/>
        <v>0</v>
      </c>
      <c r="I47" s="165"/>
    </row>
    <row r="48" spans="1:9" ht="15" thickBot="1">
      <c r="A48" s="32" t="s">
        <v>96</v>
      </c>
      <c r="B48" s="108"/>
      <c r="C48" s="109">
        <v>12036</v>
      </c>
      <c r="D48" s="109">
        <v>50</v>
      </c>
      <c r="E48" s="17">
        <f t="shared" si="12"/>
        <v>0</v>
      </c>
      <c r="F48" s="13">
        <f t="shared" si="8"/>
        <v>0</v>
      </c>
      <c r="G48" s="86">
        <f t="shared" si="13"/>
        <v>0</v>
      </c>
      <c r="H48" s="95">
        <f t="shared" si="14"/>
        <v>0</v>
      </c>
      <c r="I48" s="165"/>
    </row>
    <row r="49" spans="1:9" ht="15" thickBot="1">
      <c r="A49" s="48" t="s">
        <v>43</v>
      </c>
      <c r="B49" s="112"/>
      <c r="C49" s="113">
        <v>10620</v>
      </c>
      <c r="D49" s="114">
        <v>50</v>
      </c>
      <c r="E49" s="17">
        <f t="shared" si="12"/>
        <v>0</v>
      </c>
      <c r="F49" s="13">
        <f t="shared" si="8"/>
        <v>0</v>
      </c>
      <c r="G49" s="10">
        <f t="shared" si="13"/>
        <v>0</v>
      </c>
      <c r="H49" s="96">
        <f t="shared" si="14"/>
        <v>0</v>
      </c>
      <c r="I49" s="165"/>
    </row>
    <row r="50" spans="1:9" ht="15" thickBot="1">
      <c r="A50" s="48" t="s">
        <v>95</v>
      </c>
      <c r="B50" s="112"/>
      <c r="C50" s="113">
        <v>8000</v>
      </c>
      <c r="D50" s="114">
        <v>50</v>
      </c>
      <c r="E50" s="17">
        <f t="shared" si="12"/>
        <v>0</v>
      </c>
      <c r="F50" s="13">
        <f t="shared" si="8"/>
        <v>0</v>
      </c>
      <c r="G50" s="10">
        <f t="shared" si="13"/>
        <v>0</v>
      </c>
      <c r="H50" s="96">
        <f t="shared" si="14"/>
        <v>0</v>
      </c>
      <c r="I50" s="165"/>
    </row>
    <row r="51" spans="1:9" ht="15" thickBot="1">
      <c r="A51" s="32" t="s">
        <v>44</v>
      </c>
      <c r="B51" s="108"/>
      <c r="C51" s="113">
        <v>6000</v>
      </c>
      <c r="D51" s="114">
        <v>50</v>
      </c>
      <c r="E51" s="17">
        <f t="shared" si="12"/>
        <v>0</v>
      </c>
      <c r="F51" s="13">
        <f t="shared" si="8"/>
        <v>0</v>
      </c>
      <c r="G51" s="10">
        <f t="shared" si="13"/>
        <v>0</v>
      </c>
      <c r="H51" s="96">
        <f t="shared" si="14"/>
        <v>0</v>
      </c>
      <c r="I51" s="165"/>
    </row>
    <row r="52" spans="1:9" ht="15" thickBot="1">
      <c r="A52" s="32" t="s">
        <v>97</v>
      </c>
      <c r="B52" s="108"/>
      <c r="C52" s="113">
        <v>3776</v>
      </c>
      <c r="D52" s="114">
        <v>30</v>
      </c>
      <c r="E52" s="17">
        <f t="shared" si="12"/>
        <v>0</v>
      </c>
      <c r="F52" s="13">
        <f t="shared" si="8"/>
        <v>0</v>
      </c>
      <c r="G52" s="10">
        <f t="shared" si="13"/>
        <v>0</v>
      </c>
      <c r="H52" s="96">
        <f t="shared" si="14"/>
        <v>0</v>
      </c>
      <c r="I52" s="165"/>
    </row>
    <row r="53" spans="1:9" ht="15" thickBot="1">
      <c r="A53" s="32" t="s">
        <v>98</v>
      </c>
      <c r="B53" s="108"/>
      <c r="C53" s="113">
        <v>2000</v>
      </c>
      <c r="D53" s="114">
        <v>30</v>
      </c>
      <c r="E53" s="17">
        <f t="shared" si="12"/>
        <v>0</v>
      </c>
      <c r="F53" s="13">
        <f t="shared" si="8"/>
        <v>0</v>
      </c>
      <c r="G53" s="10">
        <f t="shared" si="13"/>
        <v>0</v>
      </c>
      <c r="H53" s="96">
        <f t="shared" si="14"/>
        <v>0</v>
      </c>
      <c r="I53" s="165"/>
    </row>
    <row r="54" spans="1:9" ht="15" thickBot="1">
      <c r="A54" s="32" t="s">
        <v>59</v>
      </c>
      <c r="B54" s="108"/>
      <c r="C54" s="113">
        <v>1357</v>
      </c>
      <c r="D54" s="114">
        <v>20</v>
      </c>
      <c r="E54" s="17">
        <f t="shared" si="12"/>
        <v>0</v>
      </c>
      <c r="F54" s="13">
        <f t="shared" si="8"/>
        <v>0</v>
      </c>
      <c r="G54" s="10">
        <f t="shared" si="13"/>
        <v>0</v>
      </c>
      <c r="H54" s="96">
        <f t="shared" si="14"/>
        <v>0</v>
      </c>
      <c r="I54" s="165"/>
    </row>
    <row r="55" spans="1:9" ht="15" thickBot="1">
      <c r="A55" s="32" t="s">
        <v>65</v>
      </c>
      <c r="B55" s="108"/>
      <c r="C55" s="113">
        <v>2124</v>
      </c>
      <c r="D55" s="114"/>
      <c r="E55" s="17">
        <f t="shared" si="12"/>
        <v>0</v>
      </c>
      <c r="F55" s="13">
        <f t="shared" si="8"/>
        <v>0</v>
      </c>
      <c r="G55" s="10">
        <f t="shared" si="13"/>
        <v>0</v>
      </c>
      <c r="H55" s="96">
        <f t="shared" si="14"/>
        <v>0</v>
      </c>
      <c r="I55" s="165"/>
    </row>
    <row r="56" spans="1:9" ht="15" thickBot="1">
      <c r="A56" s="33" t="s">
        <v>65</v>
      </c>
      <c r="B56" s="108"/>
      <c r="C56" s="115">
        <v>2950</v>
      </c>
      <c r="D56" s="116">
        <v>30</v>
      </c>
      <c r="E56" s="17">
        <f t="shared" si="12"/>
        <v>0</v>
      </c>
      <c r="F56" s="13">
        <f t="shared" si="8"/>
        <v>0</v>
      </c>
      <c r="G56" s="10">
        <f t="shared" si="13"/>
        <v>0</v>
      </c>
      <c r="H56" s="96">
        <f t="shared" si="14"/>
        <v>0</v>
      </c>
      <c r="I56" s="165"/>
    </row>
    <row r="57" spans="1:9" ht="15" thickBot="1">
      <c r="A57" s="14" t="s">
        <v>53</v>
      </c>
      <c r="B57" s="15"/>
      <c r="C57" s="15"/>
      <c r="D57" s="15"/>
      <c r="E57" s="16">
        <f>SUM(E5:E56)</f>
        <v>0</v>
      </c>
      <c r="F57" s="16">
        <f>SUM(F5:F56)</f>
        <v>0</v>
      </c>
      <c r="G57" s="16">
        <f t="shared" ref="G57" si="15">SUM(G5:G56)</f>
        <v>0</v>
      </c>
      <c r="H57" s="16">
        <f>SUM(F57:G57)</f>
        <v>0</v>
      </c>
      <c r="I57" s="165"/>
    </row>
    <row r="58" spans="1:9" s="79" customFormat="1" ht="14.55" customHeight="1" thickBot="1">
      <c r="A58" s="210" t="s">
        <v>77</v>
      </c>
      <c r="B58" s="211"/>
      <c r="C58" s="54" t="s">
        <v>71</v>
      </c>
      <c r="D58" s="45"/>
      <c r="E58" s="208" t="s">
        <v>69</v>
      </c>
      <c r="F58" s="209"/>
      <c r="G58" s="53" t="s">
        <v>70</v>
      </c>
      <c r="H58" s="97" t="s">
        <v>71</v>
      </c>
      <c r="I58" s="165"/>
    </row>
    <row r="59" spans="1:9" ht="15" customHeight="1" thickBot="1">
      <c r="A59" s="213" t="s">
        <v>67</v>
      </c>
      <c r="B59" s="214"/>
      <c r="C59" s="46"/>
      <c r="D59" s="49"/>
      <c r="E59" s="207"/>
      <c r="F59" s="207"/>
      <c r="G59" s="52"/>
      <c r="H59" s="98"/>
      <c r="I59" s="165"/>
    </row>
    <row r="60" spans="1:9" ht="15" thickBot="1">
      <c r="A60" s="181" t="s">
        <v>68</v>
      </c>
      <c r="B60" s="182"/>
      <c r="C60" s="42"/>
      <c r="D60" s="50"/>
      <c r="E60" s="212"/>
      <c r="F60" s="212"/>
      <c r="G60" s="51"/>
      <c r="H60" s="99"/>
      <c r="I60" s="165"/>
    </row>
    <row r="61" spans="1:9" ht="15" thickBot="1">
      <c r="A61" s="181" t="s">
        <v>72</v>
      </c>
      <c r="B61" s="182"/>
      <c r="C61" s="43"/>
      <c r="D61" s="49"/>
      <c r="E61" s="202"/>
      <c r="F61" s="202"/>
      <c r="G61" s="51"/>
      <c r="H61" s="99"/>
      <c r="I61" s="165"/>
    </row>
    <row r="62" spans="1:9" ht="15" thickBot="1">
      <c r="A62" s="215" t="s">
        <v>73</v>
      </c>
      <c r="B62" s="216"/>
      <c r="C62" s="44"/>
      <c r="D62" s="47"/>
      <c r="E62" s="201"/>
      <c r="F62" s="202"/>
      <c r="G62" s="3"/>
      <c r="H62" s="99"/>
      <c r="I62" s="165"/>
    </row>
    <row r="63" spans="1:9" ht="15" thickBot="1">
      <c r="A63" s="197" t="s">
        <v>74</v>
      </c>
      <c r="B63" s="198"/>
      <c r="C63" s="80"/>
      <c r="D63" s="47"/>
      <c r="E63" s="201"/>
      <c r="F63" s="202"/>
      <c r="G63" s="3"/>
      <c r="H63" s="99"/>
      <c r="I63" s="165"/>
    </row>
    <row r="64" spans="1:9" ht="15" thickBot="1">
      <c r="A64" s="197" t="s">
        <v>75</v>
      </c>
      <c r="B64" s="198"/>
      <c r="C64" s="80"/>
      <c r="D64" s="48"/>
      <c r="E64" s="201"/>
      <c r="F64" s="202"/>
      <c r="G64" s="3"/>
      <c r="H64" s="99"/>
      <c r="I64" s="165"/>
    </row>
    <row r="65" spans="1:9" ht="15" thickBot="1">
      <c r="A65" s="197" t="s">
        <v>76</v>
      </c>
      <c r="B65" s="198"/>
      <c r="C65" s="81">
        <f>SUM(C59+C60+C61+C62+C63+C64)</f>
        <v>0</v>
      </c>
      <c r="D65" s="82"/>
      <c r="E65" s="185"/>
      <c r="F65" s="186"/>
      <c r="G65" s="83"/>
      <c r="H65" s="100"/>
      <c r="I65" s="165"/>
    </row>
    <row r="66" spans="1:9" ht="19.5" customHeight="1">
      <c r="A66" s="187" t="s">
        <v>56</v>
      </c>
      <c r="B66" s="188"/>
      <c r="C66" s="188"/>
      <c r="D66" s="188"/>
      <c r="E66" s="188"/>
      <c r="F66" s="188"/>
      <c r="G66" s="188"/>
      <c r="H66" s="188"/>
      <c r="I66" s="165"/>
    </row>
    <row r="67" spans="1:9" ht="20.55" customHeight="1" thickBot="1">
      <c r="A67" s="189"/>
      <c r="B67" s="190"/>
      <c r="C67" s="190"/>
      <c r="D67" s="190"/>
      <c r="E67" s="190"/>
      <c r="F67" s="190"/>
      <c r="G67" s="190"/>
      <c r="H67" s="190"/>
      <c r="I67" s="165"/>
    </row>
    <row r="68" spans="1:9" ht="22.95" customHeight="1" thickBot="1">
      <c r="A68" s="173" t="s">
        <v>9</v>
      </c>
      <c r="B68" s="174"/>
      <c r="C68" s="199" t="s">
        <v>57</v>
      </c>
      <c r="D68" s="200"/>
      <c r="E68" s="193" t="s">
        <v>58</v>
      </c>
      <c r="F68" s="194"/>
      <c r="G68" s="194"/>
      <c r="H68" s="194"/>
      <c r="I68" s="165"/>
    </row>
    <row r="69" spans="1:9" ht="22.05" customHeight="1" thickBot="1">
      <c r="A69" s="175"/>
      <c r="B69" s="176"/>
      <c r="C69" s="183" t="s">
        <v>60</v>
      </c>
      <c r="D69" s="184"/>
      <c r="E69" s="191">
        <f>SUM(B9:B12)</f>
        <v>0</v>
      </c>
      <c r="F69" s="192"/>
      <c r="G69" s="192"/>
      <c r="H69" s="192"/>
      <c r="I69" s="165"/>
    </row>
    <row r="70" spans="1:9" ht="22.5" customHeight="1" thickBot="1">
      <c r="A70" s="177"/>
      <c r="B70" s="178"/>
      <c r="C70" s="183" t="s">
        <v>45</v>
      </c>
      <c r="D70" s="184"/>
      <c r="E70" s="191">
        <f>SUM(B6:B8)</f>
        <v>0</v>
      </c>
      <c r="F70" s="192"/>
      <c r="G70" s="192"/>
      <c r="H70" s="192"/>
      <c r="I70" s="165"/>
    </row>
    <row r="71" spans="1:9" ht="24.45" customHeight="1" thickBot="1">
      <c r="A71" s="177"/>
      <c r="B71" s="178"/>
      <c r="C71" s="183" t="s">
        <v>61</v>
      </c>
      <c r="D71" s="184"/>
      <c r="E71" s="191">
        <f>SUM(B13:B14)</f>
        <v>0</v>
      </c>
      <c r="F71" s="192"/>
      <c r="G71" s="192"/>
      <c r="H71" s="192"/>
      <c r="I71" s="165"/>
    </row>
    <row r="72" spans="1:9" ht="22.05" customHeight="1" thickBot="1">
      <c r="A72" s="177"/>
      <c r="B72" s="178"/>
      <c r="C72" s="167" t="s">
        <v>62</v>
      </c>
      <c r="D72" s="168"/>
      <c r="E72" s="195">
        <f>SUM(B37:B38)</f>
        <v>0</v>
      </c>
      <c r="F72" s="196"/>
      <c r="G72" s="196"/>
      <c r="H72" s="196"/>
      <c r="I72" s="165"/>
    </row>
    <row r="73" spans="1:9" ht="22.05" customHeight="1" thickBot="1">
      <c r="A73" s="177"/>
      <c r="B73" s="178"/>
      <c r="C73" s="167" t="s">
        <v>63</v>
      </c>
      <c r="D73" s="168"/>
      <c r="E73" s="195">
        <f>SUM(B39:B40)</f>
        <v>0</v>
      </c>
      <c r="F73" s="196"/>
      <c r="G73" s="196"/>
      <c r="H73" s="196"/>
      <c r="I73" s="165"/>
    </row>
    <row r="74" spans="1:9" ht="22.05" customHeight="1" thickBot="1">
      <c r="A74" s="177"/>
      <c r="B74" s="178"/>
      <c r="C74" s="167" t="s">
        <v>55</v>
      </c>
      <c r="D74" s="168"/>
      <c r="E74" s="195">
        <f>SUM(B17:B49)</f>
        <v>0</v>
      </c>
      <c r="F74" s="196"/>
      <c r="G74" s="196"/>
      <c r="H74" s="196"/>
      <c r="I74" s="165"/>
    </row>
    <row r="75" spans="1:9" ht="22.05" customHeight="1" thickBot="1">
      <c r="A75" s="177"/>
      <c r="B75" s="178"/>
      <c r="C75" s="167" t="s">
        <v>55</v>
      </c>
      <c r="D75" s="168"/>
      <c r="E75" s="195">
        <f t="shared" ref="E75:E81" si="16">B50</f>
        <v>0</v>
      </c>
      <c r="F75" s="196"/>
      <c r="G75" s="196"/>
      <c r="H75" s="196"/>
      <c r="I75" s="165"/>
    </row>
    <row r="76" spans="1:9" ht="18.600000000000001" thickBot="1">
      <c r="A76" s="177"/>
      <c r="B76" s="178"/>
      <c r="C76" s="167" t="s">
        <v>55</v>
      </c>
      <c r="D76" s="168"/>
      <c r="E76" s="195">
        <f t="shared" si="16"/>
        <v>0</v>
      </c>
      <c r="F76" s="196"/>
      <c r="G76" s="196"/>
      <c r="H76" s="196"/>
      <c r="I76" s="165"/>
    </row>
    <row r="77" spans="1:9" ht="18.600000000000001" thickBot="1">
      <c r="A77" s="177"/>
      <c r="B77" s="178"/>
      <c r="C77" s="167" t="s">
        <v>55</v>
      </c>
      <c r="D77" s="168"/>
      <c r="E77" s="195">
        <f t="shared" si="16"/>
        <v>0</v>
      </c>
      <c r="F77" s="196"/>
      <c r="G77" s="196"/>
      <c r="H77" s="196"/>
      <c r="I77" s="165"/>
    </row>
    <row r="78" spans="1:9" ht="18.600000000000001" thickBot="1">
      <c r="A78" s="177"/>
      <c r="B78" s="178"/>
      <c r="C78" s="167" t="s">
        <v>55</v>
      </c>
      <c r="D78" s="168"/>
      <c r="E78" s="195">
        <f t="shared" si="16"/>
        <v>0</v>
      </c>
      <c r="F78" s="196"/>
      <c r="G78" s="196"/>
      <c r="H78" s="196"/>
      <c r="I78" s="165"/>
    </row>
    <row r="79" spans="1:9" ht="18.600000000000001" thickBot="1">
      <c r="A79" s="177"/>
      <c r="B79" s="178"/>
      <c r="C79" s="167" t="s">
        <v>55</v>
      </c>
      <c r="D79" s="168"/>
      <c r="E79" s="195">
        <f t="shared" si="16"/>
        <v>0</v>
      </c>
      <c r="F79" s="196"/>
      <c r="G79" s="196"/>
      <c r="H79" s="196"/>
      <c r="I79" s="165"/>
    </row>
    <row r="80" spans="1:9" ht="18.600000000000001" thickBot="1">
      <c r="A80" s="177"/>
      <c r="B80" s="178"/>
      <c r="C80" s="167" t="s">
        <v>55</v>
      </c>
      <c r="D80" s="168"/>
      <c r="E80" s="195">
        <f t="shared" si="16"/>
        <v>0</v>
      </c>
      <c r="F80" s="196"/>
      <c r="G80" s="196"/>
      <c r="H80" s="196"/>
      <c r="I80" s="165"/>
    </row>
    <row r="81" spans="1:9" ht="18.600000000000001" thickBot="1">
      <c r="A81" s="177"/>
      <c r="B81" s="178"/>
      <c r="C81" s="167" t="s">
        <v>55</v>
      </c>
      <c r="D81" s="168"/>
      <c r="E81" s="195">
        <f t="shared" si="16"/>
        <v>0</v>
      </c>
      <c r="F81" s="196"/>
      <c r="G81" s="196"/>
      <c r="H81" s="196"/>
      <c r="I81" s="165"/>
    </row>
    <row r="82" spans="1:9" ht="32.4" thickBot="1">
      <c r="A82" s="177"/>
      <c r="B82" s="178"/>
      <c r="C82" s="167" t="s">
        <v>64</v>
      </c>
      <c r="D82" s="168"/>
      <c r="E82" s="230">
        <f>SUM(E69:H81)</f>
        <v>0</v>
      </c>
      <c r="F82" s="231"/>
      <c r="G82" s="231"/>
      <c r="H82" s="231"/>
      <c r="I82" s="165"/>
    </row>
    <row r="83" spans="1:9" ht="18.600000000000001" thickBot="1">
      <c r="A83" s="179"/>
      <c r="B83" s="180"/>
      <c r="C83" s="169"/>
      <c r="D83" s="170"/>
      <c r="E83" s="228"/>
      <c r="F83" s="229"/>
      <c r="G83" s="229"/>
      <c r="H83" s="229"/>
      <c r="I83" s="165"/>
    </row>
    <row r="84" spans="1:9" ht="15" thickBot="1">
      <c r="A84" s="171"/>
      <c r="B84" s="172"/>
      <c r="C84" s="172"/>
      <c r="D84" s="172"/>
      <c r="E84" s="172"/>
      <c r="F84" s="172"/>
      <c r="G84" s="172"/>
      <c r="H84" s="172"/>
      <c r="I84" s="166"/>
    </row>
  </sheetData>
  <mergeCells count="66">
    <mergeCell ref="E73:H73"/>
    <mergeCell ref="E83:H83"/>
    <mergeCell ref="E80:H80"/>
    <mergeCell ref="E81:H81"/>
    <mergeCell ref="E82:H82"/>
    <mergeCell ref="E78:H78"/>
    <mergeCell ref="E79:H79"/>
    <mergeCell ref="E74:H74"/>
    <mergeCell ref="E75:H75"/>
    <mergeCell ref="E76:H76"/>
    <mergeCell ref="E77:H7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62:F62"/>
    <mergeCell ref="E63:F63"/>
    <mergeCell ref="E64:F64"/>
    <mergeCell ref="C14:D14"/>
    <mergeCell ref="A15:H15"/>
    <mergeCell ref="E59:F59"/>
    <mergeCell ref="E58:F58"/>
    <mergeCell ref="A58:B58"/>
    <mergeCell ref="A60:B60"/>
    <mergeCell ref="E60:F60"/>
    <mergeCell ref="A59:B59"/>
    <mergeCell ref="E61:F61"/>
    <mergeCell ref="A62:B62"/>
    <mergeCell ref="A63:B63"/>
    <mergeCell ref="A64:B64"/>
    <mergeCell ref="C69:D69"/>
    <mergeCell ref="C70:D70"/>
    <mergeCell ref="C71:D71"/>
    <mergeCell ref="C72:D72"/>
    <mergeCell ref="E65:F65"/>
    <mergeCell ref="A66:H67"/>
    <mergeCell ref="E71:H71"/>
    <mergeCell ref="E68:H68"/>
    <mergeCell ref="E69:H69"/>
    <mergeCell ref="E70:H70"/>
    <mergeCell ref="E72:H72"/>
    <mergeCell ref="A65:B65"/>
    <mergeCell ref="C68:D68"/>
    <mergeCell ref="I1:I84"/>
    <mergeCell ref="C76:D76"/>
    <mergeCell ref="C77:D77"/>
    <mergeCell ref="C78:D78"/>
    <mergeCell ref="C79:D79"/>
    <mergeCell ref="C80:D80"/>
    <mergeCell ref="C81:D81"/>
    <mergeCell ref="C82:D82"/>
    <mergeCell ref="C83:D83"/>
    <mergeCell ref="A84:H84"/>
    <mergeCell ref="A68:B68"/>
    <mergeCell ref="A69:B83"/>
    <mergeCell ref="C73:D73"/>
    <mergeCell ref="C74:D74"/>
    <mergeCell ref="C75:D75"/>
    <mergeCell ref="A61:B6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workbookViewId="0">
      <selection activeCell="C39" sqref="C39"/>
    </sheetView>
  </sheetViews>
  <sheetFormatPr defaultColWidth="8.77734375" defaultRowHeight="14.4"/>
  <cols>
    <col min="1" max="1" width="27.21875" style="34" customWidth="1"/>
    <col min="2" max="2" width="19.33203125" style="34" customWidth="1"/>
    <col min="3" max="3" width="13.5546875" style="34" customWidth="1"/>
    <col min="4" max="4" width="11.77734375" style="34" customWidth="1"/>
    <col min="5" max="5" width="21" style="34" customWidth="1"/>
    <col min="6" max="6" width="21.77734375" style="34" customWidth="1"/>
    <col min="7" max="7" width="20.6640625" style="34" customWidth="1"/>
    <col min="8" max="8" width="21.777343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4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233"/>
    </row>
    <row r="4" spans="1:9" ht="22.9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>
        <v>7670</v>
      </c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>
        <v>3776</v>
      </c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>
        <v>2360</v>
      </c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>
        <v>1534</v>
      </c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/>
      <c r="C17" s="18">
        <v>2000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91</v>
      </c>
      <c r="B18" s="19"/>
      <c r="C18" s="19">
        <v>10000</v>
      </c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91</v>
      </c>
      <c r="B19" s="5"/>
      <c r="C19" s="5"/>
      <c r="D19" s="5">
        <v>10000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233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workbookViewId="0">
      <selection activeCell="C43" sqref="C43"/>
    </sheetView>
  </sheetViews>
  <sheetFormatPr defaultColWidth="8.77734375" defaultRowHeight="14.4"/>
  <cols>
    <col min="1" max="1" width="22.6640625" style="34" customWidth="1"/>
    <col min="2" max="2" width="26.33203125" style="34" customWidth="1"/>
    <col min="3" max="3" width="18.88671875" style="34" customWidth="1"/>
    <col min="4" max="4" width="12.77734375" style="34" customWidth="1"/>
    <col min="5" max="5" width="20.44140625" style="34" customWidth="1"/>
    <col min="6" max="6" width="21.5546875" style="34" customWidth="1"/>
    <col min="7" max="7" width="14.33203125" style="34" customWidth="1"/>
    <col min="8" max="8" width="24.218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4.4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233"/>
    </row>
    <row r="4" spans="1:9" ht="21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>
        <v>5900</v>
      </c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203">
        <v>2124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>
        <v>1357</v>
      </c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110</v>
      </c>
      <c r="B17" s="18"/>
      <c r="C17" s="18">
        <v>10000</v>
      </c>
      <c r="D17" s="18">
        <v>1332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>
        <v>210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100</v>
      </c>
      <c r="B21" s="5"/>
      <c r="C21" s="5"/>
      <c r="D21" s="5">
        <v>210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zoomScale="85" zoomScaleNormal="85" workbookViewId="0">
      <selection activeCell="C51" sqref="C51:D51"/>
    </sheetView>
  </sheetViews>
  <sheetFormatPr defaultColWidth="8.77734375" defaultRowHeight="14.4"/>
  <cols>
    <col min="1" max="1" width="21.109375" style="34" customWidth="1"/>
    <col min="2" max="2" width="17.44140625" style="34" customWidth="1"/>
    <col min="3" max="3" width="20.21875" style="34" customWidth="1"/>
    <col min="4" max="4" width="14.88671875" style="34" customWidth="1"/>
    <col min="5" max="5" width="28.33203125" style="34" customWidth="1"/>
    <col min="6" max="6" width="22.109375" style="34" customWidth="1"/>
    <col min="7" max="7" width="16.6640625" style="34" customWidth="1"/>
    <col min="8" max="8" width="26.5546875" style="34" customWidth="1"/>
    <col min="9" max="16384" width="8.77734375" style="34"/>
  </cols>
  <sheetData>
    <row r="1" spans="1:9" ht="14.55" customHeight="1">
      <c r="A1" s="217" t="s">
        <v>84</v>
      </c>
      <c r="B1" s="218"/>
      <c r="C1" s="218"/>
      <c r="D1" s="218"/>
      <c r="E1" s="218"/>
      <c r="F1" s="218"/>
      <c r="G1" s="218"/>
      <c r="H1" s="218"/>
      <c r="I1" s="232"/>
    </row>
    <row r="2" spans="1:9" ht="24.4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233"/>
    </row>
    <row r="4" spans="1:9" ht="28.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>
        <v>7670</v>
      </c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>
        <v>3000</v>
      </c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>
        <v>2714</v>
      </c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120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>
        <v>2124</v>
      </c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>
        <v>1357</v>
      </c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233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37" workbookViewId="0">
      <selection activeCell="C40" sqref="C40"/>
    </sheetView>
  </sheetViews>
  <sheetFormatPr defaultColWidth="8.77734375" defaultRowHeight="14.4"/>
  <cols>
    <col min="1" max="1" width="23.5546875" style="34" customWidth="1"/>
    <col min="2" max="2" width="19.44140625" style="34" customWidth="1"/>
    <col min="3" max="3" width="14.77734375" style="34" customWidth="1"/>
    <col min="4" max="4" width="9.77734375" style="34" customWidth="1"/>
    <col min="5" max="5" width="22.21875" style="34" customWidth="1"/>
    <col min="6" max="6" width="23.5546875" style="34" customWidth="1"/>
    <col min="7" max="7" width="17.21875" style="34" customWidth="1"/>
    <col min="8" max="8" width="22.664062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233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>
        <v>7670</v>
      </c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>
        <v>8000</v>
      </c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>
        <v>2124</v>
      </c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>
        <v>1357</v>
      </c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>
        <v>4000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>
        <v>2000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>
        <v>30</v>
      </c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7" workbookViewId="0">
      <selection activeCell="B69" sqref="B69"/>
    </sheetView>
  </sheetViews>
  <sheetFormatPr defaultRowHeight="14.4"/>
  <cols>
    <col min="1" max="1" width="20.77734375" customWidth="1"/>
    <col min="2" max="2" width="17.88671875" customWidth="1"/>
    <col min="3" max="3" width="12.6640625" customWidth="1"/>
    <col min="4" max="4" width="14.44140625" customWidth="1"/>
    <col min="5" max="5" width="21.6640625" customWidth="1"/>
    <col min="6" max="6" width="19.6640625" customWidth="1"/>
    <col min="7" max="7" width="15.6640625" customWidth="1"/>
    <col min="8" max="8" width="20.8867187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>
        <v>4720</v>
      </c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>
        <v>2124</v>
      </c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>
        <v>1357</v>
      </c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89</v>
      </c>
      <c r="B17" s="18"/>
      <c r="C17" s="18">
        <v>2006</v>
      </c>
      <c r="D17" s="18">
        <v>30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114</v>
      </c>
      <c r="B18" s="19"/>
      <c r="C18" s="19">
        <v>1298</v>
      </c>
      <c r="D18" s="19">
        <v>30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102</v>
      </c>
      <c r="B19" s="5"/>
      <c r="C19" s="5">
        <v>3304</v>
      </c>
      <c r="D19" s="5">
        <v>40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>
        <v>10000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workbookViewId="0">
      <selection activeCell="C40" sqref="C40"/>
    </sheetView>
  </sheetViews>
  <sheetFormatPr defaultRowHeight="14.4"/>
  <cols>
    <col min="1" max="1" width="23.5546875" customWidth="1"/>
    <col min="2" max="2" width="14.77734375" customWidth="1"/>
    <col min="3" max="3" width="21.5546875" customWidth="1"/>
    <col min="4" max="4" width="11.21875" customWidth="1"/>
    <col min="5" max="5" width="21.88671875" customWidth="1"/>
    <col min="6" max="6" width="22.33203125" customWidth="1"/>
    <col min="7" max="7" width="17.5546875" customWidth="1"/>
    <col min="8" max="8" width="16.7773437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>
        <v>7670</v>
      </c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>
        <v>2124</v>
      </c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>
        <v>1357</v>
      </c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8" workbookViewId="0">
      <selection activeCell="C40" sqref="C40"/>
    </sheetView>
  </sheetViews>
  <sheetFormatPr defaultColWidth="8.77734375" defaultRowHeight="14.4"/>
  <cols>
    <col min="1" max="1" width="24" style="34" customWidth="1"/>
    <col min="2" max="2" width="15.88671875" style="34" customWidth="1"/>
    <col min="3" max="3" width="18.5546875" style="34" customWidth="1"/>
    <col min="4" max="4" width="11.77734375" style="34" customWidth="1"/>
    <col min="5" max="5" width="24.109375" style="34" customWidth="1"/>
    <col min="6" max="6" width="18.44140625" style="34" customWidth="1"/>
    <col min="7" max="8" width="15.777343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2.9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233"/>
    </row>
    <row r="4" spans="1:9" ht="25.9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253</v>
      </c>
      <c r="C7" s="226">
        <v>7670</v>
      </c>
      <c r="D7" s="227"/>
      <c r="E7" s="2">
        <f t="shared" si="0"/>
        <v>1940510</v>
      </c>
      <c r="F7" s="2">
        <f t="shared" si="1"/>
        <v>296010</v>
      </c>
      <c r="G7" s="2">
        <f>PRODUCT(B7*50)</f>
        <v>12650</v>
      </c>
      <c r="H7" s="89">
        <f t="shared" si="2"/>
        <v>308660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250</v>
      </c>
      <c r="C10" s="203">
        <v>2200</v>
      </c>
      <c r="D10" s="204"/>
      <c r="E10" s="4">
        <f t="shared" si="0"/>
        <v>550000</v>
      </c>
      <c r="F10" s="4">
        <f t="shared" si="1"/>
        <v>83898.305084745763</v>
      </c>
      <c r="G10" s="4">
        <f>PRODUCT(B10*30)</f>
        <v>7500</v>
      </c>
      <c r="H10" s="90">
        <f t="shared" si="2"/>
        <v>91398.305084745763</v>
      </c>
      <c r="I10" s="233"/>
    </row>
    <row r="11" spans="1:9">
      <c r="A11" s="32" t="s">
        <v>65</v>
      </c>
      <c r="B11" s="3">
        <v>5513</v>
      </c>
      <c r="C11" s="203">
        <v>2596</v>
      </c>
      <c r="D11" s="204"/>
      <c r="E11" s="4">
        <f t="shared" si="0"/>
        <v>14311748</v>
      </c>
      <c r="F11" s="4">
        <f t="shared" si="1"/>
        <v>2183148</v>
      </c>
      <c r="G11" s="4">
        <f>PRODUCT(B11*30)</f>
        <v>165390</v>
      </c>
      <c r="H11" s="90">
        <f t="shared" si="2"/>
        <v>2348538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605</v>
      </c>
      <c r="C13" s="203">
        <v>1416</v>
      </c>
      <c r="D13" s="204"/>
      <c r="E13" s="4">
        <f t="shared" si="0"/>
        <v>856680</v>
      </c>
      <c r="F13" s="4">
        <f t="shared" si="1"/>
        <v>130680</v>
      </c>
      <c r="G13" s="4">
        <f>PRODUCT(B13*20)</f>
        <v>12100</v>
      </c>
      <c r="H13" s="90">
        <f t="shared" si="2"/>
        <v>142780</v>
      </c>
      <c r="I13" s="233"/>
    </row>
    <row r="14" spans="1:9" ht="15" thickBot="1">
      <c r="A14" s="33" t="s">
        <v>59</v>
      </c>
      <c r="B14" s="3">
        <v>400</v>
      </c>
      <c r="C14" s="203">
        <v>1200</v>
      </c>
      <c r="D14" s="204"/>
      <c r="E14" s="4">
        <f t="shared" si="0"/>
        <v>480000</v>
      </c>
      <c r="F14" s="4">
        <f t="shared" si="1"/>
        <v>73220.338983050853</v>
      </c>
      <c r="G14" s="4">
        <f>PRODUCT(B14*20)</f>
        <v>8000</v>
      </c>
      <c r="H14" s="90">
        <f t="shared" si="2"/>
        <v>81220.338983050853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5783</v>
      </c>
      <c r="C17" s="18">
        <v>1180</v>
      </c>
      <c r="D17" s="18">
        <v>20</v>
      </c>
      <c r="E17" s="11">
        <f>PRODUCT(B17*C17)</f>
        <v>6823940</v>
      </c>
      <c r="F17" s="8">
        <f t="shared" ref="F17:F36" si="3">PRODUCT(E17*18)/118</f>
        <v>1040940</v>
      </c>
      <c r="G17" s="84">
        <f>PRODUCT(B17*D17)</f>
        <v>115660</v>
      </c>
      <c r="H17" s="92">
        <f>SUM(F17:G17)</f>
        <v>1156600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24962878</v>
      </c>
      <c r="F37" s="16">
        <f>SUM(F5:F36)</f>
        <v>3807896.6440677969</v>
      </c>
      <c r="G37" s="16">
        <f t="shared" ref="G37:H37" si="10">SUM(G5:G36)</f>
        <v>321300</v>
      </c>
      <c r="H37" s="16">
        <f t="shared" si="10"/>
        <v>4129196.6440677969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>
        <v>4129197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4129197</v>
      </c>
      <c r="D45" s="82"/>
      <c r="E45" s="185"/>
      <c r="F45" s="186"/>
      <c r="G45" s="83"/>
      <c r="H45" s="100"/>
      <c r="I45" s="233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5763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253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1005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5783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12804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workbookViewId="0">
      <selection activeCell="C48" sqref="C48:D48"/>
    </sheetView>
  </sheetViews>
  <sheetFormatPr defaultRowHeight="14.4"/>
  <cols>
    <col min="1" max="1" width="24.5546875" customWidth="1"/>
    <col min="2" max="2" width="16.332031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21875" customWidth="1"/>
    <col min="8" max="8" width="21.8867187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4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21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>
        <v>396</v>
      </c>
      <c r="C6" s="226">
        <v>9440</v>
      </c>
      <c r="D6" s="227"/>
      <c r="E6" s="2">
        <f t="shared" ref="E6:E14" si="0">PRODUCT(B6*C6)</f>
        <v>3738240</v>
      </c>
      <c r="F6" s="2">
        <f t="shared" ref="F6:F14" si="1">PRODUCT(E6*18)/118</f>
        <v>570240</v>
      </c>
      <c r="G6" s="2">
        <f>PRODUCT(B6*50)</f>
        <v>19800</v>
      </c>
      <c r="H6" s="89">
        <f t="shared" ref="H6:H14" si="2">SUM(F6:G6)</f>
        <v>590040</v>
      </c>
      <c r="I6" s="165"/>
    </row>
    <row r="7" spans="1:9">
      <c r="A7" s="30" t="s">
        <v>89</v>
      </c>
      <c r="B7" s="1">
        <v>528</v>
      </c>
      <c r="C7" s="226">
        <v>2950</v>
      </c>
      <c r="D7" s="227"/>
      <c r="E7" s="2">
        <f t="shared" si="0"/>
        <v>1557600</v>
      </c>
      <c r="F7" s="2">
        <f t="shared" si="1"/>
        <v>237600</v>
      </c>
      <c r="G7" s="2">
        <f>PRODUCT(B7*50)</f>
        <v>26400</v>
      </c>
      <c r="H7" s="89">
        <f t="shared" si="2"/>
        <v>264000</v>
      </c>
      <c r="I7" s="165"/>
    </row>
    <row r="8" spans="1:9">
      <c r="A8" s="31" t="s">
        <v>89</v>
      </c>
      <c r="B8" s="3">
        <v>742</v>
      </c>
      <c r="C8" s="203">
        <v>2360</v>
      </c>
      <c r="D8" s="204"/>
      <c r="E8" s="4">
        <f t="shared" si="0"/>
        <v>1751120</v>
      </c>
      <c r="F8" s="4">
        <f t="shared" si="1"/>
        <v>267120</v>
      </c>
      <c r="G8" s="4">
        <f>PRODUCT(B8*50)</f>
        <v>37100</v>
      </c>
      <c r="H8" s="90">
        <f t="shared" si="2"/>
        <v>304220</v>
      </c>
      <c r="I8" s="165"/>
    </row>
    <row r="9" spans="1:9">
      <c r="A9" s="31" t="s">
        <v>46</v>
      </c>
      <c r="B9" s="3">
        <v>53</v>
      </c>
      <c r="C9" s="203">
        <v>3540</v>
      </c>
      <c r="D9" s="204"/>
      <c r="E9" s="4">
        <f t="shared" si="0"/>
        <v>187620</v>
      </c>
      <c r="F9" s="4">
        <f t="shared" si="1"/>
        <v>28620</v>
      </c>
      <c r="G9" s="4">
        <f>PRODUCT(B9*30)</f>
        <v>1590</v>
      </c>
      <c r="H9" s="90">
        <f t="shared" si="2"/>
        <v>30210</v>
      </c>
      <c r="I9" s="165"/>
    </row>
    <row r="10" spans="1:9">
      <c r="A10" s="31" t="s">
        <v>47</v>
      </c>
      <c r="B10" s="3">
        <v>4746</v>
      </c>
      <c r="C10" s="203">
        <v>2360</v>
      </c>
      <c r="D10" s="204"/>
      <c r="E10" s="4">
        <f t="shared" si="0"/>
        <v>11200560</v>
      </c>
      <c r="F10" s="4">
        <f t="shared" si="1"/>
        <v>1708560</v>
      </c>
      <c r="G10" s="4">
        <f>PRODUCT(B10*30)</f>
        <v>142380</v>
      </c>
      <c r="H10" s="90">
        <f t="shared" si="2"/>
        <v>1850940</v>
      </c>
      <c r="I10" s="165"/>
    </row>
    <row r="11" spans="1:9">
      <c r="A11" s="32" t="s">
        <v>100</v>
      </c>
      <c r="B11" s="3"/>
      <c r="C11" s="203">
        <v>1180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>
        <v>1180</v>
      </c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100</v>
      </c>
      <c r="B14" s="3">
        <v>686</v>
      </c>
      <c r="C14" s="203">
        <v>1180</v>
      </c>
      <c r="D14" s="204"/>
      <c r="E14" s="4">
        <f t="shared" si="0"/>
        <v>809480</v>
      </c>
      <c r="F14" s="4">
        <f t="shared" si="1"/>
        <v>123480</v>
      </c>
      <c r="G14" s="4">
        <f>PRODUCT(B14*20)</f>
        <v>13720</v>
      </c>
      <c r="H14" s="90">
        <f t="shared" si="2"/>
        <v>137200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62</v>
      </c>
      <c r="B17" s="18"/>
      <c r="C17" s="18">
        <v>2360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118</v>
      </c>
      <c r="B18" s="19">
        <v>75</v>
      </c>
      <c r="C18" s="19">
        <v>10000</v>
      </c>
      <c r="D18" s="19">
        <v>1500</v>
      </c>
      <c r="E18" s="12">
        <f t="shared" ref="E18:E22" si="4">PRODUCT(B18*C18)</f>
        <v>750000</v>
      </c>
      <c r="F18" s="9">
        <f t="shared" si="3"/>
        <v>114406.77966101695</v>
      </c>
      <c r="G18" s="7">
        <f t="shared" ref="G18:G22" si="5">PRODUCT(B18*D18)</f>
        <v>112500</v>
      </c>
      <c r="H18" s="93">
        <f t="shared" ref="H18:H22" si="6">SUM(F18:G18)</f>
        <v>226906.77966101695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19994620</v>
      </c>
      <c r="F37" s="16">
        <f>SUM(F5:F36)</f>
        <v>3050026.779661017</v>
      </c>
      <c r="G37" s="16">
        <f t="shared" ref="G37:H37" si="10">SUM(G5:G36)</f>
        <v>353490</v>
      </c>
      <c r="H37" s="16">
        <f t="shared" si="10"/>
        <v>3403516.779661017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>
        <v>3152907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>
        <v>250610</v>
      </c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3403517</v>
      </c>
      <c r="D45" s="82"/>
      <c r="E45" s="185"/>
      <c r="F45" s="186"/>
      <c r="G45" s="83"/>
      <c r="H45" s="100"/>
      <c r="I45" s="165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4799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1666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686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75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7226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workbookViewId="0">
      <selection activeCell="C11" sqref="C11:D11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21875" customWidth="1"/>
    <col min="5" max="5" width="18.21875" customWidth="1"/>
    <col min="6" max="6" width="17.77734375" customWidth="1"/>
    <col min="7" max="7" width="13.21875" customWidth="1"/>
    <col min="8" max="8" width="20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2.9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20.5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>
        <v>175</v>
      </c>
      <c r="C7" s="226">
        <v>7000</v>
      </c>
      <c r="D7" s="227"/>
      <c r="E7" s="2">
        <f t="shared" si="0"/>
        <v>1225000</v>
      </c>
      <c r="F7" s="2">
        <f t="shared" si="1"/>
        <v>186864.40677966102</v>
      </c>
      <c r="G7" s="2">
        <f>PRODUCT(B7*50)</f>
        <v>8750</v>
      </c>
      <c r="H7" s="89">
        <f t="shared" si="2"/>
        <v>195614.40677966102</v>
      </c>
      <c r="I7" s="165"/>
    </row>
    <row r="8" spans="1:9">
      <c r="A8" s="31" t="s">
        <v>45</v>
      </c>
      <c r="B8" s="3">
        <v>116</v>
      </c>
      <c r="C8" s="203">
        <v>8260</v>
      </c>
      <c r="D8" s="204"/>
      <c r="E8" s="4">
        <f t="shared" si="0"/>
        <v>958160</v>
      </c>
      <c r="F8" s="4">
        <f t="shared" si="1"/>
        <v>146160</v>
      </c>
      <c r="G8" s="4">
        <f>PRODUCT(B8*50)</f>
        <v>5800</v>
      </c>
      <c r="H8" s="90">
        <f t="shared" si="2"/>
        <v>151960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460</v>
      </c>
      <c r="C10" s="203">
        <v>2360</v>
      </c>
      <c r="D10" s="204"/>
      <c r="E10" s="4">
        <f t="shared" si="0"/>
        <v>1085600</v>
      </c>
      <c r="F10" s="4">
        <f t="shared" si="1"/>
        <v>165600</v>
      </c>
      <c r="G10" s="4">
        <f>PRODUCT(B10*30)</f>
        <v>13800</v>
      </c>
      <c r="H10" s="90">
        <f t="shared" si="2"/>
        <v>179400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s="34" customFormat="1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s="34" customFormat="1" ht="15" thickBot="1">
      <c r="A17" s="25" t="s">
        <v>89</v>
      </c>
      <c r="B17" s="18">
        <v>460</v>
      </c>
      <c r="C17" s="18">
        <v>2360</v>
      </c>
      <c r="D17" s="18">
        <v>50</v>
      </c>
      <c r="E17" s="11">
        <f>PRODUCT(B17*C17)</f>
        <v>1085600</v>
      </c>
      <c r="F17" s="8">
        <f t="shared" ref="F17:F36" si="3">PRODUCT(E17*18)/118</f>
        <v>165600</v>
      </c>
      <c r="G17" s="84">
        <f>PRODUCT(B17*D17)</f>
        <v>23000</v>
      </c>
      <c r="H17" s="92">
        <f>SUM(F17:G17)</f>
        <v>188600</v>
      </c>
      <c r="I17" s="165"/>
    </row>
    <row r="18" spans="1:9" s="34" customFormat="1" ht="15" thickBot="1">
      <c r="A18" s="26" t="s">
        <v>89</v>
      </c>
      <c r="B18" s="19">
        <v>553</v>
      </c>
      <c r="C18" s="19">
        <v>2950</v>
      </c>
      <c r="D18" s="19">
        <v>50</v>
      </c>
      <c r="E18" s="12">
        <f t="shared" ref="E18:E22" si="4">PRODUCT(B18*C18)</f>
        <v>1631350</v>
      </c>
      <c r="F18" s="9">
        <f t="shared" si="3"/>
        <v>248850</v>
      </c>
      <c r="G18" s="7">
        <f t="shared" ref="G18:G22" si="5">PRODUCT(B18*D18)</f>
        <v>27650</v>
      </c>
      <c r="H18" s="93">
        <f t="shared" ref="H18:H22" si="6">SUM(F18:G18)</f>
        <v>276500</v>
      </c>
      <c r="I18" s="165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s="34" customFormat="1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5985710</v>
      </c>
      <c r="F37" s="16">
        <f>SUM(F5:F36)</f>
        <v>913074.40677966108</v>
      </c>
      <c r="G37" s="16">
        <f t="shared" ref="G37:H37" si="10">SUM(G5:G36)</f>
        <v>79000</v>
      </c>
      <c r="H37" s="16">
        <f t="shared" si="10"/>
        <v>992074.40677966108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4.55" customHeight="1" thickBot="1">
      <c r="A39" s="213" t="s">
        <v>67</v>
      </c>
      <c r="B39" s="214"/>
      <c r="C39" s="46">
        <v>900574</v>
      </c>
      <c r="D39" s="49"/>
      <c r="E39" s="207"/>
      <c r="F39" s="207"/>
      <c r="G39" s="52"/>
      <c r="H39" s="98"/>
      <c r="I39" s="165"/>
    </row>
    <row r="40" spans="1:9" ht="15" customHeight="1" thickBot="1">
      <c r="A40" s="181" t="s">
        <v>68</v>
      </c>
      <c r="B40" s="182"/>
      <c r="C40" s="42">
        <v>91500</v>
      </c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992074</v>
      </c>
      <c r="D45" s="82"/>
      <c r="E45" s="185"/>
      <c r="F45" s="186"/>
      <c r="G45" s="83"/>
      <c r="H45" s="100"/>
      <c r="I45" s="165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460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291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1013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1764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3" workbookViewId="0">
      <selection activeCell="B27" sqref="B27"/>
    </sheetView>
  </sheetViews>
  <sheetFormatPr defaultColWidth="8.77734375" defaultRowHeight="14.4"/>
  <cols>
    <col min="1" max="1" width="19.6640625" style="34" customWidth="1"/>
    <col min="2" max="2" width="19.21875" style="34" customWidth="1"/>
    <col min="3" max="3" width="21" style="34" customWidth="1"/>
    <col min="4" max="4" width="15" style="34" customWidth="1"/>
    <col min="5" max="5" width="19.21875" style="34" customWidth="1"/>
    <col min="6" max="6" width="15.77734375" style="34" customWidth="1"/>
    <col min="7" max="7" width="17.33203125" style="34" customWidth="1"/>
    <col min="8" max="8" width="19.886718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21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233"/>
    </row>
    <row r="4" spans="1:9" ht="25.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100</v>
      </c>
      <c r="C7" s="226">
        <v>5900</v>
      </c>
      <c r="D7" s="227"/>
      <c r="E7" s="2">
        <f t="shared" si="0"/>
        <v>590000</v>
      </c>
      <c r="F7" s="2">
        <f t="shared" si="1"/>
        <v>90000</v>
      </c>
      <c r="G7" s="2">
        <f>PRODUCT(B7*50)</f>
        <v>5000</v>
      </c>
      <c r="H7" s="89">
        <f t="shared" si="2"/>
        <v>95000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3990</v>
      </c>
      <c r="C11" s="203">
        <v>2124</v>
      </c>
      <c r="D11" s="204"/>
      <c r="E11" s="4">
        <f t="shared" si="0"/>
        <v>8474760</v>
      </c>
      <c r="F11" s="4">
        <f t="shared" si="1"/>
        <v>1292760</v>
      </c>
      <c r="G11" s="4">
        <f>PRODUCT(B11*30)</f>
        <v>119700</v>
      </c>
      <c r="H11" s="90">
        <f t="shared" si="2"/>
        <v>1412460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890</v>
      </c>
      <c r="C13" s="203">
        <v>1357</v>
      </c>
      <c r="D13" s="204"/>
      <c r="E13" s="4">
        <f t="shared" si="0"/>
        <v>1207730</v>
      </c>
      <c r="F13" s="4">
        <f t="shared" si="1"/>
        <v>184230</v>
      </c>
      <c r="G13" s="4">
        <f>PRODUCT(B13*20)</f>
        <v>17800</v>
      </c>
      <c r="H13" s="90">
        <f t="shared" si="2"/>
        <v>202030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>
        <v>170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100</v>
      </c>
      <c r="B18" s="19">
        <v>300</v>
      </c>
      <c r="C18" s="19">
        <v>1180</v>
      </c>
      <c r="D18" s="19">
        <v>20</v>
      </c>
      <c r="E18" s="12">
        <f t="shared" ref="E18:E22" si="4">PRODUCT(B18*C18)</f>
        <v>354000</v>
      </c>
      <c r="F18" s="9">
        <f t="shared" si="3"/>
        <v>54000</v>
      </c>
      <c r="G18" s="7">
        <f t="shared" ref="G18:G22" si="5">PRODUCT(B18*D18)</f>
        <v>6000</v>
      </c>
      <c r="H18" s="93">
        <f t="shared" ref="H18:H22" si="6">SUM(F18:G18)</f>
        <v>60000</v>
      </c>
      <c r="I18" s="233"/>
    </row>
    <row r="19" spans="1:9" ht="15" thickBot="1">
      <c r="A19" s="27" t="s">
        <v>63</v>
      </c>
      <c r="B19" s="5"/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101</v>
      </c>
      <c r="B20" s="5"/>
      <c r="C20" s="5"/>
      <c r="D20" s="5">
        <v>354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>
        <v>390</v>
      </c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138060</v>
      </c>
      <c r="H21" s="93">
        <f t="shared" si="6"/>
        <v>138060</v>
      </c>
      <c r="I21" s="233"/>
    </row>
    <row r="22" spans="1:9" ht="15" thickBot="1">
      <c r="A22" s="28" t="s">
        <v>52</v>
      </c>
      <c r="B22" s="5"/>
      <c r="C22" s="5"/>
      <c r="D22" s="5">
        <v>30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10626490</v>
      </c>
      <c r="F37" s="16">
        <f>SUM(F5:F36)</f>
        <v>1620990</v>
      </c>
      <c r="G37" s="16">
        <f t="shared" ref="G37:H37" si="10">SUM(G5:G36)</f>
        <v>286560</v>
      </c>
      <c r="H37" s="16">
        <f t="shared" si="10"/>
        <v>1907550</v>
      </c>
      <c r="I37" s="233"/>
    </row>
    <row r="38" spans="1:9" ht="19.0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9.05" customHeight="1" thickBot="1">
      <c r="A39" s="213" t="s">
        <v>67</v>
      </c>
      <c r="B39" s="214"/>
      <c r="C39" s="46">
        <v>1907550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1907550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3990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100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890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300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5280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zoomScaleNormal="100" workbookViewId="0">
      <selection activeCell="C40" sqref="C40"/>
    </sheetView>
  </sheetViews>
  <sheetFormatPr defaultRowHeight="14.4"/>
  <cols>
    <col min="1" max="1" width="23.21875" customWidth="1"/>
    <col min="2" max="2" width="15.44140625" customWidth="1"/>
    <col min="3" max="3" width="20.21875" customWidth="1"/>
    <col min="4" max="4" width="16.109375" customWidth="1"/>
    <col min="5" max="5" width="18.21875" customWidth="1"/>
    <col min="6" max="6" width="15.33203125" customWidth="1"/>
    <col min="7" max="7" width="22.77734375" customWidth="1"/>
    <col min="8" max="8" width="19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2.0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22.0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1050</v>
      </c>
      <c r="C10" s="203">
        <v>1800</v>
      </c>
      <c r="D10" s="204"/>
      <c r="E10" s="4">
        <f t="shared" si="0"/>
        <v>1890000</v>
      </c>
      <c r="F10" s="4">
        <f t="shared" si="1"/>
        <v>288305.0847457627</v>
      </c>
      <c r="G10" s="4">
        <f>PRODUCT(B10*30)</f>
        <v>31500</v>
      </c>
      <c r="H10" s="90">
        <f t="shared" si="2"/>
        <v>319805.0847457627</v>
      </c>
      <c r="I10" s="165"/>
    </row>
    <row r="11" spans="1:9">
      <c r="A11" s="32" t="s">
        <v>65</v>
      </c>
      <c r="B11" s="3"/>
      <c r="C11" s="203">
        <v>2500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100</v>
      </c>
      <c r="C13" s="203">
        <v>1200</v>
      </c>
      <c r="D13" s="204"/>
      <c r="E13" s="4">
        <f t="shared" si="0"/>
        <v>120000</v>
      </c>
      <c r="F13" s="4">
        <f t="shared" si="1"/>
        <v>18305.084745762713</v>
      </c>
      <c r="G13" s="4">
        <f>PRODUCT(B13*20)</f>
        <v>2000</v>
      </c>
      <c r="H13" s="90">
        <f t="shared" si="2"/>
        <v>20305.084745762713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s="34" customFormat="1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s="34" customFormat="1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s="34" customFormat="1" ht="15" thickBot="1">
      <c r="A21" s="28" t="s">
        <v>52</v>
      </c>
      <c r="B21" s="5"/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2010000</v>
      </c>
      <c r="F37" s="16">
        <f>SUM(F5:F36)</f>
        <v>306610.16949152539</v>
      </c>
      <c r="G37" s="16">
        <f t="shared" ref="G37:H37" si="10">SUM(G5:G36)</f>
        <v>33500</v>
      </c>
      <c r="H37" s="16">
        <f t="shared" si="10"/>
        <v>340110.16949152539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>
        <v>319805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319805</v>
      </c>
      <c r="D45" s="82"/>
      <c r="E45" s="185"/>
      <c r="F45" s="186"/>
      <c r="G45" s="83"/>
      <c r="H45" s="100"/>
      <c r="I45" s="165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1050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100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1150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A3" sqref="A3:H4"/>
    </sheetView>
  </sheetViews>
  <sheetFormatPr defaultColWidth="8.77734375" defaultRowHeight="14.4"/>
  <cols>
    <col min="1" max="1" width="24.6640625" style="34" customWidth="1"/>
    <col min="2" max="2" width="15.77734375" style="34" customWidth="1"/>
    <col min="3" max="3" width="21.109375" style="34" customWidth="1"/>
    <col min="4" max="4" width="18.21875" style="34" customWidth="1"/>
    <col min="5" max="5" width="21.109375" style="34" customWidth="1"/>
    <col min="6" max="6" width="18.6640625" style="34" customWidth="1"/>
    <col min="7" max="7" width="20.21875" style="34" customWidth="1"/>
    <col min="8" max="8" width="17.4414062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34.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233"/>
    </row>
    <row r="4" spans="1:9" ht="27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3324</v>
      </c>
      <c r="C10" s="203">
        <v>2124</v>
      </c>
      <c r="D10" s="204"/>
      <c r="E10" s="4">
        <f t="shared" si="0"/>
        <v>7060176</v>
      </c>
      <c r="F10" s="4">
        <f t="shared" si="1"/>
        <v>1076976</v>
      </c>
      <c r="G10" s="4">
        <f>PRODUCT(B10*30)</f>
        <v>99720</v>
      </c>
      <c r="H10" s="90">
        <f t="shared" si="2"/>
        <v>1176696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59</v>
      </c>
      <c r="B17" s="18">
        <v>3</v>
      </c>
      <c r="C17" s="18"/>
      <c r="D17" s="18">
        <v>200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600</v>
      </c>
      <c r="H17" s="92">
        <f>SUM(F17:G17)</f>
        <v>600</v>
      </c>
      <c r="I17" s="233"/>
    </row>
    <row r="18" spans="1:9" ht="15" thickBot="1">
      <c r="A18" s="26" t="s">
        <v>89</v>
      </c>
      <c r="B18" s="19">
        <v>2135</v>
      </c>
      <c r="C18" s="19">
        <v>1416</v>
      </c>
      <c r="D18" s="19">
        <v>50</v>
      </c>
      <c r="E18" s="12">
        <f t="shared" ref="E18:E22" si="4">PRODUCT(B18*C18)</f>
        <v>3023160</v>
      </c>
      <c r="F18" s="9">
        <f t="shared" si="3"/>
        <v>461160</v>
      </c>
      <c r="G18" s="7">
        <f t="shared" ref="G18:G22" si="5">PRODUCT(B18*D18)</f>
        <v>106750</v>
      </c>
      <c r="H18" s="93">
        <f t="shared" ref="H18:H22" si="6">SUM(F18:G18)</f>
        <v>567910</v>
      </c>
      <c r="I18" s="233"/>
    </row>
    <row r="19" spans="1:9" ht="15" thickBot="1">
      <c r="A19" s="27" t="s">
        <v>112</v>
      </c>
      <c r="B19" s="5">
        <v>25</v>
      </c>
      <c r="C19" s="5">
        <v>1200</v>
      </c>
      <c r="D19" s="5">
        <v>20</v>
      </c>
      <c r="E19" s="12">
        <f t="shared" si="4"/>
        <v>30000</v>
      </c>
      <c r="F19" s="9">
        <f t="shared" si="3"/>
        <v>4576.2711864406783</v>
      </c>
      <c r="G19" s="7">
        <f t="shared" si="5"/>
        <v>500</v>
      </c>
      <c r="H19" s="93">
        <f t="shared" si="6"/>
        <v>5076.2711864406783</v>
      </c>
      <c r="I19" s="233"/>
    </row>
    <row r="20" spans="1:9" ht="15" thickBot="1">
      <c r="A20" s="27" t="s">
        <v>113</v>
      </c>
      <c r="B20" s="5">
        <v>186</v>
      </c>
      <c r="C20" s="5"/>
      <c r="D20" s="5">
        <v>266</v>
      </c>
      <c r="E20" s="12">
        <f t="shared" si="4"/>
        <v>0</v>
      </c>
      <c r="F20" s="9">
        <f t="shared" si="3"/>
        <v>0</v>
      </c>
      <c r="G20" s="85">
        <f t="shared" si="5"/>
        <v>49476</v>
      </c>
      <c r="H20" s="94">
        <f t="shared" si="6"/>
        <v>49476</v>
      </c>
      <c r="I20" s="233"/>
    </row>
    <row r="21" spans="1:9" ht="15" thickBot="1">
      <c r="A21" s="28" t="s">
        <v>65</v>
      </c>
      <c r="B21" s="5">
        <v>168</v>
      </c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59472</v>
      </c>
      <c r="H21" s="93">
        <f t="shared" si="6"/>
        <v>59472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10113336</v>
      </c>
      <c r="F37" s="16">
        <f>SUM(F5:F36)</f>
        <v>1542712.2711864407</v>
      </c>
      <c r="G37" s="16">
        <f t="shared" ref="G37:H37" si="10">SUM(G5:G36)</f>
        <v>316518</v>
      </c>
      <c r="H37" s="16">
        <f t="shared" si="10"/>
        <v>1859230.2711864407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4.55" customHeight="1" thickBot="1">
      <c r="A39" s="213" t="s">
        <v>67</v>
      </c>
      <c r="B39" s="214"/>
      <c r="C39" s="46">
        <v>1859414</v>
      </c>
      <c r="D39" s="49"/>
      <c r="E39" s="207"/>
      <c r="F39" s="207"/>
      <c r="G39" s="52"/>
      <c r="H39" s="98"/>
      <c r="I39" s="233"/>
    </row>
    <row r="40" spans="1:9" ht="15" customHeight="1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1859414</v>
      </c>
      <c r="D45" s="82"/>
      <c r="E45" s="185"/>
      <c r="F45" s="186"/>
      <c r="G45" s="83"/>
      <c r="H45" s="100"/>
      <c r="I45" s="233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8.95" customHeight="1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5" customHeight="1" thickBot="1">
      <c r="A49" s="175"/>
      <c r="B49" s="176"/>
      <c r="C49" s="183" t="s">
        <v>60</v>
      </c>
      <c r="D49" s="184"/>
      <c r="E49" s="191">
        <f>SUM(B9:B12)</f>
        <v>3324</v>
      </c>
      <c r="F49" s="192"/>
      <c r="G49" s="192"/>
      <c r="H49" s="192"/>
      <c r="I49" s="233"/>
    </row>
    <row r="50" spans="1:9" ht="19.05" customHeight="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9.05" customHeight="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9.05" customHeight="1" thickBot="1">
      <c r="A52" s="177"/>
      <c r="B52" s="178"/>
      <c r="C52" s="167" t="s">
        <v>62</v>
      </c>
      <c r="D52" s="168"/>
      <c r="E52" s="195">
        <f>SUM(B17:B18)</f>
        <v>2138</v>
      </c>
      <c r="F52" s="196"/>
      <c r="G52" s="196"/>
      <c r="H52" s="196"/>
      <c r="I52" s="233"/>
    </row>
    <row r="53" spans="1:9" ht="19.05" customHeight="1" thickBot="1">
      <c r="A53" s="177"/>
      <c r="B53" s="178"/>
      <c r="C53" s="167" t="s">
        <v>63</v>
      </c>
      <c r="D53" s="168"/>
      <c r="E53" s="195">
        <f>SUM(B19:B20)</f>
        <v>211</v>
      </c>
      <c r="F53" s="196"/>
      <c r="G53" s="196"/>
      <c r="H53" s="196"/>
      <c r="I53" s="233"/>
    </row>
    <row r="54" spans="1:9" ht="19.05" customHeight="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9.05" customHeight="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9.05" customHeight="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9.05" customHeight="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9.05" customHeight="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9.05" customHeight="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9.05" customHeight="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9.05" customHeight="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5673</v>
      </c>
      <c r="F62" s="231"/>
      <c r="G62" s="231"/>
      <c r="H62" s="231"/>
      <c r="I62" s="233"/>
    </row>
    <row r="63" spans="1:9" ht="19.05" customHeight="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4.55" customHeight="1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8" workbookViewId="0">
      <selection activeCell="C40" sqref="C40"/>
    </sheetView>
  </sheetViews>
  <sheetFormatPr defaultColWidth="8.77734375" defaultRowHeight="14.4"/>
  <cols>
    <col min="1" max="1" width="19.77734375" style="34" customWidth="1"/>
    <col min="2" max="2" width="14.33203125" style="34" customWidth="1"/>
    <col min="3" max="3" width="20" style="34" customWidth="1"/>
    <col min="4" max="4" width="14.21875" style="34" customWidth="1"/>
    <col min="5" max="5" width="20.109375" style="34" customWidth="1"/>
    <col min="6" max="6" width="15.21875" style="34" customWidth="1"/>
    <col min="7" max="7" width="16.21875" style="34" customWidth="1"/>
    <col min="8" max="8" width="19.886718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1.4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24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89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103</v>
      </c>
      <c r="B17" s="18"/>
      <c r="C17" s="18">
        <v>2124</v>
      </c>
      <c r="D17" s="18">
        <v>40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104</v>
      </c>
      <c r="B18" s="19"/>
      <c r="C18" s="19">
        <v>1357</v>
      </c>
      <c r="D18" s="19">
        <v>30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105</v>
      </c>
      <c r="B19" s="5"/>
      <c r="C19" s="5">
        <v>2500</v>
      </c>
      <c r="D19" s="5">
        <v>40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4.55" customHeight="1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165"/>
    </row>
    <row r="40" spans="1:9" ht="15" customHeight="1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165"/>
    </row>
    <row r="46" spans="1:9" ht="14.55" customHeight="1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customHeight="1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6" workbookViewId="0">
      <selection activeCell="C51" sqref="C51:D51"/>
    </sheetView>
  </sheetViews>
  <sheetFormatPr defaultColWidth="8.77734375" defaultRowHeight="14.4"/>
  <cols>
    <col min="1" max="1" width="19.77734375" style="34" customWidth="1"/>
    <col min="2" max="2" width="14.44140625" style="34" customWidth="1"/>
    <col min="3" max="3" width="24" style="34" customWidth="1"/>
    <col min="4" max="4" width="18.109375" style="34" customWidth="1"/>
    <col min="5" max="5" width="20.6640625" style="34" customWidth="1"/>
    <col min="6" max="6" width="22.88671875" style="34" customWidth="1"/>
    <col min="7" max="7" width="21.21875" style="34" customWidth="1"/>
    <col min="8" max="8" width="19.8867187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customHeight="1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233"/>
    </row>
    <row r="4" spans="1:9" ht="15" customHeight="1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>
        <v>200</v>
      </c>
      <c r="C6" s="226">
        <v>8850</v>
      </c>
      <c r="D6" s="227"/>
      <c r="E6" s="2">
        <f t="shared" ref="E6:E14" si="0">PRODUCT(B6*C6)</f>
        <v>1770000</v>
      </c>
      <c r="F6" s="2">
        <f t="shared" ref="F6:F14" si="1">PRODUCT(E6*18)/118</f>
        <v>270000</v>
      </c>
      <c r="G6" s="2">
        <f>PRODUCT(B6*50)</f>
        <v>10000</v>
      </c>
      <c r="H6" s="89">
        <f t="shared" ref="H6:H14" si="2">SUM(F6:G6)</f>
        <v>280000</v>
      </c>
      <c r="I6" s="233"/>
    </row>
    <row r="7" spans="1:9">
      <c r="A7" s="30" t="s">
        <v>89</v>
      </c>
      <c r="B7" s="1">
        <v>500</v>
      </c>
      <c r="C7" s="226">
        <v>2360</v>
      </c>
      <c r="D7" s="227"/>
      <c r="E7" s="2">
        <f t="shared" si="0"/>
        <v>1180000</v>
      </c>
      <c r="F7" s="2">
        <f t="shared" si="1"/>
        <v>180000</v>
      </c>
      <c r="G7" s="2">
        <f>PRODUCT(B7*50)</f>
        <v>25000</v>
      </c>
      <c r="H7" s="89">
        <f t="shared" si="2"/>
        <v>205000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7459</v>
      </c>
      <c r="C10" s="203">
        <v>2360</v>
      </c>
      <c r="D10" s="204"/>
      <c r="E10" s="4">
        <f t="shared" si="0"/>
        <v>17603240</v>
      </c>
      <c r="F10" s="4">
        <f t="shared" si="1"/>
        <v>2685240</v>
      </c>
      <c r="G10" s="4">
        <f>PRODUCT(B10*30)</f>
        <v>223770</v>
      </c>
      <c r="H10" s="90">
        <f t="shared" si="2"/>
        <v>2909010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872</v>
      </c>
      <c r="C13" s="203">
        <v>1534</v>
      </c>
      <c r="D13" s="204"/>
      <c r="E13" s="4">
        <f t="shared" si="0"/>
        <v>1337648</v>
      </c>
      <c r="F13" s="4">
        <f t="shared" si="1"/>
        <v>204048</v>
      </c>
      <c r="G13" s="4">
        <f>PRODUCT(B13*20)</f>
        <v>17440</v>
      </c>
      <c r="H13" s="90">
        <f t="shared" si="2"/>
        <v>221488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>
        <v>327</v>
      </c>
      <c r="C17" s="18">
        <v>1770</v>
      </c>
      <c r="D17" s="18">
        <v>50</v>
      </c>
      <c r="E17" s="11">
        <f>PRODUCT(B17*C17)</f>
        <v>578790</v>
      </c>
      <c r="F17" s="8">
        <f t="shared" ref="F17:F36" si="3">PRODUCT(E17*18)/118</f>
        <v>88290</v>
      </c>
      <c r="G17" s="84">
        <f>PRODUCT(B17*D17)</f>
        <v>16350</v>
      </c>
      <c r="H17" s="92">
        <f>SUM(F17:G17)</f>
        <v>104640</v>
      </c>
      <c r="I17" s="233"/>
    </row>
    <row r="18" spans="1:9" ht="15" thickBot="1">
      <c r="A18" s="26" t="s">
        <v>65</v>
      </c>
      <c r="B18" s="19"/>
      <c r="C18" s="19"/>
      <c r="D18" s="19">
        <v>390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89</v>
      </c>
      <c r="B19" s="5"/>
      <c r="C19" s="5">
        <v>1770</v>
      </c>
      <c r="D19" s="5">
        <v>50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107</v>
      </c>
      <c r="B20" s="5"/>
      <c r="C20" s="5">
        <v>1180</v>
      </c>
      <c r="D20" s="5">
        <v>20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59</v>
      </c>
      <c r="B21" s="5"/>
      <c r="C21" s="5"/>
      <c r="D21" s="5">
        <v>254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22469678</v>
      </c>
      <c r="F37" s="16">
        <f>SUM(F5:F36)</f>
        <v>3427578</v>
      </c>
      <c r="G37" s="16">
        <f t="shared" ref="G37:H37" si="10">SUM(G5:G36)</f>
        <v>292560</v>
      </c>
      <c r="H37" s="16">
        <f t="shared" si="10"/>
        <v>3720138</v>
      </c>
      <c r="I37" s="233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customHeight="1" thickBot="1">
      <c r="A39" s="213" t="s">
        <v>67</v>
      </c>
      <c r="B39" s="214"/>
      <c r="C39" s="46">
        <v>3220138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>
        <v>500000</v>
      </c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3720138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7459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700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872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327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9358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A46" sqref="A46:H47"/>
    </sheetView>
  </sheetViews>
  <sheetFormatPr defaultRowHeight="14.4"/>
  <cols>
    <col min="1" max="1" width="21" customWidth="1"/>
    <col min="2" max="2" width="18.77734375" customWidth="1"/>
    <col min="3" max="3" width="27.218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3320312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9.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21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>
        <v>8850</v>
      </c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>
        <v>20</v>
      </c>
      <c r="C9" s="203">
        <v>4500</v>
      </c>
      <c r="D9" s="204"/>
      <c r="E9" s="4">
        <f t="shared" si="0"/>
        <v>90000</v>
      </c>
      <c r="F9" s="4">
        <f t="shared" si="1"/>
        <v>13728.813559322034</v>
      </c>
      <c r="G9" s="4">
        <f>PRODUCT(B9*30)</f>
        <v>600</v>
      </c>
      <c r="H9" s="90">
        <f t="shared" si="2"/>
        <v>14328.813559322034</v>
      </c>
      <c r="I9" s="165"/>
    </row>
    <row r="10" spans="1:9">
      <c r="A10" s="31" t="s">
        <v>47</v>
      </c>
      <c r="B10" s="3">
        <v>2700</v>
      </c>
      <c r="C10" s="203">
        <v>2124</v>
      </c>
      <c r="D10" s="204"/>
      <c r="E10" s="4">
        <f t="shared" si="0"/>
        <v>5734800</v>
      </c>
      <c r="F10" s="4">
        <f t="shared" si="1"/>
        <v>874800</v>
      </c>
      <c r="G10" s="4">
        <f>PRODUCT(B10*30)</f>
        <v>81000</v>
      </c>
      <c r="H10" s="90">
        <f t="shared" si="2"/>
        <v>955800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>
        <v>720</v>
      </c>
      <c r="C13" s="203">
        <v>944</v>
      </c>
      <c r="D13" s="204"/>
      <c r="E13" s="4">
        <f t="shared" si="0"/>
        <v>679680</v>
      </c>
      <c r="F13" s="4">
        <f t="shared" si="1"/>
        <v>103680</v>
      </c>
      <c r="G13" s="4">
        <f>PRODUCT(B13*20)</f>
        <v>14400</v>
      </c>
      <c r="H13" s="90">
        <f t="shared" si="2"/>
        <v>118080</v>
      </c>
      <c r="I13" s="165"/>
    </row>
    <row r="14" spans="1:9" ht="15" thickBot="1">
      <c r="A14" s="33" t="s">
        <v>100</v>
      </c>
      <c r="B14" s="3">
        <v>1364</v>
      </c>
      <c r="C14" s="203">
        <v>1180</v>
      </c>
      <c r="D14" s="204"/>
      <c r="E14" s="4">
        <f t="shared" si="0"/>
        <v>1609520</v>
      </c>
      <c r="F14" s="4">
        <f t="shared" si="1"/>
        <v>245520</v>
      </c>
      <c r="G14" s="4">
        <f>PRODUCT(B14*20)</f>
        <v>27280</v>
      </c>
      <c r="H14" s="90">
        <f t="shared" si="2"/>
        <v>272800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108</v>
      </c>
      <c r="B17" s="18"/>
      <c r="C17" s="18">
        <v>2360</v>
      </c>
      <c r="D17" s="18">
        <v>25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109</v>
      </c>
      <c r="B18" s="19"/>
      <c r="C18" s="19">
        <v>1770</v>
      </c>
      <c r="D18" s="19">
        <v>25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59</v>
      </c>
      <c r="B19" s="5"/>
      <c r="C19" s="5">
        <v>570</v>
      </c>
      <c r="D19" s="5">
        <v>25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>
        <v>60000</v>
      </c>
      <c r="D20" s="5">
        <v>50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>
        <v>2400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>
        <v>190</v>
      </c>
      <c r="C22" s="5">
        <v>1770</v>
      </c>
      <c r="D22" s="5">
        <v>25</v>
      </c>
      <c r="E22" s="12">
        <f t="shared" si="4"/>
        <v>336300</v>
      </c>
      <c r="F22" s="9">
        <f t="shared" si="3"/>
        <v>51300</v>
      </c>
      <c r="G22" s="85">
        <f t="shared" si="5"/>
        <v>4750</v>
      </c>
      <c r="H22" s="94">
        <f t="shared" si="6"/>
        <v>56050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8450300</v>
      </c>
      <c r="F37" s="16">
        <f>SUM(F5:F36)</f>
        <v>1289028.8135593222</v>
      </c>
      <c r="G37" s="16">
        <f t="shared" ref="G37:H37" si="10">SUM(G5:G36)</f>
        <v>128030</v>
      </c>
      <c r="H37" s="16">
        <f t="shared" si="10"/>
        <v>1417058.8135593222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741310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>
        <v>675749</v>
      </c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1417059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2720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2084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4804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5" workbookViewId="0">
      <selection activeCell="C40" sqref="C40"/>
    </sheetView>
  </sheetViews>
  <sheetFormatPr defaultRowHeight="14.4"/>
  <cols>
    <col min="1" max="1" width="19.88671875" customWidth="1"/>
    <col min="2" max="2" width="15.109375" customWidth="1"/>
    <col min="3" max="3" width="25.21875" customWidth="1"/>
    <col min="4" max="4" width="18.88671875" customWidth="1"/>
    <col min="5" max="5" width="17.77734375" customWidth="1"/>
    <col min="6" max="6" width="18.109375" customWidth="1"/>
    <col min="7" max="7" width="21.77734375" customWidth="1"/>
    <col min="8" max="8" width="22.3320312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0.5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20.5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65</v>
      </c>
      <c r="B17" s="18">
        <v>650</v>
      </c>
      <c r="C17" s="18">
        <v>4000</v>
      </c>
      <c r="D17" s="18">
        <v>50</v>
      </c>
      <c r="E17" s="11">
        <f>PRODUCT(B17*C17)</f>
        <v>2600000</v>
      </c>
      <c r="F17" s="8">
        <f t="shared" ref="F17:F36" si="3">PRODUCT(E17*18)/118</f>
        <v>396610.16949152545</v>
      </c>
      <c r="G17" s="84">
        <f>PRODUCT(B17*D17)</f>
        <v>32500</v>
      </c>
      <c r="H17" s="92">
        <f>SUM(F17:G17)</f>
        <v>429110.16949152545</v>
      </c>
      <c r="I17" s="165"/>
    </row>
    <row r="18" spans="1:9" ht="15" thickBot="1">
      <c r="A18" s="26" t="s">
        <v>65</v>
      </c>
      <c r="B18" s="19">
        <v>1410</v>
      </c>
      <c r="C18" s="19">
        <v>3000</v>
      </c>
      <c r="D18" s="19">
        <v>50</v>
      </c>
      <c r="E18" s="12">
        <f t="shared" ref="E18:E22" si="4">PRODUCT(B18*C18)</f>
        <v>4230000</v>
      </c>
      <c r="F18" s="9">
        <f t="shared" si="3"/>
        <v>645254.23728813557</v>
      </c>
      <c r="G18" s="7">
        <f t="shared" ref="G18:G22" si="5">PRODUCT(B18*D18)</f>
        <v>70500</v>
      </c>
      <c r="H18" s="93">
        <f t="shared" ref="H18:H22" si="6">SUM(F18:G18)</f>
        <v>715754.23728813557</v>
      </c>
      <c r="I18" s="165"/>
    </row>
    <row r="19" spans="1:9" ht="15" thickBot="1">
      <c r="A19" s="27" t="s">
        <v>65</v>
      </c>
      <c r="B19" s="5">
        <v>700</v>
      </c>
      <c r="C19" s="5">
        <v>2500</v>
      </c>
      <c r="D19" s="5">
        <v>50</v>
      </c>
      <c r="E19" s="12">
        <f t="shared" si="4"/>
        <v>1750000</v>
      </c>
      <c r="F19" s="9">
        <f t="shared" si="3"/>
        <v>266949.15254237287</v>
      </c>
      <c r="G19" s="7">
        <f t="shared" si="5"/>
        <v>35000</v>
      </c>
      <c r="H19" s="93">
        <f t="shared" si="6"/>
        <v>301949.15254237287</v>
      </c>
      <c r="I19" s="165"/>
    </row>
    <row r="20" spans="1:9" ht="15" thickBot="1">
      <c r="A20" s="27" t="s">
        <v>65</v>
      </c>
      <c r="B20" s="5">
        <v>180</v>
      </c>
      <c r="C20" s="5">
        <v>2200</v>
      </c>
      <c r="D20" s="5">
        <v>50</v>
      </c>
      <c r="E20" s="12">
        <f t="shared" si="4"/>
        <v>396000</v>
      </c>
      <c r="F20" s="9">
        <f t="shared" si="3"/>
        <v>60406.779661016946</v>
      </c>
      <c r="G20" s="85">
        <f t="shared" si="5"/>
        <v>9000</v>
      </c>
      <c r="H20" s="94">
        <f t="shared" si="6"/>
        <v>69406.779661016946</v>
      </c>
      <c r="I20" s="165"/>
    </row>
    <row r="21" spans="1:9" ht="15" thickBot="1">
      <c r="A21" s="28" t="s">
        <v>59</v>
      </c>
      <c r="B21" s="5"/>
      <c r="C21" s="5">
        <v>1000</v>
      </c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100</v>
      </c>
      <c r="B22" s="5">
        <v>200</v>
      </c>
      <c r="C22" s="5">
        <v>1180</v>
      </c>
      <c r="D22" s="5">
        <v>50</v>
      </c>
      <c r="E22" s="12">
        <f t="shared" si="4"/>
        <v>236000</v>
      </c>
      <c r="F22" s="9">
        <f t="shared" si="3"/>
        <v>36000</v>
      </c>
      <c r="G22" s="85">
        <f t="shared" si="5"/>
        <v>10000</v>
      </c>
      <c r="H22" s="94">
        <f t="shared" si="6"/>
        <v>46000</v>
      </c>
      <c r="I22" s="165"/>
    </row>
    <row r="23" spans="1:9" ht="15" thickBot="1">
      <c r="A23" s="28" t="s">
        <v>65</v>
      </c>
      <c r="B23" s="20">
        <v>190</v>
      </c>
      <c r="C23" s="20">
        <v>2124</v>
      </c>
      <c r="D23" s="20">
        <v>50</v>
      </c>
      <c r="E23" s="12">
        <f>PRODUCT(B23*C23)</f>
        <v>403560</v>
      </c>
      <c r="F23" s="9">
        <f t="shared" si="3"/>
        <v>61560</v>
      </c>
      <c r="G23" s="7">
        <f>PRODUCT(B23*D23)</f>
        <v>9500</v>
      </c>
      <c r="H23" s="93">
        <f>SUM(F23:G23)</f>
        <v>71060</v>
      </c>
      <c r="I23" s="165"/>
    </row>
    <row r="24" spans="1:9" ht="15" thickBot="1">
      <c r="A24" s="28" t="s">
        <v>108</v>
      </c>
      <c r="B24" s="19"/>
      <c r="C24" s="19">
        <v>1180</v>
      </c>
      <c r="D24" s="19">
        <v>50</v>
      </c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>
        <v>326</v>
      </c>
      <c r="C25" s="5"/>
      <c r="D25" s="5">
        <v>50</v>
      </c>
      <c r="E25" s="12">
        <f t="shared" si="7"/>
        <v>0</v>
      </c>
      <c r="F25" s="9">
        <f t="shared" si="3"/>
        <v>0</v>
      </c>
      <c r="G25" s="7">
        <f t="shared" si="8"/>
        <v>16300</v>
      </c>
      <c r="H25" s="93">
        <f t="shared" si="9"/>
        <v>16300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9615560</v>
      </c>
      <c r="F37" s="16">
        <f>SUM(F5:F36)</f>
        <v>1466780.338983051</v>
      </c>
      <c r="G37" s="16">
        <f t="shared" ref="G37:H37" si="10">SUM(G5:G36)</f>
        <v>182800</v>
      </c>
      <c r="H37" s="16">
        <f t="shared" si="10"/>
        <v>1649580.338983051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1649580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1649580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2060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880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2940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4" workbookViewId="0">
      <selection activeCell="C40" sqref="C40"/>
    </sheetView>
  </sheetViews>
  <sheetFormatPr defaultRowHeight="14.4"/>
  <cols>
    <col min="1" max="1" width="24.21875" customWidth="1"/>
    <col min="2" max="2" width="18.44140625" customWidth="1"/>
    <col min="3" max="3" width="22.6640625" customWidth="1"/>
    <col min="4" max="4" width="17.33203125" customWidth="1"/>
    <col min="5" max="5" width="21.33203125" customWidth="1"/>
    <col min="6" max="6" width="18.88671875" customWidth="1"/>
    <col min="7" max="7" width="17.77734375" customWidth="1"/>
    <col min="8" max="8" width="22.554687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4.4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21.4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89</v>
      </c>
      <c r="B7" s="1">
        <v>405</v>
      </c>
      <c r="C7" s="226">
        <v>3500</v>
      </c>
      <c r="D7" s="227"/>
      <c r="E7" s="2">
        <f t="shared" si="0"/>
        <v>1417500</v>
      </c>
      <c r="F7" s="2">
        <f t="shared" si="1"/>
        <v>216228.81355932204</v>
      </c>
      <c r="G7" s="2">
        <f>PRODUCT(B7*50)</f>
        <v>20250</v>
      </c>
      <c r="H7" s="89">
        <f t="shared" si="2"/>
        <v>236478.81355932204</v>
      </c>
      <c r="I7" s="165"/>
    </row>
    <row r="8" spans="1:9">
      <c r="A8" s="31" t="s">
        <v>45</v>
      </c>
      <c r="B8" s="3">
        <v>235</v>
      </c>
      <c r="C8" s="203">
        <v>7670</v>
      </c>
      <c r="D8" s="204"/>
      <c r="E8" s="4">
        <f t="shared" si="0"/>
        <v>1802450</v>
      </c>
      <c r="F8" s="4">
        <f t="shared" si="1"/>
        <v>274950</v>
      </c>
      <c r="G8" s="4">
        <f>PRODUCT(B8*50)</f>
        <v>11750</v>
      </c>
      <c r="H8" s="90">
        <f t="shared" si="2"/>
        <v>286700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1535</v>
      </c>
      <c r="C10" s="203">
        <v>2124</v>
      </c>
      <c r="D10" s="204"/>
      <c r="E10" s="4">
        <f t="shared" si="0"/>
        <v>3260340</v>
      </c>
      <c r="F10" s="4">
        <f t="shared" si="1"/>
        <v>497340</v>
      </c>
      <c r="G10" s="4">
        <f>PRODUCT(B10*30)</f>
        <v>46050</v>
      </c>
      <c r="H10" s="90">
        <f t="shared" si="2"/>
        <v>543390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62</v>
      </c>
      <c r="B17" s="18">
        <v>186</v>
      </c>
      <c r="C17" s="18">
        <v>1000</v>
      </c>
      <c r="D17" s="18">
        <v>30</v>
      </c>
      <c r="E17" s="11">
        <f>PRODUCT(B17*C17)</f>
        <v>186000</v>
      </c>
      <c r="F17" s="8">
        <f t="shared" ref="F17:F36" si="3">PRODUCT(E17*18)/118</f>
        <v>28372.881355932204</v>
      </c>
      <c r="G17" s="84">
        <f>PRODUCT(B17*D17)</f>
        <v>5580</v>
      </c>
      <c r="H17" s="92">
        <f>SUM(F17:G17)</f>
        <v>33952.881355932201</v>
      </c>
      <c r="I17" s="165"/>
    </row>
    <row r="18" spans="1:9" ht="15" thickBot="1">
      <c r="A18" s="26" t="s">
        <v>62</v>
      </c>
      <c r="B18" s="19">
        <v>530</v>
      </c>
      <c r="C18" s="19">
        <v>2600</v>
      </c>
      <c r="D18" s="19">
        <v>50</v>
      </c>
      <c r="E18" s="12">
        <f t="shared" ref="E18:E22" si="4">PRODUCT(B18*C18)</f>
        <v>1378000</v>
      </c>
      <c r="F18" s="9">
        <f t="shared" si="3"/>
        <v>210203.38983050847</v>
      </c>
      <c r="G18" s="7">
        <f t="shared" ref="G18:G22" si="5">PRODUCT(B18*D18)</f>
        <v>26500</v>
      </c>
      <c r="H18" s="93">
        <f t="shared" ref="H18:H22" si="6">SUM(F18:G18)</f>
        <v>236703.38983050847</v>
      </c>
      <c r="I18" s="165"/>
    </row>
    <row r="19" spans="1:9" ht="15" thickBot="1">
      <c r="A19" s="27" t="s">
        <v>59</v>
      </c>
      <c r="B19" s="5">
        <v>168</v>
      </c>
      <c r="C19" s="5">
        <v>1534</v>
      </c>
      <c r="D19" s="5">
        <v>30</v>
      </c>
      <c r="E19" s="12">
        <f t="shared" si="4"/>
        <v>257712</v>
      </c>
      <c r="F19" s="9">
        <f t="shared" si="3"/>
        <v>39312</v>
      </c>
      <c r="G19" s="7">
        <f t="shared" si="5"/>
        <v>5040</v>
      </c>
      <c r="H19" s="93">
        <f t="shared" si="6"/>
        <v>44352</v>
      </c>
      <c r="I19" s="165"/>
    </row>
    <row r="20" spans="1:9" ht="15" thickBot="1">
      <c r="A20" s="27" t="s">
        <v>63</v>
      </c>
      <c r="B20" s="5">
        <v>16</v>
      </c>
      <c r="C20" s="5">
        <v>1500</v>
      </c>
      <c r="D20" s="5">
        <v>30</v>
      </c>
      <c r="E20" s="12">
        <f t="shared" si="4"/>
        <v>24000</v>
      </c>
      <c r="F20" s="9">
        <f t="shared" si="3"/>
        <v>3661.0169491525426</v>
      </c>
      <c r="G20" s="85">
        <f t="shared" si="5"/>
        <v>480</v>
      </c>
      <c r="H20" s="94">
        <f t="shared" si="6"/>
        <v>4141.016949152543</v>
      </c>
      <c r="I20" s="165"/>
    </row>
    <row r="21" spans="1:9" ht="15" thickBot="1">
      <c r="A21" s="28" t="s">
        <v>115</v>
      </c>
      <c r="B21" s="5">
        <v>50</v>
      </c>
      <c r="C21" s="5">
        <v>1800</v>
      </c>
      <c r="D21" s="5">
        <v>30</v>
      </c>
      <c r="E21" s="12">
        <f t="shared" si="4"/>
        <v>90000</v>
      </c>
      <c r="F21" s="9">
        <f t="shared" si="3"/>
        <v>13728.813559322034</v>
      </c>
      <c r="G21" s="7">
        <f t="shared" si="5"/>
        <v>1500</v>
      </c>
      <c r="H21" s="93">
        <f t="shared" si="6"/>
        <v>15228.813559322034</v>
      </c>
      <c r="I21" s="165"/>
    </row>
    <row r="22" spans="1:9" ht="15" thickBot="1">
      <c r="A22" s="28" t="s">
        <v>62</v>
      </c>
      <c r="B22" s="5">
        <v>151</v>
      </c>
      <c r="C22" s="5">
        <v>1180</v>
      </c>
      <c r="D22" s="5">
        <v>30</v>
      </c>
      <c r="E22" s="12">
        <f t="shared" si="4"/>
        <v>178180</v>
      </c>
      <c r="F22" s="9">
        <f t="shared" si="3"/>
        <v>27180</v>
      </c>
      <c r="G22" s="85">
        <f t="shared" si="5"/>
        <v>4530</v>
      </c>
      <c r="H22" s="94">
        <f t="shared" si="6"/>
        <v>31710</v>
      </c>
      <c r="I22" s="165"/>
    </row>
    <row r="23" spans="1:9" ht="15" thickBot="1">
      <c r="A23" s="28" t="s">
        <v>52</v>
      </c>
      <c r="B23" s="20"/>
      <c r="C23" s="20">
        <v>1500</v>
      </c>
      <c r="D23" s="20">
        <v>30</v>
      </c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>
        <v>1</v>
      </c>
      <c r="C24" s="19">
        <v>1</v>
      </c>
      <c r="D24" s="19">
        <v>152260</v>
      </c>
      <c r="E24" s="12">
        <f t="shared" ref="E24:E36" si="7">PRODUCT(B24*C24)</f>
        <v>1</v>
      </c>
      <c r="F24" s="9">
        <f t="shared" si="3"/>
        <v>0.15254237288135594</v>
      </c>
      <c r="G24" s="85">
        <f t="shared" ref="G24:G36" si="8">PRODUCT(B24*D24)</f>
        <v>152260</v>
      </c>
      <c r="H24" s="94">
        <f t="shared" ref="H24:H36" si="9">SUM(F24:G24)</f>
        <v>152260.15254237287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8594183</v>
      </c>
      <c r="F37" s="16">
        <f>SUM(F5:F36)</f>
        <v>1310977.0677966101</v>
      </c>
      <c r="G37" s="16">
        <f t="shared" ref="G37:H37" si="10">SUM(G5:G36)</f>
        <v>273940</v>
      </c>
      <c r="H37" s="16">
        <f t="shared" si="10"/>
        <v>1584917.0677966103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1584917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1584917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1535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640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716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184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3075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7" workbookViewId="0">
      <selection activeCell="C40" sqref="C40"/>
    </sheetView>
  </sheetViews>
  <sheetFormatPr defaultRowHeight="14.4"/>
  <cols>
    <col min="1" max="1" width="22.44140625" customWidth="1"/>
    <col min="2" max="2" width="17.21875" customWidth="1"/>
    <col min="3" max="3" width="19.21875" customWidth="1"/>
    <col min="4" max="4" width="16.5546875" customWidth="1"/>
    <col min="5" max="5" width="22.21875" customWidth="1"/>
    <col min="6" max="6" width="17.21875" customWidth="1"/>
    <col min="7" max="7" width="16.21875" customWidth="1"/>
    <col min="8" max="8" width="23.21875" customWidth="1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7.4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21.4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108</v>
      </c>
      <c r="B8" s="3"/>
      <c r="C8" s="203">
        <v>2000</v>
      </c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1050</v>
      </c>
      <c r="C10" s="203">
        <v>1800</v>
      </c>
      <c r="D10" s="204"/>
      <c r="E10" s="4">
        <f t="shared" si="0"/>
        <v>1890000</v>
      </c>
      <c r="F10" s="4">
        <f t="shared" si="1"/>
        <v>288305.0847457627</v>
      </c>
      <c r="G10" s="4">
        <f>PRODUCT(B10*30)</f>
        <v>31500</v>
      </c>
      <c r="H10" s="90">
        <f t="shared" si="2"/>
        <v>319805.0847457627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>
        <v>1200</v>
      </c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1890000</v>
      </c>
      <c r="F37" s="16">
        <f>SUM(F5:F36)</f>
        <v>288305.0847457627</v>
      </c>
      <c r="G37" s="16">
        <f t="shared" ref="G37:H37" si="10">SUM(G5:G36)</f>
        <v>31500</v>
      </c>
      <c r="H37" s="16">
        <f t="shared" si="10"/>
        <v>319805.0847457627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319805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319805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1050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1050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3" workbookViewId="0">
      <selection activeCell="C42" sqref="C42"/>
    </sheetView>
  </sheetViews>
  <sheetFormatPr defaultColWidth="8.77734375" defaultRowHeight="14.4"/>
  <cols>
    <col min="1" max="1" width="22.77734375" style="34" customWidth="1"/>
    <col min="2" max="2" width="16.109375" style="34" customWidth="1"/>
    <col min="3" max="3" width="23.77734375" style="34" customWidth="1"/>
    <col min="4" max="4" width="18.21875" style="34" customWidth="1"/>
    <col min="5" max="5" width="16.88671875" style="34" customWidth="1"/>
    <col min="6" max="6" width="20.5546875" style="34" customWidth="1"/>
    <col min="7" max="7" width="18.88671875" style="34" customWidth="1"/>
    <col min="8" max="8" width="24.6640625" style="34" customWidth="1"/>
    <col min="9" max="16384" width="8.77734375" style="34"/>
  </cols>
  <sheetData>
    <row r="1" spans="1:9" ht="14.55" customHeight="1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0.5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 ht="14.55" customHeight="1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22.05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>
        <v>750</v>
      </c>
      <c r="C10" s="203">
        <v>2124</v>
      </c>
      <c r="D10" s="204"/>
      <c r="E10" s="4">
        <f t="shared" si="0"/>
        <v>1593000</v>
      </c>
      <c r="F10" s="4">
        <f t="shared" si="1"/>
        <v>243000</v>
      </c>
      <c r="G10" s="4">
        <f>PRODUCT(B10*30)</f>
        <v>22500</v>
      </c>
      <c r="H10" s="90">
        <f t="shared" si="2"/>
        <v>265500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165"/>
    </row>
    <row r="17" spans="1:9" ht="15" thickBot="1">
      <c r="A17" s="25" t="s">
        <v>98</v>
      </c>
      <c r="B17" s="18"/>
      <c r="C17" s="18"/>
      <c r="D17" s="18">
        <v>354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45</v>
      </c>
      <c r="B18" s="19"/>
      <c r="C18" s="19">
        <v>5000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100</v>
      </c>
      <c r="B19" s="5">
        <v>485</v>
      </c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97000</v>
      </c>
      <c r="H19" s="93">
        <f t="shared" si="6"/>
        <v>97000</v>
      </c>
      <c r="I19" s="165"/>
    </row>
    <row r="20" spans="1:9" ht="15" thickBot="1">
      <c r="A20" s="27" t="s">
        <v>111</v>
      </c>
      <c r="B20" s="5">
        <v>118</v>
      </c>
      <c r="C20" s="5"/>
      <c r="D20" s="5">
        <v>500</v>
      </c>
      <c r="E20" s="12">
        <f t="shared" si="4"/>
        <v>0</v>
      </c>
      <c r="F20" s="9">
        <f t="shared" si="3"/>
        <v>0</v>
      </c>
      <c r="G20" s="85">
        <f t="shared" si="5"/>
        <v>59000</v>
      </c>
      <c r="H20" s="94">
        <f t="shared" si="6"/>
        <v>59000</v>
      </c>
      <c r="I20" s="165"/>
    </row>
    <row r="21" spans="1:9" ht="15" thickBot="1">
      <c r="A21" s="28" t="s">
        <v>59</v>
      </c>
      <c r="B21" s="5">
        <v>10</v>
      </c>
      <c r="C21" s="5"/>
      <c r="D21" s="5">
        <v>217</v>
      </c>
      <c r="E21" s="12">
        <f t="shared" si="4"/>
        <v>0</v>
      </c>
      <c r="F21" s="9">
        <f t="shared" si="3"/>
        <v>0</v>
      </c>
      <c r="G21" s="7">
        <f t="shared" si="5"/>
        <v>2170</v>
      </c>
      <c r="H21" s="93">
        <f t="shared" si="6"/>
        <v>2170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1593000</v>
      </c>
      <c r="F37" s="16">
        <f>SUM(F5:F36)</f>
        <v>243000</v>
      </c>
      <c r="G37" s="16">
        <f t="shared" ref="G37:H37" si="10">SUM(G5:G36)</f>
        <v>180670</v>
      </c>
      <c r="H37" s="16">
        <f t="shared" si="10"/>
        <v>423670</v>
      </c>
      <c r="I37" s="165"/>
    </row>
    <row r="38" spans="1:9" ht="14.55" customHeight="1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customHeight="1" thickBot="1">
      <c r="A39" s="213" t="s">
        <v>67</v>
      </c>
      <c r="B39" s="214"/>
      <c r="C39" s="46">
        <v>533820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>
        <v>110150</v>
      </c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643970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750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603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55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55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55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55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55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55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55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55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1353</v>
      </c>
      <c r="F62" s="231"/>
      <c r="G62" s="231"/>
      <c r="H62" s="231"/>
      <c r="I62" s="165"/>
    </row>
    <row r="63" spans="1:9" ht="18.600000000000001" thickBot="1">
      <c r="A63" s="179"/>
      <c r="B63" s="180"/>
      <c r="C63" s="235"/>
      <c r="D63" s="236"/>
      <c r="E63" s="237"/>
      <c r="F63" s="238"/>
      <c r="G63" s="238"/>
      <c r="H63" s="238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38" workbookViewId="0">
      <selection activeCell="C40" sqref="C40"/>
    </sheetView>
  </sheetViews>
  <sheetFormatPr defaultRowHeight="14.4"/>
  <cols>
    <col min="1" max="1" width="26.33203125" customWidth="1"/>
    <col min="2" max="2" width="21.77734375" customWidth="1"/>
    <col min="3" max="3" width="25.21875" customWidth="1"/>
    <col min="4" max="4" width="18.44140625" customWidth="1"/>
    <col min="5" max="5" width="21.21875" customWidth="1"/>
    <col min="6" max="6" width="15.33203125" customWidth="1"/>
    <col min="7" max="7" width="13.44140625" customWidth="1"/>
    <col min="8" max="8" width="15.218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29.55" customHeight="1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30" customHeight="1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>
        <v>2124</v>
      </c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89</v>
      </c>
      <c r="B17" s="18"/>
      <c r="C17" s="18">
        <v>2124</v>
      </c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>
        <v>100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9" workbookViewId="0">
      <selection activeCell="C10" sqref="C10:D10"/>
    </sheetView>
  </sheetViews>
  <sheetFormatPr defaultRowHeight="14.4"/>
  <cols>
    <col min="1" max="1" width="20.88671875" customWidth="1"/>
    <col min="2" max="2" width="17.5546875" customWidth="1"/>
    <col min="3" max="3" width="21.33203125" customWidth="1"/>
    <col min="4" max="4" width="21" customWidth="1"/>
    <col min="5" max="5" width="23.33203125" customWidth="1"/>
    <col min="6" max="6" width="26" customWidth="1"/>
    <col min="7" max="7" width="19.33203125" customWidth="1"/>
    <col min="8" max="8" width="16.777343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>
      <c r="A3" s="221" t="s">
        <v>106</v>
      </c>
      <c r="B3" s="222"/>
      <c r="C3" s="222"/>
      <c r="D3" s="222"/>
      <c r="E3" s="222"/>
      <c r="F3" s="222"/>
      <c r="G3" s="222"/>
      <c r="H3" s="223"/>
      <c r="I3" s="233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203">
        <v>2124</v>
      </c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4" zoomScaleNormal="100" workbookViewId="0">
      <selection activeCell="C38" sqref="C38"/>
    </sheetView>
  </sheetViews>
  <sheetFormatPr defaultRowHeight="14.4"/>
  <cols>
    <col min="1" max="1" width="22.21875" customWidth="1"/>
    <col min="2" max="2" width="17.5546875" customWidth="1"/>
    <col min="3" max="3" width="24.109375" customWidth="1"/>
    <col min="4" max="4" width="17.77734375" customWidth="1"/>
    <col min="5" max="6" width="23.21875" customWidth="1"/>
    <col min="7" max="7" width="17.88671875" customWidth="1"/>
    <col min="8" max="8" width="22.218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>
      <c r="A3" s="221" t="s">
        <v>106</v>
      </c>
      <c r="B3" s="222"/>
      <c r="C3" s="222"/>
      <c r="D3" s="222"/>
      <c r="E3" s="222"/>
      <c r="F3" s="222"/>
      <c r="G3" s="222"/>
      <c r="H3" s="223"/>
      <c r="I3" s="165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>
        <v>2124</v>
      </c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39" t="s">
        <v>48</v>
      </c>
      <c r="B15" s="240"/>
      <c r="C15" s="240"/>
      <c r="D15" s="240"/>
      <c r="E15" s="240"/>
      <c r="F15" s="240"/>
      <c r="G15" s="240"/>
      <c r="H15" s="240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>
        <v>250</v>
      </c>
      <c r="C18" s="19">
        <v>800</v>
      </c>
      <c r="D18" s="19">
        <v>20</v>
      </c>
      <c r="E18" s="12">
        <f t="shared" ref="E18:E22" si="4">PRODUCT(B18*C18)</f>
        <v>200000</v>
      </c>
      <c r="F18" s="9">
        <f t="shared" si="3"/>
        <v>30508.474576271186</v>
      </c>
      <c r="G18" s="7">
        <f t="shared" ref="G18:G22" si="5">PRODUCT(B18*D18)</f>
        <v>5000</v>
      </c>
      <c r="H18" s="93">
        <f t="shared" ref="H18:H22" si="6">SUM(F18:G18)</f>
        <v>35508.474576271183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65</v>
      </c>
      <c r="B21" s="5">
        <v>100</v>
      </c>
      <c r="C21" s="5">
        <v>1806</v>
      </c>
      <c r="D21" s="5">
        <v>30</v>
      </c>
      <c r="E21" s="12">
        <f t="shared" si="4"/>
        <v>180600</v>
      </c>
      <c r="F21" s="9">
        <f t="shared" si="3"/>
        <v>27549.152542372882</v>
      </c>
      <c r="G21" s="7">
        <f t="shared" si="5"/>
        <v>3000</v>
      </c>
      <c r="H21" s="93">
        <f t="shared" si="6"/>
        <v>30549.152542372882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380600</v>
      </c>
      <c r="F37" s="16">
        <f>SUM(F5:F36)</f>
        <v>58057.627118644072</v>
      </c>
      <c r="G37" s="16">
        <f t="shared" ref="G37:H37" si="10">SUM(G5:G36)</f>
        <v>8000</v>
      </c>
      <c r="H37" s="16">
        <f t="shared" si="10"/>
        <v>66057.627118644072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>
        <v>66058</v>
      </c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66058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250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250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4" workbookViewId="0">
      <selection activeCell="C40" sqref="C40"/>
    </sheetView>
  </sheetViews>
  <sheetFormatPr defaultColWidth="8.77734375" defaultRowHeight="14.4"/>
  <cols>
    <col min="1" max="1" width="25" style="34" customWidth="1"/>
    <col min="2" max="2" width="19.21875" style="34" customWidth="1"/>
    <col min="3" max="3" width="24.21875" style="34" customWidth="1"/>
    <col min="4" max="4" width="18.77734375" style="34" customWidth="1"/>
    <col min="5" max="5" width="16.44140625" style="34" customWidth="1"/>
    <col min="6" max="6" width="18.77734375" style="34" customWidth="1"/>
    <col min="7" max="8" width="20.21875" style="34" customWidth="1"/>
    <col min="9" max="16384" width="8.77734375" style="34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232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233"/>
    </row>
    <row r="3" spans="1:9">
      <c r="A3" s="221" t="s">
        <v>106</v>
      </c>
      <c r="B3" s="222"/>
      <c r="C3" s="222"/>
      <c r="D3" s="222"/>
      <c r="E3" s="222"/>
      <c r="F3" s="222"/>
      <c r="G3" s="222"/>
      <c r="H3" s="223"/>
      <c r="I3" s="233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233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1476</v>
      </c>
      <c r="C11" s="203">
        <v>2124</v>
      </c>
      <c r="D11" s="204"/>
      <c r="E11" s="4">
        <f t="shared" si="0"/>
        <v>3135024</v>
      </c>
      <c r="F11" s="4">
        <f t="shared" si="1"/>
        <v>478224</v>
      </c>
      <c r="G11" s="4">
        <f>PRODUCT(B11*30)</f>
        <v>44280</v>
      </c>
      <c r="H11" s="90">
        <f t="shared" si="2"/>
        <v>522504</v>
      </c>
      <c r="I11" s="233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59</v>
      </c>
      <c r="B18" s="19">
        <v>180</v>
      </c>
      <c r="C18" s="19">
        <v>2360</v>
      </c>
      <c r="D18" s="19">
        <v>30</v>
      </c>
      <c r="E18" s="12">
        <f t="shared" ref="E18:E22" si="4">PRODUCT(B18*C18)</f>
        <v>424800</v>
      </c>
      <c r="F18" s="9">
        <f t="shared" si="3"/>
        <v>64800</v>
      </c>
      <c r="G18" s="7">
        <f t="shared" ref="G18:G22" si="5">PRODUCT(B18*D18)</f>
        <v>5400</v>
      </c>
      <c r="H18" s="93">
        <f t="shared" ref="H18:H22" si="6">SUM(F18:G18)</f>
        <v>70200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3559824</v>
      </c>
      <c r="F37" s="16">
        <f>SUM(F5:F36)</f>
        <v>543024</v>
      </c>
      <c r="G37" s="16">
        <f t="shared" ref="G37:H37" si="10">SUM(G5:G36)</f>
        <v>49680</v>
      </c>
      <c r="H37" s="16">
        <f t="shared" si="10"/>
        <v>592704</v>
      </c>
      <c r="I37" s="233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233"/>
    </row>
    <row r="39" spans="1:9" ht="15" thickBot="1">
      <c r="A39" s="213" t="s">
        <v>67</v>
      </c>
      <c r="B39" s="214"/>
      <c r="C39" s="46">
        <v>592704</v>
      </c>
      <c r="D39" s="49"/>
      <c r="E39" s="207"/>
      <c r="F39" s="207"/>
      <c r="G39" s="52"/>
      <c r="H39" s="98"/>
      <c r="I39" s="233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233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233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233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233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233"/>
    </row>
    <row r="45" spans="1:9" ht="15" thickBot="1">
      <c r="A45" s="197" t="s">
        <v>76</v>
      </c>
      <c r="B45" s="198"/>
      <c r="C45" s="81">
        <f>SUM(C39+C40+C41+C42+C43+C44)</f>
        <v>592704</v>
      </c>
      <c r="D45" s="82"/>
      <c r="E45" s="185"/>
      <c r="F45" s="186"/>
      <c r="G45" s="83"/>
      <c r="H45" s="100"/>
      <c r="I45" s="233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233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233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233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1476</v>
      </c>
      <c r="F49" s="192"/>
      <c r="G49" s="192"/>
      <c r="H49" s="192"/>
      <c r="I49" s="233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233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233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180</v>
      </c>
      <c r="F52" s="196"/>
      <c r="G52" s="196"/>
      <c r="H52" s="196"/>
      <c r="I52" s="233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233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233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233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233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233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233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233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233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233"/>
    </row>
    <row r="62" spans="1:9" ht="32.4" thickBot="1">
      <c r="A62" s="177"/>
      <c r="B62" s="178"/>
      <c r="C62" s="167" t="s">
        <v>64</v>
      </c>
      <c r="D62" s="168"/>
      <c r="E62" s="230">
        <f>SUM(E49:H61)</f>
        <v>1656</v>
      </c>
      <c r="F62" s="231"/>
      <c r="G62" s="231"/>
      <c r="H62" s="231"/>
      <c r="I62" s="233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233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234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9" workbookViewId="0">
      <selection activeCell="B71" sqref="B71"/>
    </sheetView>
  </sheetViews>
  <sheetFormatPr defaultRowHeight="14.4"/>
  <cols>
    <col min="1" max="1" width="29.109375" customWidth="1"/>
    <col min="2" max="2" width="17.88671875" customWidth="1"/>
    <col min="3" max="3" width="20.77734375" customWidth="1"/>
    <col min="4" max="4" width="24.77734375" customWidth="1"/>
    <col min="5" max="5" width="18.5546875" customWidth="1"/>
    <col min="6" max="6" width="19.77734375" customWidth="1"/>
    <col min="7" max="7" width="16.21875" customWidth="1"/>
    <col min="8" max="8" width="18.5546875" customWidth="1"/>
  </cols>
  <sheetData>
    <row r="1" spans="1:9">
      <c r="A1" s="217" t="s">
        <v>54</v>
      </c>
      <c r="B1" s="218"/>
      <c r="C1" s="218"/>
      <c r="D1" s="218"/>
      <c r="E1" s="218"/>
      <c r="F1" s="218"/>
      <c r="G1" s="218"/>
      <c r="H1" s="218"/>
      <c r="I1" s="164"/>
    </row>
    <row r="2" spans="1:9" ht="15" thickBot="1">
      <c r="A2" s="219"/>
      <c r="B2" s="220"/>
      <c r="C2" s="220"/>
      <c r="D2" s="220"/>
      <c r="E2" s="220"/>
      <c r="F2" s="220"/>
      <c r="G2" s="220"/>
      <c r="H2" s="220"/>
      <c r="I2" s="165"/>
    </row>
    <row r="3" spans="1:9">
      <c r="A3" s="221" t="s">
        <v>79</v>
      </c>
      <c r="B3" s="222"/>
      <c r="C3" s="222"/>
      <c r="D3" s="222"/>
      <c r="E3" s="222"/>
      <c r="F3" s="222"/>
      <c r="G3" s="222"/>
      <c r="H3" s="223"/>
      <c r="I3" s="165"/>
    </row>
    <row r="4" spans="1:9" ht="15" thickBot="1">
      <c r="A4" s="219"/>
      <c r="B4" s="220"/>
      <c r="C4" s="220"/>
      <c r="D4" s="220"/>
      <c r="E4" s="220"/>
      <c r="F4" s="220"/>
      <c r="G4" s="220"/>
      <c r="H4" s="220"/>
      <c r="I4" s="165"/>
    </row>
    <row r="5" spans="1:9" ht="15" thickBot="1">
      <c r="A5" s="88" t="s">
        <v>37</v>
      </c>
      <c r="B5" s="22" t="s">
        <v>38</v>
      </c>
      <c r="C5" s="224" t="s">
        <v>39</v>
      </c>
      <c r="D5" s="225"/>
      <c r="E5" s="22" t="s">
        <v>40</v>
      </c>
      <c r="F5" s="23" t="s">
        <v>41</v>
      </c>
      <c r="G5" s="22" t="s">
        <v>42</v>
      </c>
      <c r="H5" s="23" t="s">
        <v>8</v>
      </c>
      <c r="I5" s="165"/>
    </row>
    <row r="6" spans="1:9">
      <c r="A6" s="30" t="s">
        <v>43</v>
      </c>
      <c r="B6" s="1"/>
      <c r="C6" s="226"/>
      <c r="D6" s="227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165"/>
    </row>
    <row r="7" spans="1:9">
      <c r="A7" s="30" t="s">
        <v>44</v>
      </c>
      <c r="B7" s="1"/>
      <c r="C7" s="226"/>
      <c r="D7" s="227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165"/>
    </row>
    <row r="8" spans="1:9">
      <c r="A8" s="31" t="s">
        <v>45</v>
      </c>
      <c r="B8" s="3"/>
      <c r="C8" s="203"/>
      <c r="D8" s="204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165"/>
    </row>
    <row r="9" spans="1:9">
      <c r="A9" s="31" t="s">
        <v>46</v>
      </c>
      <c r="B9" s="3"/>
      <c r="C9" s="203"/>
      <c r="D9" s="204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165"/>
    </row>
    <row r="10" spans="1:9">
      <c r="A10" s="31" t="s">
        <v>47</v>
      </c>
      <c r="B10" s="3"/>
      <c r="C10" s="203"/>
      <c r="D10" s="204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165"/>
    </row>
    <row r="11" spans="1:9">
      <c r="A11" s="32" t="s">
        <v>65</v>
      </c>
      <c r="B11" s="3"/>
      <c r="C11" s="203"/>
      <c r="D11" s="204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165"/>
    </row>
    <row r="12" spans="1:9">
      <c r="A12" s="32" t="s">
        <v>65</v>
      </c>
      <c r="B12" s="3"/>
      <c r="C12" s="203"/>
      <c r="D12" s="204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165"/>
    </row>
    <row r="13" spans="1:9">
      <c r="A13" s="32" t="s">
        <v>59</v>
      </c>
      <c r="B13" s="3"/>
      <c r="C13" s="203"/>
      <c r="D13" s="204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165"/>
    </row>
    <row r="14" spans="1:9" ht="15" thickBot="1">
      <c r="A14" s="33" t="s">
        <v>59</v>
      </c>
      <c r="B14" s="3"/>
      <c r="C14" s="203"/>
      <c r="D14" s="204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165"/>
    </row>
    <row r="15" spans="1:9" ht="26.4" thickBot="1">
      <c r="A15" s="205" t="s">
        <v>48</v>
      </c>
      <c r="B15" s="206"/>
      <c r="C15" s="206"/>
      <c r="D15" s="206"/>
      <c r="E15" s="206"/>
      <c r="F15" s="206"/>
      <c r="G15" s="206"/>
      <c r="H15" s="206"/>
      <c r="I15" s="165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165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165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165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165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165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165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165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165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165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165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165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165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165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165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165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165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165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165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165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165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165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165"/>
    </row>
    <row r="38" spans="1:9" ht="15" thickBot="1">
      <c r="A38" s="210" t="s">
        <v>77</v>
      </c>
      <c r="B38" s="211"/>
      <c r="C38" s="54" t="s">
        <v>71</v>
      </c>
      <c r="D38" s="45"/>
      <c r="E38" s="208" t="s">
        <v>69</v>
      </c>
      <c r="F38" s="209"/>
      <c r="G38" s="53" t="s">
        <v>70</v>
      </c>
      <c r="H38" s="97" t="s">
        <v>71</v>
      </c>
      <c r="I38" s="165"/>
    </row>
    <row r="39" spans="1:9" ht="15" thickBot="1">
      <c r="A39" s="213" t="s">
        <v>67</v>
      </c>
      <c r="B39" s="214"/>
      <c r="C39" s="46"/>
      <c r="D39" s="49"/>
      <c r="E39" s="207"/>
      <c r="F39" s="207"/>
      <c r="G39" s="52"/>
      <c r="H39" s="98"/>
      <c r="I39" s="165"/>
    </row>
    <row r="40" spans="1:9" ht="15" thickBot="1">
      <c r="A40" s="181" t="s">
        <v>68</v>
      </c>
      <c r="B40" s="182"/>
      <c r="C40" s="42"/>
      <c r="D40" s="50"/>
      <c r="E40" s="212"/>
      <c r="F40" s="212"/>
      <c r="G40" s="51"/>
      <c r="H40" s="99"/>
      <c r="I40" s="165"/>
    </row>
    <row r="41" spans="1:9" ht="15" thickBot="1">
      <c r="A41" s="181" t="s">
        <v>72</v>
      </c>
      <c r="B41" s="182"/>
      <c r="C41" s="43"/>
      <c r="D41" s="49"/>
      <c r="E41" s="202"/>
      <c r="F41" s="202"/>
      <c r="G41" s="51"/>
      <c r="H41" s="99"/>
      <c r="I41" s="165"/>
    </row>
    <row r="42" spans="1:9" ht="15" thickBot="1">
      <c r="A42" s="215" t="s">
        <v>73</v>
      </c>
      <c r="B42" s="216"/>
      <c r="C42" s="44"/>
      <c r="D42" s="47"/>
      <c r="E42" s="201"/>
      <c r="F42" s="202"/>
      <c r="G42" s="3"/>
      <c r="H42" s="99"/>
      <c r="I42" s="165"/>
    </row>
    <row r="43" spans="1:9" ht="15" thickBot="1">
      <c r="A43" s="197" t="s">
        <v>74</v>
      </c>
      <c r="B43" s="198"/>
      <c r="C43" s="80"/>
      <c r="D43" s="47"/>
      <c r="E43" s="201"/>
      <c r="F43" s="202"/>
      <c r="G43" s="3"/>
      <c r="H43" s="99"/>
      <c r="I43" s="165"/>
    </row>
    <row r="44" spans="1:9" ht="15" thickBot="1">
      <c r="A44" s="197" t="s">
        <v>75</v>
      </c>
      <c r="B44" s="198"/>
      <c r="C44" s="80"/>
      <c r="D44" s="48"/>
      <c r="E44" s="201"/>
      <c r="F44" s="202"/>
      <c r="G44" s="3"/>
      <c r="H44" s="99"/>
      <c r="I44" s="165"/>
    </row>
    <row r="45" spans="1:9" ht="15" thickBot="1">
      <c r="A45" s="197" t="s">
        <v>76</v>
      </c>
      <c r="B45" s="198"/>
      <c r="C45" s="81">
        <f>SUM(C39+C40+C41+C42+C43+C44)</f>
        <v>0</v>
      </c>
      <c r="D45" s="82"/>
      <c r="E45" s="185"/>
      <c r="F45" s="186"/>
      <c r="G45" s="83"/>
      <c r="H45" s="100"/>
      <c r="I45" s="165"/>
    </row>
    <row r="46" spans="1:9">
      <c r="A46" s="187" t="s">
        <v>56</v>
      </c>
      <c r="B46" s="188"/>
      <c r="C46" s="188"/>
      <c r="D46" s="188"/>
      <c r="E46" s="188"/>
      <c r="F46" s="188"/>
      <c r="G46" s="188"/>
      <c r="H46" s="188"/>
      <c r="I46" s="165"/>
    </row>
    <row r="47" spans="1:9" ht="15" thickBot="1">
      <c r="A47" s="189"/>
      <c r="B47" s="190"/>
      <c r="C47" s="190"/>
      <c r="D47" s="190"/>
      <c r="E47" s="190"/>
      <c r="F47" s="190"/>
      <c r="G47" s="190"/>
      <c r="H47" s="190"/>
      <c r="I47" s="165"/>
    </row>
    <row r="48" spans="1:9" ht="24" thickBot="1">
      <c r="A48" s="173" t="s">
        <v>9</v>
      </c>
      <c r="B48" s="174"/>
      <c r="C48" s="199" t="s">
        <v>57</v>
      </c>
      <c r="D48" s="200"/>
      <c r="E48" s="193" t="s">
        <v>58</v>
      </c>
      <c r="F48" s="194"/>
      <c r="G48" s="194"/>
      <c r="H48" s="194"/>
      <c r="I48" s="165"/>
    </row>
    <row r="49" spans="1:9" ht="18.600000000000001" thickBot="1">
      <c r="A49" s="175"/>
      <c r="B49" s="176"/>
      <c r="C49" s="183" t="s">
        <v>60</v>
      </c>
      <c r="D49" s="184"/>
      <c r="E49" s="191">
        <f>SUM(B9:B12)</f>
        <v>0</v>
      </c>
      <c r="F49" s="192"/>
      <c r="G49" s="192"/>
      <c r="H49" s="192"/>
      <c r="I49" s="165"/>
    </row>
    <row r="50" spans="1:9" ht="18.600000000000001" thickBot="1">
      <c r="A50" s="177"/>
      <c r="B50" s="178"/>
      <c r="C50" s="183" t="s">
        <v>45</v>
      </c>
      <c r="D50" s="184"/>
      <c r="E50" s="191">
        <f>SUM(B6:B8)</f>
        <v>0</v>
      </c>
      <c r="F50" s="192"/>
      <c r="G50" s="192"/>
      <c r="H50" s="192"/>
      <c r="I50" s="165"/>
    </row>
    <row r="51" spans="1:9" ht="18.600000000000001" thickBot="1">
      <c r="A51" s="177"/>
      <c r="B51" s="178"/>
      <c r="C51" s="183" t="s">
        <v>61</v>
      </c>
      <c r="D51" s="184"/>
      <c r="E51" s="191">
        <f>SUM(B13:B14)</f>
        <v>0</v>
      </c>
      <c r="F51" s="192"/>
      <c r="G51" s="192"/>
      <c r="H51" s="192"/>
      <c r="I51" s="165"/>
    </row>
    <row r="52" spans="1:9" ht="18.600000000000001" thickBot="1">
      <c r="A52" s="177"/>
      <c r="B52" s="178"/>
      <c r="C52" s="167" t="s">
        <v>62</v>
      </c>
      <c r="D52" s="168"/>
      <c r="E52" s="195">
        <f>SUM(B17:B18)</f>
        <v>0</v>
      </c>
      <c r="F52" s="196"/>
      <c r="G52" s="196"/>
      <c r="H52" s="196"/>
      <c r="I52" s="165"/>
    </row>
    <row r="53" spans="1:9" ht="18.600000000000001" thickBot="1">
      <c r="A53" s="177"/>
      <c r="B53" s="178"/>
      <c r="C53" s="167" t="s">
        <v>63</v>
      </c>
      <c r="D53" s="168"/>
      <c r="E53" s="195">
        <f>SUM(B19:B20)</f>
        <v>0</v>
      </c>
      <c r="F53" s="196"/>
      <c r="G53" s="196"/>
      <c r="H53" s="196"/>
      <c r="I53" s="165"/>
    </row>
    <row r="54" spans="1:9" ht="18.600000000000001" thickBot="1">
      <c r="A54" s="177"/>
      <c r="B54" s="178"/>
      <c r="C54" s="167" t="s">
        <v>83</v>
      </c>
      <c r="D54" s="168"/>
      <c r="E54" s="195">
        <f>B29</f>
        <v>0</v>
      </c>
      <c r="F54" s="196"/>
      <c r="G54" s="196"/>
      <c r="H54" s="196"/>
      <c r="I54" s="165"/>
    </row>
    <row r="55" spans="1:9" ht="18.600000000000001" thickBot="1">
      <c r="A55" s="177"/>
      <c r="B55" s="178"/>
      <c r="C55" s="167" t="s">
        <v>83</v>
      </c>
      <c r="D55" s="168"/>
      <c r="E55" s="195">
        <f t="shared" ref="E55:E61" si="11">B30</f>
        <v>0</v>
      </c>
      <c r="F55" s="196"/>
      <c r="G55" s="196"/>
      <c r="H55" s="196"/>
      <c r="I55" s="165"/>
    </row>
    <row r="56" spans="1:9" ht="18.600000000000001" thickBot="1">
      <c r="A56" s="177"/>
      <c r="B56" s="178"/>
      <c r="C56" s="167" t="s">
        <v>83</v>
      </c>
      <c r="D56" s="168"/>
      <c r="E56" s="195">
        <f t="shared" si="11"/>
        <v>0</v>
      </c>
      <c r="F56" s="196"/>
      <c r="G56" s="196"/>
      <c r="H56" s="196"/>
      <c r="I56" s="165"/>
    </row>
    <row r="57" spans="1:9" ht="18.600000000000001" thickBot="1">
      <c r="A57" s="177"/>
      <c r="B57" s="178"/>
      <c r="C57" s="167" t="s">
        <v>83</v>
      </c>
      <c r="D57" s="168"/>
      <c r="E57" s="195">
        <f t="shared" si="11"/>
        <v>0</v>
      </c>
      <c r="F57" s="196"/>
      <c r="G57" s="196"/>
      <c r="H57" s="196"/>
      <c r="I57" s="165"/>
    </row>
    <row r="58" spans="1:9" ht="18.600000000000001" thickBot="1">
      <c r="A58" s="177"/>
      <c r="B58" s="178"/>
      <c r="C58" s="167" t="s">
        <v>83</v>
      </c>
      <c r="D58" s="168"/>
      <c r="E58" s="195">
        <f t="shared" si="11"/>
        <v>0</v>
      </c>
      <c r="F58" s="196"/>
      <c r="G58" s="196"/>
      <c r="H58" s="196"/>
      <c r="I58" s="165"/>
    </row>
    <row r="59" spans="1:9" ht="18.600000000000001" thickBot="1">
      <c r="A59" s="177"/>
      <c r="B59" s="178"/>
      <c r="C59" s="167" t="s">
        <v>83</v>
      </c>
      <c r="D59" s="168"/>
      <c r="E59" s="195">
        <f t="shared" si="11"/>
        <v>0</v>
      </c>
      <c r="F59" s="196"/>
      <c r="G59" s="196"/>
      <c r="H59" s="196"/>
      <c r="I59" s="165"/>
    </row>
    <row r="60" spans="1:9" ht="18.600000000000001" thickBot="1">
      <c r="A60" s="177"/>
      <c r="B60" s="178"/>
      <c r="C60" s="167" t="s">
        <v>83</v>
      </c>
      <c r="D60" s="168"/>
      <c r="E60" s="195">
        <f t="shared" si="11"/>
        <v>0</v>
      </c>
      <c r="F60" s="196"/>
      <c r="G60" s="196"/>
      <c r="H60" s="196"/>
      <c r="I60" s="165"/>
    </row>
    <row r="61" spans="1:9" ht="18.600000000000001" thickBot="1">
      <c r="A61" s="177"/>
      <c r="B61" s="178"/>
      <c r="C61" s="167" t="s">
        <v>83</v>
      </c>
      <c r="D61" s="168"/>
      <c r="E61" s="195">
        <f t="shared" si="11"/>
        <v>0</v>
      </c>
      <c r="F61" s="196"/>
      <c r="G61" s="196"/>
      <c r="H61" s="196"/>
      <c r="I61" s="165"/>
    </row>
    <row r="62" spans="1:9" ht="32.4" thickBot="1">
      <c r="A62" s="177"/>
      <c r="B62" s="178"/>
      <c r="C62" s="167" t="s">
        <v>64</v>
      </c>
      <c r="D62" s="168"/>
      <c r="E62" s="230">
        <f>SUM(E49:H61)</f>
        <v>0</v>
      </c>
      <c r="F62" s="231"/>
      <c r="G62" s="231"/>
      <c r="H62" s="231"/>
      <c r="I62" s="165"/>
    </row>
    <row r="63" spans="1:9" ht="18.600000000000001" thickBot="1">
      <c r="A63" s="179"/>
      <c r="B63" s="180"/>
      <c r="C63" s="169"/>
      <c r="D63" s="170"/>
      <c r="E63" s="228"/>
      <c r="F63" s="229"/>
      <c r="G63" s="229"/>
      <c r="H63" s="229"/>
      <c r="I63" s="165"/>
    </row>
    <row r="64" spans="1:9" ht="15" thickBot="1">
      <c r="A64" s="171"/>
      <c r="B64" s="172"/>
      <c r="C64" s="172"/>
      <c r="D64" s="172"/>
      <c r="E64" s="172"/>
      <c r="F64" s="172"/>
      <c r="G64" s="172"/>
      <c r="H64" s="172"/>
      <c r="I64" s="166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I5" sqref="I5"/>
    </sheetView>
  </sheetViews>
  <sheetFormatPr defaultRowHeight="14.4"/>
  <cols>
    <col min="3" max="3" width="53" customWidth="1"/>
    <col min="7" max="7" width="47.6640625" customWidth="1"/>
  </cols>
  <sheetData>
    <row r="1" spans="1:7">
      <c r="A1" s="187" t="s">
        <v>56</v>
      </c>
      <c r="B1" s="188"/>
      <c r="C1" s="188"/>
      <c r="D1" s="188"/>
      <c r="E1" s="188"/>
      <c r="F1" s="188"/>
      <c r="G1" s="247"/>
    </row>
    <row r="2" spans="1:7" ht="15" thickBot="1">
      <c r="A2" s="189"/>
      <c r="B2" s="190"/>
      <c r="C2" s="190"/>
      <c r="D2" s="190"/>
      <c r="E2" s="190"/>
      <c r="F2" s="190"/>
      <c r="G2" s="248"/>
    </row>
    <row r="3" spans="1:7" ht="28.8" thickBot="1">
      <c r="A3" s="249" t="s">
        <v>57</v>
      </c>
      <c r="B3" s="250"/>
      <c r="C3" s="251"/>
      <c r="D3" s="249" t="s">
        <v>58</v>
      </c>
      <c r="E3" s="250"/>
      <c r="F3" s="250"/>
      <c r="G3" s="251"/>
    </row>
    <row r="4" spans="1:7" ht="41.55" customHeight="1" thickBot="1">
      <c r="A4" s="241" t="s">
        <v>60</v>
      </c>
      <c r="B4" s="242"/>
      <c r="C4" s="243"/>
      <c r="D4" s="244">
        <f>NYANZA!E49+KIREHE!E49+NYAGATARE!E49+KAYONZA!E49+MUSANZE!E49+MUSANZE!E49+RUBAVU!E49+KARONGI!E49+NYAMAGABE!E49+RUSIZI!E49+HUYE!E49+RUHANGO!E49+MUHANGA!E49+BUGESERA!E49+RWAMAGANA!E49+NYARUGENGE!E49+BISHENYI!E49+GAHANGA!E49+KIMIRONKO!E49+GISOZI!E69+GATSIBO!E49+GASHYUSHYA!E49+RUTSIRO!E49+NGORORERO!E49+NYAMASHEKE!E49+FOURTH!E49</f>
        <v>37096</v>
      </c>
      <c r="E4" s="245"/>
      <c r="F4" s="245"/>
      <c r="G4" s="246"/>
    </row>
    <row r="5" spans="1:7" ht="37.049999999999997" customHeight="1" thickBot="1">
      <c r="A5" s="241" t="s">
        <v>45</v>
      </c>
      <c r="B5" s="242"/>
      <c r="C5" s="243"/>
      <c r="D5" s="244">
        <f>NYANZA!E50+KIREHE!E50+NYAGATARE!E50+KAYONZA!E50+MUSANZE!E50+MUSANZE!E50+RUBAVU!E50+KARONGI!E50+NYAMAGABE!E50+RUSIZI!E50+HUYE!E50+RUHANGO!E50+MUHANGA!E50+BUGESERA!E50+RWAMAGANA!E50+NYARUGENGE!E50+BISHENYI!E50+GAHANGA!E50+KIMIRONKO!E50+GISOZI!E70+GATSIBO!E50+GASHYUSHYA!E50+RUTSIRO!E50+NGORORERO!E50+NYAMASHEKE!E50+FOURTH!E50</f>
        <v>3650</v>
      </c>
      <c r="E5" s="245"/>
      <c r="F5" s="245"/>
      <c r="G5" s="246"/>
    </row>
    <row r="6" spans="1:7" ht="40.049999999999997" customHeight="1" thickBot="1">
      <c r="A6" s="241" t="s">
        <v>59</v>
      </c>
      <c r="B6" s="242"/>
      <c r="C6" s="243"/>
      <c r="D6" s="244">
        <f>NYANZA!E51+KIREHE!E51+NYAGATARE!E51+KAYONZA!E51+MUSANZE!E51+MUSANZE!E51+RUBAVU!E51+KARONGI!E51+NYAMAGABE!E51+RUSIZI!E51+HUYE!E51+RUHANGO!E51+MUHANGA!E51+BUGESERA!E51+RWAMAGANA!E51+NYARUGENGE!E51+BISHENYI!E51+GAHANGA!E51+KIMIRONKO!E51+GISOZI!E71+GATSIBO!E51+GASHYUSHYA!E51+RUTSIRO!E51+NGORORERO!E51+NYAMASHEKE!E51+FOURTH!E51</f>
        <v>7721</v>
      </c>
      <c r="E6" s="245"/>
      <c r="F6" s="245"/>
      <c r="G6" s="246"/>
    </row>
    <row r="7" spans="1:7" ht="38.549999999999997" customHeight="1" thickBot="1">
      <c r="A7" s="252" t="s">
        <v>62</v>
      </c>
      <c r="B7" s="253"/>
      <c r="C7" s="254"/>
      <c r="D7" s="244">
        <f>NYANZA!E52+KIREHE!E52+NYAGATARE!E52+KAYONZA!E52+MUSANZE!E52+MUSANZE!E52+RUBAVU!E52+KARONGI!E52+NYAMAGABE!E52+RUSIZI!E52+HUYE!E52+RUHANGO!E52+MUHANGA!E52+BUGESERA!E52+RWAMAGANA!E52+NYARUGENGE!E52+BISHENYI!E52+GAHANGA!E52+KIMIRONKO!E52+GISOZI!E72+GATSIBO!E52+GASHYUSHYA!E52+RUTSIRO!E52+NGORORERO!E52+NYAMASHEKE!E52+FOURTH!E52</f>
        <v>12842</v>
      </c>
      <c r="E7" s="245"/>
      <c r="F7" s="245"/>
      <c r="G7" s="246"/>
    </row>
    <row r="8" spans="1:7" ht="40.049999999999997" customHeight="1" thickBot="1">
      <c r="A8" s="252" t="s">
        <v>63</v>
      </c>
      <c r="B8" s="253"/>
      <c r="C8" s="254"/>
      <c r="D8" s="244">
        <f>NYANZA!E53+KIREHE!E53+NYAGATARE!E53+KAYONZA!E53+MUSANZE!E53+MUSANZE!E53+RUBAVU!E53+KARONGI!E53+NYAMAGABE!E53+RUSIZI!E53+HUYE!E53+RUHANGO!E53+MUHANGA!E53+BUGESERA!E53+RWAMAGANA!E53+NYARUGENGE!E53+BISHENYI!E53+GAHANGA!E53+KIMIRONKO!E53+GISOZI!E73+GATSIBO!E53+GASHYUSHYA!E53+RUTSIRO!E53+NGORORERO!E53+NYAMASHEKE!E53+FOURTH!E53</f>
        <v>1878</v>
      </c>
      <c r="E8" s="245"/>
      <c r="F8" s="245"/>
      <c r="G8" s="246"/>
    </row>
    <row r="9" spans="1:7" ht="38.549999999999997" customHeight="1" thickBot="1">
      <c r="A9" s="252" t="s">
        <v>83</v>
      </c>
      <c r="B9" s="253"/>
      <c r="C9" s="254"/>
      <c r="D9" s="244">
        <f>NYANZA!E54+KIREHE!E54+NYAGATARE!E54+KAYONZA!E54+MUSANZE!E54+MUSANZE!E54+RUBAVU!E54+KARONGI!E54+NYAMAGABE!E54+RUSIZI!E54+HUYE!E54+RUHANGO!E54+MUHANGA!E54+BUGESERA!E54+RWAMAGANA!E54+NYARUGENGE!E54+BISHENYI!E54+GAHANGA!E54+KIMIRONKO!E54+GISOZI!E74+GATSIBO!E54+GASHYUSHYA!E54+RUTSIRO!E54+NGORORERO!E54+NYAMASHEKE!E54+FOURTH!E54</f>
        <v>0</v>
      </c>
      <c r="E9" s="245"/>
      <c r="F9" s="245"/>
      <c r="G9" s="246"/>
    </row>
    <row r="10" spans="1:7" ht="37.950000000000003" customHeight="1" thickBot="1">
      <c r="A10" s="252" t="s">
        <v>83</v>
      </c>
      <c r="B10" s="253"/>
      <c r="C10" s="254"/>
      <c r="D10" s="244">
        <f>NYANZA!E55+KIREHE!E55+NYAGATARE!E55+KAYONZA!E55+MUSANZE!E55+MUSANZE!E55+RUBAVU!E55+KARONGI!E55+NYAMAGABE!E55+RUSIZI!E55+HUYE!E55+RUHANGO!E55+MUHANGA!E55+BUGESERA!E55+RWAMAGANA!E55+NYARUGENGE!E55+BISHENYI!E55+GAHANGA!E55+KIMIRONKO!E55+GISOZI!E75+GATSIBO!E55+GASHYUSHYA!E55+RUTSIRO!E55+NGORORERO!E55+NYAMASHEKE!E55+FOURTH!E55</f>
        <v>0</v>
      </c>
      <c r="E10" s="245"/>
      <c r="F10" s="245"/>
      <c r="G10" s="246"/>
    </row>
    <row r="11" spans="1:7" ht="38.549999999999997" customHeight="1" thickBot="1">
      <c r="A11" s="252" t="s">
        <v>83</v>
      </c>
      <c r="B11" s="253"/>
      <c r="C11" s="254"/>
      <c r="D11" s="244">
        <f>NYANZA!E56+KIREHE!E56+NYAGATARE!E56+KAYONZA!E56+MUSANZE!E56+MUSANZE!E56+RUBAVU!E56+KARONGI!E56+NYAMAGABE!E56+RUSIZI!E56+HUYE!E56+RUHANGO!E56+MUHANGA!E56+BUGESERA!E56+RWAMAGANA!E56+NYARUGENGE!E56+BISHENYI!E56+GAHANGA!E56+KIMIRONKO!E56+GISOZI!E76+GATSIBO!E56+GASHYUSHYA!E56+RUTSIRO!E56+NGORORERO!E56+NYAMASHEKE!E56+FOURTH!E56</f>
        <v>0</v>
      </c>
      <c r="E11" s="245"/>
      <c r="F11" s="245"/>
      <c r="G11" s="246"/>
    </row>
    <row r="12" spans="1:7" ht="36.450000000000003" customHeight="1" thickBot="1">
      <c r="A12" s="252" t="s">
        <v>83</v>
      </c>
      <c r="B12" s="253"/>
      <c r="C12" s="254"/>
      <c r="D12" s="244">
        <f>NYANZA!E57+KIREHE!E57+NYAGATARE!E57+KAYONZA!E57+MUSANZE!E57+MUSANZE!E57+RUBAVU!E57+KARONGI!E57+NYAMAGABE!E57+RUSIZI!E57+HUYE!E57+RUHANGO!E57+MUHANGA!E57+BUGESERA!E57+RWAMAGANA!E57+NYARUGENGE!E57+BISHENYI!E57+GAHANGA!E57+KIMIRONKO!E57+GISOZI!E77+GATSIBO!E57+GASHYUSHYA!E57+RUTSIRO!E57+NGORORERO!E57+NYAMASHEKE!E57+FOURTH!E57</f>
        <v>0</v>
      </c>
      <c r="E12" s="245"/>
      <c r="F12" s="245"/>
      <c r="G12" s="246"/>
    </row>
    <row r="13" spans="1:7" ht="37.950000000000003" customHeight="1" thickBot="1">
      <c r="A13" s="252" t="s">
        <v>83</v>
      </c>
      <c r="B13" s="253"/>
      <c r="C13" s="254"/>
      <c r="D13" s="244">
        <f>NYANZA!E58+KIREHE!E58+NYAGATARE!E58+KAYONZA!E58+MUSANZE!E58+MUSANZE!E58+RUBAVU!E58+KARONGI!E58+NYAMAGABE!E58+RUSIZI!E58+HUYE!E58+RUHANGO!E58+MUHANGA!E58+BUGESERA!E58+RWAMAGANA!E58+NYARUGENGE!E58+BISHENYI!E58+GAHANGA!E58+KIMIRONKO!E58+GISOZI!E78+GATSIBO!E58+GASHYUSHYA!E58+RUTSIRO!E58+NGORORERO!E58+NYAMASHEKE!E58+FOURTH!E58</f>
        <v>0</v>
      </c>
      <c r="E13" s="245"/>
      <c r="F13" s="245"/>
      <c r="G13" s="246"/>
    </row>
    <row r="14" spans="1:7" ht="29.4" thickBot="1">
      <c r="A14" s="252" t="s">
        <v>83</v>
      </c>
      <c r="B14" s="253"/>
      <c r="C14" s="254"/>
      <c r="D14" s="244">
        <f>NYANZA!E59+KIREHE!E59+NYAGATARE!E59+KAYONZA!E59+MUSANZE!E59+MUSANZE!E59+RUBAVU!E59+KARONGI!E59+NYAMAGABE!E59+RUSIZI!E59+HUYE!E59+RUHANGO!E59+MUHANGA!E59+BUGESERA!E59+RWAMAGANA!E59+NYARUGENGE!E59+BISHENYI!E59+GAHANGA!E59+KIMIRONKO!E59+GISOZI!E79+GATSIBO!E59+GASHYUSHYA!E59+RUTSIRO!E59+NGORORERO!E59+NYAMASHEKE!E59+FOURTH!E59</f>
        <v>0</v>
      </c>
      <c r="E14" s="245"/>
      <c r="F14" s="245"/>
      <c r="G14" s="246"/>
    </row>
    <row r="15" spans="1:7" ht="29.4" thickBot="1">
      <c r="A15" s="252" t="s">
        <v>83</v>
      </c>
      <c r="B15" s="253"/>
      <c r="C15" s="254"/>
      <c r="D15" s="244">
        <f>NYANZA!E60+KIREHE!E60+NYAGATARE!E60+KAYONZA!E60+MUSANZE!E60+MUSANZE!E60+RUBAVU!E60+KARONGI!E60+NYAMAGABE!E60+RUSIZI!E60+HUYE!E60+RUHANGO!E60+MUHANGA!E60+BUGESERA!E60+RWAMAGANA!E60+NYARUGENGE!E60+BISHENYI!E60+GAHANGA!E60+KIMIRONKO!E60+GISOZI!E80+GATSIBO!E60+GASHYUSHYA!E60+RUTSIRO!E60+NGORORERO!E60+NYAMASHEKE!E60+FOURTH!E60</f>
        <v>0</v>
      </c>
      <c r="E15" s="245"/>
      <c r="F15" s="245"/>
      <c r="G15" s="246"/>
    </row>
    <row r="16" spans="1:7" ht="29.4" thickBot="1">
      <c r="A16" s="252" t="s">
        <v>83</v>
      </c>
      <c r="B16" s="253"/>
      <c r="C16" s="254"/>
      <c r="D16" s="244">
        <f>NYANZA!E61+KIREHE!E61+NYAGATARE!E61+KAYONZA!E61+MUSANZE!E61+MUSANZE!E61+RUBAVU!E61+KARONGI!E61+NYAMAGABE!E61+RUSIZI!E61+HUYE!E61+RUHANGO!E61+MUHANGA!E61+BUGESERA!E61+RWAMAGANA!E61+NYARUGENGE!E61+BISHENYI!E61+GAHANGA!E61+KIMIRONKO!E61+GISOZI!E81+GATSIBO!E61+GASHYUSHYA!E61+RUTSIRO!E61+NGORORERO!E61+NYAMASHEKE!E61+FOURTH!E61</f>
        <v>0</v>
      </c>
      <c r="E16" s="245"/>
      <c r="F16" s="245"/>
      <c r="G16" s="246"/>
    </row>
    <row r="17" spans="1:7" ht="29.4" thickBot="1">
      <c r="A17" s="252" t="s">
        <v>64</v>
      </c>
      <c r="B17" s="253"/>
      <c r="C17" s="254"/>
      <c r="D17" s="255">
        <f>SUM(D4:D16)</f>
        <v>63187</v>
      </c>
      <c r="E17" s="256"/>
      <c r="F17" s="256"/>
      <c r="G17" s="257"/>
    </row>
  </sheetData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NYAMAGABE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RUTSIRO</vt:lpstr>
      <vt:lpstr>NGORORERO</vt:lpstr>
      <vt:lpstr>NYAMASHEKE</vt:lpstr>
      <vt:lpstr>FOURTH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2026-07-06T09:05:43Z</dcterms:modified>
</cp:coreProperties>
</file>