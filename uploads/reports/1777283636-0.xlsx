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<sst xmlns="http://schemas.openxmlformats.org/spreadsheetml/2006/main" count="1699" uniqueCount="93">
  <si>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</si>
  <si>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</si>
  <si>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</si>
  <si>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</si>
  <si>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</si>
  <si>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</si>
  <si>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</si>
  <si>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</si>
  <si>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</si>
  <si>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</si>
  <si>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</si>
  <si>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</si>
  <si>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</si>
  <si>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</si>
  <si>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</si>
  <si>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</si>
  <si>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</si>
  <si>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</si>
  <si>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</si>
  <si>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</si>
  <si>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</si>
  <si>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</si>
  <si>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</si>
  <si>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</si>
  <si>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</si>
  <si>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</si>
  <si>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</si>
  <si>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</si>
  <si>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</si>
  <si>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</si>
  <si>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</si>
  <si>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</si>
  <si>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</si>
  <si>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</si>
  <si>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</si>
  <si>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</si>
  <si>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</si>
  <si>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</si>
  <si>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</si>
  <si>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</si>
  <si>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</si>
  <si>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</si>
  <si>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</si>
  <si>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</si>
  <si>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</si>
  <si>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</si>
  <si>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</si>
  <si>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</si>
  <si>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</si>
  <si>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</si>
  <si>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</si>
  <si>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</si>
  <si>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</si>
  <si>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</si>
  <si>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</si>
  <si>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</si>
  <si>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</si>
  <si>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</si>
  <si>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</si>
  <si>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</si>
  <si>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</si>
  <si>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</si>
  <si>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</si>
  <si>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</si>
  <si>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</si>
  <si>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</si>
  <si>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</si>
  <si>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</si>
  <si>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</si>
  <si>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</si>
  <si>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</si>
  <si>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</si>
  <si>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</si>
  <si>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</si>
  <si>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</si>
  <si>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</si>
  <si>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</si>
  <si>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</si>
  <si>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</si>
  <si>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</si>
  <si>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</si>
  <si>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</si>
  <si>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</si>
  <si>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</si>
  <si>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</si>
  <si>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</si>
  <si>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</si>
  <si>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</si>
  <si>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</si>
  <si>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</si>
  <si>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</si>
  <si>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20-26-12/04/2026</t>
  </si>
  <si>
    <t xml:space="preserve">Last week , I made two invoices for the kimironko site on 20/04/2026 and 21/04/2026   .                                          PINUS =200                                                                                          INTURUSU =600                                                                                 Amount paid= 456,400frw                                                         VAT=428,400                                                                                         TOTAL = 2,808,400                                                                                          The issue concerns EBM .                                                                 The payment was made via MOMO pay code 052056  thank you 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</si>
</sst>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03"/>
      <c r="M1" s="103"/>
      <c r="N1" s="103"/>
    </row>
    <row r="2" spans="1:15" ht="31" customHeight="1">
      <c r="A2" s="125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03"/>
      <c r="M2" s="103"/>
      <c r="N2" s="103"/>
    </row>
    <row r="3" spans="1:15" ht="15" customHeigh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801675</v>
      </c>
      <c r="C25" s="87">
        <f>GASHYUSHYA!G37</f>
        <v>94600</v>
      </c>
      <c r="D25" s="87">
        <f>GASHYUSHYA!C43</f>
        <v>0</v>
      </c>
      <c r="E25" s="87">
        <f>GASHYUSHYA!C44</f>
        <v>0</v>
      </c>
      <c r="F25" s="84">
        <f t="shared" si="0"/>
        <v>896275</v>
      </c>
      <c r="G25" s="87">
        <f>GASHYUSHYA!C41</f>
        <v>0</v>
      </c>
      <c r="H25" s="88">
        <f>GASHYUSHYA!C39</f>
        <v>896275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801675</v>
      </c>
      <c r="C29" s="101">
        <f t="shared" si="1"/>
        <v>94600</v>
      </c>
      <c r="D29" s="102">
        <f t="shared" si="1"/>
        <v>0</v>
      </c>
      <c r="E29" s="101">
        <f t="shared" si="1"/>
        <v>0</v>
      </c>
      <c r="F29" s="101">
        <f t="shared" si="1"/>
        <v>896275</v>
      </c>
      <c r="G29" s="102">
        <f t="shared" si="1"/>
        <v>0</v>
      </c>
      <c r="H29" s="102">
        <f t="shared" si="1"/>
        <v>896275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17"/>
      <c r="B30" s="117"/>
      <c r="C30" s="117"/>
      <c r="D30" s="118"/>
      <c r="E30" s="133" t="s">
        <v>33</v>
      </c>
      <c r="F30" s="134"/>
      <c r="G30" s="134"/>
      <c r="H30" s="134"/>
      <c r="I30" s="135"/>
      <c r="J30" s="127"/>
      <c r="K30" s="128"/>
      <c r="L30" s="103"/>
    </row>
    <row r="31" spans="1:15">
      <c r="A31" s="119" t="s">
        <v>34</v>
      </c>
      <c r="B31" s="120"/>
      <c r="C31" s="120"/>
      <c r="D31" s="120"/>
      <c r="E31" s="136"/>
      <c r="F31" s="137"/>
      <c r="G31" s="137"/>
      <c r="H31" s="137"/>
      <c r="I31" s="138"/>
      <c r="J31" s="129"/>
      <c r="K31" s="130"/>
      <c r="L31" s="103"/>
    </row>
    <row r="32" spans="1:15" ht="14.5">
      <c r="A32" s="121" t="s">
        <v>35</v>
      </c>
      <c r="B32" s="122"/>
      <c r="C32" s="123">
        <f>SUM(B29+C29)</f>
        <v>896275</v>
      </c>
      <c r="D32" s="124"/>
      <c r="E32" s="136"/>
      <c r="F32" s="137"/>
      <c r="G32" s="137"/>
      <c r="H32" s="137"/>
      <c r="I32" s="138"/>
      <c r="J32" s="129"/>
      <c r="K32" s="130"/>
      <c r="L32" s="103"/>
    </row>
    <row r="33" spans="1:12" ht="14.5">
      <c r="A33" s="121" t="s">
        <v>36</v>
      </c>
      <c r="B33" s="122"/>
      <c r="C33" s="142">
        <f>SUM(F29,G29)</f>
        <v>896275</v>
      </c>
      <c r="D33" s="143"/>
      <c r="E33" s="136"/>
      <c r="F33" s="137"/>
      <c r="G33" s="137"/>
      <c r="H33" s="137"/>
      <c r="I33" s="138"/>
      <c r="J33" s="129"/>
      <c r="K33" s="130"/>
      <c r="L33" s="103"/>
    </row>
    <row r="34" spans="1:12" ht="14.5">
      <c r="A34" s="144" t="s">
        <v>37</v>
      </c>
      <c r="B34" s="145"/>
      <c r="C34" s="142">
        <f>SUM(H29,J29,I29+G29)</f>
        <v>896275</v>
      </c>
      <c r="D34" s="146"/>
      <c r="E34" s="136"/>
      <c r="F34" s="137"/>
      <c r="G34" s="137"/>
      <c r="H34" s="137"/>
      <c r="I34" s="138"/>
      <c r="J34" s="129"/>
      <c r="K34" s="130"/>
      <c r="L34" s="103"/>
    </row>
    <row r="35" spans="1:12" ht="14.5">
      <c r="A35" s="121" t="s">
        <v>38</v>
      </c>
      <c r="B35" s="122"/>
      <c r="C35" s="142">
        <f>SUM(D29:E29)</f>
        <v>0</v>
      </c>
      <c r="D35" s="146"/>
      <c r="E35" s="139"/>
      <c r="F35" s="140"/>
      <c r="G35" s="140"/>
      <c r="H35" s="140"/>
      <c r="I35" s="141"/>
      <c r="J35" s="129"/>
      <c r="K35" s="130"/>
      <c r="L35" s="103"/>
    </row>
    <row r="36" spans="1:12" ht="14.5">
      <c r="A36" s="121" t="s">
        <v>39</v>
      </c>
      <c r="B36" s="122"/>
      <c r="C36" s="142">
        <f>SUM(H29+I29+J29+C35)</f>
        <v>896275</v>
      </c>
      <c r="D36" s="146"/>
      <c r="E36" s="152" t="s">
        <v>40</v>
      </c>
      <c r="F36" s="153"/>
      <c r="G36" s="153"/>
      <c r="H36" s="153"/>
      <c r="I36" s="154"/>
      <c r="J36" s="129"/>
      <c r="K36" s="130"/>
      <c r="L36" s="103"/>
    </row>
    <row r="37" spans="1:12" ht="14.5">
      <c r="A37" s="147" t="s">
        <v>41</v>
      </c>
      <c r="B37" s="148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896275</v>
      </c>
      <c r="D37" s="146"/>
      <c r="E37" s="155"/>
      <c r="F37" s="156"/>
      <c r="G37" s="156"/>
      <c r="H37" s="156"/>
      <c r="I37" s="157"/>
      <c r="J37" s="129"/>
      <c r="K37" s="130"/>
      <c r="L37" s="103"/>
    </row>
    <row r="38" spans="1:12" ht="26">
      <c r="A38" s="149" t="s">
        <v>42</v>
      </c>
      <c r="B38" s="150"/>
      <c r="C38" s="150"/>
      <c r="D38" s="150"/>
      <c r="E38" s="150"/>
      <c r="F38" s="150"/>
      <c r="G38" s="150"/>
      <c r="H38" s="150"/>
      <c r="I38" s="151"/>
      <c r="J38" s="131"/>
      <c r="K38" s="132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7:B37"/>
    <mergeCell ref="C37:D37"/>
    <mergeCell ref="A38:I38"/>
    <mergeCell ref="E36:I37"/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6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8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s="71" customFormat="1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9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20.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22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22.5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24.5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22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22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22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22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3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>
        <v>2124</v>
      </c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6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1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5.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9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2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3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7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9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5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9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9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9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9" customHeight="1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9" customHeight="1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9" customHeight="1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9" customHeight="1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9" customHeight="1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9" customHeight="1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9" customHeight="1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 ht="14.5" customHeight="1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1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4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7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2" workbookViewId="0">
      <selection activeCell="A49" sqref="A49:B63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>
      <c r="A3" s="211" t="s">
        <v>91</v>
      </c>
      <c r="B3" s="212"/>
      <c r="C3" s="212"/>
      <c r="D3" s="212"/>
      <c r="E3" s="212"/>
      <c r="F3" s="212"/>
      <c r="G3" s="212"/>
      <c r="H3" s="213"/>
      <c r="I3" s="199"/>
    </row>
    <row r="4" spans="1:9" ht="30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>
        <v>2190</v>
      </c>
      <c r="C12" s="162">
        <v>2124</v>
      </c>
      <c r="D12" s="163"/>
      <c r="E12" s="10">
        <f t="shared" si="0"/>
        <v>4651560</v>
      </c>
      <c r="F12" s="10">
        <f t="shared" si="1"/>
        <v>709560</v>
      </c>
      <c r="G12" s="10">
        <f>PRODUCT(B12*30)</f>
        <v>65700</v>
      </c>
      <c r="H12" s="11">
        <f t="shared" si="2"/>
        <v>775260</v>
      </c>
      <c r="I12" s="199"/>
    </row>
    <row r="13" spans="1:9">
      <c r="A13" s="12" t="s">
        <v>57</v>
      </c>
      <c r="B13" s="9">
        <v>445</v>
      </c>
      <c r="C13" s="162">
        <v>1357</v>
      </c>
      <c r="D13" s="163"/>
      <c r="E13" s="10">
        <f t="shared" si="0"/>
        <v>603865</v>
      </c>
      <c r="F13" s="10">
        <f t="shared" si="1"/>
        <v>92115</v>
      </c>
      <c r="G13" s="10">
        <f>PRODUCT(B13*20)</f>
        <v>8900</v>
      </c>
      <c r="H13" s="11">
        <f t="shared" si="2"/>
        <v>101015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85</v>
      </c>
      <c r="B22" s="31">
        <v>200</v>
      </c>
      <c r="C22" s="31"/>
      <c r="D22" s="31">
        <v>100</v>
      </c>
      <c r="E22" s="26">
        <f t="shared" si="4"/>
        <v>0</v>
      </c>
      <c r="F22" s="27">
        <f t="shared" si="3"/>
        <v>0</v>
      </c>
      <c r="G22" s="32">
        <f t="shared" si="5"/>
        <v>20000</v>
      </c>
      <c r="H22" s="33">
        <f t="shared" si="6"/>
        <v>20000</v>
      </c>
      <c r="I22" s="19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5255425</v>
      </c>
      <c r="F37" s="47">
        <f>SUM(F5:F36)</f>
        <v>801675</v>
      </c>
      <c r="G37" s="47">
        <f t="shared" ref="G37:H37" si="10">SUM(G5:G36)</f>
        <v>94600</v>
      </c>
      <c r="H37" s="47">
        <f t="shared" si="10"/>
        <v>896275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>
        <v>896275</v>
      </c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896275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 t="s">
        <v>92</v>
      </c>
      <c r="B49" s="202"/>
      <c r="C49" s="190" t="s">
        <v>80</v>
      </c>
      <c r="D49" s="191"/>
      <c r="E49" s="192">
        <f>SUM(B9:B12)</f>
        <v>2190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445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87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50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88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89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89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89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89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89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2635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14" t="s">
        <v>77</v>
      </c>
      <c r="B1" s="215"/>
      <c r="C1" s="215"/>
      <c r="D1" s="215"/>
      <c r="E1" s="215"/>
      <c r="F1" s="215"/>
      <c r="G1" s="248"/>
    </row>
    <row r="2" spans="1:7">
      <c r="A2" s="216"/>
      <c r="B2" s="217"/>
      <c r="C2" s="217"/>
      <c r="D2" s="217"/>
      <c r="E2" s="217"/>
      <c r="F2" s="217"/>
      <c r="G2" s="249"/>
    </row>
    <row r="3" spans="1:7" ht="28">
      <c r="A3" s="236" t="s">
        <v>78</v>
      </c>
      <c r="B3" s="237"/>
      <c r="C3" s="238"/>
      <c r="D3" s="236" t="s">
        <v>79</v>
      </c>
      <c r="E3" s="237"/>
      <c r="F3" s="237"/>
      <c r="G3" s="238"/>
    </row>
    <row r="4" spans="1:7" ht="41.5" customHeight="1">
      <c r="A4" s="239" t="s">
        <v>80</v>
      </c>
      <c r="B4" s="240"/>
      <c r="C4" s="241"/>
      <c r="D4" s="23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2190</v>
      </c>
      <c r="E4" s="234"/>
      <c r="F4" s="234"/>
      <c r="G4" s="235"/>
    </row>
    <row r="5" spans="1:7" ht="37" customHeight="1">
      <c r="A5" s="239" t="s">
        <v>53</v>
      </c>
      <c r="B5" s="240"/>
      <c r="C5" s="241"/>
      <c r="D5" s="23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4"/>
      <c r="F5" s="234"/>
      <c r="G5" s="235"/>
    </row>
    <row r="6" spans="1:7" ht="40" customHeight="1">
      <c r="A6" s="239" t="s">
        <v>57</v>
      </c>
      <c r="B6" s="240"/>
      <c r="C6" s="241"/>
      <c r="D6" s="23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445</v>
      </c>
      <c r="E6" s="234"/>
      <c r="F6" s="234"/>
      <c r="G6" s="235"/>
    </row>
    <row r="7" spans="1:7" ht="38.5" customHeight="1">
      <c r="A7" s="242" t="s">
        <v>62</v>
      </c>
      <c r="B7" s="243"/>
      <c r="C7" s="244"/>
      <c r="D7" s="23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4"/>
      <c r="F7" s="234"/>
      <c r="G7" s="235"/>
    </row>
    <row r="8" spans="1:7" ht="40" customHeight="1">
      <c r="A8" s="242" t="s">
        <v>63</v>
      </c>
      <c r="B8" s="243"/>
      <c r="C8" s="244"/>
      <c r="D8" s="23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4"/>
      <c r="F8" s="234"/>
      <c r="G8" s="235"/>
    </row>
    <row r="9" spans="1:7" ht="38.5" customHeight="1">
      <c r="A9" s="242" t="s">
        <v>89</v>
      </c>
      <c r="B9" s="243"/>
      <c r="C9" s="244"/>
      <c r="D9" s="23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4"/>
      <c r="F9" s="234"/>
      <c r="G9" s="235"/>
    </row>
    <row r="10" spans="1:7" ht="38" customHeight="1">
      <c r="A10" s="242" t="s">
        <v>89</v>
      </c>
      <c r="B10" s="243"/>
      <c r="C10" s="244"/>
      <c r="D10" s="23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4"/>
      <c r="F10" s="234"/>
      <c r="G10" s="235"/>
    </row>
    <row r="11" spans="1:7" ht="38.5" customHeight="1">
      <c r="A11" s="242" t="s">
        <v>89</v>
      </c>
      <c r="B11" s="243"/>
      <c r="C11" s="244"/>
      <c r="D11" s="23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4"/>
      <c r="F11" s="234"/>
      <c r="G11" s="235"/>
    </row>
    <row r="12" spans="1:7" ht="36.5" customHeight="1">
      <c r="A12" s="242" t="s">
        <v>89</v>
      </c>
      <c r="B12" s="243"/>
      <c r="C12" s="244"/>
      <c r="D12" s="23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4"/>
      <c r="F12" s="234"/>
      <c r="G12" s="235"/>
    </row>
    <row r="13" spans="1:7" ht="38" customHeight="1">
      <c r="A13" s="242" t="s">
        <v>89</v>
      </c>
      <c r="B13" s="243"/>
      <c r="C13" s="244"/>
      <c r="D13" s="23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4"/>
      <c r="F13" s="234"/>
      <c r="G13" s="235"/>
    </row>
    <row r="14" spans="1:7" ht="28.5">
      <c r="A14" s="242" t="s">
        <v>89</v>
      </c>
      <c r="B14" s="243"/>
      <c r="C14" s="244"/>
      <c r="D14" s="23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4"/>
      <c r="F14" s="234"/>
      <c r="G14" s="235"/>
    </row>
    <row r="15" spans="1:7" ht="28.5">
      <c r="A15" s="242" t="s">
        <v>89</v>
      </c>
      <c r="B15" s="243"/>
      <c r="C15" s="244"/>
      <c r="D15" s="23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4"/>
      <c r="F15" s="234"/>
      <c r="G15" s="235"/>
    </row>
    <row r="16" spans="1:7" ht="28.5">
      <c r="A16" s="242" t="s">
        <v>89</v>
      </c>
      <c r="B16" s="243"/>
      <c r="C16" s="244"/>
      <c r="D16" s="23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4"/>
      <c r="F16" s="234"/>
      <c r="G16" s="235"/>
    </row>
    <row r="17" spans="1:7" ht="28.5">
      <c r="A17" s="242" t="s">
        <v>83</v>
      </c>
      <c r="B17" s="243"/>
      <c r="C17" s="244"/>
      <c r="D17" s="245">
        <f>SUM(D4:D16)</f>
        <v>2635</v>
      </c>
      <c r="E17" s="246"/>
      <c r="F17" s="246"/>
      <c r="G17" s="247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A17:C17"/>
    <mergeCell ref="D17:G17"/>
    <mergeCell ref="A12:C12"/>
    <mergeCell ref="D12:G12"/>
    <mergeCell ref="A13:C13"/>
    <mergeCell ref="D13:G13"/>
    <mergeCell ref="A14:C14"/>
    <mergeCell ref="D14:G14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2026-04-27T09:49:34Z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