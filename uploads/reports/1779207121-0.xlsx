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FE5557D2-55DD-471D-A63B-4DC05B65CF2A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<sst xmlns="http://schemas.openxmlformats.org/spreadsheetml/2006/main" count="1778" uniqueCount="86">
  <si>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</si>
  <si>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</si>
  <si>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</si>
  <si>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</si>
  <si>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</si>
  <si>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</si>
  <si>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</si>
  <si>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</si>
  <si>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</si>
  <si>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</si>
  <si>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</si>
  <si>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</si>
  <si>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</si>
  <si>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</si>
  <si>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</si>
  <si>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</si>
  <si>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</si>
  <si>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</si>
  <si>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</si>
  <si>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</si>
  <si>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</si>
  <si>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</si>
  <si>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</si>
  <si>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</si>
  <si>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</si>
  <si>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</si>
  <si>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</si>
  <si>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</si>
  <si>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</si>
  <si>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</si>
  <si>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</si>
  <si>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</si>
  <si>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</si>
  <si>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</si>
  <si>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</si>
  <si>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</si>
  <si>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</si>
  <si>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</si>
  <si>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</si>
  <si>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</si>
  <si>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</si>
  <si>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</si>
  <si>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</si>
  <si>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</si>
  <si>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</si>
  <si>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</si>
  <si>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</si>
  <si>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</si>
  <si>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</si>
  <si>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</si>
  <si>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</si>
  <si>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</si>
  <si>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</si>
  <si>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</si>
  <si>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</si>
  <si>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</si>
  <si>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</si>
  <si>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</si>
  <si>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</si>
  <si>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</si>
  <si>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</si>
  <si>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</si>
  <si>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</si>
  <si>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</si>
  <si>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</si>
  <si>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</si>
  <si>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</si>
  <si>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</si>
  <si>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</si>
  <si>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</si>
  <si>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</si>
  <si>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</si>
  <si>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</si>
  <si>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</si>
  <si>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</si>
  <si>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</si>
  <si>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</si>
  <si>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</si>
  <si>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</si>
  <si>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</si>
  <si>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</si>
  <si>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</si>
  <si>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</si>
  <si>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</si>
  <si>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</si>
  <si>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19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</si>
</sst>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525960</v>
      </c>
      <c r="C10" s="18">
        <f>BUGESERA!G28</f>
        <v>46200</v>
      </c>
      <c r="D10" s="19"/>
      <c r="E10" s="18"/>
      <c r="F10" s="14">
        <f t="shared" si="0"/>
        <v>572160</v>
      </c>
      <c r="G10" s="17">
        <f>BUGESERA!C32</f>
        <v>0</v>
      </c>
      <c r="H10" s="18">
        <f>BUGESERA!C30</f>
        <v>572160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8193582</v>
      </c>
      <c r="C29" s="33">
        <f t="shared" si="1"/>
        <v>741900</v>
      </c>
      <c r="D29" s="34">
        <f t="shared" si="1"/>
        <v>0</v>
      </c>
      <c r="E29" s="33">
        <f t="shared" si="1"/>
        <v>0</v>
      </c>
      <c r="F29" s="33">
        <f t="shared" si="1"/>
        <v>8935482</v>
      </c>
      <c r="G29" s="34">
        <f t="shared" si="1"/>
        <v>0</v>
      </c>
      <c r="H29" s="34">
        <f t="shared" si="1"/>
        <v>8935482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29"/>
      <c r="C30" s="129"/>
      <c r="D30" s="113"/>
      <c r="E30" s="156" t="s">
        <v>32</v>
      </c>
      <c r="F30" s="126"/>
      <c r="G30" s="126"/>
      <c r="H30" s="126"/>
      <c r="I30" s="127"/>
      <c r="J30" s="152"/>
      <c r="K30" s="127"/>
      <c r="L30" s="1"/>
      <c r="M30" s="1"/>
      <c r="N30" s="1"/>
      <c r="O30" s="1"/>
    </row>
    <row r="31" spans="1:15" ht="18" customHeight="1">
      <c r="A31" s="158" t="s">
        <v>33</v>
      </c>
      <c r="B31" s="129"/>
      <c r="C31" s="129"/>
      <c r="D31" s="159"/>
      <c r="E31" s="153"/>
      <c r="F31" s="137"/>
      <c r="G31" s="137"/>
      <c r="H31" s="137"/>
      <c r="I31" s="138"/>
      <c r="J31" s="153"/>
      <c r="K31" s="138"/>
      <c r="L31" s="1"/>
      <c r="M31" s="1"/>
      <c r="N31" s="1"/>
      <c r="O31" s="1"/>
    </row>
    <row r="32" spans="1:15" ht="18" customHeight="1">
      <c r="A32" s="161" t="s">
        <v>34</v>
      </c>
      <c r="B32" s="113"/>
      <c r="C32" s="157">
        <f>SUM(B29:C29)</f>
        <v>8935482</v>
      </c>
      <c r="D32" s="126"/>
      <c r="E32" s="153"/>
      <c r="F32" s="137"/>
      <c r="G32" s="137"/>
      <c r="H32" s="137"/>
      <c r="I32" s="138"/>
      <c r="J32" s="153"/>
      <c r="K32" s="138"/>
      <c r="L32" s="1"/>
      <c r="M32" s="1"/>
      <c r="N32" s="1"/>
      <c r="O32" s="1"/>
    </row>
    <row r="33" spans="1:15" ht="18" customHeight="1">
      <c r="A33" s="161" t="s">
        <v>35</v>
      </c>
      <c r="B33" s="113"/>
      <c r="C33" s="140">
        <f>SUM(F29,G29)</f>
        <v>8935482</v>
      </c>
      <c r="D33" s="129"/>
      <c r="E33" s="153"/>
      <c r="F33" s="137"/>
      <c r="G33" s="137"/>
      <c r="H33" s="137"/>
      <c r="I33" s="138"/>
      <c r="J33" s="153"/>
      <c r="K33" s="138"/>
      <c r="L33" s="1"/>
      <c r="M33" s="1"/>
      <c r="N33" s="1"/>
      <c r="O33" s="1"/>
    </row>
    <row r="34" spans="1:15" ht="18" customHeight="1">
      <c r="A34" s="161" t="s">
        <v>36</v>
      </c>
      <c r="B34" s="113"/>
      <c r="C34" s="140">
        <f>SUM(H29,J29,I29)</f>
        <v>8935482</v>
      </c>
      <c r="D34" s="113"/>
      <c r="E34" s="153"/>
      <c r="F34" s="137"/>
      <c r="G34" s="137"/>
      <c r="H34" s="137"/>
      <c r="I34" s="138"/>
      <c r="J34" s="153"/>
      <c r="K34" s="138"/>
      <c r="L34" s="1"/>
      <c r="M34" s="1"/>
      <c r="N34" s="1"/>
      <c r="O34" s="1"/>
    </row>
    <row r="35" spans="1:15" ht="18" customHeight="1">
      <c r="A35" s="161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3"/>
      <c r="K35" s="138"/>
      <c r="L35" s="1"/>
      <c r="M35" s="1"/>
      <c r="N35" s="1"/>
      <c r="O35" s="1"/>
    </row>
    <row r="36" spans="1:15" ht="18" customHeight="1">
      <c r="A36" s="161" t="s">
        <v>38</v>
      </c>
      <c r="B36" s="113"/>
      <c r="C36" s="140">
        <f>SUM(C33,C35)</f>
        <v>8935482</v>
      </c>
      <c r="D36" s="113"/>
      <c r="E36" s="154" t="s">
        <v>39</v>
      </c>
      <c r="F36" s="126"/>
      <c r="G36" s="126"/>
      <c r="H36" s="126"/>
      <c r="I36" s="127"/>
      <c r="J36" s="153"/>
      <c r="K36" s="138"/>
      <c r="L36" s="1"/>
      <c r="M36" s="1"/>
      <c r="N36" s="1"/>
      <c r="O36" s="1"/>
    </row>
    <row r="37" spans="1:15" ht="18" customHeight="1">
      <c r="A37" s="162" t="s">
        <v>40</v>
      </c>
      <c r="B37" s="111"/>
      <c r="C37" s="140">
        <f>SUM(C34:C35)</f>
        <v>8935482</v>
      </c>
      <c r="D37" s="113"/>
      <c r="E37" s="109"/>
      <c r="F37" s="110"/>
      <c r="G37" s="110"/>
      <c r="H37" s="110"/>
      <c r="I37" s="111"/>
      <c r="J37" s="153"/>
      <c r="K37" s="138"/>
      <c r="L37" s="1"/>
      <c r="M37" s="1"/>
      <c r="N37" s="1"/>
      <c r="O37" s="1"/>
    </row>
    <row r="38" spans="1:15" ht="18" customHeight="1">
      <c r="A38" s="155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I35" sqref="I35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>
        <v>150</v>
      </c>
      <c r="C7" s="123">
        <v>4720</v>
      </c>
      <c r="D7" s="124"/>
      <c r="E7" s="44">
        <f t="shared" si="0"/>
        <v>708000</v>
      </c>
      <c r="F7" s="44">
        <f t="shared" si="1"/>
        <v>108000</v>
      </c>
      <c r="G7" s="44">
        <f t="shared" si="2"/>
        <v>7500</v>
      </c>
      <c r="H7" s="45">
        <f t="shared" si="3"/>
        <v>115500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1290</v>
      </c>
      <c r="C10" s="115">
        <v>2124</v>
      </c>
      <c r="D10" s="116"/>
      <c r="E10" s="48">
        <f t="shared" si="0"/>
        <v>2739960</v>
      </c>
      <c r="F10" s="48">
        <f t="shared" si="1"/>
        <v>417960</v>
      </c>
      <c r="G10" s="48">
        <f t="shared" si="4"/>
        <v>38700</v>
      </c>
      <c r="H10" s="49">
        <f t="shared" si="3"/>
        <v>456660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" si="5">PRODUCT(B13*20)</f>
        <v>0</v>
      </c>
      <c r="H13" s="49">
        <f t="shared" si="3"/>
        <v>0</v>
      </c>
    </row>
    <row r="14" spans="1:8" ht="19.5" customHeight="1">
      <c r="A14" s="128" t="s">
        <v>57</v>
      </c>
      <c r="B14" s="129"/>
      <c r="C14" s="129"/>
      <c r="D14" s="129"/>
      <c r="E14" s="129"/>
      <c r="F14" s="129"/>
      <c r="G14" s="129"/>
      <c r="H14" s="113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3447960</v>
      </c>
      <c r="F28" s="74">
        <f>SUM(F6:F27)</f>
        <v>525960</v>
      </c>
      <c r="G28" s="75">
        <f>SUM(G6:G27)</f>
        <v>46200</v>
      </c>
      <c r="H28" s="76">
        <f t="shared" si="9"/>
        <v>572160</v>
      </c>
    </row>
    <row r="29" spans="1:8" ht="14.25" customHeight="1">
      <c r="A29" s="133" t="s">
        <v>65</v>
      </c>
      <c r="B29" s="134"/>
      <c r="C29" s="77" t="s">
        <v>66</v>
      </c>
      <c r="D29" s="78"/>
      <c r="E29" s="135" t="s">
        <v>67</v>
      </c>
      <c r="F29" s="113"/>
      <c r="G29" s="79" t="s">
        <v>68</v>
      </c>
      <c r="H29" s="80" t="s">
        <v>66</v>
      </c>
    </row>
    <row r="30" spans="1:8" ht="14.25" customHeight="1">
      <c r="A30" s="118" t="s">
        <v>69</v>
      </c>
      <c r="B30" s="111"/>
      <c r="C30" s="103">
        <v>572160</v>
      </c>
      <c r="D30" s="82"/>
      <c r="E30" s="123"/>
      <c r="F30" s="124"/>
      <c r="G30" s="83"/>
      <c r="H30" s="84"/>
    </row>
    <row r="31" spans="1:8" ht="14.25" customHeight="1">
      <c r="A31" s="114" t="s">
        <v>70</v>
      </c>
      <c r="B31" s="113"/>
      <c r="C31" s="104"/>
      <c r="D31" s="86"/>
      <c r="E31" s="115"/>
      <c r="F31" s="116"/>
      <c r="G31" s="87"/>
      <c r="H31" s="88"/>
    </row>
    <row r="32" spans="1:8" ht="14.25" customHeight="1">
      <c r="A32" s="114" t="s">
        <v>71</v>
      </c>
      <c r="B32" s="113"/>
      <c r="C32" s="89"/>
      <c r="D32" s="82"/>
      <c r="E32" s="117"/>
      <c r="F32" s="116"/>
      <c r="G32" s="87"/>
      <c r="H32" s="88"/>
    </row>
    <row r="33" spans="1:8" ht="14.25" customHeight="1">
      <c r="A33" s="130" t="s">
        <v>72</v>
      </c>
      <c r="B33" s="127"/>
      <c r="C33" s="90"/>
      <c r="D33" s="74"/>
      <c r="E33" s="120"/>
      <c r="F33" s="116"/>
      <c r="G33" s="47"/>
      <c r="H33" s="88"/>
    </row>
    <row r="34" spans="1:8" ht="14.25" customHeight="1">
      <c r="A34" s="114" t="s">
        <v>73</v>
      </c>
      <c r="B34" s="113"/>
      <c r="C34" s="91"/>
      <c r="D34" s="74"/>
      <c r="E34" s="119"/>
      <c r="F34" s="116"/>
      <c r="G34" s="47"/>
      <c r="H34" s="88"/>
    </row>
    <row r="35" spans="1:8" ht="14.25" customHeight="1">
      <c r="A35" s="114" t="s">
        <v>74</v>
      </c>
      <c r="B35" s="113"/>
      <c r="C35" s="92"/>
      <c r="D35" s="93"/>
      <c r="E35" s="119"/>
      <c r="F35" s="116"/>
      <c r="G35" s="47"/>
      <c r="H35" s="88"/>
    </row>
    <row r="36" spans="1:8" ht="14.25" customHeight="1">
      <c r="A36" s="114" t="s">
        <v>75</v>
      </c>
      <c r="B36" s="113"/>
      <c r="C36" s="94">
        <v>0</v>
      </c>
      <c r="D36" s="95"/>
      <c r="E36" s="121"/>
      <c r="F36" s="122"/>
      <c r="G36" s="96"/>
      <c r="H36" s="97"/>
    </row>
    <row r="37" spans="1:8" ht="14.25" customHeight="1">
      <c r="A37" s="143" t="s">
        <v>76</v>
      </c>
      <c r="B37" s="126"/>
      <c r="C37" s="126"/>
      <c r="D37" s="126"/>
      <c r="E37" s="126"/>
      <c r="F37" s="126"/>
      <c r="G37" s="126"/>
      <c r="H37" s="127"/>
    </row>
    <row r="38" spans="1:8" ht="15" customHeight="1">
      <c r="A38" s="109"/>
      <c r="B38" s="110"/>
      <c r="C38" s="110"/>
      <c r="D38" s="110"/>
      <c r="E38" s="110"/>
      <c r="F38" s="110"/>
      <c r="G38" s="110"/>
      <c r="H38" s="111"/>
    </row>
    <row r="39" spans="1:8" ht="14.25" customHeight="1">
      <c r="A39" s="98"/>
      <c r="B39" s="142" t="s">
        <v>77</v>
      </c>
      <c r="C39" s="129"/>
      <c r="D39" s="113"/>
      <c r="E39" s="142" t="s">
        <v>78</v>
      </c>
      <c r="F39" s="129"/>
      <c r="G39" s="129"/>
      <c r="H39" s="113"/>
    </row>
    <row r="40" spans="1:8" ht="14.25" customHeight="1">
      <c r="A40" s="98"/>
      <c r="B40" s="131" t="s">
        <v>79</v>
      </c>
      <c r="C40" s="129"/>
      <c r="D40" s="113"/>
      <c r="E40" s="132">
        <f>SUM(B9:B12)</f>
        <v>1290</v>
      </c>
      <c r="F40" s="129"/>
      <c r="G40" s="129"/>
      <c r="H40" s="113"/>
    </row>
    <row r="41" spans="1:8" ht="14.25" customHeight="1">
      <c r="A41" s="98"/>
      <c r="B41" s="131" t="s">
        <v>52</v>
      </c>
      <c r="C41" s="129"/>
      <c r="D41" s="113"/>
      <c r="E41" s="132">
        <f>SUM(B6:B8)</f>
        <v>150</v>
      </c>
      <c r="F41" s="129"/>
      <c r="G41" s="129"/>
      <c r="H41" s="113"/>
    </row>
    <row r="42" spans="1:8" ht="14.25" customHeight="1">
      <c r="A42" s="98"/>
      <c r="B42" s="131" t="s">
        <v>80</v>
      </c>
      <c r="C42" s="129"/>
      <c r="D42" s="113"/>
      <c r="E42" s="136">
        <f>SUM(B13:B13)</f>
        <v>0</v>
      </c>
      <c r="F42" s="137"/>
      <c r="G42" s="137"/>
      <c r="H42" s="138"/>
    </row>
    <row r="43" spans="1:8" ht="14.25" customHeight="1">
      <c r="A43" s="37"/>
      <c r="B43" s="139" t="s">
        <v>61</v>
      </c>
      <c r="C43" s="129"/>
      <c r="D43" s="113"/>
      <c r="E43" s="140">
        <f>SUM(B16:B17)</f>
        <v>0</v>
      </c>
      <c r="F43" s="129"/>
      <c r="G43" s="129"/>
      <c r="H43" s="113"/>
    </row>
    <row r="44" spans="1:8" ht="14.25" customHeight="1">
      <c r="A44" s="37"/>
      <c r="B44" s="139" t="s">
        <v>62</v>
      </c>
      <c r="C44" s="129"/>
      <c r="D44" s="113"/>
      <c r="E44" s="140">
        <f>SUM(B18:B19)</f>
        <v>0</v>
      </c>
      <c r="F44" s="129"/>
      <c r="G44" s="129"/>
      <c r="H44" s="113"/>
    </row>
    <row r="45" spans="1:8" ht="14.25" customHeight="1">
      <c r="A45" s="37"/>
      <c r="B45" s="139" t="s">
        <v>81</v>
      </c>
      <c r="C45" s="129"/>
      <c r="D45" s="113"/>
      <c r="E45" s="140">
        <f t="shared" ref="E45:E52" si="10">B20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si="10"/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0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0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0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0"/>
        <v>0</v>
      </c>
      <c r="F50" s="129"/>
      <c r="G50" s="129"/>
      <c r="H50" s="113"/>
    </row>
    <row r="51" spans="1:8" ht="14.25" customHeight="1">
      <c r="B51" s="139" t="s">
        <v>81</v>
      </c>
      <c r="C51" s="129"/>
      <c r="D51" s="113"/>
      <c r="E51" s="140">
        <f t="shared" si="10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0"/>
        <v>0</v>
      </c>
      <c r="F52" s="129"/>
      <c r="G52" s="129"/>
      <c r="H52" s="113"/>
    </row>
    <row r="53" spans="1:8" ht="14.25" customHeight="1">
      <c r="B53" s="139" t="s">
        <v>82</v>
      </c>
      <c r="C53" s="129"/>
      <c r="D53" s="113"/>
      <c r="E53" s="140">
        <f>SUM(E40:H52)</f>
        <v>1440</v>
      </c>
      <c r="F53" s="129"/>
      <c r="G53" s="129"/>
      <c r="H53" s="113"/>
    </row>
    <row r="54" spans="1:8" ht="14.25" customHeight="1">
      <c r="B54" s="139"/>
      <c r="C54" s="129"/>
      <c r="D54" s="113"/>
      <c r="E54" s="141"/>
      <c r="F54" s="129"/>
      <c r="G54" s="129"/>
      <c r="H54" s="113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B40:D40"/>
    <mergeCell ref="E40:H40"/>
    <mergeCell ref="A35:B35"/>
    <mergeCell ref="A36:B36"/>
    <mergeCell ref="B39:D39"/>
    <mergeCell ref="E39:H39"/>
    <mergeCell ref="A37:H38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42:D42"/>
    <mergeCell ref="E42:H42"/>
    <mergeCell ref="B43:D43"/>
    <mergeCell ref="E43:H43"/>
    <mergeCell ref="E44:H44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E34:F34"/>
    <mergeCell ref="E33:F33"/>
    <mergeCell ref="E35:F35"/>
    <mergeCell ref="E36:F36"/>
    <mergeCell ref="E30:F30"/>
    <mergeCell ref="A3:H4"/>
    <mergeCell ref="C5:D5"/>
    <mergeCell ref="A31:B31"/>
    <mergeCell ref="E31:F31"/>
    <mergeCell ref="A32:B32"/>
    <mergeCell ref="E32:F32"/>
    <mergeCell ref="A30:B30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21542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400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3782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25724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2026-05-19T16:06:10Z</dcterms:modified>
</cp:coreProperties>
</file>