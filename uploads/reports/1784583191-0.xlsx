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WEEKLY REPORT/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<sst xmlns="http://schemas.openxmlformats.org/spreadsheetml/2006/main" count="1779" uniqueCount="85">
  <si>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</si>
  <si>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</si>
  <si>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</si>
  <si>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</si>
  <si>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</si>
  <si>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</si>
  <si>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</si>
  <si>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</si>
  <si>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</si>
  <si>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</si>
  <si>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</si>
  <si>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</si>
  <si>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</si>
  <si>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</si>
  <si>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</si>
  <si>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</si>
  <si>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</si>
  <si>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</si>
  <si>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</si>
  <si>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</si>
  <si>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</si>
  <si>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</si>
  <si>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</si>
  <si>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</si>
  <si>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</si>
  <si>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</si>
  <si>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</si>
  <si>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</si>
  <si>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</si>
  <si>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</si>
  <si>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</si>
  <si>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</si>
  <si>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</si>
  <si>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</si>
  <si>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</si>
  <si>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</si>
  <si>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</si>
  <si>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</si>
  <si>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</si>
  <si>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</si>
  <si>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</si>
  <si>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</si>
  <si>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</si>
  <si>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</si>
  <si>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</si>
  <si>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</si>
  <si>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</si>
  <si>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</si>
  <si>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</si>
  <si>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</si>
  <si>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</si>
  <si>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</si>
  <si>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</si>
  <si>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</si>
  <si>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</si>
  <si>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</si>
  <si>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</si>
  <si>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</si>
  <si>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</si>
  <si>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</si>
  <si>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</si>
  <si>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</si>
  <si>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</si>
  <si>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</si>
  <si>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</si>
  <si>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</si>
  <si>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</si>
  <si>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</si>
  <si>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</si>
  <si>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</si>
  <si>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</si>
  <si>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</si>
  <si>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</si>
  <si>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</si>
  <si>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</si>
  <si>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</si>
  <si>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</si>
  <si>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</si>
  <si>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</si>
  <si>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</si>
  <si>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</si>
  <si>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</si>
  <si>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</si>
  <si>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</si>
  <si>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WEEKLY REPORT FROM  06/ 07/ 2026  TO  12/07/2026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</si>
</sst>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44" t="s">
        <v>38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15"/>
      <c r="M1" s="115"/>
      <c r="N1" s="115"/>
    </row>
    <row r="2" spans="1:15" ht="31" customHeight="1">
      <c r="A2" s="146" t="s">
        <v>37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15"/>
      <c r="M2" s="115"/>
      <c r="N2" s="115"/>
    </row>
    <row r="3" spans="1:15" ht="15" customHeight="1" thickBot="1">
      <c r="A3" s="146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262440</v>
      </c>
      <c r="C16" s="68">
        <f>KARONGI!G37</f>
        <v>33300</v>
      </c>
      <c r="D16" s="4"/>
      <c r="E16" s="3"/>
      <c r="F16" s="70">
        <f t="shared" si="0"/>
        <v>295740</v>
      </c>
      <c r="G16" s="67">
        <f>KARONGI!C41</f>
        <v>0</v>
      </c>
      <c r="H16" s="68">
        <f>KARONGI!C39</f>
        <v>295740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7930062</v>
      </c>
      <c r="C29" s="102">
        <f t="shared" si="1"/>
        <v>729000</v>
      </c>
      <c r="D29" s="103">
        <f t="shared" si="1"/>
        <v>0</v>
      </c>
      <c r="E29" s="102">
        <f t="shared" si="1"/>
        <v>0</v>
      </c>
      <c r="F29" s="102">
        <f>SUM(F5:F28)</f>
        <v>8659062</v>
      </c>
      <c r="G29" s="103">
        <f>SUM(G5:G28)</f>
        <v>0</v>
      </c>
      <c r="H29" s="103">
        <f>SUM(H5:H28)</f>
        <v>8659062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38"/>
      <c r="B30" s="138"/>
      <c r="C30" s="138"/>
      <c r="D30" s="139"/>
      <c r="E30" s="129" t="s">
        <v>12</v>
      </c>
      <c r="F30" s="130"/>
      <c r="G30" s="130"/>
      <c r="H30" s="130"/>
      <c r="I30" s="131"/>
      <c r="J30" s="148"/>
      <c r="K30" s="149"/>
      <c r="L30" s="115"/>
    </row>
    <row r="31" spans="1:15" ht="19" thickBot="1">
      <c r="A31" s="125" t="s">
        <v>9</v>
      </c>
      <c r="B31" s="126"/>
      <c r="C31" s="126"/>
      <c r="D31" s="126"/>
      <c r="E31" s="132"/>
      <c r="F31" s="133"/>
      <c r="G31" s="133"/>
      <c r="H31" s="133"/>
      <c r="I31" s="134"/>
      <c r="J31" s="150"/>
      <c r="K31" s="151"/>
      <c r="L31" s="115"/>
    </row>
    <row r="32" spans="1:15" ht="15" thickBot="1">
      <c r="A32" s="140" t="s">
        <v>13</v>
      </c>
      <c r="B32" s="141"/>
      <c r="C32" s="142">
        <f>SUM(B29:C29)</f>
        <v>8659062</v>
      </c>
      <c r="D32" s="143"/>
      <c r="E32" s="132"/>
      <c r="F32" s="133"/>
      <c r="G32" s="133"/>
      <c r="H32" s="133"/>
      <c r="I32" s="134"/>
      <c r="J32" s="150"/>
      <c r="K32" s="151"/>
      <c r="L32" s="115"/>
    </row>
    <row r="33" spans="1:12" ht="15" thickBot="1">
      <c r="A33" s="140" t="s">
        <v>14</v>
      </c>
      <c r="B33" s="141"/>
      <c r="C33" s="127">
        <f>SUM(F29,G29)</f>
        <v>8659062</v>
      </c>
      <c r="D33" s="128"/>
      <c r="E33" s="132"/>
      <c r="F33" s="133"/>
      <c r="G33" s="133"/>
      <c r="H33" s="133"/>
      <c r="I33" s="134"/>
      <c r="J33" s="150"/>
      <c r="K33" s="151"/>
      <c r="L33" s="115"/>
    </row>
    <row r="34" spans="1:12" ht="15" thickBot="1">
      <c r="A34" s="164" t="s">
        <v>83</v>
      </c>
      <c r="B34" s="165"/>
      <c r="C34" s="127">
        <f>SUM(H29,J29,I29)</f>
        <v>8659062</v>
      </c>
      <c r="D34" s="163"/>
      <c r="E34" s="132"/>
      <c r="F34" s="133"/>
      <c r="G34" s="133"/>
      <c r="H34" s="133"/>
      <c r="I34" s="134"/>
      <c r="J34" s="150"/>
      <c r="K34" s="151"/>
      <c r="L34" s="115"/>
    </row>
    <row r="35" spans="1:12" ht="15" thickBot="1">
      <c r="A35" s="140" t="s">
        <v>11</v>
      </c>
      <c r="B35" s="141"/>
      <c r="C35" s="127">
        <f>SUM(D29:E29)</f>
        <v>0</v>
      </c>
      <c r="D35" s="163"/>
      <c r="E35" s="135"/>
      <c r="F35" s="136"/>
      <c r="G35" s="136"/>
      <c r="H35" s="136"/>
      <c r="I35" s="137"/>
      <c r="J35" s="150"/>
      <c r="K35" s="151"/>
      <c r="L35" s="115"/>
    </row>
    <row r="36" spans="1:12" ht="15" thickBot="1">
      <c r="A36" s="140" t="s">
        <v>10</v>
      </c>
      <c r="B36" s="141"/>
      <c r="C36" s="127">
        <f t="shared" ref="C36" si="2">SUM(C33,C35)</f>
        <v>8659062</v>
      </c>
      <c r="D36" s="163"/>
      <c r="E36" s="154" t="s">
        <v>36</v>
      </c>
      <c r="F36" s="155"/>
      <c r="G36" s="155"/>
      <c r="H36" s="155"/>
      <c r="I36" s="156"/>
      <c r="J36" s="150"/>
      <c r="K36" s="151"/>
      <c r="L36" s="115"/>
    </row>
    <row r="37" spans="1:12" ht="15" thickBot="1">
      <c r="A37" s="123" t="s">
        <v>15</v>
      </c>
      <c r="B37" s="124"/>
      <c r="C37" s="127">
        <f>SUM(C34:C35)</f>
        <v>8659062</v>
      </c>
      <c r="D37" s="163"/>
      <c r="E37" s="157"/>
      <c r="F37" s="158"/>
      <c r="G37" s="158"/>
      <c r="H37" s="158"/>
      <c r="I37" s="159"/>
      <c r="J37" s="150"/>
      <c r="K37" s="151"/>
      <c r="L37" s="115"/>
    </row>
    <row r="38" spans="1:12" ht="26.5" thickBot="1">
      <c r="A38" s="160" t="s">
        <v>16</v>
      </c>
      <c r="B38" s="161"/>
      <c r="C38" s="161"/>
      <c r="D38" s="161"/>
      <c r="E38" s="161"/>
      <c r="F38" s="161"/>
      <c r="G38" s="161"/>
      <c r="H38" s="161"/>
      <c r="I38" s="162"/>
      <c r="J38" s="152"/>
      <c r="K38" s="153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1" t="s">
        <v>57</v>
      </c>
      <c r="B1" s="242"/>
      <c r="C1" s="242"/>
      <c r="D1" s="242"/>
      <c r="E1" s="242"/>
      <c r="F1" s="242"/>
      <c r="G1" s="242"/>
      <c r="H1" s="243"/>
    </row>
    <row r="2" spans="1:8" ht="15" thickBot="1">
      <c r="A2" s="244"/>
      <c r="B2" s="245"/>
      <c r="C2" s="245"/>
      <c r="D2" s="245"/>
      <c r="E2" s="245"/>
      <c r="F2" s="245"/>
      <c r="G2" s="245"/>
      <c r="H2" s="246"/>
    </row>
    <row r="3" spans="1:8">
      <c r="A3" s="247" t="s">
        <v>39</v>
      </c>
      <c r="B3" s="248"/>
      <c r="C3" s="248"/>
      <c r="D3" s="248"/>
      <c r="E3" s="248"/>
      <c r="F3" s="248"/>
      <c r="G3" s="248"/>
      <c r="H3" s="249"/>
    </row>
    <row r="4" spans="1:8" ht="15" thickBot="1">
      <c r="A4" s="250"/>
      <c r="B4" s="251"/>
      <c r="C4" s="251"/>
      <c r="D4" s="251"/>
      <c r="E4" s="251"/>
      <c r="F4" s="251"/>
      <c r="G4" s="251"/>
      <c r="H4" s="252"/>
    </row>
    <row r="5" spans="1:8" ht="15" thickBot="1">
      <c r="A5" s="93" t="s">
        <v>40</v>
      </c>
      <c r="B5" s="93" t="s">
        <v>41</v>
      </c>
      <c r="C5" s="236" t="s">
        <v>42</v>
      </c>
      <c r="D5" s="237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3" customHeight="1" thickBot="1">
      <c r="A48" s="39"/>
      <c r="B48" s="253" t="s">
        <v>60</v>
      </c>
      <c r="C48" s="254"/>
      <c r="D48" s="255"/>
      <c r="E48" s="253" t="s">
        <v>61</v>
      </c>
      <c r="F48" s="254"/>
      <c r="G48" s="254"/>
      <c r="H48" s="255"/>
    </row>
    <row r="49" spans="1:8" ht="22" customHeight="1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22.5" customHeight="1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24.5" customHeight="1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22" customHeight="1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22" customHeight="1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22" customHeight="1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22" customHeight="1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22" customHeight="1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22" customHeight="1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24.5" customHeight="1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25" customHeight="1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29" thickBot="1">
      <c r="B62" s="256" t="s">
        <v>67</v>
      </c>
      <c r="C62" s="257"/>
      <c r="D62" s="258"/>
      <c r="E62" s="259">
        <f>SUM(E49:H61)</f>
        <v>0</v>
      </c>
      <c r="F62" s="260"/>
      <c r="G62" s="260"/>
      <c r="H62" s="261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7670</v>
      </c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f>SUM(C31:C36)</f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69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15000</v>
      </c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>
        <v>9000</v>
      </c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211">
        <v>7670</v>
      </c>
      <c r="D8" s="212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211">
        <v>4130</v>
      </c>
      <c r="D9" s="212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211">
        <v>2124</v>
      </c>
      <c r="D10" s="212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211">
        <v>3540</v>
      </c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2006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211">
        <v>1357</v>
      </c>
      <c r="D13" s="212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>
        <v>8363322</v>
      </c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8363322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20252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250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3782</v>
      </c>
      <c r="F51" s="187"/>
      <c r="G51" s="187"/>
      <c r="H51" s="188"/>
    </row>
    <row r="52" spans="1:8" ht="19" thickBot="1">
      <c r="B52" s="264" t="s">
        <v>65</v>
      </c>
      <c r="C52" s="265"/>
      <c r="D52" s="266"/>
      <c r="E52" s="169">
        <f>SUM(B17:B18)</f>
        <v>0</v>
      </c>
      <c r="F52" s="178"/>
      <c r="G52" s="178"/>
      <c r="H52" s="179"/>
    </row>
    <row r="53" spans="1:8" ht="19" thickBot="1">
      <c r="B53" s="264" t="s">
        <v>66</v>
      </c>
      <c r="C53" s="265"/>
      <c r="D53" s="266"/>
      <c r="E53" s="169">
        <f>SUM(B19:B20)</f>
        <v>0</v>
      </c>
      <c r="F53" s="178"/>
      <c r="G53" s="178"/>
      <c r="H53" s="179"/>
    </row>
    <row r="54" spans="1:8" ht="19" thickBot="1">
      <c r="B54" s="264" t="s">
        <v>58</v>
      </c>
      <c r="C54" s="265"/>
      <c r="D54" s="266"/>
      <c r="E54" s="169">
        <f>B29</f>
        <v>0</v>
      </c>
      <c r="F54" s="170"/>
      <c r="G54" s="170"/>
      <c r="H54" s="171"/>
    </row>
    <row r="55" spans="1:8" ht="19" thickBot="1">
      <c r="B55" s="264" t="s">
        <v>58</v>
      </c>
      <c r="C55" s="265"/>
      <c r="D55" s="266"/>
      <c r="E55" s="169">
        <f t="shared" ref="E55:E61" si="3">B30</f>
        <v>0</v>
      </c>
      <c r="F55" s="170"/>
      <c r="G55" s="170"/>
      <c r="H55" s="171"/>
    </row>
    <row r="56" spans="1:8" ht="19" thickBot="1">
      <c r="B56" s="264" t="s">
        <v>58</v>
      </c>
      <c r="C56" s="265"/>
      <c r="D56" s="266"/>
      <c r="E56" s="169">
        <f t="shared" si="3"/>
        <v>0</v>
      </c>
      <c r="F56" s="170"/>
      <c r="G56" s="170"/>
      <c r="H56" s="171"/>
    </row>
    <row r="57" spans="1:8" ht="19" thickBot="1">
      <c r="B57" s="264" t="s">
        <v>58</v>
      </c>
      <c r="C57" s="265"/>
      <c r="D57" s="266"/>
      <c r="E57" s="169">
        <f t="shared" si="3"/>
        <v>0</v>
      </c>
      <c r="F57" s="170"/>
      <c r="G57" s="170"/>
      <c r="H57" s="171"/>
    </row>
    <row r="58" spans="1:8" ht="19" thickBot="1">
      <c r="B58" s="264" t="s">
        <v>58</v>
      </c>
      <c r="C58" s="265"/>
      <c r="D58" s="266"/>
      <c r="E58" s="169">
        <f t="shared" si="3"/>
        <v>0</v>
      </c>
      <c r="F58" s="170"/>
      <c r="G58" s="170"/>
      <c r="H58" s="171"/>
    </row>
    <row r="59" spans="1:8" ht="19" thickBot="1">
      <c r="B59" s="264" t="s">
        <v>58</v>
      </c>
      <c r="C59" s="265"/>
      <c r="D59" s="266"/>
      <c r="E59" s="169">
        <f t="shared" si="3"/>
        <v>0</v>
      </c>
      <c r="F59" s="170"/>
      <c r="G59" s="170"/>
      <c r="H59" s="171"/>
    </row>
    <row r="60" spans="1:8" ht="19" thickBot="1">
      <c r="B60" s="264" t="s">
        <v>58</v>
      </c>
      <c r="C60" s="265"/>
      <c r="D60" s="266"/>
      <c r="E60" s="169">
        <f t="shared" si="3"/>
        <v>0</v>
      </c>
      <c r="F60" s="170"/>
      <c r="G60" s="170"/>
      <c r="H60" s="171"/>
    </row>
    <row r="61" spans="1:8" ht="19" thickBot="1">
      <c r="B61" s="264" t="s">
        <v>58</v>
      </c>
      <c r="C61" s="265"/>
      <c r="D61" s="266"/>
      <c r="E61" s="169">
        <f t="shared" si="3"/>
        <v>0</v>
      </c>
      <c r="F61" s="170"/>
      <c r="G61" s="170"/>
      <c r="H61" s="171"/>
    </row>
    <row r="62" spans="1:8" ht="24" thickBot="1">
      <c r="B62" s="264" t="s">
        <v>67</v>
      </c>
      <c r="C62" s="265"/>
      <c r="D62" s="266"/>
      <c r="E62" s="271">
        <f>SUM(E49:H61)</f>
        <v>24284</v>
      </c>
      <c r="F62" s="272"/>
      <c r="G62" s="272"/>
      <c r="H62" s="273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>
        <v>1357</v>
      </c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2124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>
        <v>1357</v>
      </c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217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92" t="s">
        <v>72</v>
      </c>
      <c r="B40" s="193"/>
      <c r="C40" s="71"/>
      <c r="D40" s="85"/>
      <c r="E40" s="211"/>
      <c r="F40" s="212"/>
      <c r="G40" s="86"/>
      <c r="H40" s="74"/>
    </row>
    <row r="41" spans="1:8" ht="15" thickBot="1">
      <c r="A41" s="192" t="s">
        <v>76</v>
      </c>
      <c r="B41" s="193"/>
      <c r="C41" s="72"/>
      <c r="D41" s="84"/>
      <c r="E41" s="283"/>
      <c r="F41" s="197"/>
      <c r="G41" s="86"/>
      <c r="H41" s="74"/>
    </row>
    <row r="42" spans="1:8" ht="15" thickBot="1">
      <c r="A42" s="192" t="s">
        <v>77</v>
      </c>
      <c r="B42" s="193"/>
      <c r="C42" s="73"/>
      <c r="D42" s="81"/>
      <c r="E42" s="284"/>
      <c r="F42" s="197"/>
      <c r="G42" s="15"/>
      <c r="H42" s="74"/>
    </row>
    <row r="43" spans="1:8" ht="15" thickBot="1">
      <c r="A43" s="192" t="s">
        <v>78</v>
      </c>
      <c r="B43" s="193"/>
      <c r="C43" s="75"/>
      <c r="D43" s="81"/>
      <c r="E43" s="274"/>
      <c r="F43" s="200"/>
      <c r="G43" s="15"/>
      <c r="H43" s="74"/>
    </row>
    <row r="44" spans="1:8" ht="15" thickBot="1">
      <c r="A44" s="192" t="s">
        <v>79</v>
      </c>
      <c r="B44" s="193"/>
      <c r="C44" s="76"/>
      <c r="D44" s="82"/>
      <c r="E44" s="274"/>
      <c r="F44" s="200"/>
      <c r="G44" s="15"/>
      <c r="H44" s="74"/>
    </row>
    <row r="45" spans="1:8" ht="15" thickBot="1">
      <c r="A45" s="192" t="s">
        <v>80</v>
      </c>
      <c r="B45" s="193"/>
      <c r="C45" s="92">
        <v>0</v>
      </c>
      <c r="D45" s="83"/>
      <c r="E45" s="275"/>
      <c r="F45" s="202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285"/>
      <c r="G49" s="285"/>
      <c r="H49" s="286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285"/>
      <c r="G50" s="285"/>
      <c r="H50" s="286"/>
    </row>
    <row r="51" spans="1:8" ht="19" thickBot="1">
      <c r="A51" s="39"/>
      <c r="B51" s="180" t="s">
        <v>64</v>
      </c>
      <c r="C51" s="181"/>
      <c r="D51" s="182"/>
      <c r="E51" s="183">
        <f>SUM(B13:B14)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SUM(B11:B14)</f>
        <v>0</v>
      </c>
      <c r="F49" s="285"/>
      <c r="G49" s="285"/>
      <c r="H49" s="286"/>
    </row>
    <row r="50" spans="1:8" ht="19" thickBot="1">
      <c r="A50" s="62"/>
      <c r="B50" s="180" t="s">
        <v>48</v>
      </c>
      <c r="C50" s="181"/>
      <c r="D50" s="182"/>
      <c r="E50" s="183">
        <f>SUM(B8:B10)</f>
        <v>0</v>
      </c>
      <c r="F50" s="285"/>
      <c r="G50" s="285"/>
      <c r="H50" s="286"/>
    </row>
    <row r="51" spans="1:8" ht="19" thickBot="1">
      <c r="A51" s="62"/>
      <c r="B51" s="180" t="s">
        <v>64</v>
      </c>
      <c r="C51" s="181"/>
      <c r="D51" s="182"/>
      <c r="E51" s="183">
        <f>SUM(B15:B16)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SUM(B19:B20)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SUM(B29:B30)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 t="shared" ref="E54:E60" si="4">B31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si="4"/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ref="E61" si="5">B45</f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9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9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27" workbookViewId="0">
      <selection activeCell="C40" sqref="C40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84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>
        <v>300</v>
      </c>
      <c r="C8" s="211">
        <v>1416</v>
      </c>
      <c r="D8" s="212"/>
      <c r="E8" s="16">
        <f t="shared" si="0"/>
        <v>424800</v>
      </c>
      <c r="F8" s="16">
        <f t="shared" si="1"/>
        <v>64800</v>
      </c>
      <c r="G8" s="16">
        <f>PRODUCT(B8*50)</f>
        <v>15000</v>
      </c>
      <c r="H8" s="17">
        <f t="shared" si="2"/>
        <v>79800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610</v>
      </c>
      <c r="C10" s="211">
        <v>2124</v>
      </c>
      <c r="D10" s="212"/>
      <c r="E10" s="16">
        <f t="shared" si="0"/>
        <v>1295640</v>
      </c>
      <c r="F10" s="16">
        <f t="shared" si="1"/>
        <v>197640</v>
      </c>
      <c r="G10" s="16">
        <f>PRODUCT(B10*30)</f>
        <v>18300</v>
      </c>
      <c r="H10" s="17">
        <f t="shared" si="2"/>
        <v>215940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1720440</v>
      </c>
      <c r="F37" s="32">
        <f>SUM(F5:F36)</f>
        <v>262440</v>
      </c>
      <c r="G37" s="32">
        <f t="shared" ref="G37:H37" si="3">SUM(G5:G36)</f>
        <v>33300</v>
      </c>
      <c r="H37" s="32">
        <f t="shared" si="3"/>
        <v>295740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>
        <v>295740</v>
      </c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610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300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910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3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04" t="s">
        <v>59</v>
      </c>
      <c r="B1" s="205"/>
      <c r="C1" s="205"/>
      <c r="D1" s="205"/>
      <c r="E1" s="205"/>
      <c r="F1" s="205"/>
      <c r="G1" s="206"/>
    </row>
    <row r="2" spans="1:7" ht="15" thickBot="1">
      <c r="A2" s="207"/>
      <c r="B2" s="208"/>
      <c r="C2" s="208"/>
      <c r="D2" s="208"/>
      <c r="E2" s="208"/>
      <c r="F2" s="208"/>
      <c r="G2" s="209"/>
    </row>
    <row r="3" spans="1:7" ht="28.5" thickBot="1">
      <c r="A3" s="302" t="s">
        <v>60</v>
      </c>
      <c r="B3" s="303"/>
      <c r="C3" s="304"/>
      <c r="D3" s="302" t="s">
        <v>61</v>
      </c>
      <c r="E3" s="303"/>
      <c r="F3" s="303"/>
      <c r="G3" s="304"/>
    </row>
    <row r="4" spans="1:7" ht="41.5" customHeight="1" thickBot="1">
      <c r="A4" s="296" t="s">
        <v>63</v>
      </c>
      <c r="B4" s="297"/>
      <c r="C4" s="298"/>
      <c r="D4" s="29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20862</v>
      </c>
      <c r="E4" s="300"/>
      <c r="F4" s="300"/>
      <c r="G4" s="301"/>
    </row>
    <row r="5" spans="1:7" ht="37" customHeight="1" thickBot="1">
      <c r="A5" s="296" t="s">
        <v>48</v>
      </c>
      <c r="B5" s="297"/>
      <c r="C5" s="298"/>
      <c r="D5" s="29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550</v>
      </c>
      <c r="E5" s="300"/>
      <c r="F5" s="300"/>
      <c r="G5" s="301"/>
    </row>
    <row r="6" spans="1:7" ht="40" customHeight="1" thickBot="1">
      <c r="A6" s="296" t="s">
        <v>62</v>
      </c>
      <c r="B6" s="297"/>
      <c r="C6" s="298"/>
      <c r="D6" s="29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300"/>
      <c r="F6" s="300"/>
      <c r="G6" s="301"/>
    </row>
    <row r="7" spans="1:7" ht="38.5" customHeight="1" thickBot="1">
      <c r="A7" s="305" t="s">
        <v>65</v>
      </c>
      <c r="B7" s="306"/>
      <c r="C7" s="307"/>
      <c r="D7" s="29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300"/>
      <c r="F7" s="300"/>
      <c r="G7" s="301"/>
    </row>
    <row r="8" spans="1:7" ht="40" customHeight="1" thickBot="1">
      <c r="A8" s="305" t="s">
        <v>66</v>
      </c>
      <c r="B8" s="306"/>
      <c r="C8" s="307"/>
      <c r="D8" s="29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0"/>
      <c r="F8" s="300"/>
      <c r="G8" s="301"/>
    </row>
    <row r="9" spans="1:7" ht="38.5" customHeight="1" thickBot="1">
      <c r="A9" s="305" t="s">
        <v>58</v>
      </c>
      <c r="B9" s="306"/>
      <c r="C9" s="307"/>
      <c r="D9" s="29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0"/>
      <c r="F9" s="300"/>
      <c r="G9" s="301"/>
    </row>
    <row r="10" spans="1:7" ht="38" customHeight="1" thickBot="1">
      <c r="A10" s="305" t="s">
        <v>58</v>
      </c>
      <c r="B10" s="306"/>
      <c r="C10" s="307"/>
      <c r="D10" s="29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0"/>
      <c r="F10" s="300"/>
      <c r="G10" s="301"/>
    </row>
    <row r="11" spans="1:7" ht="38.5" customHeight="1" thickBot="1">
      <c r="A11" s="305" t="s">
        <v>58</v>
      </c>
      <c r="B11" s="306"/>
      <c r="C11" s="307"/>
      <c r="D11" s="29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0"/>
      <c r="F11" s="300"/>
      <c r="G11" s="301"/>
    </row>
    <row r="12" spans="1:7" ht="36.5" customHeight="1" thickBot="1">
      <c r="A12" s="305" t="s">
        <v>58</v>
      </c>
      <c r="B12" s="306"/>
      <c r="C12" s="307"/>
      <c r="D12" s="29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0"/>
      <c r="F12" s="300"/>
      <c r="G12" s="301"/>
    </row>
    <row r="13" spans="1:7" ht="38" customHeight="1" thickBot="1">
      <c r="A13" s="305" t="s">
        <v>58</v>
      </c>
      <c r="B13" s="306"/>
      <c r="C13" s="307"/>
      <c r="D13" s="29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0"/>
      <c r="F13" s="300"/>
      <c r="G13" s="301"/>
    </row>
    <row r="14" spans="1:7" ht="29" thickBot="1">
      <c r="A14" s="305" t="s">
        <v>58</v>
      </c>
      <c r="B14" s="306"/>
      <c r="C14" s="307"/>
      <c r="D14" s="29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0"/>
      <c r="F14" s="300"/>
      <c r="G14" s="301"/>
    </row>
    <row r="15" spans="1:7" ht="29" thickBot="1">
      <c r="A15" s="305" t="s">
        <v>58</v>
      </c>
      <c r="B15" s="306"/>
      <c r="C15" s="307"/>
      <c r="D15" s="29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0"/>
      <c r="F15" s="300"/>
      <c r="G15" s="301"/>
    </row>
    <row r="16" spans="1:7" ht="29" thickBot="1">
      <c r="A16" s="305" t="s">
        <v>58</v>
      </c>
      <c r="B16" s="306"/>
      <c r="C16" s="307"/>
      <c r="D16" s="29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0"/>
      <c r="F16" s="300"/>
      <c r="G16" s="301"/>
    </row>
    <row r="17" spans="1:7" ht="29" thickBot="1">
      <c r="A17" s="305" t="s">
        <v>67</v>
      </c>
      <c r="B17" s="306"/>
      <c r="C17" s="307"/>
      <c r="D17" s="308">
        <f>SUM(D4:D16)</f>
        <v>25194</v>
      </c>
      <c r="E17" s="309"/>
      <c r="F17" s="309"/>
      <c r="G17" s="31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2026-07-20T21:24:16Z</dcterms:modified>
</cp:coreProperties>
</file>