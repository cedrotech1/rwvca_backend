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9991E4D-4426-4B2C-AF4E-AFE4DC91E711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<sst xmlns="http://schemas.openxmlformats.org/spreadsheetml/2006/main" count="1530" uniqueCount="88">
  <si>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</si>
  <si>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</si>
  <si>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</si>
  <si>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</si>
  <si>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</si>
  <si>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</si>
  <si>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</si>
  <si>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</si>
  <si>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</si>
  <si>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</si>
  <si>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</si>
  <si>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</si>
  <si>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</si>
  <si>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</si>
  <si>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</si>
  <si>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</si>
  <si>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</si>
  <si>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</si>
  <si>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</si>
  <si>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</si>
  <si>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</si>
  <si>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</si>
  <si>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</si>
  <si>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</si>
  <si>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</si>
  <si>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</si>
  <si>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</si>
  <si>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</si>
  <si>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</si>
  <si>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</si>
  <si>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</si>
  <si>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</si>
  <si>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</si>
  <si>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</si>
  <si>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</si>
  <si>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</si>
  <si>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</si>
  <si>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</si>
  <si>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</si>
  <si>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</si>
  <si>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</si>
  <si>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</si>
  <si>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</si>
  <si>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</si>
  <si>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</si>
  <si>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</si>
  <si>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</si>
  <si>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</si>
  <si>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</si>
  <si>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</si>
  <si>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</si>
  <si>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</si>
  <si>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</si>
  <si>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</si>
  <si>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</si>
  <si>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</si>
  <si>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</si>
  <si>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</si>
  <si>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</si>
  <si>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</si>
  <si>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</si>
  <si>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</si>
  <si>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</si>
  <si>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</si>
  <si>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</si>
  <si>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</si>
  <si>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</si>
  <si>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</si>
  <si>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</si>
  <si>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</si>
  <si>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</si>
  <si>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</si>
  <si>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</si>
  <si>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</si>
  <si>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</si>
  <si>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</si>
  <si>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</si>
  <si>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</si>
  <si>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</si>
  <si>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</si>
  <si>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</si>
  <si>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</si>
  <si>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</si>
  <si>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</si>
  <si>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</si>
  <si>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</si>
  <si>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</si>
  <si>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 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</si>
</sst>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117720</v>
      </c>
      <c r="C16" s="66">
        <f>KARONGI!G29</f>
        <v>16000</v>
      </c>
      <c r="D16" s="4"/>
      <c r="E16" s="3"/>
      <c r="F16" s="68">
        <f t="shared" si="0"/>
        <v>133720</v>
      </c>
      <c r="G16" s="65">
        <f>KARONGI!C33</f>
        <v>0</v>
      </c>
      <c r="H16" s="66">
        <f>KARONGI!C31</f>
        <v>133720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117720</v>
      </c>
      <c r="C29" s="99">
        <f t="shared" si="1"/>
        <v>16000</v>
      </c>
      <c r="D29" s="100">
        <f t="shared" si="1"/>
        <v>0</v>
      </c>
      <c r="E29" s="99">
        <f t="shared" si="1"/>
        <v>0</v>
      </c>
      <c r="F29" s="99">
        <f>SUM(F5:F28)</f>
        <v>133720</v>
      </c>
      <c r="G29" s="100">
        <f>SUM(G5:G28)</f>
        <v>0</v>
      </c>
      <c r="H29" s="100">
        <f>SUM(H5:H28)</f>
        <v>133720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133720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133720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133720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133720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133720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C39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250</v>
      </c>
      <c r="C10" s="121">
        <v>2124</v>
      </c>
      <c r="D10" s="122"/>
      <c r="E10" s="20">
        <f t="shared" si="0"/>
        <v>531000</v>
      </c>
      <c r="F10" s="20">
        <f t="shared" si="1"/>
        <v>81000</v>
      </c>
      <c r="G10" s="20">
        <f>PRODUCT(B10*30)</f>
        <v>7500</v>
      </c>
      <c r="H10" s="21">
        <f t="shared" si="2"/>
        <v>88500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170</v>
      </c>
      <c r="C17" s="39">
        <v>1416</v>
      </c>
      <c r="D17" s="39">
        <v>50</v>
      </c>
      <c r="E17" s="30">
        <f>PRODUCT(B17*C17)</f>
        <v>240720</v>
      </c>
      <c r="F17" s="27">
        <f t="shared" ref="F17:F22" si="3">PRODUCT(E17*18)/118</f>
        <v>36720</v>
      </c>
      <c r="G17" s="27">
        <f>PRODUCT(B17*D17)</f>
        <v>8500</v>
      </c>
      <c r="H17" s="27">
        <f>SUM(F17:G17)</f>
        <v>45220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771720</v>
      </c>
      <c r="F29" s="37">
        <f>SUM(F6:F28)</f>
        <v>117720</v>
      </c>
      <c r="G29" s="32">
        <f>SUM(G6:G28)</f>
        <v>16000</v>
      </c>
      <c r="H29" s="26">
        <f>SUM(F29:G29)</f>
        <v>133720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133720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133720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250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170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420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250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170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420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2026-03-22T20:10:31Z</dcterms:modified>
</cp:coreProperties>
</file>