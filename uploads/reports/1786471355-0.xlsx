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G40" i="1" l="1"/>
  <c r="F40" i="1"/>
  <c r="H40" i="1" s="1"/>
  <c r="E40" i="1"/>
  <c r="G39" i="1"/>
  <c r="E39" i="1"/>
  <c r="F39" i="1" s="1"/>
  <c r="H39" i="1" s="1"/>
  <c r="G38" i="1"/>
  <c r="E38" i="1"/>
  <c r="F38" i="1" s="1"/>
  <c r="H38" i="1" s="1"/>
  <c r="G37" i="1"/>
  <c r="F37" i="1"/>
  <c r="H37" i="1" s="1"/>
  <c r="E37" i="1"/>
  <c r="G36" i="1"/>
  <c r="E36" i="1"/>
  <c r="F36" i="1" s="1"/>
  <c r="H36" i="1" s="1"/>
  <c r="G35" i="1"/>
  <c r="F35" i="1"/>
  <c r="H35" i="1" s="1"/>
  <c r="E35" i="1"/>
  <c r="G34" i="1"/>
  <c r="E34" i="1"/>
  <c r="F34" i="1" s="1"/>
  <c r="H34" i="1" s="1"/>
  <c r="G33" i="1"/>
  <c r="F33" i="1"/>
  <c r="H33" i="1" s="1"/>
  <c r="E33" i="1"/>
  <c r="G32" i="1"/>
  <c r="E32" i="1"/>
  <c r="F32" i="1" s="1"/>
  <c r="H32" i="1" s="1"/>
  <c r="G31" i="1"/>
  <c r="F31" i="1"/>
  <c r="H31" i="1" s="1"/>
  <c r="E31" i="1"/>
  <c r="G30" i="1"/>
  <c r="E30" i="1"/>
  <c r="F30" i="1" s="1"/>
  <c r="G29" i="1"/>
  <c r="E29" i="1"/>
  <c r="F29" i="1" s="1"/>
  <c r="G28" i="1"/>
  <c r="F28" i="1"/>
  <c r="H28" i="1" s="1"/>
  <c r="E28" i="1"/>
  <c r="G27" i="1"/>
  <c r="E27" i="1"/>
  <c r="F27" i="1" s="1"/>
  <c r="H27" i="1" s="1"/>
  <c r="G26" i="1"/>
  <c r="F26" i="1"/>
  <c r="H26" i="1" s="1"/>
  <c r="E26" i="1"/>
  <c r="G25" i="1"/>
  <c r="E25" i="1"/>
  <c r="F25" i="1" s="1"/>
  <c r="H25" i="1" s="1"/>
  <c r="G24" i="1"/>
  <c r="F24" i="1"/>
  <c r="H24" i="1" s="1"/>
  <c r="E24" i="1"/>
  <c r="G23" i="1"/>
  <c r="E23" i="1"/>
  <c r="F23" i="1" s="1"/>
  <c r="H23" i="1" s="1"/>
  <c r="H22" i="1"/>
  <c r="F22" i="1"/>
  <c r="G21" i="1"/>
  <c r="E21" i="1"/>
  <c r="F21" i="1" s="1"/>
  <c r="G20" i="1"/>
  <c r="E20" i="1"/>
  <c r="F20" i="1" s="1"/>
  <c r="G19" i="1"/>
  <c r="E19" i="1"/>
  <c r="F19" i="1" s="1"/>
  <c r="G18" i="1"/>
  <c r="F18" i="1"/>
  <c r="H18" i="1" s="1"/>
  <c r="E18" i="1"/>
  <c r="G17" i="1"/>
  <c r="E17" i="1"/>
  <c r="F17" i="1" s="1"/>
  <c r="G14" i="1"/>
  <c r="F14" i="1"/>
  <c r="H14" i="1" s="1"/>
  <c r="E14" i="1"/>
  <c r="G13" i="1"/>
  <c r="E13" i="1"/>
  <c r="F13" i="1" s="1"/>
  <c r="H13" i="1" s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G7" i="1"/>
  <c r="E7" i="1"/>
  <c r="F7" i="1" s="1"/>
  <c r="G6" i="1"/>
  <c r="E6" i="1"/>
  <c r="F6" i="1" s="1"/>
  <c r="H20" i="1" l="1"/>
  <c r="H30" i="1"/>
  <c r="H21" i="1"/>
  <c r="H7" i="1"/>
  <c r="H19" i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<sst xmlns="http://schemas.openxmlformats.org/spreadsheetml/2006/main" count="65" uniqueCount="47">
  <si>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</si>
  <si>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</si>
  <si>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</si>
  <si>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</si>
  <si>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</si>
  <si>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</si>
  <si>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</si>
  <si>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</si>
  <si>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</si>
  <si>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</si>
  <si>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</si>
  <si>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</si>
  <si>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</si>
  <si>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</si>
  <si>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</si>
  <si>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</si>
  <si>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</si>
  <si>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</si>
  <si>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</si>
  <si>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</si>
  <si>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</si>
  <si>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</si>
  <si>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</si>
  <si>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</si>
  <si>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</si>
  <si>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</si>
  <si>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</si>
  <si>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</si>
  <si>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</si>
  <si>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</si>
  <si>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</si>
  <si>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</si>
  <si>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</si>
  <si>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</si>
  <si>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</si>
  <si>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</si>
  <si>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</si>
  <si>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</si>
  <si>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</si>
  <si>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</si>
  <si>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</si>
  <si>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</si>
  <si>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</si>
  <si>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</si>
  <si>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</si>
  <si>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</si>
  <si>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11/08/2026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</si>
</sst>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zoomScale="110" zoomScaleNormal="110" workbookViewId="0">
      <selection sqref="A1:H2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0" t="s">
        <v>0</v>
      </c>
      <c r="B1" s="71"/>
      <c r="C1" s="71"/>
      <c r="D1" s="71"/>
      <c r="E1" s="71"/>
      <c r="F1" s="71"/>
      <c r="G1" s="71"/>
      <c r="H1" s="72"/>
    </row>
    <row r="2" spans="1:8" ht="12.65" customHeight="1">
      <c r="A2" s="73"/>
      <c r="B2" s="74"/>
      <c r="C2" s="74"/>
      <c r="D2" s="74"/>
      <c r="E2" s="74"/>
      <c r="F2" s="74"/>
      <c r="G2" s="74"/>
      <c r="H2" s="75"/>
    </row>
    <row r="3" spans="1:8" ht="13.15" customHeight="1">
      <c r="A3" s="76" t="s">
        <v>46</v>
      </c>
      <c r="B3" s="77"/>
      <c r="C3" s="77"/>
      <c r="D3" s="77"/>
      <c r="E3" s="77"/>
      <c r="F3" s="77"/>
      <c r="G3" s="77"/>
      <c r="H3" s="78"/>
    </row>
    <row r="4" spans="1:8">
      <c r="A4" s="79"/>
      <c r="B4" s="80"/>
      <c r="C4" s="80"/>
      <c r="D4" s="80"/>
      <c r="E4" s="80"/>
      <c r="F4" s="80"/>
      <c r="G4" s="80"/>
      <c r="H4" s="81"/>
    </row>
    <row r="5" spans="1:8">
      <c r="A5" s="2"/>
      <c r="B5" s="2" t="s">
        <v>1</v>
      </c>
      <c r="C5" s="56" t="s">
        <v>2</v>
      </c>
      <c r="D5" s="57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>
        <v>210</v>
      </c>
      <c r="C6" s="58">
        <v>8850</v>
      </c>
      <c r="D6" s="59"/>
      <c r="E6" s="8">
        <f t="shared" ref="E6" si="0">PRODUCT(B6*C6)</f>
        <v>1858500</v>
      </c>
      <c r="F6" s="8">
        <f t="shared" ref="F6" si="1">PRODUCT(E6*18)/118</f>
        <v>283500</v>
      </c>
      <c r="G6" s="8">
        <f>PRODUCT(B6*50)</f>
        <v>10500</v>
      </c>
      <c r="H6" s="9">
        <f t="shared" ref="H6" si="2">SUM(F6:G6)</f>
        <v>294000</v>
      </c>
    </row>
    <row r="7" spans="1:8">
      <c r="A7" s="5" t="s">
        <v>8</v>
      </c>
      <c r="B7" s="6"/>
      <c r="C7" s="58">
        <v>7670</v>
      </c>
      <c r="D7" s="59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60">
        <v>2360</v>
      </c>
      <c r="D8" s="61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60">
        <v>4130</v>
      </c>
      <c r="D9" s="61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1700</v>
      </c>
      <c r="C10" s="60">
        <v>2360</v>
      </c>
      <c r="D10" s="61"/>
      <c r="E10" s="13">
        <f t="shared" si="3"/>
        <v>4012000</v>
      </c>
      <c r="F10" s="13">
        <f t="shared" si="4"/>
        <v>612000</v>
      </c>
      <c r="G10" s="13">
        <f>PRODUCT(B10*30)</f>
        <v>51000</v>
      </c>
      <c r="H10" s="14">
        <f t="shared" si="5"/>
        <v>663000</v>
      </c>
    </row>
    <row r="11" spans="1:8">
      <c r="A11" s="10" t="s">
        <v>12</v>
      </c>
      <c r="B11" s="11">
        <v>200</v>
      </c>
      <c r="C11" s="60">
        <v>1534</v>
      </c>
      <c r="D11" s="61"/>
      <c r="E11" s="13">
        <f t="shared" si="3"/>
        <v>306800</v>
      </c>
      <c r="F11" s="13">
        <f t="shared" si="4"/>
        <v>46800</v>
      </c>
      <c r="G11" s="13">
        <f>PRODUCT(B11*20)</f>
        <v>4000</v>
      </c>
      <c r="H11" s="14">
        <f t="shared" si="5"/>
        <v>50800</v>
      </c>
    </row>
    <row r="12" spans="1:8">
      <c r="A12" s="10" t="s">
        <v>13</v>
      </c>
      <c r="B12" s="11"/>
      <c r="C12" s="60">
        <v>1770</v>
      </c>
      <c r="D12" s="61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0">
        <v>2124</v>
      </c>
      <c r="D13" s="61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0">
        <v>2124</v>
      </c>
      <c r="D14" s="61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0"/>
      <c r="B15" s="91"/>
      <c r="C15" s="91"/>
      <c r="D15" s="91"/>
      <c r="E15" s="91"/>
      <c r="F15" s="91"/>
      <c r="G15" s="91"/>
      <c r="H15" s="92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6177300</v>
      </c>
      <c r="F41" s="36">
        <f>SUM(F6:F40)</f>
        <v>942300</v>
      </c>
      <c r="G41" s="36">
        <f>SUM(G6:G40)</f>
        <v>65500</v>
      </c>
      <c r="H41" s="37">
        <f t="shared" si="19"/>
        <v>1007800</v>
      </c>
    </row>
    <row r="42" spans="1:8">
      <c r="A42" s="82" t="s">
        <v>34</v>
      </c>
      <c r="B42" s="83"/>
      <c r="C42" s="38">
        <v>1007800</v>
      </c>
      <c r="D42" s="39"/>
      <c r="E42" s="93" t="s">
        <v>35</v>
      </c>
      <c r="F42" s="93"/>
      <c r="G42" s="93"/>
      <c r="H42" s="93"/>
    </row>
    <row r="43" spans="1:8">
      <c r="A43" s="82" t="s">
        <v>36</v>
      </c>
      <c r="B43" s="83"/>
      <c r="C43" s="40"/>
      <c r="D43" s="38" t="s">
        <v>37</v>
      </c>
      <c r="E43" s="62" t="s">
        <v>38</v>
      </c>
      <c r="F43" s="63"/>
      <c r="G43" s="38" t="s">
        <v>39</v>
      </c>
      <c r="H43" s="41" t="s">
        <v>40</v>
      </c>
    </row>
    <row r="44" spans="1:8">
      <c r="A44" s="82" t="s">
        <v>41</v>
      </c>
      <c r="B44" s="83"/>
      <c r="C44" s="42"/>
      <c r="D44" s="43"/>
      <c r="E44" s="84"/>
      <c r="F44" s="85"/>
      <c r="G44" s="44"/>
      <c r="H44" s="45"/>
    </row>
    <row r="45" spans="1:8">
      <c r="A45" s="86" t="s">
        <v>42</v>
      </c>
      <c r="B45" s="87"/>
      <c r="C45" s="46"/>
      <c r="D45" s="38"/>
      <c r="E45" s="88"/>
      <c r="F45" s="89"/>
      <c r="G45" s="11"/>
      <c r="H45" s="47"/>
    </row>
    <row r="46" spans="1:8">
      <c r="A46" s="64" t="s">
        <v>42</v>
      </c>
      <c r="B46" s="65"/>
      <c r="C46" s="48"/>
      <c r="D46" s="41"/>
      <c r="E46" s="66"/>
      <c r="F46" s="67"/>
      <c r="G46" s="11"/>
      <c r="H46" s="47"/>
    </row>
    <row r="47" spans="1:8">
      <c r="A47" s="64"/>
      <c r="B47" s="65"/>
      <c r="C47" s="48"/>
      <c r="D47" s="49"/>
      <c r="E47" s="66"/>
      <c r="F47" s="67"/>
      <c r="G47" s="11"/>
      <c r="H47" s="47"/>
    </row>
    <row r="48" spans="1:8">
      <c r="A48" s="64" t="s">
        <v>43</v>
      </c>
      <c r="B48" s="65"/>
      <c r="C48" s="50">
        <f>C42+C43+C44+C45+C46</f>
        <v>1007800</v>
      </c>
      <c r="D48" s="51"/>
      <c r="E48" s="68"/>
      <c r="F48" s="69"/>
      <c r="G48" s="52"/>
      <c r="H48" s="53"/>
    </row>
    <row r="50" spans="1:5">
      <c r="B50" s="54" t="s">
        <v>44</v>
      </c>
      <c r="C50" s="54"/>
      <c r="D50" s="54"/>
      <c r="E50" s="54"/>
    </row>
    <row r="51" spans="1:5">
      <c r="B51" s="54" t="s">
        <v>45</v>
      </c>
      <c r="C51" s="54"/>
      <c r="D51" s="54"/>
      <c r="E51" s="54"/>
    </row>
    <row r="52" spans="1:5">
      <c r="B52" s="54"/>
      <c r="C52" s="54"/>
      <c r="D52" s="54"/>
      <c r="E52" s="54"/>
    </row>
    <row r="54" spans="1:5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2026-08-11T17:52:34Z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