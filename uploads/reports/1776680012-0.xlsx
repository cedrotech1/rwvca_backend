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F124C53F-D4F0-4096-A212-084DEAA7F020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D16" i="26" s="1"/>
  <c r="E52" i="24"/>
  <c r="D15" i="26" s="1"/>
  <c r="E51" i="24"/>
  <c r="D14" i="26" s="1"/>
  <c r="E50" i="24"/>
  <c r="D13" i="26" s="1"/>
  <c r="E49" i="24"/>
  <c r="D12" i="26" s="1"/>
  <c r="E48" i="24"/>
  <c r="D11" i="26" s="1"/>
  <c r="E47" i="24"/>
  <c r="D10" i="26" s="1"/>
  <c r="E46" i="24"/>
  <c r="D9" i="26" s="1"/>
  <c r="E45" i="24"/>
  <c r="D8" i="26" s="1"/>
  <c r="E44" i="24"/>
  <c r="D7" i="26" s="1"/>
  <c r="E43" i="24"/>
  <c r="E42" i="24"/>
  <c r="D5" i="26" s="1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G29" i="24" s="1"/>
  <c r="C22" i="1" s="1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G29" i="23" s="1"/>
  <c r="C21" i="1" s="1"/>
  <c r="E8" i="23"/>
  <c r="G7" i="23"/>
  <c r="E7" i="23"/>
  <c r="F7" i="23" s="1"/>
  <c r="H7" i="23" s="1"/>
  <c r="G6" i="23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54" i="22" s="1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G29" i="22" s="1"/>
  <c r="C20" i="1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H22" i="21" s="1"/>
  <c r="G21" i="21"/>
  <c r="E21" i="21"/>
  <c r="F21" i="21" s="1"/>
  <c r="H21" i="21" s="1"/>
  <c r="G20" i="21"/>
  <c r="E20" i="21"/>
  <c r="F20" i="21" s="1"/>
  <c r="H20" i="21" s="1"/>
  <c r="G19" i="21"/>
  <c r="E19" i="21"/>
  <c r="F19" i="21" s="1"/>
  <c r="H19" i="21" s="1"/>
  <c r="G18" i="21"/>
  <c r="E18" i="21"/>
  <c r="F18" i="21" s="1"/>
  <c r="H18" i="21" s="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H7" i="21" s="1"/>
  <c r="G6" i="21"/>
  <c r="G29" i="21" s="1"/>
  <c r="C18" i="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54" i="20" s="1"/>
  <c r="G28" i="20"/>
  <c r="E28" i="20"/>
  <c r="F28" i="20" s="1"/>
  <c r="H28" i="20" s="1"/>
  <c r="G27" i="20"/>
  <c r="E27" i="20"/>
  <c r="F27" i="20" s="1"/>
  <c r="H27" i="20" s="1"/>
  <c r="G26" i="20"/>
  <c r="E26" i="20"/>
  <c r="F26" i="20" s="1"/>
  <c r="H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G17" i="20"/>
  <c r="E17" i="20"/>
  <c r="F17" i="20" s="1"/>
  <c r="H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H11" i="20" s="1"/>
  <c r="G10" i="20"/>
  <c r="E10" i="20"/>
  <c r="F10" i="20" s="1"/>
  <c r="H10" i="20" s="1"/>
  <c r="G9" i="20"/>
  <c r="E9" i="20"/>
  <c r="F9" i="20" s="1"/>
  <c r="H9" i="20" s="1"/>
  <c r="G8" i="20"/>
  <c r="E8" i="20"/>
  <c r="F8" i="20" s="1"/>
  <c r="H8" i="20" s="1"/>
  <c r="G7" i="20"/>
  <c r="E7" i="20"/>
  <c r="F7" i="20" s="1"/>
  <c r="H7" i="20" s="1"/>
  <c r="G6" i="20"/>
  <c r="G29" i="20" s="1"/>
  <c r="C17" i="1" s="1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16" i="1" s="1"/>
  <c r="E6" i="19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G29" i="18" s="1"/>
  <c r="C19" i="1" s="1"/>
  <c r="E11" i="18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G37" i="15" s="1"/>
  <c r="C13" i="1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62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G8" i="14"/>
  <c r="G37" i="14" s="1"/>
  <c r="C12" i="1" s="1"/>
  <c r="E8" i="14"/>
  <c r="F8" i="14" s="1"/>
  <c r="H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G29" i="12" s="1"/>
  <c r="C9" i="1" s="1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54" i="11" s="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G29" i="11" s="1"/>
  <c r="C23" i="1" s="1"/>
  <c r="E19" i="1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54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29" i="10" s="1"/>
  <c r="C10" i="1" s="1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G37" i="8" s="1"/>
  <c r="C7" i="1" s="1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G8" i="6"/>
  <c r="G37" i="6" s="1"/>
  <c r="C5" i="1" s="1"/>
  <c r="E8" i="6"/>
  <c r="F8" i="6" s="1"/>
  <c r="H8" i="6" s="1"/>
  <c r="G7" i="6"/>
  <c r="E7" i="6"/>
  <c r="F7" i="6" s="1"/>
  <c r="H7" i="6" s="1"/>
  <c r="G6" i="6"/>
  <c r="E6" i="6"/>
  <c r="F6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H29" i="1" s="1"/>
  <c r="C34" i="1" s="1"/>
  <c r="C37" i="1" s="1"/>
  <c r="G5" i="1"/>
  <c r="G29" i="1" s="1"/>
  <c r="D6" i="26" l="1"/>
  <c r="G29" i="9"/>
  <c r="C6" i="1" s="1"/>
  <c r="C29" i="1" s="1"/>
  <c r="D4" i="26"/>
  <c r="E54" i="24"/>
  <c r="E29" i="24"/>
  <c r="F6" i="24"/>
  <c r="E29" i="23"/>
  <c r="F8" i="23"/>
  <c r="H8" i="23" s="1"/>
  <c r="H6" i="23"/>
  <c r="F29" i="23"/>
  <c r="E29" i="22"/>
  <c r="F6" i="22"/>
  <c r="E29" i="21"/>
  <c r="F6" i="21"/>
  <c r="E29" i="20"/>
  <c r="F6" i="20"/>
  <c r="E37" i="19"/>
  <c r="F6" i="19"/>
  <c r="E29" i="18"/>
  <c r="F11" i="18"/>
  <c r="H11" i="18" s="1"/>
  <c r="H6" i="18"/>
  <c r="F29" i="18"/>
  <c r="F6" i="17"/>
  <c r="E37" i="17"/>
  <c r="F6" i="16"/>
  <c r="E37" i="16"/>
  <c r="F6" i="15"/>
  <c r="E37" i="15"/>
  <c r="F9" i="14"/>
  <c r="E37" i="14"/>
  <c r="H6" i="14"/>
  <c r="E37" i="13"/>
  <c r="F6" i="13"/>
  <c r="E29" i="12"/>
  <c r="F6" i="12"/>
  <c r="F19" i="11"/>
  <c r="H19" i="11" s="1"/>
  <c r="E29" i="11"/>
  <c r="H6" i="11"/>
  <c r="F29" i="11"/>
  <c r="E29" i="10"/>
  <c r="F6" i="10"/>
  <c r="E29" i="9"/>
  <c r="F12" i="9"/>
  <c r="H12" i="9" s="1"/>
  <c r="H6" i="9"/>
  <c r="F29" i="9"/>
  <c r="E37" i="8"/>
  <c r="F6" i="8"/>
  <c r="E29" i="7"/>
  <c r="F6" i="7"/>
  <c r="E37" i="6"/>
  <c r="F9" i="6"/>
  <c r="H9" i="6" s="1"/>
  <c r="H6" i="6"/>
  <c r="H37" i="6" s="1"/>
  <c r="F37" i="6"/>
  <c r="B5" i="1" s="1"/>
  <c r="D17" i="26" l="1"/>
  <c r="H6" i="24"/>
  <c r="F29" i="24"/>
  <c r="H29" i="23"/>
  <c r="B21" i="1"/>
  <c r="F21" i="1" s="1"/>
  <c r="H6" i="22"/>
  <c r="F29" i="22"/>
  <c r="H6" i="21"/>
  <c r="F29" i="21"/>
  <c r="H6" i="20"/>
  <c r="F29" i="20"/>
  <c r="H6" i="19"/>
  <c r="H37" i="19" s="1"/>
  <c r="F37" i="19"/>
  <c r="B16" i="1" s="1"/>
  <c r="F16" i="1" s="1"/>
  <c r="H29" i="18"/>
  <c r="B19" i="1"/>
  <c r="F19" i="1" s="1"/>
  <c r="H6" i="17"/>
  <c r="H37" i="17" s="1"/>
  <c r="F37" i="17"/>
  <c r="B15" i="1" s="1"/>
  <c r="F15" i="1" s="1"/>
  <c r="H6" i="16"/>
  <c r="H37" i="16" s="1"/>
  <c r="F37" i="16"/>
  <c r="B14" i="1" s="1"/>
  <c r="F14" i="1" s="1"/>
  <c r="F37" i="15"/>
  <c r="B13" i="1" s="1"/>
  <c r="F13" i="1" s="1"/>
  <c r="H6" i="15"/>
  <c r="H37" i="15" s="1"/>
  <c r="H6" i="13"/>
  <c r="H37" i="13" s="1"/>
  <c r="F37" i="13"/>
  <c r="B11" i="1" s="1"/>
  <c r="F11" i="1" s="1"/>
  <c r="H6" i="12"/>
  <c r="F29" i="12"/>
  <c r="H29" i="11"/>
  <c r="B23" i="1"/>
  <c r="F23" i="1" s="1"/>
  <c r="H6" i="10"/>
  <c r="F29" i="10"/>
  <c r="H29" i="9"/>
  <c r="B6" i="1"/>
  <c r="F6" i="1" s="1"/>
  <c r="H6" i="8"/>
  <c r="H37" i="8" s="1"/>
  <c r="F37" i="8"/>
  <c r="B7" i="1" s="1"/>
  <c r="F7" i="1" s="1"/>
  <c r="H6" i="7"/>
  <c r="F29" i="7"/>
  <c r="F5" i="1"/>
  <c r="H9" i="14"/>
  <c r="H37" i="14" s="1"/>
  <c r="F37" i="14"/>
  <c r="B12" i="1" s="1"/>
  <c r="F12" i="1" s="1"/>
  <c r="H29" i="24" l="1"/>
  <c r="B22" i="1"/>
  <c r="F22" i="1" s="1"/>
  <c r="H29" i="22"/>
  <c r="B20" i="1"/>
  <c r="F20" i="1" s="1"/>
  <c r="H29" i="21"/>
  <c r="B18" i="1"/>
  <c r="F18" i="1" s="1"/>
  <c r="H29" i="20"/>
  <c r="B17" i="1"/>
  <c r="F17" i="1" s="1"/>
  <c r="H29" i="12"/>
  <c r="B9" i="1"/>
  <c r="F9" i="1" s="1"/>
  <c r="H29" i="10"/>
  <c r="B10" i="1"/>
  <c r="F10" i="1" s="1"/>
  <c r="H29" i="7"/>
  <c r="B8" i="1"/>
  <c r="B29" i="1" l="1"/>
  <c r="C32" i="1" s="1"/>
  <c r="F8" i="1"/>
  <c r="F29" i="1" s="1"/>
  <c r="C33" i="1" s="1"/>
  <c r="C36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<sst xmlns="http://schemas.openxmlformats.org/spreadsheetml/2006/main" count="1779" uniqueCount="85">
  <si>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</si>
  <si>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</si>
  <si>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</si>
  <si>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</si>
  <si>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</si>
  <si>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</si>
  <si>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</si>
  <si>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</si>
  <si>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</si>
  <si>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</si>
  <si>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</si>
  <si>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</si>
  <si>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</si>
  <si>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</si>
  <si>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</si>
  <si>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</si>
  <si>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</si>
  <si>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</si>
  <si>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</si>
  <si>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</si>
  <si>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</si>
  <si>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</si>
  <si>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</si>
  <si>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</si>
  <si>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</si>
  <si>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</si>
  <si>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</si>
  <si>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</si>
  <si>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</si>
  <si>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</si>
  <si>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</si>
  <si>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</si>
  <si>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</si>
  <si>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</si>
  <si>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</si>
  <si>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</si>
  <si>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</si>
  <si>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</si>
  <si>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</si>
  <si>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</si>
  <si>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</si>
  <si>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</si>
  <si>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</si>
  <si>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</si>
  <si>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</si>
  <si>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</si>
  <si>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</si>
  <si>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</si>
  <si>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</si>
  <si>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</si>
  <si>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</si>
  <si>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</si>
  <si>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</si>
  <si>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</si>
  <si>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</si>
  <si>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</si>
  <si>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</si>
  <si>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</si>
  <si>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</si>
  <si>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</si>
  <si>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</si>
  <si>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</si>
  <si>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</si>
  <si>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</si>
  <si>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</si>
  <si>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</si>
  <si>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</si>
  <si>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</si>
  <si>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</si>
  <si>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</si>
  <si>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</si>
  <si>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</si>
  <si>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</si>
  <si>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</si>
  <si>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</si>
  <si>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</si>
  <si>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</si>
  <si>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</si>
  <si>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</si>
  <si>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</si>
  <si>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</si>
  <si>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</si>
  <si>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</si>
  <si>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</si>
  <si>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 xml:space="preserve">                                                             GAHANGA WEEKLY REPORT FROM 13-19/04/2026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</si>
</sst>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topLeftCell="A7"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2013228</v>
      </c>
      <c r="C6" s="18">
        <f>GAHANGA!G29</f>
        <v>186660</v>
      </c>
      <c r="D6" s="19"/>
      <c r="E6" s="18"/>
      <c r="F6" s="14">
        <f t="shared" si="0"/>
        <v>2199888</v>
      </c>
      <c r="G6" s="18">
        <f>GAHANGA!C33</f>
        <v>0</v>
      </c>
      <c r="H6" s="18">
        <f>GAHANGA!C31</f>
        <v>2005188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9680850</v>
      </c>
      <c r="C29" s="33">
        <f t="shared" si="1"/>
        <v>882360</v>
      </c>
      <c r="D29" s="34">
        <f t="shared" si="1"/>
        <v>0</v>
      </c>
      <c r="E29" s="33">
        <f t="shared" si="1"/>
        <v>0</v>
      </c>
      <c r="F29" s="33">
        <f t="shared" si="1"/>
        <v>10563210</v>
      </c>
      <c r="G29" s="34">
        <f t="shared" si="1"/>
        <v>0</v>
      </c>
      <c r="H29" s="34">
        <f t="shared" si="1"/>
        <v>10368510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10563210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10563210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10368510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10563210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10368510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E31" sqref="E31:F31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6022</v>
      </c>
      <c r="C10" s="144">
        <v>2124</v>
      </c>
      <c r="D10" s="139"/>
      <c r="E10" s="48">
        <f t="shared" si="0"/>
        <v>12790728</v>
      </c>
      <c r="F10" s="48">
        <f t="shared" si="1"/>
        <v>1951128</v>
      </c>
      <c r="G10" s="48">
        <f t="shared" si="4"/>
        <v>180660</v>
      </c>
      <c r="H10" s="49">
        <f t="shared" si="3"/>
        <v>2131788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300</v>
      </c>
      <c r="C13" s="144">
        <v>1357</v>
      </c>
      <c r="D13" s="139"/>
      <c r="E13" s="48">
        <f t="shared" si="0"/>
        <v>407100</v>
      </c>
      <c r="F13" s="48">
        <f t="shared" si="1"/>
        <v>62100</v>
      </c>
      <c r="G13" s="48">
        <f t="shared" ref="G13:G14" si="5">PRODUCT(B13*20)</f>
        <v>6000</v>
      </c>
      <c r="H13" s="49">
        <f t="shared" si="3"/>
        <v>68100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13197828</v>
      </c>
      <c r="F29" s="74">
        <f t="shared" si="10"/>
        <v>2013228</v>
      </c>
      <c r="G29" s="75">
        <f t="shared" si="10"/>
        <v>186660</v>
      </c>
      <c r="H29" s="76">
        <f t="shared" si="9"/>
        <v>2199888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2005188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6022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300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6322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26274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4082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30606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2026-04-20T09:58:32Z</dcterms:modified>
</cp:coreProperties>
</file>