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<sst xmlns="http://schemas.openxmlformats.org/spreadsheetml/2006/main" count="1779" uniqueCount="85">
  <si>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</si>
  <si>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</si>
  <si>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</si>
  <si>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</si>
  <si>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</si>
  <si>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</si>
  <si>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</si>
  <si>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</si>
  <si>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</si>
  <si>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</si>
  <si>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</si>
  <si>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</si>
  <si>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</si>
  <si>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</si>
  <si>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</si>
  <si>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</si>
  <si>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</si>
  <si>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</si>
  <si>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</si>
  <si>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</si>
  <si>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</si>
  <si>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</si>
  <si>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</si>
  <si>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</si>
  <si>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</si>
  <si>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</si>
  <si>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</si>
  <si>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</si>
  <si>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</si>
  <si>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</si>
  <si>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</si>
  <si>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</si>
  <si>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</si>
  <si>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</si>
  <si>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</si>
  <si>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</si>
  <si>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</si>
  <si>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</si>
  <si>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</si>
  <si>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</si>
  <si>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</si>
  <si>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</si>
  <si>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</si>
  <si>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</si>
  <si>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</si>
  <si>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</si>
  <si>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</si>
  <si>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</si>
  <si>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</si>
  <si>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</si>
  <si>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</si>
  <si>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</si>
  <si>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</si>
  <si>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</si>
  <si>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</si>
  <si>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</si>
  <si>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</si>
  <si>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</si>
  <si>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</si>
  <si>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</si>
  <si>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</si>
  <si>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</si>
  <si>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</si>
  <si>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</si>
  <si>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</si>
  <si>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</si>
  <si>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</si>
  <si>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</si>
  <si>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</si>
  <si>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</si>
  <si>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</si>
  <si>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</si>
  <si>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</si>
  <si>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</si>
  <si>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</si>
  <si>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</si>
  <si>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</si>
  <si>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</si>
  <si>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</si>
  <si>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</si>
  <si>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</si>
  <si>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</si>
  <si>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</si>
  <si>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</si>
  <si>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08 JUNE 2026  TO  14 JUNE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</si>
</sst>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138386.44067796611</v>
      </c>
      <c r="C16" s="68">
        <f>KARONGI!G37</f>
        <v>24000</v>
      </c>
      <c r="D16" s="4"/>
      <c r="E16" s="3"/>
      <c r="F16" s="70">
        <f t="shared" si="0"/>
        <v>162386.44067796611</v>
      </c>
      <c r="G16" s="67">
        <f>KARONGI!C41</f>
        <v>0</v>
      </c>
      <c r="H16" s="68">
        <f>KARONGI!C39</f>
        <v>261926.44099999999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7806008.440677966</v>
      </c>
      <c r="C29" s="102">
        <f t="shared" si="1"/>
        <v>719700</v>
      </c>
      <c r="D29" s="103">
        <f t="shared" si="1"/>
        <v>0</v>
      </c>
      <c r="E29" s="102">
        <f t="shared" si="1"/>
        <v>0</v>
      </c>
      <c r="F29" s="102">
        <f>SUM(F5:F28)</f>
        <v>8525708.4406779669</v>
      </c>
      <c r="G29" s="103">
        <f>SUM(G5:G28)</f>
        <v>0</v>
      </c>
      <c r="H29" s="103">
        <f>SUM(H5:H28)</f>
        <v>8625248.4409999996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8525708.4406779669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8525708.4406779669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8625248.4409999996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8525708.4406779669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8625248.4409999996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300</v>
      </c>
      <c r="C7" s="238">
        <v>900</v>
      </c>
      <c r="D7" s="239"/>
      <c r="E7" s="13">
        <f t="shared" si="0"/>
        <v>270000</v>
      </c>
      <c r="F7" s="13">
        <f t="shared" si="1"/>
        <v>41186.4406779661</v>
      </c>
      <c r="G7" s="13">
        <f>PRODUCT(B7*50)</f>
        <v>15000</v>
      </c>
      <c r="H7" s="14">
        <f t="shared" si="2"/>
        <v>56186.4406779661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300</v>
      </c>
      <c r="C10" s="211">
        <v>2124</v>
      </c>
      <c r="D10" s="212"/>
      <c r="E10" s="16">
        <f t="shared" si="0"/>
        <v>637200</v>
      </c>
      <c r="F10" s="16">
        <f t="shared" si="1"/>
        <v>97200</v>
      </c>
      <c r="G10" s="16">
        <f>PRODUCT(B10*30)</f>
        <v>9000</v>
      </c>
      <c r="H10" s="17">
        <f t="shared" si="2"/>
        <v>106200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420</v>
      </c>
      <c r="C21" s="18">
        <v>1357</v>
      </c>
      <c r="D21" s="18">
        <v>30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907200</v>
      </c>
      <c r="F37" s="32">
        <f>SUM(F5:F36)</f>
        <v>138386.44067796611</v>
      </c>
      <c r="G37" s="32">
        <f t="shared" ref="G37:H37" si="3">SUM(G5:G36)</f>
        <v>24000</v>
      </c>
      <c r="H37" s="32">
        <f t="shared" si="3"/>
        <v>162386.44067796611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261926.44099999999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300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300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600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24884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2026-06-15T10:50:59Z</dcterms:modified>
</cp:coreProperties>
</file>