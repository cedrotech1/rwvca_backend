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0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<sst xmlns="http://schemas.openxmlformats.org/spreadsheetml/2006/main" count="1701" uniqueCount="92">
  <si>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</si>
  <si>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</si>
  <si>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</si>
  <si>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</si>
  <si>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</si>
  <si>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</si>
  <si>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</si>
  <si>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</si>
  <si>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</si>
  <si>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</si>
  <si>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</si>
  <si>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</si>
  <si>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</si>
  <si>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</si>
  <si>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</si>
  <si>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</si>
  <si>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</si>
  <si>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</si>
  <si>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</si>
  <si>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</si>
  <si>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</si>
  <si>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</si>
  <si>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</si>
  <si>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</si>
  <si>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</si>
  <si>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</si>
  <si>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</si>
  <si>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</si>
  <si>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</si>
  <si>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</si>
  <si>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</si>
  <si>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</si>
  <si>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</si>
  <si>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</si>
  <si>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</si>
  <si>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</si>
  <si>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</si>
  <si>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</si>
  <si>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</si>
  <si>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</si>
  <si>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</si>
  <si>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</si>
  <si>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</si>
  <si>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</si>
  <si>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</si>
  <si>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</si>
  <si>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</si>
  <si>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</si>
  <si>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</si>
  <si>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</si>
  <si>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</si>
  <si>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</si>
  <si>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</si>
  <si>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</si>
  <si>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</si>
  <si>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</si>
  <si>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</si>
  <si>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</si>
  <si>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</si>
  <si>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</si>
  <si>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</si>
  <si>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</si>
  <si>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</si>
  <si>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</si>
  <si>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</si>
  <si>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</si>
  <si>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</si>
  <si>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</si>
  <si>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</si>
  <si>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</si>
  <si>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</si>
  <si>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</si>
  <si>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</si>
  <si>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</si>
  <si>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</si>
  <si>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</si>
  <si>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</si>
  <si>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</si>
  <si>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</si>
  <si>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</si>
  <si>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</si>
  <si>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</si>
  <si>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</si>
  <si>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</si>
  <si>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</si>
  <si>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</si>
  <si>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</si>
  <si>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</si>
  <si>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`</t>
  </si>
  <si>
    <t>DAILY REPORT ON 31/03/ 2026</t>
  </si>
  <si>
    <t>BIMENYIMANA J BOSCCO</t>
  </si>
  <si>
    <t>0785339335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</si>
</sst>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2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8" fillId="0" borderId="31" xfId="1" quotePrefix="1" applyNumberFormat="1" applyFont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30508.627118644068</v>
      </c>
      <c r="C21" s="48">
        <f>KIREHE!G37</f>
        <v>19900</v>
      </c>
      <c r="D21" s="48">
        <f>KIREHE!C43</f>
        <v>0</v>
      </c>
      <c r="E21" s="48">
        <f>KIREHE!C44</f>
        <v>0</v>
      </c>
      <c r="F21" s="50">
        <f t="shared" si="0"/>
        <v>50408.627118644072</v>
      </c>
      <c r="G21" s="47">
        <f>KIREHE!C41</f>
        <v>0</v>
      </c>
      <c r="H21" s="48">
        <f>KIREHE!C39</f>
        <v>50408.627118644064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30508.627118644068</v>
      </c>
      <c r="C29" s="70">
        <f t="shared" si="1"/>
        <v>19900</v>
      </c>
      <c r="D29" s="71">
        <f t="shared" si="1"/>
        <v>0</v>
      </c>
      <c r="E29" s="70">
        <f t="shared" si="1"/>
        <v>0</v>
      </c>
      <c r="F29" s="70">
        <f>SUM(F5:F28)</f>
        <v>50408.627118644072</v>
      </c>
      <c r="G29" s="71">
        <f>SUM(G5:G28)</f>
        <v>0</v>
      </c>
      <c r="H29" s="71">
        <f>SUM(H5:H28)</f>
        <v>50408.627118644064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50408.627118644072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50408.627118644072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50408.627118644064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50408.627118644064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50408.627118644064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s="89" customFormat="1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9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20.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3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22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22.5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24.5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22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22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22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22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1" workbookViewId="0">
      <selection activeCell="D23" sqref="D2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/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>
        <v>200</v>
      </c>
      <c r="C17" s="26">
        <v>1000</v>
      </c>
      <c r="D17" s="26">
        <v>30</v>
      </c>
      <c r="E17" s="19">
        <f>PRODUCT(B17*C17)</f>
        <v>200000</v>
      </c>
      <c r="F17" s="16">
        <f t="shared" ref="F17:F36" si="3">PRODUCT(E17*18)/118</f>
        <v>30508.474576271186</v>
      </c>
      <c r="G17" s="94">
        <f>PRODUCT(B17*D17)</f>
        <v>6000</v>
      </c>
      <c r="H17" s="102">
        <f>SUM(F17:G17)</f>
        <v>36508.474576271183</v>
      </c>
      <c r="I17" s="214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>
        <v>1</v>
      </c>
      <c r="C22" s="13">
        <v>1</v>
      </c>
      <c r="D22" s="13">
        <v>13900</v>
      </c>
      <c r="E22" s="20">
        <f t="shared" si="4"/>
        <v>1</v>
      </c>
      <c r="F22" s="17">
        <f t="shared" si="3"/>
        <v>0.15254237288135594</v>
      </c>
      <c r="G22" s="95">
        <f t="shared" si="5"/>
        <v>13900</v>
      </c>
      <c r="H22" s="104">
        <f t="shared" si="6"/>
        <v>13900.152542372882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200001</v>
      </c>
      <c r="F37" s="24">
        <f>SUM(F5:F36)</f>
        <v>30508.627118644068</v>
      </c>
      <c r="G37" s="24">
        <f t="shared" ref="G37:H37" si="10">SUM(G5:G36)</f>
        <v>19900</v>
      </c>
      <c r="H37" s="24">
        <f t="shared" si="10"/>
        <v>50408.627118644064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>
        <f>H37</f>
        <v>50408.627118644064</v>
      </c>
      <c r="D39" s="58"/>
      <c r="E39" s="183" t="s">
        <v>90</v>
      </c>
      <c r="F39" s="183"/>
      <c r="G39" s="114" t="s">
        <v>91</v>
      </c>
      <c r="H39" s="108">
        <v>10000</v>
      </c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115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115" t="s">
        <v>88</v>
      </c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6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50408.627118644064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 t="s">
        <v>87</v>
      </c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200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200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200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200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2026-03-31T18:07:06Z</dcterms:modified>
</cp:coreProperties>
</file>