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MY REPORTS\"/>
    </mc:Choice>
  </mc:AlternateContent>
  <workbookProtection workbookPassword="EA6E" lockStructure="1"/>
  <bookViews>
    <workbookView xWindow="0" yWindow="0" windowWidth="19200" windowHeight="60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/>
  <c r="G40" i="1"/>
  <c r="F40" i="1"/>
  <c r="E40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H30" i="1"/>
  <c r="G30" i="1"/>
  <c r="F30" i="1"/>
  <c r="E30" i="1"/>
  <c r="H29" i="1"/>
  <c r="G29" i="1"/>
  <c r="F29" i="1"/>
  <c r="E29" i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G22" i="1"/>
  <c r="F22" i="1"/>
  <c r="E22" i="1"/>
  <c r="H21" i="1"/>
  <c r="G21" i="1"/>
  <c r="F21" i="1"/>
  <c r="E21" i="1"/>
  <c r="H20" i="1"/>
  <c r="G20" i="1"/>
  <c r="F20" i="1"/>
  <c r="E20" i="1"/>
  <c r="H19" i="1"/>
  <c r="G19" i="1"/>
  <c r="F19" i="1"/>
  <c r="E19" i="1"/>
  <c r="H18" i="1"/>
  <c r="G18" i="1"/>
  <c r="F18" i="1"/>
  <c r="E18" i="1"/>
  <c r="H17" i="1"/>
  <c r="G17" i="1"/>
  <c r="F17" i="1"/>
  <c r="E17" i="1"/>
  <c r="H14" i="1"/>
  <c r="G14" i="1"/>
  <c r="F14" i="1"/>
  <c r="E14" i="1"/>
  <c r="H13" i="1"/>
  <c r="G13" i="1"/>
  <c r="F13" i="1"/>
  <c r="E13" i="1"/>
  <c r="H12" i="1"/>
  <c r="G12" i="1"/>
  <c r="F12" i="1"/>
  <c r="E12" i="1"/>
  <c r="G11" i="1"/>
  <c r="E11" i="1"/>
  <c r="E41" i="1" s="1"/>
  <c r="G10" i="1"/>
  <c r="E10" i="1"/>
  <c r="F10" i="1" s="1"/>
  <c r="H9" i="1"/>
  <c r="G9" i="1"/>
  <c r="F9" i="1"/>
  <c r="E9" i="1"/>
  <c r="H8" i="1"/>
  <c r="G8" i="1"/>
  <c r="F8" i="1"/>
  <c r="E8" i="1"/>
  <c r="H7" i="1"/>
  <c r="G7" i="1"/>
  <c r="F7" i="1"/>
  <c r="E7" i="1"/>
  <c r="H6" i="1"/>
  <c r="G6" i="1"/>
  <c r="F6" i="1"/>
  <c r="E6" i="1"/>
  <c r="F11" i="1" l="1"/>
  <c r="H11" i="1" s="1"/>
  <c r="G41" i="1"/>
  <c r="F41" i="1"/>
  <c r="H10" i="1"/>
  <c r="H41" i="1" l="1"/>
</calcChain>
</file>

<file path=xl/sharedStrings.xml><?xml version="1.0" encoding="utf-8"?>
<sst xmlns="http://schemas.openxmlformats.org/spreadsheetml/2006/main" count="66" uniqueCount="36">
  <si>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</si>
  <si>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</si>
  <si>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</si>
  <si>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</si>
  <si>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</si>
  <si>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</si>
  <si>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</si>
  <si>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</si>
  <si>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</si>
  <si>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</si>
  <si>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</si>
  <si>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</si>
  <si>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</si>
  <si>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</si>
  <si>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</si>
  <si>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</si>
  <si>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</si>
  <si>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</si>
  <si>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</si>
  <si>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</si>
  <si>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</si>
  <si>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</si>
  <si>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</si>
  <si>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</si>
  <si>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</si>
  <si>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</si>
  <si>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</si>
  <si>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</si>
  <si>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</si>
  <si>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</si>
  <si>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</si>
  <si>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</si>
  <si>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</si>
  <si>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ICPCs Musanze</t>
  </si>
  <si>
    <t xml:space="preserve"> Daily report on 20/03/2026</t>
  </si>
  <si>
    <t>MICHELLINE NIYONZIMA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</si>
</sst>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_(* #,##0.00_);_(* \(#,##0.00\);_(* &quot;-&quot;??_);_(@_)"/>
    <numFmt numFmtId="168" formatCode="_(* #,##0_);_(* \(#,##0\);_(* &quot;-&quot;??_);_(@_)"/>
  </numFmts>
  <fonts count="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165" fontId="1" fillId="0" borderId="0">
      <protection locked="0"/>
    </xf>
  </cellStyleXfs>
  <cellXfs count="89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68" fontId="4" fillId="0" borderId="9" xfId="1" applyNumberFormat="1" applyFont="1" applyBorder="1">
      <protection locked="0"/>
    </xf>
    <xf numFmtId="168" fontId="4" fillId="0" borderId="12" xfId="1" applyNumberFormat="1" applyFont="1" applyBorder="1">
      <protection locked="0"/>
    </xf>
    <xf numFmtId="168" fontId="4" fillId="0" borderId="11" xfId="1" applyNumberFormat="1" applyFont="1" applyBorder="1">
      <protection locked="0"/>
    </xf>
    <xf numFmtId="168" fontId="4" fillId="0" borderId="13" xfId="1" applyNumberFormat="1" applyFont="1" applyBorder="1">
      <protection locked="0"/>
    </xf>
    <xf numFmtId="168" fontId="1" fillId="0" borderId="14" xfId="1" applyNumberFormat="1" applyFont="1" applyBorder="1">
      <protection locked="0"/>
    </xf>
    <xf numFmtId="168" fontId="1" fillId="0" borderId="14" xfId="1" applyNumberFormat="1" applyFont="1" applyBorder="1" applyAlignment="1">
      <alignment horizontal="center"/>
      <protection locked="0"/>
    </xf>
    <xf numFmtId="168" fontId="4" fillId="0" borderId="16" xfId="1" applyNumberFormat="1" applyFont="1" applyBorder="1" applyProtection="1">
      <protection hidden="1"/>
    </xf>
    <xf numFmtId="168" fontId="4" fillId="0" borderId="17" xfId="1" applyNumberFormat="1" applyFont="1" applyBorder="1" applyProtection="1">
      <protection hidden="1"/>
    </xf>
    <xf numFmtId="168" fontId="4" fillId="0" borderId="18" xfId="1" applyNumberFormat="1" applyFont="1" applyBorder="1">
      <protection locked="0"/>
    </xf>
    <xf numFmtId="168" fontId="1" fillId="0" borderId="19" xfId="1" applyNumberFormat="1" applyFont="1" applyBorder="1">
      <protection locked="0"/>
    </xf>
    <xf numFmtId="168" fontId="1" fillId="0" borderId="19" xfId="1" applyNumberFormat="1" applyFont="1" applyBorder="1" applyAlignment="1">
      <alignment horizontal="center"/>
      <protection locked="0"/>
    </xf>
    <xf numFmtId="168" fontId="4" fillId="0" borderId="21" xfId="1" applyNumberFormat="1" applyFont="1" applyBorder="1" applyProtection="1">
      <protection hidden="1"/>
    </xf>
    <xf numFmtId="168" fontId="4" fillId="0" borderId="22" xfId="1" applyNumberFormat="1" applyFont="1" applyBorder="1" applyProtection="1">
      <protection hidden="1"/>
    </xf>
    <xf numFmtId="168" fontId="1" fillId="0" borderId="18" xfId="1" applyNumberFormat="1" applyFont="1" applyBorder="1">
      <protection locked="0"/>
    </xf>
    <xf numFmtId="168" fontId="4" fillId="0" borderId="9" xfId="1" applyNumberFormat="1" applyFont="1" applyBorder="1" applyAlignment="1">
      <alignment horizontal="center"/>
      <protection locked="0"/>
    </xf>
    <xf numFmtId="168" fontId="4" fillId="0" borderId="9" xfId="1" applyNumberFormat="1" applyFont="1" applyBorder="1" applyProtection="1">
      <protection hidden="1"/>
    </xf>
    <xf numFmtId="168" fontId="4" fillId="0" borderId="11" xfId="1" applyNumberFormat="1" applyFont="1" applyBorder="1" applyProtection="1">
      <protection hidden="1"/>
    </xf>
    <xf numFmtId="168" fontId="4" fillId="0" borderId="13" xfId="1" applyNumberFormat="1" applyFont="1" applyBorder="1" applyAlignment="1">
      <alignment horizontal="left"/>
      <protection locked="0"/>
    </xf>
    <xf numFmtId="168" fontId="1" fillId="0" borderId="16" xfId="1" applyNumberFormat="1" applyFont="1" applyBorder="1" applyAlignment="1">
      <alignment horizontal="center"/>
      <protection locked="0"/>
    </xf>
    <xf numFmtId="168" fontId="4" fillId="0" borderId="18" xfId="1" applyNumberFormat="1" applyFont="1" applyBorder="1" applyAlignment="1">
      <alignment horizontal="left"/>
      <protection locked="0"/>
    </xf>
    <xf numFmtId="168" fontId="1" fillId="0" borderId="21" xfId="1" applyNumberFormat="1" applyFont="1" applyBorder="1" applyAlignment="1">
      <alignment horizontal="center"/>
      <protection locked="0"/>
    </xf>
    <xf numFmtId="168" fontId="1" fillId="0" borderId="21" xfId="1" applyNumberFormat="1" applyFont="1" applyBorder="1">
      <protection locked="0"/>
    </xf>
    <xf numFmtId="168" fontId="4" fillId="0" borderId="23" xfId="1" applyNumberFormat="1" applyFont="1" applyBorder="1">
      <protection locked="0"/>
    </xf>
    <xf numFmtId="168" fontId="1" fillId="0" borderId="24" xfId="1" applyNumberFormat="1" applyFont="1" applyBorder="1">
      <protection locked="0"/>
    </xf>
    <xf numFmtId="168" fontId="1" fillId="0" borderId="25" xfId="1" applyNumberFormat="1" applyFont="1" applyBorder="1">
      <protection locked="0"/>
    </xf>
    <xf numFmtId="168" fontId="4" fillId="0" borderId="25" xfId="1" applyNumberFormat="1" applyFont="1" applyBorder="1" applyProtection="1">
      <protection hidden="1"/>
    </xf>
    <xf numFmtId="168" fontId="4" fillId="0" borderId="26" xfId="1" applyNumberFormat="1" applyFont="1" applyBorder="1" applyProtection="1">
      <protection hidden="1"/>
    </xf>
    <xf numFmtId="168" fontId="4" fillId="2" borderId="27" xfId="1" applyNumberFormat="1" applyFont="1" applyFill="1" applyBorder="1" applyAlignment="1">
      <alignment vertical="center"/>
      <protection locked="0"/>
    </xf>
    <xf numFmtId="168" fontId="1" fillId="2" borderId="28" xfId="1" applyNumberFormat="1" applyFont="1" applyFill="1" applyBorder="1">
      <protection locked="0"/>
    </xf>
    <xf numFmtId="168" fontId="1" fillId="2" borderId="29" xfId="1" applyNumberFormat="1" applyFont="1" applyFill="1" applyBorder="1">
      <protection locked="0"/>
    </xf>
    <xf numFmtId="168" fontId="4" fillId="2" borderId="29" xfId="1" applyNumberFormat="1" applyFont="1" applyFill="1" applyBorder="1" applyProtection="1">
      <protection hidden="1"/>
    </xf>
    <xf numFmtId="168" fontId="4" fillId="2" borderId="30" xfId="1" applyNumberFormat="1" applyFont="1" applyFill="1" applyBorder="1" applyProtection="1">
      <protection hidden="1"/>
    </xf>
    <xf numFmtId="168" fontId="1" fillId="0" borderId="9" xfId="1" applyNumberFormat="1" applyFont="1" applyBorder="1">
      <protection locked="0"/>
    </xf>
    <xf numFmtId="168" fontId="1" fillId="0" borderId="2" xfId="1" applyNumberFormat="1" applyFont="1" applyBorder="1">
      <protection locked="0"/>
    </xf>
    <xf numFmtId="168" fontId="1" fillId="0" borderId="7" xfId="1" applyNumberFormat="1" applyFont="1" applyBorder="1">
      <protection locked="0"/>
    </xf>
    <xf numFmtId="168" fontId="1" fillId="0" borderId="11" xfId="1" applyNumberFormat="1" applyFont="1" applyBorder="1">
      <protection locked="0"/>
    </xf>
    <xf numFmtId="168" fontId="1" fillId="0" borderId="10" xfId="1" applyNumberFormat="1" applyFont="1" applyBorder="1">
      <protection locked="0"/>
    </xf>
    <xf numFmtId="168" fontId="1" fillId="0" borderId="34" xfId="1" applyNumberFormat="1" applyFont="1" applyBorder="1">
      <protection locked="0"/>
    </xf>
    <xf numFmtId="168" fontId="1" fillId="0" borderId="35" xfId="1" applyNumberFormat="1" applyFont="1" applyBorder="1">
      <protection locked="0"/>
    </xf>
    <xf numFmtId="168" fontId="1" fillId="0" borderId="37" xfId="1" applyNumberFormat="1" applyFont="1" applyBorder="1">
      <protection locked="0"/>
    </xf>
    <xf numFmtId="168" fontId="1" fillId="0" borderId="1" xfId="1" applyNumberFormat="1" applyFont="1" applyBorder="1">
      <protection locked="0"/>
    </xf>
    <xf numFmtId="168" fontId="1" fillId="0" borderId="22" xfId="1" applyNumberFormat="1" applyFont="1" applyBorder="1">
      <protection locked="0"/>
    </xf>
    <xf numFmtId="0" fontId="1" fillId="0" borderId="11" xfId="0" applyFont="1" applyBorder="1" applyAlignment="1" applyProtection="1">
      <protection locked="0"/>
    </xf>
    <xf numFmtId="168" fontId="1" fillId="0" borderId="39" xfId="1" applyNumberFormat="1" applyFont="1" applyBorder="1">
      <protection locked="0"/>
    </xf>
    <xf numFmtId="168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  <xf numFmtId="168" fontId="1" fillId="0" borderId="0" xfId="1" applyNumberFormat="1" applyFont="1">
      <protection locked="0"/>
    </xf>
    <xf numFmtId="168" fontId="4" fillId="0" borderId="10" xfId="1" applyNumberFormat="1" applyFont="1" applyBorder="1" applyAlignment="1">
      <alignment horizontal="center"/>
      <protection locked="0"/>
    </xf>
    <xf numFmtId="168" fontId="4" fillId="0" borderId="11" xfId="1" applyNumberFormat="1" applyFont="1" applyBorder="1" applyAlignment="1">
      <alignment horizontal="center"/>
      <protection locked="0"/>
    </xf>
    <xf numFmtId="168" fontId="1" fillId="0" borderId="15" xfId="1" applyNumberFormat="1" applyFont="1" applyBorder="1" applyAlignment="1">
      <alignment horizontal="center"/>
      <protection locked="0"/>
    </xf>
    <xf numFmtId="168" fontId="1" fillId="0" borderId="14" xfId="1" applyNumberFormat="1" applyFont="1" applyBorder="1" applyAlignment="1">
      <alignment horizontal="center"/>
      <protection locked="0"/>
    </xf>
    <xf numFmtId="168" fontId="1" fillId="0" borderId="20" xfId="1" applyNumberFormat="1" applyFont="1" applyBorder="1" applyAlignment="1">
      <alignment horizontal="center"/>
      <protection locked="0"/>
    </xf>
    <xf numFmtId="168" fontId="1" fillId="0" borderId="19" xfId="1" applyNumberFormat="1" applyFont="1" applyBorder="1" applyAlignment="1">
      <alignment horizontal="center"/>
      <protection locked="0"/>
    </xf>
    <xf numFmtId="168" fontId="5" fillId="0" borderId="10" xfId="1" applyNumberFormat="1" applyFont="1" applyBorder="1" applyAlignment="1">
      <alignment horizontal="center"/>
      <protection locked="0"/>
    </xf>
    <xf numFmtId="168" fontId="5" fillId="0" borderId="12" xfId="1" applyNumberFormat="1" applyFont="1" applyBorder="1" applyAlignment="1">
      <alignment horizontal="center"/>
      <protection locked="0"/>
    </xf>
    <xf numFmtId="168" fontId="5" fillId="0" borderId="11" xfId="1" applyNumberFormat="1" applyFont="1" applyBorder="1" applyAlignment="1">
      <alignment horizontal="center"/>
      <protection locked="0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68" fontId="4" fillId="0" borderId="31" xfId="1" applyNumberFormat="1" applyFont="1" applyBorder="1" applyAlignment="1">
      <alignment horizontal="center"/>
      <protection locked="0"/>
    </xf>
    <xf numFmtId="168" fontId="1" fillId="0" borderId="32" xfId="1" applyNumberFormat="1" applyFont="1" applyBorder="1" applyAlignment="1">
      <alignment horizontal="center"/>
      <protection locked="0"/>
    </xf>
    <xf numFmtId="168" fontId="1" fillId="0" borderId="33" xfId="1" applyNumberFormat="1" applyFont="1" applyBorder="1" applyAlignment="1">
      <alignment horizontal="center"/>
      <protection locked="0"/>
    </xf>
    <xf numFmtId="168" fontId="1" fillId="0" borderId="35" xfId="1" applyNumberFormat="1" applyFont="1" applyBorder="1" applyAlignment="1">
      <alignment horizontal="left"/>
      <protection locked="0"/>
    </xf>
    <xf numFmtId="168" fontId="1" fillId="0" borderId="36" xfId="1" applyNumberFormat="1" applyFont="1" applyBorder="1" applyAlignment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68" fontId="1" fillId="0" borderId="19" xfId="1" applyNumberFormat="1" applyFont="1" applyBorder="1" applyAlignment="1">
      <alignment horizontal="left"/>
      <protection locked="0"/>
    </xf>
    <xf numFmtId="168" fontId="1" fillId="0" borderId="21" xfId="1" applyNumberFormat="1" applyFont="1" applyBorder="1" applyAlignment="1">
      <alignment horizontal="left"/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168" fontId="2" fillId="0" borderId="1" xfId="1" applyNumberFormat="1" applyFont="1" applyBorder="1" applyAlignment="1">
      <alignment horizontal="center"/>
      <protection locked="0"/>
    </xf>
    <xf numFmtId="168" fontId="2" fillId="0" borderId="2" xfId="1" applyNumberFormat="1" applyFont="1" applyBorder="1" applyAlignment="1">
      <alignment horizontal="center"/>
      <protection locked="0"/>
    </xf>
    <xf numFmtId="168" fontId="2" fillId="0" borderId="3" xfId="1" applyNumberFormat="1" applyFont="1" applyBorder="1" applyAlignment="1">
      <alignment horizontal="center"/>
      <protection locked="0"/>
    </xf>
    <xf numFmtId="168" fontId="2" fillId="0" borderId="4" xfId="1" applyNumberFormat="1" applyFont="1" applyBorder="1" applyAlignment="1">
      <alignment horizontal="center"/>
      <protection locked="0"/>
    </xf>
    <xf numFmtId="168" fontId="2" fillId="0" borderId="5" xfId="1" applyNumberFormat="1" applyFont="1" applyBorder="1" applyAlignment="1">
      <alignment horizontal="center"/>
      <protection locked="0"/>
    </xf>
    <xf numFmtId="168" fontId="2" fillId="0" borderId="6" xfId="1" applyNumberFormat="1" applyFont="1" applyBorder="1" applyAlignment="1">
      <alignment horizontal="center"/>
      <protection locked="0"/>
    </xf>
    <xf numFmtId="168" fontId="3" fillId="0" borderId="7" xfId="1" applyNumberFormat="1" applyFont="1" applyBorder="1" applyAlignment="1">
      <alignment horizontal="center"/>
      <protection locked="0"/>
    </xf>
    <xf numFmtId="168" fontId="3" fillId="0" borderId="0" xfId="1" applyNumberFormat="1" applyFont="1" applyAlignment="1">
      <alignment horizontal="center"/>
      <protection locked="0"/>
    </xf>
    <xf numFmtId="168" fontId="3" fillId="0" borderId="8" xfId="1" applyNumberFormat="1" applyFont="1" applyBorder="1" applyAlignment="1">
      <alignment horizontal="center"/>
      <protection locked="0"/>
    </xf>
    <xf numFmtId="168" fontId="3" fillId="0" borderId="4" xfId="1" applyNumberFormat="1" applyFont="1" applyBorder="1" applyAlignment="1">
      <alignment horizontal="center"/>
      <protection locked="0"/>
    </xf>
    <xf numFmtId="168" fontId="3" fillId="0" borderId="5" xfId="1" applyNumberFormat="1" applyFont="1" applyBorder="1" applyAlignment="1">
      <alignment horizontal="center"/>
      <protection locked="0"/>
    </xf>
    <xf numFmtId="168" fontId="3" fillId="0" borderId="6" xfId="1" applyNumberFormat="1" applyFont="1" applyBorder="1" applyAlignment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workbookViewId="0">
      <selection activeCell="A56" sqref="A56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16384" width="8.81640625" style="1"/>
  </cols>
  <sheetData>
    <row r="1" spans="1:8" ht="10.15" customHeight="1">
      <c r="A1" s="77" t="s">
        <v>33</v>
      </c>
      <c r="B1" s="78"/>
      <c r="C1" s="78"/>
      <c r="D1" s="78"/>
      <c r="E1" s="78"/>
      <c r="F1" s="78"/>
      <c r="G1" s="78"/>
      <c r="H1" s="79"/>
    </row>
    <row r="2" spans="1:8" ht="12.65" customHeight="1">
      <c r="A2" s="80"/>
      <c r="B2" s="81"/>
      <c r="C2" s="81"/>
      <c r="D2" s="81"/>
      <c r="E2" s="81"/>
      <c r="F2" s="81"/>
      <c r="G2" s="81"/>
      <c r="H2" s="82"/>
    </row>
    <row r="3" spans="1:8" ht="13.15" customHeight="1">
      <c r="A3" s="83" t="s">
        <v>34</v>
      </c>
      <c r="B3" s="84"/>
      <c r="C3" s="84"/>
      <c r="D3" s="84"/>
      <c r="E3" s="84"/>
      <c r="F3" s="84"/>
      <c r="G3" s="84"/>
      <c r="H3" s="85"/>
    </row>
    <row r="4" spans="1:8">
      <c r="A4" s="86"/>
      <c r="B4" s="87"/>
      <c r="C4" s="87"/>
      <c r="D4" s="87"/>
      <c r="E4" s="87"/>
      <c r="F4" s="87"/>
      <c r="G4" s="87"/>
      <c r="H4" s="88"/>
    </row>
    <row r="5" spans="1:8">
      <c r="A5" s="2" t="s">
        <v>0</v>
      </c>
      <c r="B5" s="2" t="s">
        <v>1</v>
      </c>
      <c r="C5" s="51" t="s">
        <v>2</v>
      </c>
      <c r="D5" s="52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/>
      <c r="C6" s="53">
        <v>9440</v>
      </c>
      <c r="D6" s="54"/>
      <c r="E6" s="8">
        <f t="shared" ref="E6" si="0">PRODUCT(B6*C6)</f>
        <v>0</v>
      </c>
      <c r="F6" s="8">
        <f t="shared" ref="F6" si="1">PRODUCT(E6*18)/118</f>
        <v>0</v>
      </c>
      <c r="G6" s="8">
        <f>PRODUCT(B6*50)</f>
        <v>0</v>
      </c>
      <c r="H6" s="9">
        <f t="shared" ref="H6" si="2">SUM(F6:G6)</f>
        <v>0</v>
      </c>
    </row>
    <row r="7" spans="1:8">
      <c r="A7" s="5" t="s">
        <v>8</v>
      </c>
      <c r="B7" s="6"/>
      <c r="C7" s="53">
        <v>7670</v>
      </c>
      <c r="D7" s="54"/>
      <c r="E7" s="8">
        <f t="shared" ref="E7:E14" si="3">PRODUCT(B7*C7)</f>
        <v>0</v>
      </c>
      <c r="F7" s="8">
        <f t="shared" ref="F7:F40" si="4">PRODUCT(E7*18)/118</f>
        <v>0</v>
      </c>
      <c r="G7" s="8">
        <f>PRODUCT(B7*50)</f>
        <v>0</v>
      </c>
      <c r="H7" s="9">
        <f t="shared" ref="H7:H14" si="5">SUM(F7:G7)</f>
        <v>0</v>
      </c>
    </row>
    <row r="8" spans="1:8">
      <c r="A8" s="10" t="s">
        <v>9</v>
      </c>
      <c r="B8" s="11"/>
      <c r="C8" s="55">
        <v>2000</v>
      </c>
      <c r="D8" s="56"/>
      <c r="E8" s="13">
        <f t="shared" si="3"/>
        <v>0</v>
      </c>
      <c r="F8" s="13">
        <f t="shared" si="4"/>
        <v>0</v>
      </c>
      <c r="G8" s="13">
        <f>PRODUCT(B8*50)</f>
        <v>0</v>
      </c>
      <c r="H8" s="14">
        <f t="shared" si="5"/>
        <v>0</v>
      </c>
    </row>
    <row r="9" spans="1:8">
      <c r="A9" s="10" t="s">
        <v>10</v>
      </c>
      <c r="B9" s="11"/>
      <c r="C9" s="55">
        <v>4130</v>
      </c>
      <c r="D9" s="56"/>
      <c r="E9" s="13">
        <f t="shared" si="3"/>
        <v>0</v>
      </c>
      <c r="F9" s="13">
        <f t="shared" si="4"/>
        <v>0</v>
      </c>
      <c r="G9" s="13">
        <f>PRODUCT(B9*30)</f>
        <v>0</v>
      </c>
      <c r="H9" s="14">
        <f t="shared" si="5"/>
        <v>0</v>
      </c>
    </row>
    <row r="10" spans="1:8">
      <c r="A10" s="10" t="s">
        <v>11</v>
      </c>
      <c r="B10" s="11">
        <v>270</v>
      </c>
      <c r="C10" s="55">
        <v>2124</v>
      </c>
      <c r="D10" s="56"/>
      <c r="E10" s="13">
        <f t="shared" si="3"/>
        <v>573480</v>
      </c>
      <c r="F10" s="13">
        <f t="shared" si="4"/>
        <v>87480</v>
      </c>
      <c r="G10" s="13">
        <f>PRODUCT(B10*30)</f>
        <v>8100</v>
      </c>
      <c r="H10" s="14">
        <f t="shared" si="5"/>
        <v>95580</v>
      </c>
    </row>
    <row r="11" spans="1:8">
      <c r="A11" s="10" t="s">
        <v>12</v>
      </c>
      <c r="B11" s="11">
        <v>50</v>
      </c>
      <c r="C11" s="55">
        <v>1180</v>
      </c>
      <c r="D11" s="56"/>
      <c r="E11" s="13">
        <f t="shared" si="3"/>
        <v>59000</v>
      </c>
      <c r="F11" s="13">
        <f t="shared" si="4"/>
        <v>9000</v>
      </c>
      <c r="G11" s="13">
        <f>PRODUCT(B11*20)</f>
        <v>1000</v>
      </c>
      <c r="H11" s="14">
        <f t="shared" si="5"/>
        <v>10000</v>
      </c>
    </row>
    <row r="12" spans="1:8">
      <c r="A12" s="10" t="s">
        <v>12</v>
      </c>
      <c r="B12" s="11"/>
      <c r="C12" s="55">
        <v>1357</v>
      </c>
      <c r="D12" s="56"/>
      <c r="E12" s="13">
        <f t="shared" si="3"/>
        <v>0</v>
      </c>
      <c r="F12" s="13">
        <f t="shared" si="4"/>
        <v>0</v>
      </c>
      <c r="G12" s="13">
        <f>PRODUCT(B12*20)</f>
        <v>0</v>
      </c>
      <c r="H12" s="14">
        <f t="shared" si="5"/>
        <v>0</v>
      </c>
    </row>
    <row r="13" spans="1:8">
      <c r="A13" s="10" t="s">
        <v>13</v>
      </c>
      <c r="B13" s="11"/>
      <c r="C13" s="55">
        <v>2124</v>
      </c>
      <c r="D13" s="56"/>
      <c r="E13" s="13">
        <f t="shared" si="3"/>
        <v>0</v>
      </c>
      <c r="F13" s="13">
        <f t="shared" si="4"/>
        <v>0</v>
      </c>
      <c r="G13" s="13">
        <f>PRODUCT(B13*30)</f>
        <v>0</v>
      </c>
      <c r="H13" s="14">
        <f t="shared" si="5"/>
        <v>0</v>
      </c>
    </row>
    <row r="14" spans="1:8">
      <c r="A14" s="15" t="s">
        <v>13</v>
      </c>
      <c r="B14" s="11"/>
      <c r="C14" s="55">
        <v>2124</v>
      </c>
      <c r="D14" s="56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57" t="s">
        <v>14</v>
      </c>
      <c r="B15" s="58"/>
      <c r="C15" s="58"/>
      <c r="D15" s="58"/>
      <c r="E15" s="58"/>
      <c r="F15" s="58"/>
      <c r="G15" s="58"/>
      <c r="H15" s="59"/>
    </row>
    <row r="16" spans="1:8">
      <c r="A16" s="16" t="s">
        <v>0</v>
      </c>
      <c r="B16" s="16" t="s">
        <v>1</v>
      </c>
      <c r="C16" s="16" t="s">
        <v>15</v>
      </c>
      <c r="D16" s="16" t="s">
        <v>5</v>
      </c>
      <c r="E16" s="17" t="s">
        <v>3</v>
      </c>
      <c r="F16" s="17" t="s">
        <v>16</v>
      </c>
      <c r="G16" s="17" t="s">
        <v>5</v>
      </c>
      <c r="H16" s="18" t="s">
        <v>17</v>
      </c>
    </row>
    <row r="17" spans="1:9">
      <c r="A17" s="19" t="s">
        <v>18</v>
      </c>
      <c r="B17" s="7"/>
      <c r="C17" s="20"/>
      <c r="D17" s="20"/>
      <c r="E17" s="8">
        <f>PRODUCT(B17*C17)</f>
        <v>0</v>
      </c>
      <c r="F17" s="8">
        <f t="shared" ref="F17:F22" si="6">PRODUCT(E17*18)/118</f>
        <v>0</v>
      </c>
      <c r="G17" s="8">
        <f>PRODUCT(B17*D17)</f>
        <v>0</v>
      </c>
      <c r="H17" s="9">
        <f>SUM(F17:G17)</f>
        <v>0</v>
      </c>
    </row>
    <row r="18" spans="1:9">
      <c r="A18" s="21" t="s">
        <v>18</v>
      </c>
      <c r="B18" s="12"/>
      <c r="C18" s="22"/>
      <c r="D18" s="22"/>
      <c r="E18" s="13">
        <f t="shared" ref="E18:E23" si="7">PRODUCT(B18*C18)</f>
        <v>0</v>
      </c>
      <c r="F18" s="13">
        <f t="shared" si="6"/>
        <v>0</v>
      </c>
      <c r="G18" s="13">
        <f t="shared" ref="G18:G23" si="8">PRODUCT(B18*D18)</f>
        <v>0</v>
      </c>
      <c r="H18" s="14">
        <f t="shared" ref="H18:H23" si="9">SUM(F18:G18)</f>
        <v>0</v>
      </c>
    </row>
    <row r="19" spans="1:9">
      <c r="A19" s="10" t="s">
        <v>18</v>
      </c>
      <c r="B19" s="11"/>
      <c r="C19" s="23"/>
      <c r="D19" s="23"/>
      <c r="E19" s="13">
        <f t="shared" si="7"/>
        <v>0</v>
      </c>
      <c r="F19" s="13">
        <f t="shared" si="6"/>
        <v>0</v>
      </c>
      <c r="G19" s="13">
        <f t="shared" si="8"/>
        <v>0</v>
      </c>
      <c r="H19" s="14">
        <f t="shared" si="9"/>
        <v>0</v>
      </c>
    </row>
    <row r="20" spans="1:9">
      <c r="A20" s="10" t="s">
        <v>18</v>
      </c>
      <c r="B20" s="11"/>
      <c r="C20" s="23"/>
      <c r="D20" s="23"/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18</v>
      </c>
      <c r="B21" s="11"/>
      <c r="C21" s="23"/>
      <c r="D21" s="23"/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4" t="s">
        <v>18</v>
      </c>
      <c r="B22" s="25"/>
      <c r="C22" s="26"/>
      <c r="D22" s="26"/>
      <c r="E22" s="27">
        <f t="shared" si="7"/>
        <v>0</v>
      </c>
      <c r="F22" s="27">
        <f t="shared" si="6"/>
        <v>0</v>
      </c>
      <c r="G22" s="27">
        <f t="shared" si="8"/>
        <v>0</v>
      </c>
      <c r="H22" s="28">
        <f t="shared" si="9"/>
        <v>0</v>
      </c>
    </row>
    <row r="23" spans="1:9">
      <c r="A23" s="19" t="s">
        <v>18</v>
      </c>
      <c r="B23" s="7"/>
      <c r="C23" s="20"/>
      <c r="D23" s="20"/>
      <c r="E23" s="8">
        <f t="shared" si="7"/>
        <v>0</v>
      </c>
      <c r="F23" s="8">
        <f t="shared" ref="F23:F34" si="10">PRODUCT(E23*18)/118</f>
        <v>0</v>
      </c>
      <c r="G23" s="8">
        <f t="shared" si="8"/>
        <v>0</v>
      </c>
      <c r="H23" s="9">
        <f t="shared" si="9"/>
        <v>0</v>
      </c>
    </row>
    <row r="24" spans="1:9">
      <c r="A24" s="21" t="s">
        <v>18</v>
      </c>
      <c r="B24" s="12"/>
      <c r="C24" s="22"/>
      <c r="D24" s="22"/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0"/>
    </row>
    <row r="25" spans="1:9">
      <c r="A25" s="10" t="s">
        <v>18</v>
      </c>
      <c r="B25" s="11"/>
      <c r="C25" s="23"/>
      <c r="D25" s="23"/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0"/>
    </row>
    <row r="26" spans="1:9">
      <c r="A26" s="10" t="s">
        <v>18</v>
      </c>
      <c r="B26" s="11"/>
      <c r="C26" s="23"/>
      <c r="D26" s="23"/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0"/>
    </row>
    <row r="27" spans="1:9">
      <c r="A27" s="10" t="s">
        <v>18</v>
      </c>
      <c r="B27" s="11"/>
      <c r="C27" s="23"/>
      <c r="D27" s="23"/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0"/>
    </row>
    <row r="28" spans="1:9">
      <c r="A28" s="24" t="s">
        <v>18</v>
      </c>
      <c r="B28" s="25"/>
      <c r="C28" s="26"/>
      <c r="D28" s="26"/>
      <c r="E28" s="27">
        <f t="shared" si="11"/>
        <v>0</v>
      </c>
      <c r="F28" s="27">
        <f t="shared" si="10"/>
        <v>0</v>
      </c>
      <c r="G28" s="27">
        <f t="shared" si="12"/>
        <v>0</v>
      </c>
      <c r="H28" s="28">
        <f t="shared" si="13"/>
        <v>0</v>
      </c>
      <c r="I28" s="50"/>
    </row>
    <row r="29" spans="1:9">
      <c r="A29" s="19" t="s">
        <v>18</v>
      </c>
      <c r="B29" s="7"/>
      <c r="C29" s="20"/>
      <c r="D29" s="20"/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0"/>
    </row>
    <row r="30" spans="1:9">
      <c r="A30" s="21" t="s">
        <v>18</v>
      </c>
      <c r="B30" s="12"/>
      <c r="C30" s="22"/>
      <c r="D30" s="22"/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18</v>
      </c>
      <c r="B31" s="11"/>
      <c r="C31" s="23"/>
      <c r="D31" s="23"/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18</v>
      </c>
      <c r="B32" s="11"/>
      <c r="C32" s="23"/>
      <c r="D32" s="23"/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8">
      <c r="A33" s="10" t="s">
        <v>18</v>
      </c>
      <c r="B33" s="11"/>
      <c r="C33" s="23"/>
      <c r="D33" s="23"/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4" t="s">
        <v>18</v>
      </c>
      <c r="B34" s="25"/>
      <c r="C34" s="26"/>
      <c r="D34" s="26"/>
      <c r="E34" s="27">
        <f t="shared" si="14"/>
        <v>0</v>
      </c>
      <c r="F34" s="27">
        <f t="shared" si="10"/>
        <v>0</v>
      </c>
      <c r="G34" s="27">
        <f t="shared" si="15"/>
        <v>0</v>
      </c>
      <c r="H34" s="28">
        <f t="shared" si="16"/>
        <v>0</v>
      </c>
    </row>
    <row r="35" spans="1:8">
      <c r="A35" s="19" t="s">
        <v>18</v>
      </c>
      <c r="B35" s="7"/>
      <c r="C35" s="20"/>
      <c r="D35" s="20"/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1" t="s">
        <v>18</v>
      </c>
      <c r="B36" s="12"/>
      <c r="C36" s="22"/>
      <c r="D36" s="22"/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18</v>
      </c>
      <c r="B37" s="11"/>
      <c r="C37" s="23"/>
      <c r="D37" s="23"/>
      <c r="E37" s="13">
        <f t="shared" si="17"/>
        <v>0</v>
      </c>
      <c r="F37" s="13">
        <f t="shared" si="4"/>
        <v>0</v>
      </c>
      <c r="G37" s="13">
        <f t="shared" si="18"/>
        <v>0</v>
      </c>
      <c r="H37" s="14">
        <f t="shared" si="19"/>
        <v>0</v>
      </c>
    </row>
    <row r="38" spans="1:8">
      <c r="A38" s="10" t="s">
        <v>18</v>
      </c>
      <c r="B38" s="11"/>
      <c r="C38" s="23"/>
      <c r="D38" s="23"/>
      <c r="E38" s="13">
        <f t="shared" si="17"/>
        <v>0</v>
      </c>
      <c r="F38" s="13">
        <f t="shared" si="4"/>
        <v>0</v>
      </c>
      <c r="G38" s="13">
        <f t="shared" si="18"/>
        <v>0</v>
      </c>
      <c r="H38" s="14">
        <f t="shared" si="19"/>
        <v>0</v>
      </c>
    </row>
    <row r="39" spans="1:8">
      <c r="A39" s="10" t="s">
        <v>18</v>
      </c>
      <c r="B39" s="11"/>
      <c r="C39" s="23"/>
      <c r="D39" s="23"/>
      <c r="E39" s="13">
        <f t="shared" si="17"/>
        <v>0</v>
      </c>
      <c r="F39" s="13">
        <f t="shared" si="4"/>
        <v>0</v>
      </c>
      <c r="G39" s="13">
        <f t="shared" si="18"/>
        <v>0</v>
      </c>
      <c r="H39" s="14">
        <f t="shared" si="19"/>
        <v>0</v>
      </c>
    </row>
    <row r="40" spans="1:8">
      <c r="A40" s="24" t="s">
        <v>18</v>
      </c>
      <c r="B40" s="25"/>
      <c r="C40" s="26"/>
      <c r="D40" s="26"/>
      <c r="E40" s="27">
        <f t="shared" si="17"/>
        <v>0</v>
      </c>
      <c r="F40" s="27">
        <f t="shared" si="4"/>
        <v>0</v>
      </c>
      <c r="G40" s="27">
        <f t="shared" si="18"/>
        <v>0</v>
      </c>
      <c r="H40" s="28">
        <f t="shared" si="19"/>
        <v>0</v>
      </c>
    </row>
    <row r="41" spans="1:8">
      <c r="A41" s="29" t="s">
        <v>19</v>
      </c>
      <c r="B41" s="30"/>
      <c r="C41" s="31"/>
      <c r="D41" s="31"/>
      <c r="E41" s="32">
        <f>SUM(E6:E40)</f>
        <v>632480</v>
      </c>
      <c r="F41" s="32">
        <f>SUM(F6:F40)</f>
        <v>96480</v>
      </c>
      <c r="G41" s="32">
        <f>SUM(G6:G40)</f>
        <v>9100</v>
      </c>
      <c r="H41" s="33">
        <f t="shared" si="19"/>
        <v>105580</v>
      </c>
    </row>
    <row r="42" spans="1:8">
      <c r="A42" s="60" t="s">
        <v>20</v>
      </c>
      <c r="B42" s="61"/>
      <c r="C42" s="34">
        <v>63100</v>
      </c>
      <c r="D42" s="35"/>
      <c r="E42" s="62" t="s">
        <v>21</v>
      </c>
      <c r="F42" s="62"/>
      <c r="G42" s="62"/>
      <c r="H42" s="62"/>
    </row>
    <row r="43" spans="1:8">
      <c r="A43" s="60" t="s">
        <v>22</v>
      </c>
      <c r="B43" s="61"/>
      <c r="C43" s="36">
        <v>42480</v>
      </c>
      <c r="D43" s="34" t="s">
        <v>23</v>
      </c>
      <c r="E43" s="63" t="s">
        <v>24</v>
      </c>
      <c r="F43" s="64"/>
      <c r="G43" s="34" t="s">
        <v>25</v>
      </c>
      <c r="H43" s="37" t="s">
        <v>26</v>
      </c>
    </row>
    <row r="44" spans="1:8">
      <c r="A44" s="60" t="s">
        <v>27</v>
      </c>
      <c r="B44" s="61"/>
      <c r="C44" s="38"/>
      <c r="D44" s="39"/>
      <c r="E44" s="65"/>
      <c r="F44" s="66"/>
      <c r="G44" s="40"/>
      <c r="H44" s="41"/>
    </row>
    <row r="45" spans="1:8">
      <c r="A45" s="67" t="s">
        <v>28</v>
      </c>
      <c r="B45" s="68"/>
      <c r="C45" s="42"/>
      <c r="D45" s="34"/>
      <c r="E45" s="69"/>
      <c r="F45" s="70"/>
      <c r="G45" s="11"/>
      <c r="H45" s="43"/>
    </row>
    <row r="46" spans="1:8">
      <c r="A46" s="71" t="s">
        <v>29</v>
      </c>
      <c r="B46" s="72"/>
      <c r="C46" s="44"/>
      <c r="D46" s="37"/>
      <c r="E46" s="73"/>
      <c r="F46" s="74"/>
      <c r="G46" s="11"/>
      <c r="H46" s="43"/>
    </row>
    <row r="47" spans="1:8">
      <c r="A47" s="71" t="s">
        <v>30</v>
      </c>
      <c r="B47" s="72"/>
      <c r="C47" s="44"/>
      <c r="D47" s="45"/>
      <c r="E47" s="73"/>
      <c r="F47" s="74"/>
      <c r="G47" s="11"/>
      <c r="H47" s="43"/>
    </row>
    <row r="48" spans="1:8">
      <c r="A48" s="71" t="s">
        <v>31</v>
      </c>
      <c r="B48" s="72"/>
      <c r="C48" s="46">
        <f>SUM(C42:C47)</f>
        <v>105580</v>
      </c>
      <c r="D48" s="47"/>
      <c r="E48" s="75"/>
      <c r="F48" s="76"/>
      <c r="G48" s="48"/>
      <c r="H48" s="49"/>
    </row>
    <row r="49" spans="2:2">
      <c r="B49" s="1" t="s">
        <v>32</v>
      </c>
    </row>
    <row r="50" spans="2:2">
      <c r="B50" s="1" t="s">
        <v>35</v>
      </c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  <mergeCell ref="E43:F43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paperSize="9" fitToWidth="0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2023-07-08T16:04:00Z</dcterms:created>
  <dcterms:modified xsi:type="dcterms:W3CDTF">2026-03-21T10:14:41Z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E53A979ADA4B43CD9C1DDA6CBE7E792C_13</vt:lpwstr>
  </property>
  <property fmtid="{D5CDD505-2E9C-101B-9397-08002B2CF9AE}" pid="3" name="KSOProductBuildVer">
    <vt:lpwstr>1033-12.2.0.23196</vt:lpwstr>
  </property>
</Properties>
</file>