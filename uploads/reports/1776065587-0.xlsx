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<sst xmlns="http://schemas.openxmlformats.org/spreadsheetml/2006/main" count="1698" uniqueCount="92">
  <si>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</si>
  <si>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</si>
  <si>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</si>
  <si>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</si>
  <si>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</si>
  <si>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</si>
  <si>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</si>
  <si>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</si>
  <si>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</si>
  <si>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</si>
  <si>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</si>
  <si>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</si>
  <si>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</si>
  <si>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</si>
  <si>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</si>
  <si>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</si>
  <si>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</si>
  <si>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</si>
  <si>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</si>
  <si>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</si>
  <si>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</si>
  <si>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</si>
  <si>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</si>
  <si>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</si>
  <si>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</si>
  <si>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</si>
  <si>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</si>
  <si>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</si>
  <si>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</si>
  <si>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</si>
  <si>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</si>
  <si>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</si>
  <si>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</si>
  <si>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</si>
  <si>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</si>
  <si>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</si>
  <si>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</si>
  <si>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</si>
  <si>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</si>
  <si>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</si>
  <si>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</si>
  <si>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</si>
  <si>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</si>
  <si>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</si>
  <si>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</si>
  <si>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</si>
  <si>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</si>
  <si>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</si>
  <si>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</si>
  <si>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</si>
  <si>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</si>
  <si>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</si>
  <si>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</si>
  <si>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</si>
  <si>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</si>
  <si>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</si>
  <si>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</si>
  <si>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</si>
  <si>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</si>
  <si>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</si>
  <si>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</si>
  <si>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</si>
  <si>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</si>
  <si>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</si>
  <si>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</si>
  <si>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</si>
  <si>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</si>
  <si>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</si>
  <si>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</si>
  <si>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</si>
  <si>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</si>
  <si>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</si>
  <si>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</si>
  <si>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</si>
  <si>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</si>
  <si>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</si>
  <si>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</si>
  <si>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</si>
  <si>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</si>
  <si>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</si>
  <si>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</si>
  <si>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</si>
  <si>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</si>
  <si>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</si>
  <si>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</si>
  <si>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</si>
  <si>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</si>
  <si>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</si>
  <si>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</si>
  <si>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</si>
  <si>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</si>
  <si>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06-12/04/2026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</si>
</sst>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03"/>
      <c r="M1" s="103"/>
      <c r="N1" s="103"/>
    </row>
    <row r="2" spans="1:15" ht="31" customHeight="1">
      <c r="A2" s="138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03"/>
      <c r="M2" s="103"/>
      <c r="N2" s="103"/>
    </row>
    <row r="3" spans="1:15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648000</v>
      </c>
      <c r="C25" s="87">
        <f>GASHYUSHYA!G37</f>
        <v>72000</v>
      </c>
      <c r="D25" s="87">
        <f>GASHYUSHYA!C43</f>
        <v>0</v>
      </c>
      <c r="E25" s="87">
        <f>GASHYUSHYA!C44</f>
        <v>0</v>
      </c>
      <c r="F25" s="84">
        <f t="shared" si="0"/>
        <v>720000</v>
      </c>
      <c r="G25" s="87">
        <f>GASHYUSHYA!C41</f>
        <v>0</v>
      </c>
      <c r="H25" s="88">
        <f>GASHYUSHYA!C39</f>
        <v>720000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648000</v>
      </c>
      <c r="C29" s="101">
        <f t="shared" si="1"/>
        <v>72000</v>
      </c>
      <c r="D29" s="102">
        <f t="shared" si="1"/>
        <v>0</v>
      </c>
      <c r="E29" s="101">
        <f t="shared" si="1"/>
        <v>0</v>
      </c>
      <c r="F29" s="101">
        <f t="shared" si="1"/>
        <v>720000</v>
      </c>
      <c r="G29" s="102">
        <f t="shared" si="1"/>
        <v>0</v>
      </c>
      <c r="H29" s="102">
        <f t="shared" si="1"/>
        <v>720000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2"/>
      <c r="B30" s="132"/>
      <c r="C30" s="132"/>
      <c r="D30" s="133"/>
      <c r="E30" s="146" t="s">
        <v>33</v>
      </c>
      <c r="F30" s="147"/>
      <c r="G30" s="147"/>
      <c r="H30" s="147"/>
      <c r="I30" s="148"/>
      <c r="J30" s="140"/>
      <c r="K30" s="141"/>
      <c r="L30" s="103"/>
    </row>
    <row r="31" spans="1:15">
      <c r="A31" s="134" t="s">
        <v>34</v>
      </c>
      <c r="B31" s="135"/>
      <c r="C31" s="135"/>
      <c r="D31" s="135"/>
      <c r="E31" s="149"/>
      <c r="F31" s="150"/>
      <c r="G31" s="150"/>
      <c r="H31" s="150"/>
      <c r="I31" s="151"/>
      <c r="J31" s="142"/>
      <c r="K31" s="143"/>
      <c r="L31" s="103"/>
    </row>
    <row r="32" spans="1:15" ht="14.5">
      <c r="A32" s="115" t="s">
        <v>35</v>
      </c>
      <c r="B32" s="116"/>
      <c r="C32" s="136">
        <f>SUM(B29+C29)</f>
        <v>720000</v>
      </c>
      <c r="D32" s="137"/>
      <c r="E32" s="149"/>
      <c r="F32" s="150"/>
      <c r="G32" s="150"/>
      <c r="H32" s="150"/>
      <c r="I32" s="151"/>
      <c r="J32" s="142"/>
      <c r="K32" s="143"/>
      <c r="L32" s="103"/>
    </row>
    <row r="33" spans="1:12" ht="14.5">
      <c r="A33" s="115" t="s">
        <v>36</v>
      </c>
      <c r="B33" s="116"/>
      <c r="C33" s="117">
        <f>SUM(F29,G29)</f>
        <v>720000</v>
      </c>
      <c r="D33" s="155"/>
      <c r="E33" s="149"/>
      <c r="F33" s="150"/>
      <c r="G33" s="150"/>
      <c r="H33" s="150"/>
      <c r="I33" s="151"/>
      <c r="J33" s="142"/>
      <c r="K33" s="143"/>
      <c r="L33" s="103"/>
    </row>
    <row r="34" spans="1:12" ht="14.5">
      <c r="A34" s="156" t="s">
        <v>37</v>
      </c>
      <c r="B34" s="157"/>
      <c r="C34" s="117">
        <f>SUM(H29,J29,I29+G29)</f>
        <v>720000</v>
      </c>
      <c r="D34" s="118"/>
      <c r="E34" s="149"/>
      <c r="F34" s="150"/>
      <c r="G34" s="150"/>
      <c r="H34" s="150"/>
      <c r="I34" s="151"/>
      <c r="J34" s="142"/>
      <c r="K34" s="143"/>
      <c r="L34" s="103"/>
    </row>
    <row r="35" spans="1:12" ht="14.5">
      <c r="A35" s="115" t="s">
        <v>38</v>
      </c>
      <c r="B35" s="116"/>
      <c r="C35" s="117">
        <f>SUM(D29:E29)</f>
        <v>0</v>
      </c>
      <c r="D35" s="118"/>
      <c r="E35" s="152"/>
      <c r="F35" s="153"/>
      <c r="G35" s="153"/>
      <c r="H35" s="153"/>
      <c r="I35" s="154"/>
      <c r="J35" s="142"/>
      <c r="K35" s="143"/>
      <c r="L35" s="103"/>
    </row>
    <row r="36" spans="1:12" ht="14.5">
      <c r="A36" s="115" t="s">
        <v>39</v>
      </c>
      <c r="B36" s="116"/>
      <c r="C36" s="117">
        <f>SUM(H29+I29+J29+C35)</f>
        <v>720000</v>
      </c>
      <c r="D36" s="118"/>
      <c r="E36" s="124" t="s">
        <v>40</v>
      </c>
      <c r="F36" s="125"/>
      <c r="G36" s="125"/>
      <c r="H36" s="125"/>
      <c r="I36" s="126"/>
      <c r="J36" s="142"/>
      <c r="K36" s="143"/>
      <c r="L36" s="103"/>
    </row>
    <row r="37" spans="1:12" ht="14.5">
      <c r="A37" s="119" t="s">
        <v>41</v>
      </c>
      <c r="B37" s="120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720000</v>
      </c>
      <c r="D37" s="118"/>
      <c r="E37" s="127"/>
      <c r="F37" s="128"/>
      <c r="G37" s="128"/>
      <c r="H37" s="128"/>
      <c r="I37" s="129"/>
      <c r="J37" s="142"/>
      <c r="K37" s="143"/>
      <c r="L37" s="103"/>
    </row>
    <row r="38" spans="1:12" ht="26">
      <c r="A38" s="121" t="s">
        <v>42</v>
      </c>
      <c r="B38" s="122"/>
      <c r="C38" s="122"/>
      <c r="D38" s="122"/>
      <c r="E38" s="122"/>
      <c r="F38" s="122"/>
      <c r="G38" s="122"/>
      <c r="H38" s="122"/>
      <c r="I38" s="123"/>
      <c r="J38" s="144"/>
      <c r="K38" s="145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6:I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6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8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s="71" customFormat="1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9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20.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22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22.5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24.5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22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22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22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22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3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>
        <v>2124</v>
      </c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6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1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5.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9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2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3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7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9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5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9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9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9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9" customHeight="1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9" customHeight="1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9" customHeight="1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9" customHeight="1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9" customHeight="1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9" customHeight="1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9" customHeight="1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 ht="14.5" customHeight="1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1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4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7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C41" sqref="C41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>
      <c r="A3" s="171" t="s">
        <v>91</v>
      </c>
      <c r="B3" s="172"/>
      <c r="C3" s="172"/>
      <c r="D3" s="172"/>
      <c r="E3" s="172"/>
      <c r="F3" s="172"/>
      <c r="G3" s="172"/>
      <c r="H3" s="173"/>
      <c r="I3" s="159"/>
    </row>
    <row r="4" spans="1:9" ht="30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>
        <v>1400</v>
      </c>
      <c r="C12" s="220">
        <v>2124</v>
      </c>
      <c r="D12" s="221"/>
      <c r="E12" s="10">
        <f t="shared" si="0"/>
        <v>2973600</v>
      </c>
      <c r="F12" s="10">
        <f t="shared" si="1"/>
        <v>453600</v>
      </c>
      <c r="G12" s="10">
        <f>PRODUCT(B12*30)</f>
        <v>42000</v>
      </c>
      <c r="H12" s="11">
        <f t="shared" si="2"/>
        <v>495600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14" t="s">
        <v>90</v>
      </c>
      <c r="B17" s="19">
        <v>600</v>
      </c>
      <c r="C17" s="19">
        <v>2124</v>
      </c>
      <c r="D17" s="19">
        <v>50</v>
      </c>
      <c r="E17" s="20">
        <f>PRODUCT(B17*C17)</f>
        <v>1274400</v>
      </c>
      <c r="F17" s="21">
        <f t="shared" ref="F17:F36" si="3">PRODUCT(E17*18)/118</f>
        <v>194400</v>
      </c>
      <c r="G17" s="22">
        <f>PRODUCT(B17*D17)</f>
        <v>30000</v>
      </c>
      <c r="H17" s="23">
        <f>SUM(F17:G17)</f>
        <v>224400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85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4248000</v>
      </c>
      <c r="F37" s="47">
        <f>SUM(F5:F36)</f>
        <v>648000</v>
      </c>
      <c r="G37" s="47">
        <f t="shared" ref="G37:H37" si="10">SUM(G5:G36)</f>
        <v>72000</v>
      </c>
      <c r="H37" s="47">
        <f t="shared" si="10"/>
        <v>720000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>
        <v>720000</v>
      </c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720000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1400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600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87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50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88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89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89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89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89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89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2000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74" t="s">
        <v>77</v>
      </c>
      <c r="B1" s="175"/>
      <c r="C1" s="175"/>
      <c r="D1" s="175"/>
      <c r="E1" s="175"/>
      <c r="F1" s="175"/>
      <c r="G1" s="233"/>
    </row>
    <row r="2" spans="1:7">
      <c r="A2" s="176"/>
      <c r="B2" s="177"/>
      <c r="C2" s="177"/>
      <c r="D2" s="177"/>
      <c r="E2" s="177"/>
      <c r="F2" s="177"/>
      <c r="G2" s="234"/>
    </row>
    <row r="3" spans="1:7" ht="28">
      <c r="A3" s="247" t="s">
        <v>78</v>
      </c>
      <c r="B3" s="248"/>
      <c r="C3" s="249"/>
      <c r="D3" s="247" t="s">
        <v>79</v>
      </c>
      <c r="E3" s="248"/>
      <c r="F3" s="248"/>
      <c r="G3" s="249"/>
    </row>
    <row r="4" spans="1:7" ht="41.5" customHeight="1">
      <c r="A4" s="241" t="s">
        <v>80</v>
      </c>
      <c r="B4" s="242"/>
      <c r="C4" s="243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1400</v>
      </c>
      <c r="E4" s="239"/>
      <c r="F4" s="239"/>
      <c r="G4" s="240"/>
    </row>
    <row r="5" spans="1:7" ht="37" customHeight="1">
      <c r="A5" s="241" t="s">
        <v>53</v>
      </c>
      <c r="B5" s="242"/>
      <c r="C5" s="243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>
      <c r="A6" s="241" t="s">
        <v>57</v>
      </c>
      <c r="B6" s="242"/>
      <c r="C6" s="243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>
      <c r="A7" s="235" t="s">
        <v>62</v>
      </c>
      <c r="B7" s="236"/>
      <c r="C7" s="237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600</v>
      </c>
      <c r="E7" s="239"/>
      <c r="F7" s="239"/>
      <c r="G7" s="240"/>
    </row>
    <row r="8" spans="1:7" ht="40" customHeight="1">
      <c r="A8" s="235" t="s">
        <v>63</v>
      </c>
      <c r="B8" s="236"/>
      <c r="C8" s="237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35" t="s">
        <v>89</v>
      </c>
      <c r="B9" s="236"/>
      <c r="C9" s="237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35" t="s">
        <v>89</v>
      </c>
      <c r="B10" s="236"/>
      <c r="C10" s="237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35" t="s">
        <v>89</v>
      </c>
      <c r="B11" s="236"/>
      <c r="C11" s="237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35" t="s">
        <v>89</v>
      </c>
      <c r="B12" s="236"/>
      <c r="C12" s="237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35" t="s">
        <v>89</v>
      </c>
      <c r="B13" s="236"/>
      <c r="C13" s="237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35" t="s">
        <v>89</v>
      </c>
      <c r="B14" s="236"/>
      <c r="C14" s="237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35" t="s">
        <v>89</v>
      </c>
      <c r="B15" s="236"/>
      <c r="C15" s="237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35" t="s">
        <v>89</v>
      </c>
      <c r="B16" s="236"/>
      <c r="C16" s="237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35" t="s">
        <v>83</v>
      </c>
      <c r="B17" s="236"/>
      <c r="C17" s="237"/>
      <c r="D17" s="244">
        <f>SUM(D4:D16)</f>
        <v>2000</v>
      </c>
      <c r="E17" s="245"/>
      <c r="F17" s="245"/>
      <c r="G17" s="246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2026-04-13T07:23:18Z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