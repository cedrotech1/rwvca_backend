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activeTab="1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E62" i="25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H37" i="25"/>
  <c r="G37" i="25"/>
  <c r="F37" i="25"/>
  <c r="E37" i="25"/>
  <c r="H36" i="25"/>
  <c r="G36" i="25"/>
  <c r="F36" i="25"/>
  <c r="E36" i="25"/>
  <c r="H35" i="25"/>
  <c r="G35" i="25"/>
  <c r="F35" i="25"/>
  <c r="E35" i="25"/>
  <c r="H34" i="25"/>
  <c r="G34" i="25"/>
  <c r="F34" i="25"/>
  <c r="E34" i="25"/>
  <c r="H33" i="25"/>
  <c r="G33" i="25"/>
  <c r="F33" i="25"/>
  <c r="E33" i="25"/>
  <c r="H32" i="25"/>
  <c r="G32" i="25"/>
  <c r="F32" i="25"/>
  <c r="E32" i="25"/>
  <c r="H31" i="25"/>
  <c r="G31" i="25"/>
  <c r="F31" i="25"/>
  <c r="E31" i="25"/>
  <c r="H30" i="25"/>
  <c r="G30" i="25"/>
  <c r="F30" i="25"/>
  <c r="E30" i="25"/>
  <c r="H29" i="25"/>
  <c r="G29" i="25"/>
  <c r="F29" i="25"/>
  <c r="E29" i="25"/>
  <c r="H28" i="25"/>
  <c r="G28" i="25"/>
  <c r="F28" i="25"/>
  <c r="E28" i="25"/>
  <c r="H27" i="25"/>
  <c r="G27" i="25"/>
  <c r="F27" i="25"/>
  <c r="E27" i="25"/>
  <c r="H26" i="25"/>
  <c r="G26" i="25"/>
  <c r="F26" i="25"/>
  <c r="E26" i="25"/>
  <c r="H25" i="25"/>
  <c r="G25" i="25"/>
  <c r="F25" i="25"/>
  <c r="E25" i="25"/>
  <c r="H24" i="25"/>
  <c r="G24" i="25"/>
  <c r="F24" i="25"/>
  <c r="E24" i="25"/>
  <c r="H23" i="25"/>
  <c r="G23" i="25"/>
  <c r="F23" i="25"/>
  <c r="E23" i="25"/>
  <c r="H22" i="25"/>
  <c r="G22" i="25"/>
  <c r="F22" i="25"/>
  <c r="E22" i="25"/>
  <c r="H21" i="25"/>
  <c r="G21" i="25"/>
  <c r="F21" i="25"/>
  <c r="E21" i="25"/>
  <c r="H20" i="25"/>
  <c r="G20" i="25"/>
  <c r="F20" i="25"/>
  <c r="E20" i="25"/>
  <c r="H19" i="25"/>
  <c r="G19" i="25"/>
  <c r="F19" i="25"/>
  <c r="E19" i="25"/>
  <c r="H18" i="25"/>
  <c r="G18" i="25"/>
  <c r="F18" i="25"/>
  <c r="E18" i="25"/>
  <c r="H17" i="25"/>
  <c r="G17" i="25"/>
  <c r="F17" i="25"/>
  <c r="E17" i="25"/>
  <c r="H14" i="25"/>
  <c r="G14" i="25"/>
  <c r="F14" i="25"/>
  <c r="E14" i="25"/>
  <c r="H13" i="25"/>
  <c r="G13" i="25"/>
  <c r="F13" i="25"/>
  <c r="E13" i="25"/>
  <c r="H12" i="25"/>
  <c r="G12" i="25"/>
  <c r="F12" i="25"/>
  <c r="E12" i="25"/>
  <c r="H11" i="25"/>
  <c r="G11" i="25"/>
  <c r="F11" i="25"/>
  <c r="E11" i="25"/>
  <c r="H10" i="25"/>
  <c r="G10" i="25"/>
  <c r="F10" i="25"/>
  <c r="E10" i="25"/>
  <c r="H9" i="25"/>
  <c r="G9" i="25"/>
  <c r="F9" i="25"/>
  <c r="E9" i="25"/>
  <c r="H8" i="25"/>
  <c r="G8" i="25"/>
  <c r="F8" i="25"/>
  <c r="E8" i="25"/>
  <c r="H7" i="25"/>
  <c r="G7" i="25"/>
  <c r="F7" i="25"/>
  <c r="E7" i="25"/>
  <c r="H6" i="25"/>
  <c r="G6" i="25"/>
  <c r="F6" i="25"/>
  <c r="E6" i="25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H37" i="26"/>
  <c r="G37" i="26"/>
  <c r="F37" i="26"/>
  <c r="E37" i="26"/>
  <c r="H36" i="26"/>
  <c r="G36" i="26"/>
  <c r="F36" i="26"/>
  <c r="E36" i="26"/>
  <c r="H35" i="26"/>
  <c r="G35" i="26"/>
  <c r="F35" i="26"/>
  <c r="E35" i="26"/>
  <c r="H34" i="26"/>
  <c r="G34" i="26"/>
  <c r="F34" i="26"/>
  <c r="E34" i="26"/>
  <c r="H33" i="26"/>
  <c r="G33" i="26"/>
  <c r="F33" i="26"/>
  <c r="E33" i="26"/>
  <c r="H32" i="26"/>
  <c r="G32" i="26"/>
  <c r="F32" i="26"/>
  <c r="E32" i="26"/>
  <c r="H31" i="26"/>
  <c r="G31" i="26"/>
  <c r="F31" i="26"/>
  <c r="E31" i="26"/>
  <c r="H30" i="26"/>
  <c r="G30" i="26"/>
  <c r="F30" i="26"/>
  <c r="E30" i="26"/>
  <c r="H29" i="26"/>
  <c r="G29" i="26"/>
  <c r="F29" i="26"/>
  <c r="E29" i="26"/>
  <c r="H28" i="26"/>
  <c r="G28" i="26"/>
  <c r="F28" i="26"/>
  <c r="E28" i="26"/>
  <c r="H27" i="26"/>
  <c r="G27" i="26"/>
  <c r="F27" i="26"/>
  <c r="E27" i="26"/>
  <c r="H26" i="26"/>
  <c r="G26" i="26"/>
  <c r="F26" i="26"/>
  <c r="E26" i="26"/>
  <c r="H25" i="26"/>
  <c r="G25" i="26"/>
  <c r="F25" i="26"/>
  <c r="E25" i="26"/>
  <c r="H24" i="26"/>
  <c r="G24" i="26"/>
  <c r="F24" i="26"/>
  <c r="E24" i="26"/>
  <c r="H23" i="26"/>
  <c r="G23" i="26"/>
  <c r="F23" i="26"/>
  <c r="E23" i="26"/>
  <c r="H22" i="26"/>
  <c r="G22" i="26"/>
  <c r="F22" i="26"/>
  <c r="E22" i="26"/>
  <c r="H21" i="26"/>
  <c r="G21" i="26"/>
  <c r="F21" i="26"/>
  <c r="E21" i="26"/>
  <c r="H20" i="26"/>
  <c r="G20" i="26"/>
  <c r="F20" i="26"/>
  <c r="E20" i="26"/>
  <c r="H19" i="26"/>
  <c r="G19" i="26"/>
  <c r="F19" i="26"/>
  <c r="E19" i="26"/>
  <c r="H18" i="26"/>
  <c r="G18" i="26"/>
  <c r="F18" i="26"/>
  <c r="E18" i="26"/>
  <c r="H17" i="26"/>
  <c r="G17" i="26"/>
  <c r="F17" i="26"/>
  <c r="E17" i="26"/>
  <c r="H14" i="26"/>
  <c r="G14" i="26"/>
  <c r="F14" i="26"/>
  <c r="E14" i="26"/>
  <c r="H13" i="26"/>
  <c r="G13" i="26"/>
  <c r="F13" i="26"/>
  <c r="E13" i="26"/>
  <c r="H12" i="26"/>
  <c r="G12" i="26"/>
  <c r="F12" i="26"/>
  <c r="E12" i="26"/>
  <c r="H11" i="26"/>
  <c r="G11" i="26"/>
  <c r="F11" i="26"/>
  <c r="E11" i="26"/>
  <c r="H10" i="26"/>
  <c r="G10" i="26"/>
  <c r="F10" i="26"/>
  <c r="E10" i="26"/>
  <c r="H9" i="26"/>
  <c r="G9" i="26"/>
  <c r="F9" i="26"/>
  <c r="E9" i="26"/>
  <c r="H8" i="26"/>
  <c r="G8" i="26"/>
  <c r="F8" i="26"/>
  <c r="E8" i="26"/>
  <c r="H7" i="26"/>
  <c r="G7" i="26"/>
  <c r="F7" i="26"/>
  <c r="E7" i="26"/>
  <c r="H6" i="26"/>
  <c r="G6" i="26"/>
  <c r="F6" i="26"/>
  <c r="E6" i="26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H37" i="27"/>
  <c r="G37" i="27"/>
  <c r="F37" i="27"/>
  <c r="E37" i="27"/>
  <c r="H36" i="27"/>
  <c r="G36" i="27"/>
  <c r="F36" i="27"/>
  <c r="E36" i="27"/>
  <c r="H35" i="27"/>
  <c r="G35" i="27"/>
  <c r="F35" i="27"/>
  <c r="E35" i="27"/>
  <c r="H34" i="27"/>
  <c r="G34" i="27"/>
  <c r="F34" i="27"/>
  <c r="E34" i="27"/>
  <c r="H33" i="27"/>
  <c r="G33" i="27"/>
  <c r="F33" i="27"/>
  <c r="E33" i="27"/>
  <c r="H32" i="27"/>
  <c r="G32" i="27"/>
  <c r="F32" i="27"/>
  <c r="E32" i="27"/>
  <c r="H31" i="27"/>
  <c r="G31" i="27"/>
  <c r="F31" i="27"/>
  <c r="E31" i="27"/>
  <c r="H30" i="27"/>
  <c r="G30" i="27"/>
  <c r="F30" i="27"/>
  <c r="E30" i="27"/>
  <c r="H29" i="27"/>
  <c r="G29" i="27"/>
  <c r="F29" i="27"/>
  <c r="E29" i="27"/>
  <c r="H28" i="27"/>
  <c r="G28" i="27"/>
  <c r="F28" i="27"/>
  <c r="E28" i="27"/>
  <c r="H27" i="27"/>
  <c r="G27" i="27"/>
  <c r="F27" i="27"/>
  <c r="E27" i="27"/>
  <c r="H26" i="27"/>
  <c r="G26" i="27"/>
  <c r="F26" i="27"/>
  <c r="E26" i="27"/>
  <c r="H25" i="27"/>
  <c r="G25" i="27"/>
  <c r="F25" i="27"/>
  <c r="E25" i="27"/>
  <c r="H24" i="27"/>
  <c r="G24" i="27"/>
  <c r="F24" i="27"/>
  <c r="E24" i="27"/>
  <c r="H23" i="27"/>
  <c r="G23" i="27"/>
  <c r="F23" i="27"/>
  <c r="E23" i="27"/>
  <c r="H22" i="27"/>
  <c r="G22" i="27"/>
  <c r="F22" i="27"/>
  <c r="E22" i="27"/>
  <c r="H21" i="27"/>
  <c r="G21" i="27"/>
  <c r="F21" i="27"/>
  <c r="E21" i="27"/>
  <c r="H20" i="27"/>
  <c r="G20" i="27"/>
  <c r="F20" i="27"/>
  <c r="E20" i="27"/>
  <c r="H19" i="27"/>
  <c r="G19" i="27"/>
  <c r="F19" i="27"/>
  <c r="E19" i="27"/>
  <c r="H18" i="27"/>
  <c r="G18" i="27"/>
  <c r="F18" i="27"/>
  <c r="E18" i="27"/>
  <c r="H17" i="27"/>
  <c r="G17" i="27"/>
  <c r="F17" i="27"/>
  <c r="E17" i="27"/>
  <c r="H14" i="27"/>
  <c r="G14" i="27"/>
  <c r="F14" i="27"/>
  <c r="E14" i="27"/>
  <c r="H13" i="27"/>
  <c r="G13" i="27"/>
  <c r="F13" i="27"/>
  <c r="E13" i="27"/>
  <c r="H12" i="27"/>
  <c r="G12" i="27"/>
  <c r="F12" i="27"/>
  <c r="E12" i="27"/>
  <c r="H11" i="27"/>
  <c r="G11" i="27"/>
  <c r="F11" i="27"/>
  <c r="E11" i="27"/>
  <c r="H10" i="27"/>
  <c r="G10" i="27"/>
  <c r="F10" i="27"/>
  <c r="E10" i="27"/>
  <c r="H9" i="27"/>
  <c r="G9" i="27"/>
  <c r="F9" i="27"/>
  <c r="E9" i="27"/>
  <c r="H8" i="27"/>
  <c r="G8" i="27"/>
  <c r="F8" i="27"/>
  <c r="E8" i="27"/>
  <c r="H7" i="27"/>
  <c r="G7" i="27"/>
  <c r="F7" i="27"/>
  <c r="E7" i="27"/>
  <c r="H6" i="27"/>
  <c r="G6" i="27"/>
  <c r="F6" i="27"/>
  <c r="E6" i="27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H37" i="28"/>
  <c r="G37" i="28"/>
  <c r="F37" i="28"/>
  <c r="E37" i="28"/>
  <c r="H36" i="28"/>
  <c r="G36" i="28"/>
  <c r="F36" i="28"/>
  <c r="E36" i="28"/>
  <c r="H35" i="28"/>
  <c r="G35" i="28"/>
  <c r="F35" i="28"/>
  <c r="E35" i="28"/>
  <c r="H34" i="28"/>
  <c r="G34" i="28"/>
  <c r="F34" i="28"/>
  <c r="E34" i="28"/>
  <c r="H33" i="28"/>
  <c r="G33" i="28"/>
  <c r="F33" i="28"/>
  <c r="E33" i="28"/>
  <c r="H32" i="28"/>
  <c r="G32" i="28"/>
  <c r="F32" i="28"/>
  <c r="E32" i="28"/>
  <c r="H31" i="28"/>
  <c r="G31" i="28"/>
  <c r="F31" i="28"/>
  <c r="E31" i="28"/>
  <c r="H30" i="28"/>
  <c r="G30" i="28"/>
  <c r="F30" i="28"/>
  <c r="E30" i="28"/>
  <c r="H29" i="28"/>
  <c r="G29" i="28"/>
  <c r="F29" i="28"/>
  <c r="E29" i="28"/>
  <c r="H28" i="28"/>
  <c r="G28" i="28"/>
  <c r="F28" i="28"/>
  <c r="E28" i="28"/>
  <c r="H27" i="28"/>
  <c r="G27" i="28"/>
  <c r="F27" i="28"/>
  <c r="E27" i="28"/>
  <c r="H26" i="28"/>
  <c r="G26" i="28"/>
  <c r="F26" i="28"/>
  <c r="E26" i="28"/>
  <c r="H25" i="28"/>
  <c r="G25" i="28"/>
  <c r="F25" i="28"/>
  <c r="E25" i="28"/>
  <c r="H24" i="28"/>
  <c r="G24" i="28"/>
  <c r="F24" i="28"/>
  <c r="E24" i="28"/>
  <c r="H23" i="28"/>
  <c r="G23" i="28"/>
  <c r="F23" i="28"/>
  <c r="E23" i="28"/>
  <c r="H22" i="28"/>
  <c r="G22" i="28"/>
  <c r="F22" i="28"/>
  <c r="E22" i="28"/>
  <c r="H21" i="28"/>
  <c r="G21" i="28"/>
  <c r="F21" i="28"/>
  <c r="E21" i="28"/>
  <c r="H20" i="28"/>
  <c r="G20" i="28"/>
  <c r="F20" i="28"/>
  <c r="E20" i="28"/>
  <c r="H19" i="28"/>
  <c r="G19" i="28"/>
  <c r="F19" i="28"/>
  <c r="E19" i="28"/>
  <c r="H18" i="28"/>
  <c r="G18" i="28"/>
  <c r="F18" i="28"/>
  <c r="E18" i="28"/>
  <c r="H17" i="28"/>
  <c r="G17" i="28"/>
  <c r="F17" i="28"/>
  <c r="E17" i="28"/>
  <c r="H14" i="28"/>
  <c r="G14" i="28"/>
  <c r="F14" i="28"/>
  <c r="E14" i="28"/>
  <c r="H13" i="28"/>
  <c r="G13" i="28"/>
  <c r="F13" i="28"/>
  <c r="E13" i="28"/>
  <c r="H12" i="28"/>
  <c r="G12" i="28"/>
  <c r="F12" i="28"/>
  <c r="E12" i="28"/>
  <c r="H11" i="28"/>
  <c r="G11" i="28"/>
  <c r="F11" i="28"/>
  <c r="E11" i="28"/>
  <c r="H10" i="28"/>
  <c r="G10" i="28"/>
  <c r="F10" i="28"/>
  <c r="E10" i="28"/>
  <c r="H9" i="28"/>
  <c r="G9" i="28"/>
  <c r="F9" i="28"/>
  <c r="E9" i="28"/>
  <c r="H8" i="28"/>
  <c r="G8" i="28"/>
  <c r="F8" i="28"/>
  <c r="E8" i="28"/>
  <c r="H7" i="28"/>
  <c r="G7" i="28"/>
  <c r="F7" i="28"/>
  <c r="E7" i="28"/>
  <c r="H6" i="28"/>
  <c r="G6" i="28"/>
  <c r="F6" i="28"/>
  <c r="E6" i="28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H22" i="24"/>
  <c r="G22" i="24"/>
  <c r="F22" i="24"/>
  <c r="E22" i="24"/>
  <c r="G21" i="24"/>
  <c r="E21" i="24"/>
  <c r="F21" i="24" s="1"/>
  <c r="H21" i="24" s="1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F17" i="24"/>
  <c r="H17" i="24" s="1"/>
  <c r="E17" i="24"/>
  <c r="G14" i="24"/>
  <c r="E14" i="24"/>
  <c r="F14" i="24" s="1"/>
  <c r="H14" i="24" s="1"/>
  <c r="H13" i="24"/>
  <c r="G13" i="24"/>
  <c r="F13" i="24"/>
  <c r="E13" i="24"/>
  <c r="G12" i="24"/>
  <c r="E12" i="24"/>
  <c r="F12" i="24" s="1"/>
  <c r="H12" i="24" s="1"/>
  <c r="H11" i="24"/>
  <c r="G11" i="24"/>
  <c r="F11" i="24"/>
  <c r="E11" i="24"/>
  <c r="G10" i="24"/>
  <c r="E10" i="24"/>
  <c r="H9" i="24"/>
  <c r="G9" i="24"/>
  <c r="F9" i="24"/>
  <c r="E9" i="24"/>
  <c r="G8" i="24"/>
  <c r="E8" i="24"/>
  <c r="F8" i="24" s="1"/>
  <c r="H7" i="24"/>
  <c r="G7" i="24"/>
  <c r="F7" i="24"/>
  <c r="E7" i="24"/>
  <c r="H6" i="24"/>
  <c r="G6" i="24"/>
  <c r="F6" i="24"/>
  <c r="E6" i="24"/>
  <c r="J29" i="1"/>
  <c r="I29" i="1"/>
  <c r="G29" i="1"/>
  <c r="E29" i="1"/>
  <c r="C35" i="1" s="1"/>
  <c r="D29" i="1"/>
  <c r="F28" i="1"/>
  <c r="F27" i="1"/>
  <c r="F26" i="1"/>
  <c r="J25" i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C36" i="1" l="1"/>
  <c r="C34" i="1"/>
  <c r="G37" i="24"/>
  <c r="C25" i="1" s="1"/>
  <c r="C29" i="1" s="1"/>
  <c r="E37" i="24"/>
  <c r="D17" i="21"/>
  <c r="F10" i="24"/>
  <c r="H10" i="24" s="1"/>
  <c r="H8" i="24"/>
  <c r="E62" i="24"/>
  <c r="H37" i="24" l="1"/>
  <c r="F37" i="24"/>
  <c r="B25" i="1" s="1"/>
  <c r="B29" i="1" s="1"/>
  <c r="C32" i="1" s="1"/>
  <c r="F25" i="1" l="1"/>
  <c r="F29" i="1" s="1"/>
  <c r="C33" i="1" s="1"/>
</calcChain>
</file>

<file path=xl/sharedStrings.xml><?xml version="1.0" encoding="utf-8"?>
<sst xmlns="http://schemas.openxmlformats.org/spreadsheetml/2006/main" count="2011" uniqueCount="91">
  <si>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</si>
  <si>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</si>
  <si>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</si>
  <si>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</si>
  <si>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</si>
  <si>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</si>
  <si>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</si>
  <si>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</si>
  <si>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</si>
  <si>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</si>
  <si>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</si>
  <si>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</si>
  <si>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</si>
  <si>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</si>
  <si>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</si>
  <si>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</si>
  <si>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</si>
  <si>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</si>
  <si>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</si>
  <si>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</si>
  <si>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</si>
  <si>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</si>
  <si>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</si>
  <si>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</si>
  <si>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</si>
  <si>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</si>
  <si>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</si>
  <si>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</si>
  <si>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</si>
  <si>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</si>
  <si>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</si>
  <si>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</si>
  <si>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</si>
  <si>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</si>
  <si>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</si>
  <si>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</si>
  <si>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</si>
  <si>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</si>
  <si>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</si>
  <si>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</si>
  <si>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</si>
  <si>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</si>
  <si>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</si>
  <si>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</si>
  <si>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</si>
  <si>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</si>
  <si>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</si>
  <si>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</si>
  <si>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</si>
  <si>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</si>
  <si>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</si>
  <si>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</si>
  <si>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</si>
  <si>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</si>
  <si>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</si>
  <si>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</si>
  <si>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</si>
  <si>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</si>
  <si>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</si>
  <si>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</si>
  <si>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</si>
  <si>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</si>
  <si>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</si>
  <si>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SERVICES 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</si>
  <si>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</si>
  <si>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</si>
  <si>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</si>
  <si>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</si>
  <si>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</si>
  <si>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</si>
  <si>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</si>
  <si>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</si>
  <si>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</si>
  <si>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</si>
  <si>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</si>
  <si>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</si>
  <si>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</si>
  <si>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</si>
  <si>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</si>
  <si>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</si>
  <si>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</si>
  <si>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</si>
  <si>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 TYPE OF TIMBER</t>
  </si>
  <si>
    <t xml:space="preserve">TOTAL TIMBER </t>
  </si>
  <si>
    <t>MONTHS REPORT OF NOVEMBER 2025</t>
  </si>
  <si>
    <t>OTHER</t>
  </si>
  <si>
    <t>QUARTERLY REPORT FROM 01/01/2026 TO  31/03/2026</t>
  </si>
  <si>
    <t>GEREVERIA</t>
  </si>
  <si>
    <t>MONTHS REPORT OF APRIL 2026</t>
  </si>
  <si>
    <t xml:space="preserve">IBIPANDE BYA PINUS </t>
  </si>
  <si>
    <t xml:space="preserve">Last month (april), I made Invoices for the Kimironko site .Which have "                                                                              TOTAL = 22,431,360                                                                                VAT= 3,879,360                                                                                      TOTAL AMOUNT PAID ON MOMO = 3,324,640 RWF    ,                                                                                                     There are three invoices 'no ,419,420 and 421 which were created earlier .                                                                            the payments were made via the momo pay code for kimironko .  AMOUNT PAID (902,920 RWF)                                                                                      The invoices were issued through the EBM the Gashyushya site                                                                               .                                                                                      COMBINED ACTIVITY REPORT FOR GASHYUSHYA AND KIMIRONKO .                                                                                 VAT= 7,286,643                                                                               TOTAL= 47,767,993                                                                                       AMOUNT RECEIVED THROUGH MOMO PAY CODE (052056) =    7,112,223 RWF                                                                   THANK YOU!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</si>
</sst>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0" fontId="0" fillId="0" borderId="0" xfId="0" applyProtection="1">
      <protection locked="0"/>
    </xf>
    <xf numFmtId="165" fontId="8" fillId="2" borderId="11" xfId="1" applyNumberFormat="1" applyFont="1" applyFill="1" applyBorder="1" applyProtection="1">
      <protection locked="0"/>
    </xf>
    <xf numFmtId="165" fontId="8" fillId="3" borderId="11" xfId="1" applyNumberFormat="1" applyFont="1" applyFill="1" applyBorder="1" applyProtection="1">
      <protection locked="0"/>
    </xf>
    <xf numFmtId="165" fontId="8" fillId="3" borderId="8" xfId="1" applyNumberFormat="1" applyFont="1" applyFill="1" applyBorder="1" applyProtection="1">
      <protection locked="0"/>
    </xf>
    <xf numFmtId="165" fontId="8" fillId="2" borderId="12" xfId="1" applyNumberFormat="1" applyFont="1" applyFill="1" applyBorder="1" applyProtection="1">
      <protection locked="0"/>
    </xf>
    <xf numFmtId="165" fontId="9" fillId="0" borderId="13" xfId="1" applyNumberFormat="1" applyFont="1" applyBorder="1" applyProtection="1">
      <protection locked="0"/>
    </xf>
    <xf numFmtId="165" fontId="8" fillId="0" borderId="15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hidden="1"/>
    </xf>
    <xf numFmtId="165" fontId="8" fillId="2" borderId="16" xfId="1" applyNumberFormat="1" applyFont="1" applyFill="1" applyBorder="1" applyProtection="1">
      <protection locked="0"/>
    </xf>
    <xf numFmtId="165" fontId="9" fillId="0" borderId="17" xfId="1" applyNumberFormat="1" applyFont="1" applyBorder="1" applyProtection="1">
      <protection locked="0"/>
    </xf>
    <xf numFmtId="165" fontId="8" fillId="0" borderId="19" xfId="1" applyNumberFormat="1" applyFont="1" applyBorder="1" applyProtection="1">
      <protection hidden="1"/>
    </xf>
    <xf numFmtId="165" fontId="8" fillId="0" borderId="18" xfId="1" applyNumberFormat="1" applyFont="1" applyBorder="1" applyProtection="1">
      <protection hidden="1"/>
    </xf>
    <xf numFmtId="165" fontId="10" fillId="2" borderId="16" xfId="1" applyNumberFormat="1" applyFont="1" applyFill="1" applyBorder="1" applyProtection="1">
      <protection locked="0"/>
    </xf>
    <xf numFmtId="165" fontId="11" fillId="2" borderId="16" xfId="1" applyNumberFormat="1" applyFont="1" applyFill="1" applyBorder="1" applyProtection="1">
      <protection locked="0"/>
    </xf>
    <xf numFmtId="165" fontId="8" fillId="2" borderId="11" xfId="1" applyNumberFormat="1" applyFont="1" applyFill="1" applyBorder="1" applyAlignment="1" applyProtection="1">
      <alignment horizontal="center"/>
      <protection locked="0"/>
    </xf>
    <xf numFmtId="165" fontId="8" fillId="0" borderId="11" xfId="1" applyNumberFormat="1" applyFont="1" applyBorder="1" applyAlignment="1" applyProtection="1">
      <alignment horizontal="center"/>
      <protection locked="0"/>
    </xf>
    <xf numFmtId="165" fontId="8" fillId="0" borderId="11" xfId="1" applyNumberFormat="1" applyFont="1" applyBorder="1" applyProtection="1">
      <protection hidden="1"/>
    </xf>
    <xf numFmtId="165" fontId="8" fillId="0" borderId="8" xfId="1" applyNumberFormat="1" applyFont="1" applyBorder="1" applyProtection="1">
      <protection hidden="1"/>
    </xf>
    <xf numFmtId="165" fontId="10" fillId="2" borderId="20" xfId="1" applyNumberFormat="1" applyFont="1" applyFill="1" applyBorder="1" applyAlignment="1" applyProtection="1">
      <alignment horizontal="left"/>
      <protection locked="0"/>
    </xf>
    <xf numFmtId="165" fontId="9" fillId="0" borderId="21" xfId="1" applyNumberFormat="1" applyFont="1" applyBorder="1" applyAlignment="1" applyProtection="1">
      <alignment horizontal="center"/>
      <protection locked="0"/>
    </xf>
    <xf numFmtId="165" fontId="8" fillId="0" borderId="22" xfId="1" applyNumberFormat="1" applyFont="1" applyBorder="1" applyProtection="1">
      <protection hidden="1"/>
    </xf>
    <xf numFmtId="165" fontId="8" fillId="0" borderId="21" xfId="1" applyNumberFormat="1" applyFont="1" applyBorder="1" applyProtection="1">
      <protection hidden="1"/>
    </xf>
    <xf numFmtId="165" fontId="8" fillId="0" borderId="23" xfId="1" applyNumberFormat="1" applyFont="1" applyBorder="1" applyProtection="1">
      <protection hidden="1"/>
    </xf>
    <xf numFmtId="165" fontId="8" fillId="0" borderId="1" xfId="1" applyNumberFormat="1" applyFont="1" applyBorder="1" applyProtection="1">
      <protection hidden="1"/>
    </xf>
    <xf numFmtId="165" fontId="10" fillId="2" borderId="24" xfId="1" applyNumberFormat="1" applyFont="1" applyFill="1" applyBorder="1" applyAlignment="1" applyProtection="1">
      <alignment horizontal="left"/>
      <protection locked="0"/>
    </xf>
    <xf numFmtId="165" fontId="9" fillId="0" borderId="16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Protection="1">
      <protection hidden="1"/>
    </xf>
    <xf numFmtId="165" fontId="8" fillId="0" borderId="16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hidden="1"/>
    </xf>
    <xf numFmtId="165" fontId="10" fillId="2" borderId="24" xfId="1" applyNumberFormat="1" applyFont="1" applyFill="1" applyBorder="1" applyProtection="1">
      <protection locked="0"/>
    </xf>
    <xf numFmtId="165" fontId="9" fillId="0" borderId="16" xfId="1" applyNumberFormat="1" applyFont="1" applyBorder="1" applyProtection="1">
      <protection locked="0"/>
    </xf>
    <xf numFmtId="165" fontId="8" fillId="0" borderId="26" xfId="1" applyNumberFormat="1" applyFont="1" applyBorder="1" applyProtection="1">
      <protection hidden="1"/>
    </xf>
    <xf numFmtId="165" fontId="8" fillId="0" borderId="10" xfId="1" applyNumberFormat="1" applyFont="1" applyBorder="1" applyProtection="1">
      <protection hidden="1"/>
    </xf>
    <xf numFmtId="165" fontId="8" fillId="2" borderId="24" xfId="1" applyNumberFormat="1" applyFont="1" applyFill="1" applyBorder="1" applyProtection="1">
      <protection locked="0"/>
    </xf>
    <xf numFmtId="165" fontId="9" fillId="0" borderId="12" xfId="1" applyNumberFormat="1" applyFont="1" applyBorder="1" applyAlignment="1" applyProtection="1">
      <alignment horizontal="center"/>
      <protection locked="0"/>
    </xf>
    <xf numFmtId="165" fontId="8" fillId="2" borderId="27" xfId="1" applyNumberFormat="1" applyFont="1" applyFill="1" applyBorder="1" applyProtection="1">
      <protection locked="0"/>
    </xf>
    <xf numFmtId="165" fontId="9" fillId="0" borderId="28" xfId="1" applyNumberFormat="1" applyFont="1" applyBorder="1" applyProtection="1">
      <protection locked="0"/>
    </xf>
    <xf numFmtId="165" fontId="8" fillId="0" borderId="29" xfId="1" applyNumberFormat="1" applyFont="1" applyBorder="1" applyProtection="1">
      <protection hidden="1"/>
    </xf>
    <xf numFmtId="165" fontId="8" fillId="0" borderId="28" xfId="1" applyNumberFormat="1" applyFont="1" applyBorder="1" applyProtection="1">
      <protection hidden="1"/>
    </xf>
    <xf numFmtId="165" fontId="8" fillId="0" borderId="30" xfId="1" applyNumberFormat="1" applyFont="1" applyBorder="1" applyProtection="1">
      <protection hidden="1"/>
    </xf>
    <xf numFmtId="165" fontId="8" fillId="0" borderId="4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hidden="1"/>
    </xf>
    <xf numFmtId="165" fontId="9" fillId="0" borderId="31" xfId="1" applyNumberFormat="1" applyFont="1" applyBorder="1" applyProtection="1">
      <protection locked="0"/>
    </xf>
    <xf numFmtId="165" fontId="8" fillId="2" borderId="33" xfId="1" applyNumberFormat="1" applyFont="1" applyFill="1" applyBorder="1" applyAlignment="1" applyProtection="1">
      <alignment vertical="center"/>
      <protection locked="0"/>
    </xf>
    <xf numFmtId="165" fontId="9" fillId="2" borderId="34" xfId="1" applyNumberFormat="1" applyFont="1" applyFill="1" applyBorder="1" applyProtection="1">
      <protection locked="0"/>
    </xf>
    <xf numFmtId="165" fontId="8" fillId="2" borderId="35" xfId="1" applyNumberFormat="1" applyFont="1" applyFill="1" applyBorder="1" applyProtection="1">
      <protection hidden="1"/>
    </xf>
    <xf numFmtId="165" fontId="11" fillId="3" borderId="38" xfId="1" applyNumberFormat="1" applyFont="1" applyFill="1" applyBorder="1" applyProtection="1">
      <protection locked="0"/>
    </xf>
    <xf numFmtId="165" fontId="9" fillId="2" borderId="2" xfId="1" applyNumberFormat="1" applyFont="1" applyFill="1" applyBorder="1" applyProtection="1">
      <protection locked="0"/>
    </xf>
    <xf numFmtId="165" fontId="9" fillId="3" borderId="11" xfId="1" applyNumberFormat="1" applyFont="1" applyFill="1" applyBorder="1" applyProtection="1">
      <protection locked="0"/>
    </xf>
    <xf numFmtId="165" fontId="11" fillId="3" borderId="8" xfId="1" applyNumberFormat="1" applyFont="1" applyFill="1" applyBorder="1" applyProtection="1">
      <protection locked="0"/>
    </xf>
    <xf numFmtId="165" fontId="9" fillId="0" borderId="30" xfId="1" applyNumberFormat="1" applyFont="1" applyBorder="1" applyProtection="1">
      <protection locked="0"/>
    </xf>
    <xf numFmtId="165" fontId="10" fillId="2" borderId="1" xfId="1" applyNumberFormat="1" applyFont="1" applyFill="1" applyBorder="1" applyProtection="1">
      <protection locked="0"/>
    </xf>
    <xf numFmtId="165" fontId="9" fillId="0" borderId="15" xfId="1" applyNumberFormat="1" applyFont="1" applyBorder="1" applyProtection="1">
      <protection locked="0"/>
    </xf>
    <xf numFmtId="165" fontId="9" fillId="0" borderId="14" xfId="1" applyNumberFormat="1" applyFont="1" applyBorder="1" applyProtection="1">
      <protection locked="0"/>
    </xf>
    <xf numFmtId="165" fontId="9" fillId="0" borderId="10" xfId="1" applyNumberFormat="1" applyFont="1" applyBorder="1" applyProtection="1">
      <protection locked="0"/>
    </xf>
    <xf numFmtId="165" fontId="10" fillId="2" borderId="7" xfId="1" applyNumberFormat="1" applyFont="1" applyFill="1" applyBorder="1" applyProtection="1">
      <protection locked="0"/>
    </xf>
    <xf numFmtId="165" fontId="9" fillId="0" borderId="19" xfId="1" applyNumberFormat="1" applyFont="1" applyBorder="1" applyProtection="1">
      <protection locked="0"/>
    </xf>
    <xf numFmtId="165" fontId="9" fillId="0" borderId="18" xfId="1" applyNumberFormat="1" applyFont="1" applyBorder="1" applyProtection="1">
      <protection locked="0"/>
    </xf>
    <xf numFmtId="165" fontId="9" fillId="0" borderId="7" xfId="1" applyNumberFormat="1" applyFont="1" applyBorder="1" applyProtection="1">
      <protection locked="0"/>
    </xf>
    <xf numFmtId="165" fontId="9" fillId="0" borderId="1" xfId="1" applyNumberFormat="1" applyFont="1" applyBorder="1" applyProtection="1">
      <protection locked="0"/>
    </xf>
    <xf numFmtId="165" fontId="10" fillId="2" borderId="11" xfId="1" applyNumberFormat="1" applyFont="1" applyFill="1" applyBorder="1" applyProtection="1">
      <protection locked="0"/>
    </xf>
    <xf numFmtId="165" fontId="9" fillId="0" borderId="9" xfId="1" applyNumberFormat="1" applyFont="1" applyBorder="1" applyAlignment="1" applyProtection="1">
      <protection locked="0"/>
    </xf>
    <xf numFmtId="165" fontId="10" fillId="2" borderId="12" xfId="1" applyNumberFormat="1" applyFont="1" applyFill="1" applyBorder="1" applyProtection="1">
      <protection locked="0"/>
    </xf>
    <xf numFmtId="165" fontId="9" fillId="0" borderId="6" xfId="1" applyNumberFormat="1" applyFont="1" applyBorder="1" applyAlignment="1" applyProtection="1">
      <protection hidden="1"/>
    </xf>
    <xf numFmtId="165" fontId="10" fillId="2" borderId="31" xfId="1" applyNumberFormat="1" applyFont="1" applyFill="1" applyBorder="1" applyAlignment="1" applyProtection="1">
      <protection locked="0"/>
    </xf>
    <xf numFmtId="165" fontId="9" fillId="0" borderId="40" xfId="1" applyNumberFormat="1" applyFont="1" applyBorder="1" applyAlignment="1" applyProtection="1">
      <protection locked="0"/>
    </xf>
    <xf numFmtId="165" fontId="9" fillId="0" borderId="42" xfId="1" applyNumberFormat="1" applyFont="1" applyBorder="1" applyAlignment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8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16" fillId="0" borderId="0" xfId="1" applyNumberFormat="1" applyFont="1" applyProtection="1">
      <protection locked="0"/>
    </xf>
    <xf numFmtId="165" fontId="0" fillId="0" borderId="0" xfId="1" applyNumberFormat="1" applyFont="1" applyProtection="1">
      <protection locked="0"/>
    </xf>
    <xf numFmtId="165" fontId="16" fillId="0" borderId="10" xfId="1" applyNumberFormat="1" applyFont="1" applyBorder="1" applyProtection="1">
      <protection locked="0"/>
    </xf>
    <xf numFmtId="165" fontId="16" fillId="0" borderId="26" xfId="1" applyNumberFormat="1" applyFont="1" applyBorder="1" applyProtection="1">
      <protection locked="0"/>
    </xf>
    <xf numFmtId="165" fontId="16" fillId="2" borderId="1" xfId="1" applyNumberFormat="1" applyFont="1" applyFill="1" applyBorder="1" applyProtection="1">
      <protection locked="0"/>
    </xf>
    <xf numFmtId="165" fontId="16" fillId="6" borderId="1" xfId="1" applyNumberFormat="1" applyFont="1" applyFill="1" applyBorder="1" applyProtection="1">
      <protection locked="0"/>
    </xf>
    <xf numFmtId="165" fontId="16" fillId="6" borderId="23" xfId="1" applyNumberFormat="1" applyFont="1" applyFill="1" applyBorder="1" applyProtection="1">
      <protection locked="0"/>
    </xf>
    <xf numFmtId="165" fontId="16" fillId="6" borderId="3" xfId="1" applyNumberFormat="1" applyFont="1" applyFill="1" applyBorder="1" applyProtection="1">
      <protection locked="0"/>
    </xf>
    <xf numFmtId="165" fontId="16" fillId="6" borderId="11" xfId="1" applyNumberFormat="1" applyFont="1" applyFill="1" applyBorder="1" applyProtection="1">
      <protection locked="0"/>
    </xf>
    <xf numFmtId="165" fontId="16" fillId="2" borderId="20" xfId="1" applyNumberFormat="1" applyFont="1" applyFill="1" applyBorder="1" applyProtection="1">
      <protection locked="0"/>
    </xf>
    <xf numFmtId="165" fontId="16" fillId="0" borderId="20" xfId="1" applyNumberFormat="1" applyFont="1" applyBorder="1" applyProtection="1">
      <protection hidden="1"/>
    </xf>
    <xf numFmtId="165" fontId="16" fillId="0" borderId="21" xfId="1" applyNumberFormat="1" applyFont="1" applyBorder="1" applyProtection="1">
      <protection hidden="1"/>
    </xf>
    <xf numFmtId="165" fontId="16" fillId="0" borderId="11" xfId="1" applyNumberFormat="1" applyFont="1" applyBorder="1" applyProtection="1">
      <protection hidden="1"/>
    </xf>
    <xf numFmtId="165" fontId="16" fillId="2" borderId="24" xfId="1" applyNumberFormat="1" applyFont="1" applyFill="1" applyBorder="1" applyProtection="1">
      <protection locked="0"/>
    </xf>
    <xf numFmtId="165" fontId="16" fillId="0" borderId="24" xfId="1" applyNumberFormat="1" applyFont="1" applyBorder="1" applyProtection="1">
      <protection hidden="1"/>
    </xf>
    <xf numFmtId="165" fontId="16" fillId="0" borderId="16" xfId="1" applyNumberFormat="1" applyFont="1" applyBorder="1" applyProtection="1">
      <protection hidden="1"/>
    </xf>
    <xf numFmtId="165" fontId="16" fillId="0" borderId="31" xfId="1" applyNumberFormat="1" applyFont="1" applyBorder="1" applyProtection="1">
      <protection hidden="1"/>
    </xf>
    <xf numFmtId="165" fontId="0" fillId="2" borderId="24" xfId="1" applyNumberFormat="1" applyFont="1" applyFill="1" applyBorder="1" applyProtection="1">
      <protection locked="0"/>
    </xf>
    <xf numFmtId="165" fontId="16" fillId="0" borderId="24" xfId="1" applyNumberFormat="1" applyFont="1" applyBorder="1" applyProtection="1">
      <protection locked="0"/>
    </xf>
    <xf numFmtId="165" fontId="16" fillId="0" borderId="16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16" xfId="1" applyNumberFormat="1" applyFont="1" applyBorder="1" applyProtection="1">
      <protection locked="0"/>
    </xf>
    <xf numFmtId="165" fontId="0" fillId="2" borderId="32" xfId="1" applyNumberFormat="1" applyFont="1" applyFill="1" applyBorder="1" applyProtection="1">
      <protection locked="0"/>
    </xf>
    <xf numFmtId="165" fontId="16" fillId="0" borderId="32" xfId="1" applyNumberFormat="1" applyFont="1" applyBorder="1" applyProtection="1">
      <protection locked="0"/>
    </xf>
    <xf numFmtId="165" fontId="16" fillId="0" borderId="31" xfId="1" applyNumberFormat="1" applyFont="1" applyBorder="1" applyProtection="1">
      <protection locked="0"/>
    </xf>
    <xf numFmtId="165" fontId="0" fillId="0" borderId="44" xfId="1" applyNumberFormat="1" applyFont="1" applyBorder="1" applyProtection="1">
      <protection locked="0"/>
    </xf>
    <xf numFmtId="165" fontId="0" fillId="0" borderId="31" xfId="1" applyNumberFormat="1" applyFont="1" applyBorder="1" applyProtection="1">
      <protection locked="0"/>
    </xf>
    <xf numFmtId="165" fontId="20" fillId="2" borderId="4" xfId="1" applyNumberFormat="1" applyFont="1" applyFill="1" applyBorder="1" applyProtection="1">
      <protection locked="0"/>
    </xf>
    <xf numFmtId="165" fontId="20" fillId="2" borderId="4" xfId="1" applyNumberFormat="1" applyFont="1" applyFill="1" applyBorder="1" applyProtection="1">
      <protection hidden="1"/>
    </xf>
    <xf numFmtId="165" fontId="20" fillId="2" borderId="30" xfId="1" applyNumberFormat="1" applyFont="1" applyFill="1" applyBorder="1" applyProtection="1">
      <protection hidden="1"/>
    </xf>
    <xf numFmtId="165" fontId="20" fillId="2" borderId="5" xfId="1" applyNumberFormat="1" applyFont="1" applyFill="1" applyBorder="1" applyProtection="1">
      <protection hidden="1"/>
    </xf>
    <xf numFmtId="165" fontId="0" fillId="0" borderId="0" xfId="1" applyNumberFormat="1" applyFont="1" applyBorder="1" applyProtection="1">
      <protection locked="0"/>
    </xf>
    <xf numFmtId="165" fontId="16" fillId="0" borderId="0" xfId="1" applyNumberFormat="1" applyFont="1" applyBorder="1" applyProtection="1">
      <protection locked="0"/>
    </xf>
    <xf numFmtId="165" fontId="25" fillId="6" borderId="2" xfId="1" applyNumberFormat="1" applyFont="1" applyFill="1" applyBorder="1" applyProtection="1">
      <protection locked="0"/>
    </xf>
    <xf numFmtId="165" fontId="0" fillId="2" borderId="26" xfId="1" applyNumberFormat="1" applyFont="1" applyFill="1" applyBorder="1" applyAlignment="1" applyProtection="1">
      <alignment horizontal="center"/>
      <protection locked="0"/>
    </xf>
    <xf numFmtId="165" fontId="16" fillId="6" borderId="0" xfId="1" applyNumberFormat="1" applyFont="1" applyFill="1" applyBorder="1" applyProtection="1">
      <protection locked="0"/>
    </xf>
    <xf numFmtId="165" fontId="16" fillId="0" borderId="47" xfId="1" applyNumberFormat="1" applyFont="1" applyBorder="1" applyProtection="1">
      <protection hidden="1"/>
    </xf>
    <xf numFmtId="165" fontId="16" fillId="0" borderId="48" xfId="1" applyNumberFormat="1" applyFont="1" applyBorder="1" applyProtection="1">
      <protection hidden="1"/>
    </xf>
    <xf numFmtId="165" fontId="0" fillId="0" borderId="48" xfId="1" applyNumberFormat="1" applyFont="1" applyBorder="1" applyProtection="1">
      <protection locked="0"/>
    </xf>
    <xf numFmtId="165" fontId="0" fillId="0" borderId="49" xfId="1" applyNumberFormat="1" applyFont="1" applyBorder="1" applyProtection="1">
      <protection locked="0"/>
    </xf>
    <xf numFmtId="165" fontId="16" fillId="2" borderId="26" xfId="1" applyNumberFormat="1" applyFont="1" applyFill="1" applyBorder="1" applyProtection="1">
      <protection hidden="1"/>
    </xf>
    <xf numFmtId="165" fontId="20" fillId="2" borderId="0" xfId="1" applyNumberFormat="1" applyFont="1" applyFill="1" applyBorder="1" applyProtection="1">
      <protection locked="0"/>
    </xf>
    <xf numFmtId="165" fontId="18" fillId="2" borderId="10" xfId="1" applyNumberFormat="1" applyFont="1" applyFill="1" applyBorder="1" applyAlignment="1" applyProtection="1">
      <alignment horizontal="center"/>
      <protection locked="0"/>
    </xf>
    <xf numFmtId="165" fontId="18" fillId="2" borderId="0" xfId="1" applyNumberFormat="1" applyFont="1" applyFill="1" applyBorder="1" applyAlignment="1" applyProtection="1">
      <alignment horizontal="center"/>
      <protection locked="0"/>
    </xf>
    <xf numFmtId="165" fontId="0" fillId="6" borderId="8" xfId="1" applyNumberFormat="1" applyFont="1" applyFill="1" applyBorder="1" applyAlignment="1" applyProtection="1">
      <alignment horizontal="center"/>
      <protection locked="0"/>
    </xf>
    <xf numFmtId="165" fontId="0" fillId="6" borderId="9" xfId="1" applyNumberFormat="1" applyFont="1" applyFill="1" applyBorder="1" applyAlignment="1" applyProtection="1">
      <alignment horizontal="center"/>
      <protection locked="0"/>
    </xf>
    <xf numFmtId="165" fontId="22" fillId="3" borderId="7" xfId="1" applyNumberFormat="1" applyFont="1" applyFill="1" applyBorder="1" applyAlignment="1" applyProtection="1">
      <alignment horizontal="center"/>
      <protection locked="0"/>
    </xf>
    <xf numFmtId="165" fontId="22" fillId="3" borderId="8" xfId="1" applyNumberFormat="1" applyFont="1" applyFill="1" applyBorder="1" applyAlignment="1" applyProtection="1">
      <alignment horizontal="center"/>
      <protection locked="0"/>
    </xf>
    <xf numFmtId="165" fontId="21" fillId="0" borderId="33" xfId="1" applyNumberFormat="1" applyFont="1" applyBorder="1" applyAlignment="1" applyProtection="1">
      <alignment horizontal="left"/>
      <protection locked="0"/>
    </xf>
    <xf numFmtId="165" fontId="21" fillId="0" borderId="39" xfId="1" applyNumberFormat="1" applyFont="1" applyBorder="1" applyAlignment="1" applyProtection="1">
      <alignment horizontal="left"/>
      <protection locked="0"/>
    </xf>
    <xf numFmtId="165" fontId="0" fillId="0" borderId="1" xfId="1" applyNumberFormat="1" applyFont="1" applyBorder="1" applyAlignment="1" applyProtection="1">
      <alignment horizontal="center"/>
      <protection hidden="1"/>
    </xf>
    <xf numFmtId="165" fontId="0" fillId="0" borderId="2" xfId="1" applyNumberFormat="1" applyFont="1" applyBorder="1" applyAlignment="1" applyProtection="1">
      <alignment horizontal="center"/>
      <protection hidden="1"/>
    </xf>
    <xf numFmtId="165" fontId="0" fillId="0" borderId="7" xfId="1" applyNumberFormat="1" applyFont="1" applyBorder="1" applyAlignment="1" applyProtection="1">
      <alignment horizontal="center"/>
      <protection hidden="1"/>
    </xf>
    <xf numFmtId="165" fontId="0" fillId="0" borderId="8" xfId="1" applyNumberFormat="1" applyFont="1" applyBorder="1" applyAlignment="1" applyProtection="1">
      <alignment horizontal="center"/>
      <protection hidden="1"/>
    </xf>
    <xf numFmtId="165" fontId="21" fillId="0" borderId="7" xfId="1" applyNumberFormat="1" applyFont="1" applyBorder="1" applyAlignment="1" applyProtection="1">
      <alignment horizontal="left"/>
      <protection locked="0"/>
    </xf>
    <xf numFmtId="165" fontId="21" fillId="0" borderId="9" xfId="1" applyNumberFormat="1" applyFont="1" applyBorder="1" applyAlignment="1" applyProtection="1">
      <alignment horizontal="left"/>
      <protection locked="0"/>
    </xf>
    <xf numFmtId="165" fontId="0" fillId="0" borderId="9" xfId="1" applyNumberFormat="1" applyFont="1" applyBorder="1" applyAlignment="1" applyProtection="1">
      <alignment horizontal="center"/>
      <protection hidden="1"/>
    </xf>
    <xf numFmtId="165" fontId="21" fillId="0" borderId="45" xfId="1" applyNumberFormat="1" applyFont="1" applyBorder="1" applyAlignment="1" applyProtection="1">
      <alignment horizontal="center"/>
      <protection locked="0"/>
    </xf>
    <xf numFmtId="165" fontId="21" fillId="0" borderId="46" xfId="1" applyNumberFormat="1" applyFont="1" applyBorder="1" applyAlignment="1" applyProtection="1">
      <alignment horizontal="center"/>
      <protection locked="0"/>
    </xf>
    <xf numFmtId="165" fontId="24" fillId="2" borderId="7" xfId="1" applyNumberFormat="1" applyFont="1" applyFill="1" applyBorder="1" applyAlignment="1" applyProtection="1">
      <alignment horizontal="center"/>
      <protection locked="0"/>
    </xf>
    <xf numFmtId="165" fontId="24" fillId="2" borderId="8" xfId="1" applyNumberFormat="1" applyFont="1" applyFill="1" applyBorder="1" applyAlignment="1" applyProtection="1">
      <alignment horizontal="center"/>
      <protection locked="0"/>
    </xf>
    <xf numFmtId="165" fontId="24" fillId="2" borderId="9" xfId="1" applyNumberFormat="1" applyFont="1" applyFill="1" applyBorder="1" applyAlignment="1" applyProtection="1">
      <alignment horizontal="center"/>
      <protection locked="0"/>
    </xf>
    <xf numFmtId="165" fontId="21" fillId="0" borderId="1" xfId="1" applyNumberFormat="1" applyFont="1" applyBorder="1" applyAlignment="1" applyProtection="1">
      <alignment horizontal="left" vertical="top"/>
      <protection locked="0"/>
    </xf>
    <xf numFmtId="165" fontId="21" fillId="0" borderId="2" xfId="1" applyNumberFormat="1" applyFont="1" applyBorder="1" applyAlignment="1" applyProtection="1">
      <alignment horizontal="left" vertical="top"/>
      <protection locked="0"/>
    </xf>
    <xf numFmtId="165" fontId="21" fillId="0" borderId="3" xfId="1" applyNumberFormat="1" applyFont="1" applyBorder="1" applyAlignment="1" applyProtection="1">
      <alignment horizontal="left" vertical="top"/>
      <protection locked="0"/>
    </xf>
    <xf numFmtId="165" fontId="21" fillId="0" borderId="10" xfId="1" applyNumberFormat="1" applyFont="1" applyBorder="1" applyAlignment="1" applyProtection="1">
      <alignment horizontal="left" vertical="top"/>
      <protection locked="0"/>
    </xf>
    <xf numFmtId="165" fontId="21" fillId="0" borderId="0" xfId="1" applyNumberFormat="1" applyFont="1" applyBorder="1" applyAlignment="1" applyProtection="1">
      <alignment horizontal="left" vertical="top"/>
      <protection locked="0"/>
    </xf>
    <xf numFmtId="165" fontId="21" fillId="0" borderId="43" xfId="1" applyNumberFormat="1" applyFont="1" applyBorder="1" applyAlignment="1" applyProtection="1">
      <alignment horizontal="left" vertical="top"/>
      <protection locked="0"/>
    </xf>
    <xf numFmtId="165" fontId="21" fillId="0" borderId="4" xfId="1" applyNumberFormat="1" applyFont="1" applyBorder="1" applyAlignment="1" applyProtection="1">
      <alignment horizontal="left" vertical="top"/>
      <protection locked="0"/>
    </xf>
    <xf numFmtId="165" fontId="21" fillId="0" borderId="5" xfId="1" applyNumberFormat="1" applyFont="1" applyBorder="1" applyAlignment="1" applyProtection="1">
      <alignment horizontal="left" vertical="top"/>
      <protection locked="0"/>
    </xf>
    <xf numFmtId="165" fontId="21" fillId="0" borderId="6" xfId="1" applyNumberFormat="1" applyFont="1" applyBorder="1" applyAlignment="1" applyProtection="1">
      <alignment horizontal="left" vertical="top"/>
      <protection locked="0"/>
    </xf>
    <xf numFmtId="165" fontId="19" fillId="2" borderId="10" xfId="1" applyNumberFormat="1" applyFont="1" applyFill="1" applyBorder="1" applyAlignment="1" applyProtection="1">
      <alignment horizontal="center" vertical="center"/>
      <protection locked="0"/>
    </xf>
    <xf numFmtId="165" fontId="19" fillId="2" borderId="0" xfId="1" applyNumberFormat="1" applyFont="1" applyFill="1" applyBorder="1" applyAlignment="1" applyProtection="1">
      <alignment horizontal="center" vertical="center"/>
      <protection locked="0"/>
    </xf>
    <xf numFmtId="165" fontId="0" fillId="2" borderId="1" xfId="1" applyNumberFormat="1" applyFont="1" applyFill="1" applyBorder="1" applyAlignment="1" applyProtection="1">
      <alignment horizontal="center"/>
      <protection locked="0"/>
    </xf>
    <xf numFmtId="165" fontId="0" fillId="2" borderId="3" xfId="1" applyNumberFormat="1" applyFont="1" applyFill="1" applyBorder="1" applyAlignment="1" applyProtection="1">
      <alignment horizontal="center"/>
      <protection locked="0"/>
    </xf>
    <xf numFmtId="165" fontId="0" fillId="2" borderId="10" xfId="1" applyNumberFormat="1" applyFont="1" applyFill="1" applyBorder="1" applyAlignment="1" applyProtection="1">
      <alignment horizontal="center"/>
      <protection locked="0"/>
    </xf>
    <xf numFmtId="165" fontId="0" fillId="2" borderId="43" xfId="1" applyNumberFormat="1" applyFont="1" applyFill="1" applyBorder="1" applyAlignment="1" applyProtection="1">
      <alignment horizontal="center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6" xfId="1" applyNumberFormat="1" applyFont="1" applyFill="1" applyBorder="1" applyAlignment="1" applyProtection="1">
      <alignment horizontal="center"/>
      <protection locked="0"/>
    </xf>
    <xf numFmtId="165" fontId="23" fillId="0" borderId="1" xfId="1" applyNumberFormat="1" applyFont="1" applyBorder="1" applyAlignment="1" applyProtection="1">
      <alignment horizontal="left"/>
      <protection locked="0"/>
    </xf>
    <xf numFmtId="165" fontId="23" fillId="0" borderId="2" xfId="1" applyNumberFormat="1" applyFont="1" applyBorder="1" applyAlignment="1" applyProtection="1">
      <alignment horizontal="left"/>
      <protection locked="0"/>
    </xf>
    <xf numFmtId="165" fontId="23" fillId="0" borderId="3" xfId="1" applyNumberFormat="1" applyFont="1" applyBorder="1" applyAlignment="1" applyProtection="1">
      <alignment horizontal="left"/>
      <protection locked="0"/>
    </xf>
    <xf numFmtId="165" fontId="23" fillId="0" borderId="4" xfId="1" applyNumberFormat="1" applyFont="1" applyBorder="1" applyAlignment="1" applyProtection="1">
      <alignment horizontal="left"/>
      <protection locked="0"/>
    </xf>
    <xf numFmtId="165" fontId="23" fillId="0" borderId="5" xfId="1" applyNumberFormat="1" applyFont="1" applyBorder="1" applyAlignment="1" applyProtection="1">
      <alignment horizontal="left"/>
      <protection locked="0"/>
    </xf>
    <xf numFmtId="165" fontId="23" fillId="0" borderId="6" xfId="1" applyNumberFormat="1" applyFont="1" applyBorder="1" applyAlignment="1" applyProtection="1">
      <alignment horizontal="left"/>
      <protection locked="0"/>
    </xf>
    <xf numFmtId="165" fontId="8" fillId="3" borderId="7" xfId="1" applyNumberFormat="1" applyFont="1" applyFill="1" applyBorder="1" applyAlignment="1" applyProtection="1">
      <alignment horizontal="center"/>
      <protection locked="0"/>
    </xf>
    <xf numFmtId="165" fontId="8" fillId="3" borderId="9" xfId="1" applyNumberFormat="1" applyFont="1" applyFill="1" applyBorder="1" applyAlignment="1" applyProtection="1">
      <alignment horizontal="center"/>
      <protection locked="0"/>
    </xf>
    <xf numFmtId="165" fontId="9" fillId="0" borderId="14" xfId="1" applyNumberFormat="1" applyFont="1" applyBorder="1" applyAlignment="1" applyProtection="1">
      <alignment horizontal="center"/>
      <protection locked="0"/>
    </xf>
    <xf numFmtId="165" fontId="9" fillId="0" borderId="13" xfId="1" applyNumberFormat="1" applyFont="1" applyBorder="1" applyAlignment="1" applyProtection="1">
      <alignment horizontal="center"/>
      <protection locked="0"/>
    </xf>
    <xf numFmtId="165" fontId="9" fillId="0" borderId="18" xfId="1" applyNumberFormat="1" applyFont="1" applyBorder="1" applyAlignment="1" applyProtection="1">
      <alignment horizontal="center"/>
      <protection locked="0"/>
    </xf>
    <xf numFmtId="165" fontId="9" fillId="0" borderId="17" xfId="1" applyNumberFormat="1" applyFont="1" applyBorder="1" applyAlignment="1" applyProtection="1">
      <alignment horizontal="center"/>
      <protection locked="0"/>
    </xf>
    <xf numFmtId="165" fontId="12" fillId="3" borderId="7" xfId="1" applyNumberFormat="1" applyFont="1" applyFill="1" applyBorder="1" applyAlignment="1" applyProtection="1">
      <alignment horizontal="center"/>
      <protection locked="0"/>
    </xf>
    <xf numFmtId="165" fontId="12" fillId="3" borderId="8" xfId="1" applyNumberFormat="1" applyFont="1" applyFill="1" applyBorder="1" applyAlignment="1" applyProtection="1">
      <alignment horizontal="center"/>
      <protection locked="0"/>
    </xf>
    <xf numFmtId="165" fontId="10" fillId="3" borderId="36" xfId="1" applyNumberFormat="1" applyFont="1" applyFill="1" applyBorder="1" applyAlignment="1" applyProtection="1">
      <alignment horizontal="center" vertical="center"/>
      <protection locked="0"/>
    </xf>
    <xf numFmtId="165" fontId="8" fillId="3" borderId="37" xfId="1" applyNumberFormat="1" applyFont="1" applyFill="1" applyBorder="1" applyAlignment="1" applyProtection="1">
      <alignment horizontal="center" vertical="center"/>
      <protection locked="0"/>
    </xf>
    <xf numFmtId="165" fontId="9" fillId="3" borderId="33" xfId="1" applyNumberFormat="1" applyFont="1" applyFill="1" applyBorder="1" applyAlignment="1" applyProtection="1">
      <alignment horizontal="center"/>
      <protection locked="0"/>
    </xf>
    <xf numFmtId="165" fontId="9" fillId="3" borderId="39" xfId="1" applyNumberFormat="1" applyFont="1" applyFill="1" applyBorder="1" applyAlignment="1" applyProtection="1">
      <alignment horizontal="center"/>
      <protection locked="0"/>
    </xf>
    <xf numFmtId="165" fontId="8" fillId="0" borderId="4" xfId="1" applyNumberFormat="1" applyFont="1" applyBorder="1" applyAlignment="1" applyProtection="1">
      <alignment horizontal="left"/>
      <protection locked="0"/>
    </xf>
    <xf numFmtId="165" fontId="8" fillId="0" borderId="6" xfId="1" applyNumberFormat="1" applyFont="1" applyBorder="1" applyAlignment="1" applyProtection="1">
      <alignment horizontal="left"/>
      <protection locked="0"/>
    </xf>
    <xf numFmtId="165" fontId="9" fillId="0" borderId="15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left"/>
      <protection locked="0"/>
    </xf>
    <xf numFmtId="165" fontId="8" fillId="0" borderId="9" xfId="1" applyNumberFormat="1" applyFont="1" applyBorder="1" applyAlignment="1" applyProtection="1">
      <alignment horizontal="left"/>
      <protection locked="0"/>
    </xf>
    <xf numFmtId="165" fontId="9" fillId="0" borderId="19" xfId="1" applyNumberFormat="1" applyFont="1" applyBorder="1" applyAlignment="1" applyProtection="1">
      <alignment horizontal="center"/>
      <protection locked="0"/>
    </xf>
    <xf numFmtId="165" fontId="9" fillId="0" borderId="19" xfId="1" applyNumberFormat="1" applyFont="1" applyBorder="1" applyAlignment="1" applyProtection="1">
      <alignment horizontal="left"/>
      <protection locked="0"/>
    </xf>
    <xf numFmtId="165" fontId="8" fillId="0" borderId="1" xfId="1" applyNumberFormat="1" applyFont="1" applyBorder="1" applyAlignment="1" applyProtection="1">
      <alignment horizontal="left"/>
      <protection locked="0"/>
    </xf>
    <xf numFmtId="165" fontId="8" fillId="0" borderId="3" xfId="1" applyNumberFormat="1" applyFont="1" applyBorder="1" applyAlignment="1" applyProtection="1">
      <alignment horizontal="left"/>
      <protection locked="0"/>
    </xf>
    <xf numFmtId="165" fontId="9" fillId="0" borderId="17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9" xfId="1" applyNumberFormat="1" applyFont="1" applyBorder="1" applyAlignment="1" applyProtection="1">
      <alignment horizontal="left"/>
      <protection locked="0"/>
    </xf>
    <xf numFmtId="165" fontId="9" fillId="0" borderId="40" xfId="1" applyNumberFormat="1" applyFont="1" applyBorder="1" applyAlignment="1" applyProtection="1">
      <alignment horizontal="left"/>
      <protection locked="0"/>
    </xf>
    <xf numFmtId="165" fontId="9" fillId="0" borderId="41" xfId="1" applyNumberFormat="1" applyFont="1" applyBorder="1" applyAlignment="1" applyProtection="1">
      <alignment horizontal="left"/>
      <protection locked="0"/>
    </xf>
    <xf numFmtId="165" fontId="10" fillId="2" borderId="7" xfId="1" applyNumberFormat="1" applyFont="1" applyFill="1" applyBorder="1" applyAlignment="1" applyProtection="1">
      <alignment horizontal="center"/>
      <protection locked="0"/>
    </xf>
    <xf numFmtId="165" fontId="8" fillId="2" borderId="9" xfId="1" applyNumberFormat="1" applyFont="1" applyFill="1" applyBorder="1" applyAlignment="1" applyProtection="1">
      <alignment horizontal="center"/>
      <protection locked="0"/>
    </xf>
    <xf numFmtId="165" fontId="13" fillId="2" borderId="8" xfId="1" applyNumberFormat="1" applyFont="1" applyFill="1" applyBorder="1" applyAlignment="1" applyProtection="1">
      <protection locked="0"/>
    </xf>
    <xf numFmtId="165" fontId="13" fillId="2" borderId="9" xfId="1" applyNumberFormat="1" applyFont="1" applyFill="1" applyBorder="1" applyAlignment="1" applyProtection="1">
      <protection locked="0"/>
    </xf>
    <xf numFmtId="165" fontId="13" fillId="2" borderId="7" xfId="1" applyNumberFormat="1" applyFont="1" applyFill="1" applyBorder="1" applyAlignment="1" applyProtection="1">
      <alignment horizontal="center"/>
      <protection locked="0"/>
    </xf>
    <xf numFmtId="165" fontId="13" fillId="2" borderId="8" xfId="1" applyNumberFormat="1" applyFont="1" applyFill="1" applyBorder="1" applyAlignment="1" applyProtection="1">
      <alignment horizontal="center"/>
      <protection locked="0"/>
    </xf>
    <xf numFmtId="165" fontId="15" fillId="2" borderId="8" xfId="1" applyNumberFormat="1" applyFont="1" applyFill="1" applyBorder="1" applyAlignment="1" applyProtection="1">
      <protection locked="0"/>
    </xf>
    <xf numFmtId="165" fontId="15" fillId="2" borderId="9" xfId="1" applyNumberFormat="1" applyFont="1" applyFill="1" applyBorder="1" applyAlignment="1" applyProtection="1">
      <protection locked="0"/>
    </xf>
    <xf numFmtId="165" fontId="15" fillId="0" borderId="7" xfId="1" applyNumberFormat="1" applyFont="1" applyBorder="1" applyAlignment="1" applyProtection="1">
      <alignment horizontal="center"/>
      <protection hidden="1"/>
    </xf>
    <xf numFmtId="165" fontId="15" fillId="0" borderId="8" xfId="1" applyNumberFormat="1" applyFont="1" applyBorder="1" applyAlignment="1" applyProtection="1">
      <alignment horizontal="center"/>
      <protection hidden="1"/>
    </xf>
    <xf numFmtId="165" fontId="16" fillId="2" borderId="8" xfId="1" applyNumberFormat="1" applyFont="1" applyFill="1" applyBorder="1" applyAlignment="1" applyProtection="1">
      <protection locked="0"/>
    </xf>
    <xf numFmtId="165" fontId="16" fillId="2" borderId="9" xfId="1" applyNumberFormat="1" applyFont="1" applyFill="1" applyBorder="1" applyAlignment="1" applyProtection="1">
      <protection locked="0"/>
    </xf>
    <xf numFmtId="165" fontId="16" fillId="0" borderId="7" xfId="1" applyNumberFormat="1" applyFont="1" applyBorder="1" applyAlignment="1" applyProtection="1">
      <alignment horizontal="center"/>
      <protection hidden="1"/>
    </xf>
    <xf numFmtId="165" fontId="16" fillId="0" borderId="8" xfId="1" applyNumberFormat="1" applyFont="1" applyBorder="1" applyAlignment="1" applyProtection="1">
      <alignment horizontal="center"/>
      <protection hidden="1"/>
    </xf>
    <xf numFmtId="165" fontId="17" fillId="0" borderId="7" xfId="1" applyNumberFormat="1" applyFont="1" applyBorder="1" applyAlignment="1" applyProtection="1">
      <alignment horizontal="center" vertical="center"/>
      <protection hidden="1"/>
    </xf>
    <xf numFmtId="165" fontId="17" fillId="0" borderId="8" xfId="1" applyNumberFormat="1" applyFont="1" applyBorder="1" applyAlignment="1" applyProtection="1">
      <alignment horizontal="center" vertical="center"/>
      <protection hidden="1"/>
    </xf>
    <xf numFmtId="165" fontId="16" fillId="2" borderId="2" xfId="1" applyNumberFormat="1" applyFont="1" applyFill="1" applyBorder="1" applyAlignment="1" applyProtection="1">
      <protection locked="0"/>
    </xf>
    <xf numFmtId="165" fontId="16" fillId="2" borderId="3" xfId="1" applyNumberFormat="1" applyFont="1" applyFill="1" applyBorder="1" applyAlignment="1" applyProtection="1"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165" fontId="0" fillId="0" borderId="2" xfId="1" applyNumberFormat="1" applyFont="1" applyBorder="1" applyAlignment="1" applyProtection="1">
      <alignment horizontal="center"/>
      <protection locked="0"/>
    </xf>
    <xf numFmtId="165" fontId="8" fillId="2" borderId="7" xfId="1" applyNumberFormat="1" applyFont="1" applyFill="1" applyBorder="1" applyAlignment="1" applyProtection="1">
      <alignment horizontal="center"/>
      <protection locked="0"/>
    </xf>
    <xf numFmtId="165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5" fontId="14" fillId="4" borderId="1" xfId="1" applyNumberFormat="1" applyFont="1" applyFill="1" applyBorder="1" applyAlignment="1" applyProtection="1">
      <alignment horizontal="left" vertical="top" wrapText="1"/>
      <protection locked="0"/>
    </xf>
    <xf numFmtId="165" fontId="14" fillId="4" borderId="3" xfId="1" applyNumberFormat="1" applyFont="1" applyFill="1" applyBorder="1" applyAlignment="1" applyProtection="1">
      <alignment horizontal="left" vertical="top" wrapText="1"/>
      <protection locked="0"/>
    </xf>
    <xf numFmtId="165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5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5" fontId="14" fillId="4" borderId="4" xfId="1" applyNumberFormat="1" applyFont="1" applyFill="1" applyBorder="1" applyAlignment="1" applyProtection="1">
      <alignment horizontal="left" vertical="top" wrapText="1"/>
      <protection locked="0"/>
    </xf>
    <xf numFmtId="165" fontId="14" fillId="4" borderId="6" xfId="1" applyNumberFormat="1" applyFont="1" applyFill="1" applyBorder="1" applyAlignment="1" applyProtection="1">
      <alignment horizontal="left" vertical="top" wrapText="1"/>
      <protection locked="0"/>
    </xf>
    <xf numFmtId="165" fontId="1" fillId="0" borderId="1" xfId="1" applyNumberFormat="1" applyFont="1" applyBorder="1" applyAlignment="1" applyProtection="1">
      <alignment horizontal="center"/>
      <protection locked="0"/>
    </xf>
    <xf numFmtId="165" fontId="1" fillId="0" borderId="2" xfId="1" applyNumberFormat="1" applyFont="1" applyBorder="1" applyAlignment="1" applyProtection="1">
      <alignment horizontal="center"/>
      <protection locked="0"/>
    </xf>
    <xf numFmtId="165" fontId="1" fillId="0" borderId="4" xfId="1" applyNumberFormat="1" applyFont="1" applyBorder="1" applyAlignment="1" applyProtection="1">
      <alignment horizontal="center"/>
      <protection locked="0"/>
    </xf>
    <xf numFmtId="165" fontId="1" fillId="0" borderId="5" xfId="1" applyNumberFormat="1" applyFont="1" applyBorder="1" applyAlignment="1" applyProtection="1">
      <alignment horizontal="center"/>
      <protection locked="0"/>
    </xf>
    <xf numFmtId="165" fontId="7" fillId="2" borderId="1" xfId="1" applyNumberFormat="1" applyFont="1" applyFill="1" applyBorder="1" applyAlignment="1" applyProtection="1">
      <alignment horizontal="center"/>
      <protection locked="0"/>
    </xf>
    <xf numFmtId="165" fontId="7" fillId="2" borderId="2" xfId="1" applyNumberFormat="1" applyFont="1" applyFill="1" applyBorder="1" applyAlignment="1" applyProtection="1">
      <alignment horizontal="center"/>
      <protection locked="0"/>
    </xf>
    <xf numFmtId="165" fontId="7" fillId="2" borderId="4" xfId="1" applyNumberFormat="1" applyFont="1" applyFill="1" applyBorder="1" applyAlignment="1" applyProtection="1">
      <alignment horizontal="center"/>
      <protection locked="0"/>
    </xf>
    <xf numFmtId="165" fontId="7" fillId="2" borderId="5" xfId="1" applyNumberFormat="1" applyFont="1" applyFill="1" applyBorder="1" applyAlignment="1" applyProtection="1">
      <alignment horizontal="center"/>
      <protection locked="0"/>
    </xf>
    <xf numFmtId="165" fontId="7" fillId="2" borderId="10" xfId="1" applyNumberFormat="1" applyFont="1" applyFill="1" applyBorder="1" applyAlignment="1" applyProtection="1">
      <alignment horizontal="center"/>
      <protection locked="0"/>
    </xf>
    <xf numFmtId="165" fontId="7" fillId="2" borderId="0" xfId="1" applyNumberFormat="1" applyFont="1" applyFill="1" applyAlignment="1" applyProtection="1">
      <alignment horizontal="center"/>
      <protection locked="0"/>
    </xf>
    <xf numFmtId="165" fontId="7" fillId="2" borderId="0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5" fontId="16" fillId="2" borderId="2" xfId="1" applyNumberFormat="1" applyFont="1" applyFill="1" applyBorder="1" applyAlignment="1"/>
    <xf numFmtId="165" fontId="16" fillId="2" borderId="3" xfId="1" applyNumberFormat="1" applyFont="1" applyFill="1" applyBorder="1" applyAlignment="1"/>
    <xf numFmtId="165" fontId="0" fillId="0" borderId="1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2" fillId="2" borderId="7" xfId="1" applyNumberFormat="1" applyFont="1" applyFill="1" applyBorder="1" applyAlignment="1" applyProtection="1">
      <alignment horizontal="center"/>
      <protection locked="0"/>
    </xf>
    <xf numFmtId="165" fontId="2" fillId="2" borderId="8" xfId="1" applyNumberFormat="1" applyFont="1" applyFill="1" applyBorder="1" applyAlignment="1" applyProtection="1">
      <alignment horizontal="center"/>
      <protection locked="0"/>
    </xf>
    <xf numFmtId="165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5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5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5" fontId="1" fillId="0" borderId="3" xfId="1" applyNumberFormat="1" applyFont="1" applyBorder="1" applyAlignment="1" applyProtection="1">
      <alignment horizontal="center"/>
      <protection locked="0"/>
    </xf>
    <xf numFmtId="165" fontId="1" fillId="0" borderId="6" xfId="1" applyNumberFormat="1" applyFont="1" applyBorder="1" applyAlignment="1" applyProtection="1">
      <alignment horizontal="center"/>
      <protection locked="0"/>
    </xf>
    <xf numFmtId="165" fontId="8" fillId="2" borderId="20" xfId="1" applyNumberFormat="1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8164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5429687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54296875" style="73" customWidth="1"/>
    <col min="11" max="11" width="8.81640625" style="73"/>
    <col min="12" max="12" width="19.81640625" style="73" customWidth="1"/>
    <col min="13" max="16384" width="8.81640625" style="73"/>
  </cols>
  <sheetData>
    <row r="1" spans="1:15" ht="51.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03"/>
      <c r="M1" s="103"/>
      <c r="N1" s="103"/>
    </row>
    <row r="2" spans="1:15" ht="31" customHeight="1">
      <c r="A2" s="143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03"/>
      <c r="M2" s="103"/>
      <c r="N2" s="103"/>
    </row>
    <row r="3" spans="1:15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12360231</v>
      </c>
      <c r="C9" s="87">
        <f>RWAMAGANA!G37</f>
        <v>1363010</v>
      </c>
      <c r="D9" s="87">
        <f>RWAMAGANA!C43</f>
        <v>50000</v>
      </c>
      <c r="E9" s="87">
        <f>RWAMAGANA!C44</f>
        <v>100000</v>
      </c>
      <c r="F9" s="84">
        <f t="shared" si="0"/>
        <v>13723241</v>
      </c>
      <c r="G9" s="86">
        <f>RWAMAGANA!C41</f>
        <v>0</v>
      </c>
      <c r="H9" s="87">
        <f>RWAMAGANA!C39</f>
        <v>13723241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3407283</v>
      </c>
      <c r="C25" s="87">
        <f>GASHYUSHYA!G37</f>
        <v>380300</v>
      </c>
      <c r="D25" s="87">
        <f>GASHYUSHYA!C43</f>
        <v>0</v>
      </c>
      <c r="E25" s="87">
        <f>GASHYUSHYA!C44</f>
        <v>0</v>
      </c>
      <c r="F25" s="84">
        <f t="shared" si="0"/>
        <v>3787583</v>
      </c>
      <c r="G25" s="87">
        <f>GASHYUSHYA!C41</f>
        <v>0</v>
      </c>
      <c r="H25" s="88">
        <f>GASHYUSHYA!C39</f>
        <v>3787583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15767514</v>
      </c>
      <c r="C29" s="101">
        <f t="shared" si="1"/>
        <v>1743310</v>
      </c>
      <c r="D29" s="102">
        <f t="shared" si="1"/>
        <v>50000</v>
      </c>
      <c r="E29" s="101">
        <f t="shared" si="1"/>
        <v>100000</v>
      </c>
      <c r="F29" s="101">
        <f t="shared" si="1"/>
        <v>17510824</v>
      </c>
      <c r="G29" s="102">
        <f t="shared" si="1"/>
        <v>0</v>
      </c>
      <c r="H29" s="102">
        <f t="shared" si="1"/>
        <v>17510824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16"/>
      <c r="B30" s="116"/>
      <c r="C30" s="116"/>
      <c r="D30" s="117"/>
      <c r="E30" s="134" t="s">
        <v>33</v>
      </c>
      <c r="F30" s="135"/>
      <c r="G30" s="135"/>
      <c r="H30" s="135"/>
      <c r="I30" s="136"/>
      <c r="J30" s="145"/>
      <c r="K30" s="146"/>
      <c r="L30" s="103"/>
    </row>
    <row r="31" spans="1:15">
      <c r="A31" s="118" t="s">
        <v>34</v>
      </c>
      <c r="B31" s="119"/>
      <c r="C31" s="119"/>
      <c r="D31" s="119"/>
      <c r="E31" s="137"/>
      <c r="F31" s="138"/>
      <c r="G31" s="138"/>
      <c r="H31" s="138"/>
      <c r="I31" s="139"/>
      <c r="J31" s="147"/>
      <c r="K31" s="148"/>
      <c r="L31" s="103"/>
    </row>
    <row r="32" spans="1:15" ht="14.5">
      <c r="A32" s="120" t="s">
        <v>35</v>
      </c>
      <c r="B32" s="121"/>
      <c r="C32" s="122">
        <f>SUM(B29+C29)</f>
        <v>17510824</v>
      </c>
      <c r="D32" s="123"/>
      <c r="E32" s="137"/>
      <c r="F32" s="138"/>
      <c r="G32" s="138"/>
      <c r="H32" s="138"/>
      <c r="I32" s="139"/>
      <c r="J32" s="147"/>
      <c r="K32" s="148"/>
      <c r="L32" s="103"/>
    </row>
    <row r="33" spans="1:12" ht="14.5">
      <c r="A33" s="120" t="s">
        <v>36</v>
      </c>
      <c r="B33" s="121"/>
      <c r="C33" s="124">
        <f>SUM(F29,G29)</f>
        <v>17510824</v>
      </c>
      <c r="D33" s="125"/>
      <c r="E33" s="137"/>
      <c r="F33" s="138"/>
      <c r="G33" s="138"/>
      <c r="H33" s="138"/>
      <c r="I33" s="139"/>
      <c r="J33" s="147"/>
      <c r="K33" s="148"/>
      <c r="L33" s="103"/>
    </row>
    <row r="34" spans="1:12" ht="14.5">
      <c r="A34" s="126" t="s">
        <v>37</v>
      </c>
      <c r="B34" s="127"/>
      <c r="C34" s="124">
        <f>SUM(H29,J29,I29+G29)</f>
        <v>17510824</v>
      </c>
      <c r="D34" s="128"/>
      <c r="E34" s="137"/>
      <c r="F34" s="138"/>
      <c r="G34" s="138"/>
      <c r="H34" s="138"/>
      <c r="I34" s="139"/>
      <c r="J34" s="147"/>
      <c r="K34" s="148"/>
      <c r="L34" s="103"/>
    </row>
    <row r="35" spans="1:12" ht="14.5">
      <c r="A35" s="120" t="s">
        <v>38</v>
      </c>
      <c r="B35" s="121"/>
      <c r="C35" s="124">
        <f>SUM(D29:E29)</f>
        <v>150000</v>
      </c>
      <c r="D35" s="128"/>
      <c r="E35" s="140"/>
      <c r="F35" s="141"/>
      <c r="G35" s="141"/>
      <c r="H35" s="141"/>
      <c r="I35" s="142"/>
      <c r="J35" s="147"/>
      <c r="K35" s="148"/>
      <c r="L35" s="103"/>
    </row>
    <row r="36" spans="1:12" ht="14.5">
      <c r="A36" s="120" t="s">
        <v>39</v>
      </c>
      <c r="B36" s="121"/>
      <c r="C36" s="124">
        <f>SUM(H29+I29+J29+C35)</f>
        <v>17660824</v>
      </c>
      <c r="D36" s="128"/>
      <c r="E36" s="151" t="s">
        <v>40</v>
      </c>
      <c r="F36" s="152"/>
      <c r="G36" s="152"/>
      <c r="H36" s="152"/>
      <c r="I36" s="153"/>
      <c r="J36" s="147"/>
      <c r="K36" s="148"/>
      <c r="L36" s="103"/>
    </row>
    <row r="37" spans="1:12" ht="14.5">
      <c r="A37" s="129" t="s">
        <v>41</v>
      </c>
      <c r="B37" s="130"/>
      <c r="C37" s="124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17660824</v>
      </c>
      <c r="D37" s="128"/>
      <c r="E37" s="154"/>
      <c r="F37" s="155"/>
      <c r="G37" s="155"/>
      <c r="H37" s="155"/>
      <c r="I37" s="156"/>
      <c r="J37" s="147"/>
      <c r="K37" s="148"/>
      <c r="L37" s="103"/>
    </row>
    <row r="38" spans="1:12" ht="26">
      <c r="A38" s="131" t="s">
        <v>42</v>
      </c>
      <c r="B38" s="132"/>
      <c r="C38" s="132"/>
      <c r="D38" s="132"/>
      <c r="E38" s="132"/>
      <c r="F38" s="132"/>
      <c r="G38" s="132"/>
      <c r="H38" s="132"/>
      <c r="I38" s="133"/>
      <c r="J38" s="149"/>
      <c r="K38" s="150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36:B36"/>
    <mergeCell ref="C36:D36"/>
    <mergeCell ref="A37:B37"/>
    <mergeCell ref="C37:D37"/>
    <mergeCell ref="A38:I38"/>
    <mergeCell ref="E36:I37"/>
    <mergeCell ref="A33:B33"/>
    <mergeCell ref="C33:D33"/>
    <mergeCell ref="A34:B34"/>
    <mergeCell ref="C34:D34"/>
    <mergeCell ref="A35:B35"/>
    <mergeCell ref="C35:D35"/>
    <mergeCell ref="A1:K1"/>
    <mergeCell ref="A30:D30"/>
    <mergeCell ref="A31:D31"/>
    <mergeCell ref="A32:B32"/>
    <mergeCell ref="C32:D32"/>
    <mergeCell ref="E30:I35"/>
    <mergeCell ref="A2:K3"/>
    <mergeCell ref="J30:K3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7" workbookViewId="0">
      <selection activeCell="A49" sqref="A49:B63"/>
    </sheetView>
  </sheetViews>
  <sheetFormatPr defaultColWidth="9"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08984375" customWidth="1"/>
    <col min="6" max="6" width="15.453125" customWidth="1"/>
    <col min="7" max="7" width="13.453125" customWidth="1"/>
    <col min="8" max="8" width="15.26953125" customWidth="1"/>
  </cols>
  <sheetData>
    <row r="1" spans="1:9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9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>
      <c r="A3" s="222" t="s">
        <v>88</v>
      </c>
      <c r="B3" s="223"/>
      <c r="C3" s="223"/>
      <c r="D3" s="223"/>
      <c r="E3" s="223"/>
      <c r="F3" s="223"/>
      <c r="G3" s="223"/>
      <c r="H3" s="224"/>
      <c r="I3" s="206"/>
    </row>
    <row r="4" spans="1:9" ht="30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>
        <v>9010</v>
      </c>
      <c r="C12" s="161">
        <v>2124</v>
      </c>
      <c r="D12" s="162"/>
      <c r="E12" s="11">
        <f t="shared" si="0"/>
        <v>19137240</v>
      </c>
      <c r="F12" s="11">
        <f t="shared" si="1"/>
        <v>2919240</v>
      </c>
      <c r="G12" s="11">
        <f>PRODUCT(B12*30)</f>
        <v>270300</v>
      </c>
      <c r="H12" s="12">
        <f t="shared" si="2"/>
        <v>3189540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>
        <v>445</v>
      </c>
      <c r="C14" s="161">
        <v>1357</v>
      </c>
      <c r="D14" s="162"/>
      <c r="E14" s="11">
        <f t="shared" si="0"/>
        <v>603865</v>
      </c>
      <c r="F14" s="11">
        <f t="shared" si="1"/>
        <v>92115</v>
      </c>
      <c r="G14" s="11">
        <f>PRODUCT(B14*20)</f>
        <v>8900</v>
      </c>
      <c r="H14" s="12">
        <f t="shared" si="2"/>
        <v>101015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249" t="s">
        <v>89</v>
      </c>
      <c r="B17" s="20">
        <v>1222</v>
      </c>
      <c r="C17" s="20">
        <v>2124</v>
      </c>
      <c r="D17" s="20">
        <v>50</v>
      </c>
      <c r="E17" s="21">
        <f>PRODUCT(B17*C17)</f>
        <v>2595528</v>
      </c>
      <c r="F17" s="22">
        <f t="shared" ref="F17:F36" si="3">PRODUCT(E17*18)/118</f>
        <v>395928</v>
      </c>
      <c r="G17" s="23">
        <f>PRODUCT(B17*D17)</f>
        <v>61100</v>
      </c>
      <c r="H17" s="24">
        <f>SUM(F17:G17)</f>
        <v>457028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63</v>
      </c>
      <c r="B21" s="31">
        <v>400</v>
      </c>
      <c r="C21" s="31"/>
      <c r="D21" s="31">
        <v>100</v>
      </c>
      <c r="E21" s="27">
        <f t="shared" si="4"/>
        <v>0</v>
      </c>
      <c r="F21" s="28">
        <f t="shared" si="3"/>
        <v>0</v>
      </c>
      <c r="G21" s="17">
        <f t="shared" si="5"/>
        <v>40000</v>
      </c>
      <c r="H21" s="29">
        <f t="shared" si="6"/>
        <v>40000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22336633</v>
      </c>
      <c r="F37" s="47">
        <f>SUM(F5:F36)</f>
        <v>3407283</v>
      </c>
      <c r="G37" s="47">
        <f t="shared" ref="G37:H37" si="10">SUM(G5:G36)</f>
        <v>380300</v>
      </c>
      <c r="H37" s="47">
        <f t="shared" si="10"/>
        <v>3787583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>
        <v>3787583</v>
      </c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3787583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 t="s">
        <v>90</v>
      </c>
      <c r="B49" s="209"/>
      <c r="C49" s="189" t="s">
        <v>80</v>
      </c>
      <c r="D49" s="190"/>
      <c r="E49" s="191">
        <f>SUM(B9:B12)</f>
        <v>9010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445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1222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49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10677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08984375" customWidth="1"/>
    <col min="6" max="6" width="15.453125" customWidth="1"/>
    <col min="7" max="7" width="13.453125" customWidth="1"/>
    <col min="8" max="8" width="15.26953125" customWidth="1"/>
  </cols>
  <sheetData>
    <row r="1" spans="1:9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9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30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08984375" customWidth="1"/>
    <col min="6" max="6" width="15.453125" customWidth="1"/>
    <col min="7" max="7" width="13.453125" customWidth="1"/>
    <col min="8" max="8" width="15.26953125" customWidth="1"/>
  </cols>
  <sheetData>
    <row r="1" spans="1:9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9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30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08984375" customWidth="1"/>
    <col min="6" max="6" width="15.453125" customWidth="1"/>
    <col min="7" max="7" width="13.453125" customWidth="1"/>
    <col min="8" max="8" width="15.26953125" customWidth="1"/>
  </cols>
  <sheetData>
    <row r="1" spans="1:9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9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30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08984375" customWidth="1"/>
    <col min="6" max="6" width="15.453125" customWidth="1"/>
    <col min="7" max="7" width="13.453125" customWidth="1"/>
    <col min="8" max="8" width="15.26953125" customWidth="1"/>
  </cols>
  <sheetData>
    <row r="1" spans="1:9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9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30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81640625" style="1" customWidth="1"/>
    <col min="2" max="2" width="21.81640625" style="1" customWidth="1"/>
    <col min="3" max="3" width="25" style="1" customWidth="1"/>
    <col min="4" max="4" width="15.453125" style="1" customWidth="1"/>
    <col min="5" max="6" width="25.453125" style="1" customWidth="1"/>
    <col min="7" max="7" width="16.54296875" style="1" customWidth="1"/>
    <col min="8" max="8" width="34.0898437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6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8.5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s="71" customFormat="1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9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 ht="20.5" customHeight="1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15" customHeight="1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22" customHeight="1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22.5" customHeight="1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24.65" customHeight="1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22" customHeight="1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22" customHeight="1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22" customHeight="1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22" customHeight="1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1" customWidth="1"/>
    <col min="2" max="2" width="19.453125" style="1" customWidth="1"/>
    <col min="3" max="3" width="13.54296875" style="1" customWidth="1"/>
    <col min="4" max="4" width="11.7265625" style="1" customWidth="1"/>
    <col min="5" max="5" width="21" style="1" customWidth="1"/>
    <col min="6" max="6" width="21.7265625" style="1" customWidth="1"/>
    <col min="7" max="7" width="20.54296875" style="1" customWidth="1"/>
    <col min="8" max="8" width="21.8164062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25"/>
    </row>
    <row r="2" spans="1:9" ht="24" customHeight="1">
      <c r="A2" s="220"/>
      <c r="B2" s="221"/>
      <c r="C2" s="221"/>
      <c r="D2" s="221"/>
      <c r="E2" s="221"/>
      <c r="F2" s="221"/>
      <c r="G2" s="221"/>
      <c r="H2" s="221"/>
      <c r="I2" s="22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26"/>
    </row>
    <row r="4" spans="1:9" ht="23.15" customHeight="1">
      <c r="A4" s="220"/>
      <c r="B4" s="221"/>
      <c r="C4" s="221"/>
      <c r="D4" s="221"/>
      <c r="E4" s="221"/>
      <c r="F4" s="221"/>
      <c r="G4" s="221"/>
      <c r="H4" s="221"/>
      <c r="I4" s="22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2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2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2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2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26"/>
    </row>
    <row r="10" spans="1:9">
      <c r="A10" s="9" t="s">
        <v>54</v>
      </c>
      <c r="B10" s="10"/>
      <c r="C10" s="161">
        <v>2124</v>
      </c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2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2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2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2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2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2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2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2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6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9" sqref="C39"/>
    </sheetView>
  </sheetViews>
  <sheetFormatPr defaultColWidth="8.7265625" defaultRowHeight="14.5"/>
  <cols>
    <col min="1" max="1" width="22.54296875" style="1" customWidth="1"/>
    <col min="2" max="2" width="26.453125" style="1" customWidth="1"/>
    <col min="3" max="3" width="18.81640625" style="1" customWidth="1"/>
    <col min="4" max="4" width="12.81640625" style="1" customWidth="1"/>
    <col min="5" max="5" width="20.453125" style="1" customWidth="1"/>
    <col min="6" max="6" width="21.54296875" style="1" customWidth="1"/>
    <col min="7" max="7" width="14.453125" style="1" customWidth="1"/>
    <col min="8" max="8" width="24.2695312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25"/>
    </row>
    <row r="2" spans="1:9" ht="24.65" customHeight="1">
      <c r="A2" s="220"/>
      <c r="B2" s="221"/>
      <c r="C2" s="221"/>
      <c r="D2" s="221"/>
      <c r="E2" s="221"/>
      <c r="F2" s="221"/>
      <c r="G2" s="221"/>
      <c r="H2" s="221"/>
      <c r="I2" s="226"/>
    </row>
    <row r="3" spans="1:9" ht="14.5" customHeight="1">
      <c r="A3" s="222" t="s">
        <v>86</v>
      </c>
      <c r="B3" s="223"/>
      <c r="C3" s="223"/>
      <c r="D3" s="223"/>
      <c r="E3" s="223"/>
      <c r="F3" s="223"/>
      <c r="G3" s="223"/>
      <c r="H3" s="224"/>
      <c r="I3" s="226"/>
    </row>
    <row r="4" spans="1:9" ht="21" customHeight="1">
      <c r="A4" s="220"/>
      <c r="B4" s="221"/>
      <c r="C4" s="221"/>
      <c r="D4" s="221"/>
      <c r="E4" s="221"/>
      <c r="F4" s="221"/>
      <c r="G4" s="221"/>
      <c r="H4" s="221"/>
      <c r="I4" s="22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2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2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26"/>
    </row>
    <row r="8" spans="1:9">
      <c r="A8" s="9" t="s">
        <v>52</v>
      </c>
      <c r="B8" s="10">
        <v>620</v>
      </c>
      <c r="C8" s="161">
        <v>5900</v>
      </c>
      <c r="D8" s="162"/>
      <c r="E8" s="11">
        <f t="shared" si="0"/>
        <v>3658000</v>
      </c>
      <c r="F8" s="11">
        <f t="shared" si="1"/>
        <v>558000</v>
      </c>
      <c r="G8" s="11">
        <f>PRODUCT(B8*50)</f>
        <v>31000</v>
      </c>
      <c r="H8" s="12">
        <f t="shared" si="2"/>
        <v>589000</v>
      </c>
      <c r="I8" s="22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26"/>
    </row>
    <row r="10" spans="1:9">
      <c r="A10" s="9" t="s">
        <v>54</v>
      </c>
      <c r="B10" s="10">
        <v>34693</v>
      </c>
      <c r="C10" s="161">
        <v>2124</v>
      </c>
      <c r="D10" s="162"/>
      <c r="E10" s="11">
        <f t="shared" si="0"/>
        <v>73687932</v>
      </c>
      <c r="F10" s="11">
        <f t="shared" si="1"/>
        <v>11240532</v>
      </c>
      <c r="G10" s="11">
        <f>PRODUCT(B10*30)</f>
        <v>1040790</v>
      </c>
      <c r="H10" s="12">
        <f t="shared" si="2"/>
        <v>12281322</v>
      </c>
      <c r="I10" s="22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2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26"/>
    </row>
    <row r="13" spans="1:9">
      <c r="A13" s="13" t="s">
        <v>56</v>
      </c>
      <c r="B13" s="10">
        <v>1837</v>
      </c>
      <c r="C13" s="161">
        <v>1357</v>
      </c>
      <c r="D13" s="162"/>
      <c r="E13" s="11">
        <f t="shared" si="0"/>
        <v>2492809</v>
      </c>
      <c r="F13" s="11">
        <f t="shared" si="1"/>
        <v>380259</v>
      </c>
      <c r="G13" s="11">
        <f>PRODUCT(B13*20)</f>
        <v>36740</v>
      </c>
      <c r="H13" s="12">
        <f t="shared" si="2"/>
        <v>416999</v>
      </c>
      <c r="I13" s="22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2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26"/>
    </row>
    <row r="17" spans="1:9">
      <c r="A17" s="19" t="s">
        <v>87</v>
      </c>
      <c r="B17" s="20">
        <v>1008</v>
      </c>
      <c r="C17" s="20">
        <v>1180</v>
      </c>
      <c r="D17" s="20">
        <v>30</v>
      </c>
      <c r="E17" s="21">
        <f>PRODUCT(B17*C17)</f>
        <v>1189440</v>
      </c>
      <c r="F17" s="22">
        <f t="shared" ref="F17:F36" si="3">PRODUCT(E17*18)/118</f>
        <v>181440</v>
      </c>
      <c r="G17" s="23">
        <f>PRODUCT(B17*D17)</f>
        <v>30240</v>
      </c>
      <c r="H17" s="24">
        <f>SUM(F17:G17)</f>
        <v>211680</v>
      </c>
      <c r="I17" s="226"/>
    </row>
    <row r="18" spans="1:9">
      <c r="A18" s="25" t="s">
        <v>87</v>
      </c>
      <c r="B18" s="26">
        <v>944</v>
      </c>
      <c r="C18" s="26"/>
      <c r="D18" s="26">
        <v>210</v>
      </c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198240</v>
      </c>
      <c r="H18" s="29">
        <f t="shared" ref="H18:H23" si="6">SUM(F18:G18)</f>
        <v>198240</v>
      </c>
      <c r="I18" s="226"/>
    </row>
    <row r="19" spans="1:9">
      <c r="A19" s="30" t="s">
        <v>87</v>
      </c>
      <c r="B19" s="31">
        <v>130</v>
      </c>
      <c r="C19" s="31"/>
      <c r="D19" s="31">
        <v>200</v>
      </c>
      <c r="E19" s="27">
        <f t="shared" si="4"/>
        <v>0</v>
      </c>
      <c r="F19" s="28">
        <f t="shared" si="3"/>
        <v>0</v>
      </c>
      <c r="G19" s="17">
        <f t="shared" si="5"/>
        <v>26000</v>
      </c>
      <c r="H19" s="29">
        <f t="shared" si="6"/>
        <v>26000</v>
      </c>
      <c r="I19" s="22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81028181</v>
      </c>
      <c r="F37" s="47">
        <f>SUM(F5:F36)</f>
        <v>12360231</v>
      </c>
      <c r="G37" s="47">
        <f t="shared" ref="G37:H37" si="10">SUM(G5:G36)</f>
        <v>1363010</v>
      </c>
      <c r="H37" s="47">
        <f t="shared" si="10"/>
        <v>13723241</v>
      </c>
      <c r="I37" s="22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5" customHeight="1">
      <c r="A39" s="169" t="s">
        <v>70</v>
      </c>
      <c r="B39" s="170"/>
      <c r="C39" s="52">
        <v>13723241</v>
      </c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26"/>
    </row>
    <row r="43" spans="1:9">
      <c r="A43" s="179" t="s">
        <v>74</v>
      </c>
      <c r="B43" s="180"/>
      <c r="C43" s="63">
        <v>50000</v>
      </c>
      <c r="D43" s="62"/>
      <c r="E43" s="178"/>
      <c r="F43" s="175"/>
      <c r="G43" s="10"/>
      <c r="H43" s="59"/>
      <c r="I43" s="226"/>
    </row>
    <row r="44" spans="1:9">
      <c r="A44" s="179" t="s">
        <v>75</v>
      </c>
      <c r="B44" s="180"/>
      <c r="C44" s="63">
        <v>100000</v>
      </c>
      <c r="D44" s="64"/>
      <c r="E44" s="178"/>
      <c r="F44" s="175"/>
      <c r="G44" s="10"/>
      <c r="H44" s="59"/>
      <c r="I44" s="226"/>
    </row>
    <row r="45" spans="1:9">
      <c r="A45" s="179" t="s">
        <v>76</v>
      </c>
      <c r="B45" s="180"/>
      <c r="C45" s="65">
        <f>SUM(C39+C40+C41+C42+C43+C44)</f>
        <v>13873241</v>
      </c>
      <c r="D45" s="66"/>
      <c r="E45" s="181"/>
      <c r="F45" s="182"/>
      <c r="G45" s="67"/>
      <c r="H45" s="68"/>
      <c r="I45" s="22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34693</v>
      </c>
      <c r="F49" s="192"/>
      <c r="G49" s="192"/>
      <c r="H49" s="192"/>
      <c r="I49" s="226"/>
    </row>
    <row r="50" spans="1:9" ht="18.5">
      <c r="A50" s="210"/>
      <c r="B50" s="211"/>
      <c r="C50" s="189" t="s">
        <v>52</v>
      </c>
      <c r="D50" s="190"/>
      <c r="E50" s="191">
        <f>SUM(B6:B8)</f>
        <v>620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1837</v>
      </c>
      <c r="F51" s="192"/>
      <c r="G51" s="192"/>
      <c r="H51" s="192"/>
      <c r="I51" s="226"/>
    </row>
    <row r="52" spans="1:9" ht="18.5">
      <c r="A52" s="210"/>
      <c r="B52" s="211"/>
      <c r="C52" s="193" t="s">
        <v>61</v>
      </c>
      <c r="D52" s="194"/>
      <c r="E52" s="195">
        <f>SUM(B17:B18)</f>
        <v>1952</v>
      </c>
      <c r="F52" s="196"/>
      <c r="G52" s="196"/>
      <c r="H52" s="196"/>
      <c r="I52" s="226"/>
    </row>
    <row r="53" spans="1:9" ht="18.5">
      <c r="A53" s="210"/>
      <c r="B53" s="211"/>
      <c r="C53" s="193" t="s">
        <v>62</v>
      </c>
      <c r="D53" s="194"/>
      <c r="E53" s="195">
        <f>SUM(B19:B20)</f>
        <v>130</v>
      </c>
      <c r="F53" s="196"/>
      <c r="G53" s="196"/>
      <c r="H53" s="196"/>
      <c r="I53" s="22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39232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H27" sqref="H27"/>
    </sheetView>
  </sheetViews>
  <sheetFormatPr defaultColWidth="8.7265625" defaultRowHeight="14.5"/>
  <cols>
    <col min="1" max="1" width="21.08984375" style="1" customWidth="1"/>
    <col min="2" max="2" width="17.453125" style="1" customWidth="1"/>
    <col min="3" max="3" width="20.26953125" style="1" customWidth="1"/>
    <col min="4" max="4" width="14.81640625" style="1" customWidth="1"/>
    <col min="5" max="5" width="28.453125" style="1" customWidth="1"/>
    <col min="6" max="6" width="22.08984375" style="1" customWidth="1"/>
    <col min="7" max="7" width="16.54296875" style="1" customWidth="1"/>
    <col min="8" max="8" width="26.5429687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25"/>
    </row>
    <row r="2" spans="1:9" ht="15" customHeight="1">
      <c r="A2" s="220"/>
      <c r="B2" s="221"/>
      <c r="C2" s="221"/>
      <c r="D2" s="221"/>
      <c r="E2" s="221"/>
      <c r="F2" s="221"/>
      <c r="G2" s="221"/>
      <c r="H2" s="221"/>
      <c r="I2" s="22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26"/>
    </row>
    <row r="4" spans="1:9" ht="15" customHeight="1">
      <c r="A4" s="220"/>
      <c r="B4" s="221"/>
      <c r="C4" s="221"/>
      <c r="D4" s="221"/>
      <c r="E4" s="221"/>
      <c r="F4" s="221"/>
      <c r="G4" s="221"/>
      <c r="H4" s="221"/>
      <c r="I4" s="22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2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2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2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2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2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2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2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2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2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2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2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2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2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6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1" customWidth="1"/>
    <col min="2" max="2" width="19.453125" style="1" customWidth="1"/>
    <col min="3" max="3" width="14.81640625" style="1" customWidth="1"/>
    <col min="4" max="4" width="9.7265625" style="1" customWidth="1"/>
    <col min="5" max="5" width="22.08984375" style="1" customWidth="1"/>
    <col min="6" max="6" width="23.54296875" style="1" customWidth="1"/>
    <col min="7" max="7" width="17.26953125" style="1" customWidth="1"/>
    <col min="8" max="8" width="22.5429687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25"/>
    </row>
    <row r="2" spans="1:9" ht="15" customHeight="1">
      <c r="A2" s="220"/>
      <c r="B2" s="221"/>
      <c r="C2" s="221"/>
      <c r="D2" s="221"/>
      <c r="E2" s="221"/>
      <c r="F2" s="221"/>
      <c r="G2" s="221"/>
      <c r="H2" s="221"/>
      <c r="I2" s="22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26"/>
    </row>
    <row r="4" spans="1:9" ht="15" customHeight="1">
      <c r="A4" s="220"/>
      <c r="B4" s="221"/>
      <c r="C4" s="221"/>
      <c r="D4" s="221"/>
      <c r="E4" s="221"/>
      <c r="F4" s="221"/>
      <c r="G4" s="221"/>
      <c r="H4" s="221"/>
      <c r="I4" s="22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2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2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2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2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2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2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2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2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2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2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26"/>
    </row>
    <row r="17" spans="1:9">
      <c r="A17" s="19" t="s">
        <v>61</v>
      </c>
      <c r="B17" s="20"/>
      <c r="C17" s="20"/>
      <c r="D17" s="20">
        <v>30</v>
      </c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2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2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1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15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1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15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1" customWidth="1"/>
    <col min="2" max="2" width="15.81640625" style="1" customWidth="1"/>
    <col min="3" max="3" width="18.54296875" style="1" customWidth="1"/>
    <col min="4" max="4" width="11.7265625" style="1" customWidth="1"/>
    <col min="5" max="5" width="24.08984375" style="1" customWidth="1"/>
    <col min="6" max="6" width="18.453125" style="1" customWidth="1"/>
    <col min="7" max="7" width="15.81640625" style="1" customWidth="1"/>
    <col min="8" max="8" width="15.726562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25"/>
    </row>
    <row r="2" spans="1:9" ht="23.15" customHeight="1">
      <c r="A2" s="220"/>
      <c r="B2" s="221"/>
      <c r="C2" s="221"/>
      <c r="D2" s="221"/>
      <c r="E2" s="221"/>
      <c r="F2" s="221"/>
      <c r="G2" s="221"/>
      <c r="H2" s="221"/>
      <c r="I2" s="22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26"/>
    </row>
    <row r="4" spans="1:9" ht="26.15" customHeight="1">
      <c r="A4" s="220"/>
      <c r="B4" s="221"/>
      <c r="C4" s="221"/>
      <c r="D4" s="221"/>
      <c r="E4" s="221"/>
      <c r="F4" s="221"/>
      <c r="G4" s="221"/>
      <c r="H4" s="221"/>
      <c r="I4" s="22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2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2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2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2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2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2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2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2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2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2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2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2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2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6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4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1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3.1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0.5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s="1" customFormat="1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 s="1" customFormat="1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 s="1" customFormat="1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 s="1" customFormat="1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 s="1" customFormat="1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 s="1" customFormat="1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 s="1" customFormat="1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 s="1" customFormat="1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 s="1" customFormat="1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 s="1" customFormat="1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 s="1" customFormat="1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 s="1" customFormat="1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 s="1" customFormat="1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 s="1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 s="1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 s="1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s="1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s="1" customFormat="1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 s="1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 s="1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 s="1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 s="1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 s="1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4.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 ht="15" customHeight="1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1" customWidth="1"/>
    <col min="2" max="2" width="19.26953125" style="1" customWidth="1"/>
    <col min="3" max="3" width="21" style="1" customWidth="1"/>
    <col min="4" max="4" width="15" style="1" customWidth="1"/>
    <col min="5" max="5" width="19.08984375" style="1" customWidth="1"/>
    <col min="6" max="6" width="15.81640625" style="1" customWidth="1"/>
    <col min="7" max="7" width="17.453125" style="1" customWidth="1"/>
    <col min="8" max="8" width="19.8164062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25"/>
    </row>
    <row r="2" spans="1:9" ht="21" customHeight="1">
      <c r="A2" s="220"/>
      <c r="B2" s="221"/>
      <c r="C2" s="221"/>
      <c r="D2" s="221"/>
      <c r="E2" s="221"/>
      <c r="F2" s="221"/>
      <c r="G2" s="221"/>
      <c r="H2" s="221"/>
      <c r="I2" s="22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26"/>
    </row>
    <row r="4" spans="1:9" ht="25.5" customHeight="1">
      <c r="A4" s="220"/>
      <c r="B4" s="221"/>
      <c r="C4" s="221"/>
      <c r="D4" s="221"/>
      <c r="E4" s="221"/>
      <c r="F4" s="221"/>
      <c r="G4" s="221"/>
      <c r="H4" s="221"/>
      <c r="I4" s="22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2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2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2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2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2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2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2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2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2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2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2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2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2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 ht="15" customHeight="1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 ht="19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9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2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2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s="1" customFormat="1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 s="1" customFormat="1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 s="1" customFormat="1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 s="1" customFormat="1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 s="1" customFormat="1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 s="1" customFormat="1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 s="1" customFormat="1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 s="1" customFormat="1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 s="1" customFormat="1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 s="1" customFormat="1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 s="1" customFormat="1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 s="1" customFormat="1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 s="1" customFormat="1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 s="1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 s="1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 s="1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s="1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s="1" customFormat="1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 s="1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 s="1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 s="1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 s="1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 s="1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1" customWidth="1"/>
    <col min="2" max="2" width="15.81640625" style="1" customWidth="1"/>
    <col min="3" max="3" width="21.08984375" style="1" customWidth="1"/>
    <col min="4" max="4" width="18.08984375" style="1" customWidth="1"/>
    <col min="5" max="5" width="21.08984375" style="1" customWidth="1"/>
    <col min="6" max="6" width="18.54296875" style="1" customWidth="1"/>
    <col min="7" max="7" width="20.08984375" style="1" customWidth="1"/>
    <col min="8" max="8" width="17.45312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25"/>
    </row>
    <row r="2" spans="1:9" ht="34.5" customHeight="1">
      <c r="A2" s="220"/>
      <c r="B2" s="221"/>
      <c r="C2" s="221"/>
      <c r="D2" s="221"/>
      <c r="E2" s="221"/>
      <c r="F2" s="221"/>
      <c r="G2" s="221"/>
      <c r="H2" s="221"/>
      <c r="I2" s="22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26"/>
    </row>
    <row r="4" spans="1:9" ht="27" customHeight="1">
      <c r="A4" s="220"/>
      <c r="B4" s="221"/>
      <c r="C4" s="221"/>
      <c r="D4" s="221"/>
      <c r="E4" s="221"/>
      <c r="F4" s="221"/>
      <c r="G4" s="221"/>
      <c r="H4" s="221"/>
      <c r="I4" s="22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2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2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2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2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2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2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2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2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2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2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2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2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2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4.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 ht="15" customHeight="1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6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6"/>
    </row>
    <row r="48" spans="1:9" ht="29.15" customHeight="1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5" customHeight="1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9" customHeight="1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26"/>
    </row>
    <row r="51" spans="1:9" ht="19" customHeight="1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9" customHeight="1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26"/>
    </row>
    <row r="53" spans="1:9" ht="19" customHeight="1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26"/>
    </row>
    <row r="54" spans="1:9" ht="19" customHeight="1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26"/>
    </row>
    <row r="55" spans="1:9" ht="19" customHeight="1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9" customHeight="1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9" customHeight="1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9" customHeight="1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9" customHeight="1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9" customHeight="1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9" customHeight="1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9" customHeight="1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 ht="14.5" customHeight="1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1" customWidth="1"/>
    <col min="2" max="2" width="14.453125" style="1" customWidth="1"/>
    <col min="3" max="3" width="20" style="1" customWidth="1"/>
    <col min="4" max="4" width="14.08984375" style="1" customWidth="1"/>
    <col min="5" max="5" width="20.08984375" style="1" customWidth="1"/>
    <col min="6" max="6" width="15.26953125" style="1" customWidth="1"/>
    <col min="7" max="7" width="16.08984375" style="1" customWidth="1"/>
    <col min="8" max="8" width="19.8164062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1.6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4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4.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 ht="15" customHeight="1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1" customWidth="1"/>
    <col min="2" max="2" width="14.453125" style="1" customWidth="1"/>
    <col min="3" max="3" width="24" style="1" customWidth="1"/>
    <col min="4" max="4" width="18.08984375" style="1" customWidth="1"/>
    <col min="5" max="5" width="20.54296875" style="1" customWidth="1"/>
    <col min="6" max="6" width="22.81640625" style="1" customWidth="1"/>
    <col min="7" max="7" width="21.08984375" style="1" customWidth="1"/>
    <col min="8" max="8" width="19.8164062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25"/>
    </row>
    <row r="2" spans="1:9" ht="15" customHeight="1">
      <c r="A2" s="220"/>
      <c r="B2" s="221"/>
      <c r="C2" s="221"/>
      <c r="D2" s="221"/>
      <c r="E2" s="221"/>
      <c r="F2" s="221"/>
      <c r="G2" s="221"/>
      <c r="H2" s="221"/>
      <c r="I2" s="22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26"/>
    </row>
    <row r="4" spans="1:9" ht="15" customHeight="1">
      <c r="A4" s="220"/>
      <c r="B4" s="221"/>
      <c r="C4" s="221"/>
      <c r="D4" s="221"/>
      <c r="E4" s="221"/>
      <c r="F4" s="221"/>
      <c r="G4" s="221"/>
      <c r="H4" s="221"/>
      <c r="I4" s="22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2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2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2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2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2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2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2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2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2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2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69" t="s">
        <v>47</v>
      </c>
      <c r="F16" s="69" t="s">
        <v>59</v>
      </c>
      <c r="G16" s="69" t="s">
        <v>49</v>
      </c>
      <c r="H16" s="70" t="s">
        <v>60</v>
      </c>
      <c r="I16" s="22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2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2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 ht="15" customHeight="1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19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1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17" t="s">
        <v>47</v>
      </c>
      <c r="F16" s="17" t="s">
        <v>59</v>
      </c>
      <c r="G16" s="17" t="s">
        <v>49</v>
      </c>
      <c r="H16" s="18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ht="15" customHeight="1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0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0.5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17" t="s">
        <v>47</v>
      </c>
      <c r="F16" s="17" t="s">
        <v>59</v>
      </c>
      <c r="G16" s="17" t="s">
        <v>49</v>
      </c>
      <c r="H16" s="18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ht="15" customHeight="1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4.6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1.65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17" t="s">
        <v>47</v>
      </c>
      <c r="F16" s="17" t="s">
        <v>59</v>
      </c>
      <c r="G16" s="17" t="s">
        <v>49</v>
      </c>
      <c r="H16" s="18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ht="15" customHeight="1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7.6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1.65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17" t="s">
        <v>47</v>
      </c>
      <c r="F16" s="17" t="s">
        <v>59</v>
      </c>
      <c r="G16" s="17" t="s">
        <v>49</v>
      </c>
      <c r="H16" s="18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0" workbookViewId="0">
      <selection activeCell="C39" sqref="C39:C44"/>
    </sheetView>
  </sheetViews>
  <sheetFormatPr defaultColWidth="8.7265625" defaultRowHeight="14.5"/>
  <cols>
    <col min="1" max="1" width="22.81640625" style="1" customWidth="1"/>
    <col min="2" max="2" width="16.08984375" style="1" customWidth="1"/>
    <col min="3" max="3" width="23.81640625" style="1" customWidth="1"/>
    <col min="4" max="4" width="18.26953125" style="1" customWidth="1"/>
    <col min="5" max="5" width="16.81640625" style="1" customWidth="1"/>
    <col min="6" max="6" width="20.54296875" style="1" customWidth="1"/>
    <col min="7" max="7" width="18.81640625" style="1" customWidth="1"/>
    <col min="8" max="8" width="24.54296875" style="1" customWidth="1"/>
    <col min="9" max="16384" width="8.7265625" style="1"/>
  </cols>
  <sheetData>
    <row r="1" spans="1:9" ht="14.5" customHeight="1">
      <c r="A1" s="218" t="s">
        <v>43</v>
      </c>
      <c r="B1" s="219"/>
      <c r="C1" s="219"/>
      <c r="D1" s="219"/>
      <c r="E1" s="219"/>
      <c r="F1" s="219"/>
      <c r="G1" s="219"/>
      <c r="H1" s="219"/>
      <c r="I1" s="205"/>
    </row>
    <row r="2" spans="1:9" ht="20.5" customHeight="1">
      <c r="A2" s="220"/>
      <c r="B2" s="221"/>
      <c r="C2" s="221"/>
      <c r="D2" s="221"/>
      <c r="E2" s="221"/>
      <c r="F2" s="221"/>
      <c r="G2" s="221"/>
      <c r="H2" s="221"/>
      <c r="I2" s="206"/>
    </row>
    <row r="3" spans="1:9" ht="14.5" customHeight="1">
      <c r="A3" s="222" t="s">
        <v>84</v>
      </c>
      <c r="B3" s="223"/>
      <c r="C3" s="223"/>
      <c r="D3" s="223"/>
      <c r="E3" s="223"/>
      <c r="F3" s="223"/>
      <c r="G3" s="223"/>
      <c r="H3" s="224"/>
      <c r="I3" s="206"/>
    </row>
    <row r="4" spans="1:9" ht="22" customHeight="1">
      <c r="A4" s="220"/>
      <c r="B4" s="221"/>
      <c r="C4" s="221"/>
      <c r="D4" s="221"/>
      <c r="E4" s="221"/>
      <c r="F4" s="221"/>
      <c r="G4" s="221"/>
      <c r="H4" s="221"/>
      <c r="I4" s="206"/>
    </row>
    <row r="5" spans="1:9">
      <c r="A5" s="2" t="s">
        <v>44</v>
      </c>
      <c r="B5" s="3" t="s">
        <v>45</v>
      </c>
      <c r="C5" s="157" t="s">
        <v>46</v>
      </c>
      <c r="D5" s="158"/>
      <c r="E5" s="3" t="s">
        <v>47</v>
      </c>
      <c r="F5" s="4" t="s">
        <v>48</v>
      </c>
      <c r="G5" s="3" t="s">
        <v>49</v>
      </c>
      <c r="H5" s="4" t="s">
        <v>7</v>
      </c>
      <c r="I5" s="206"/>
    </row>
    <row r="6" spans="1:9">
      <c r="A6" s="5" t="s">
        <v>50</v>
      </c>
      <c r="B6" s="6"/>
      <c r="C6" s="159"/>
      <c r="D6" s="160"/>
      <c r="E6" s="7">
        <f t="shared" ref="E6:E14" si="0">PRODUCT(B6*C6)</f>
        <v>0</v>
      </c>
      <c r="F6" s="7">
        <f t="shared" ref="F6:F14" si="1">PRODUCT(E6*18)/118</f>
        <v>0</v>
      </c>
      <c r="G6" s="7">
        <f>PRODUCT(B6*50)</f>
        <v>0</v>
      </c>
      <c r="H6" s="8">
        <f t="shared" ref="H6:H14" si="2">SUM(F6:G6)</f>
        <v>0</v>
      </c>
      <c r="I6" s="206"/>
    </row>
    <row r="7" spans="1:9">
      <c r="A7" s="5" t="s">
        <v>51</v>
      </c>
      <c r="B7" s="6"/>
      <c r="C7" s="159"/>
      <c r="D7" s="160"/>
      <c r="E7" s="7">
        <f t="shared" si="0"/>
        <v>0</v>
      </c>
      <c r="F7" s="7">
        <f t="shared" si="1"/>
        <v>0</v>
      </c>
      <c r="G7" s="7">
        <f>PRODUCT(B7*50)</f>
        <v>0</v>
      </c>
      <c r="H7" s="8">
        <f t="shared" si="2"/>
        <v>0</v>
      </c>
      <c r="I7" s="206"/>
    </row>
    <row r="8" spans="1:9">
      <c r="A8" s="9" t="s">
        <v>52</v>
      </c>
      <c r="B8" s="10"/>
      <c r="C8" s="161"/>
      <c r="D8" s="162"/>
      <c r="E8" s="11">
        <f t="shared" si="0"/>
        <v>0</v>
      </c>
      <c r="F8" s="11">
        <f t="shared" si="1"/>
        <v>0</v>
      </c>
      <c r="G8" s="11">
        <f>PRODUCT(B8*50)</f>
        <v>0</v>
      </c>
      <c r="H8" s="12">
        <f t="shared" si="2"/>
        <v>0</v>
      </c>
      <c r="I8" s="206"/>
    </row>
    <row r="9" spans="1:9">
      <c r="A9" s="9" t="s">
        <v>53</v>
      </c>
      <c r="B9" s="10"/>
      <c r="C9" s="161"/>
      <c r="D9" s="162"/>
      <c r="E9" s="11">
        <f t="shared" si="0"/>
        <v>0</v>
      </c>
      <c r="F9" s="11">
        <f t="shared" si="1"/>
        <v>0</v>
      </c>
      <c r="G9" s="11">
        <f>PRODUCT(B9*30)</f>
        <v>0</v>
      </c>
      <c r="H9" s="12">
        <f t="shared" si="2"/>
        <v>0</v>
      </c>
      <c r="I9" s="206"/>
    </row>
    <row r="10" spans="1:9">
      <c r="A10" s="9" t="s">
        <v>54</v>
      </c>
      <c r="B10" s="10"/>
      <c r="C10" s="161"/>
      <c r="D10" s="162"/>
      <c r="E10" s="11">
        <f t="shared" si="0"/>
        <v>0</v>
      </c>
      <c r="F10" s="11">
        <f t="shared" si="1"/>
        <v>0</v>
      </c>
      <c r="G10" s="11">
        <f>PRODUCT(B10*30)</f>
        <v>0</v>
      </c>
      <c r="H10" s="12">
        <f t="shared" si="2"/>
        <v>0</v>
      </c>
      <c r="I10" s="206"/>
    </row>
    <row r="11" spans="1:9">
      <c r="A11" s="13" t="s">
        <v>55</v>
      </c>
      <c r="B11" s="10"/>
      <c r="C11" s="161"/>
      <c r="D11" s="162"/>
      <c r="E11" s="11">
        <f t="shared" si="0"/>
        <v>0</v>
      </c>
      <c r="F11" s="11">
        <f t="shared" si="1"/>
        <v>0</v>
      </c>
      <c r="G11" s="11">
        <f>PRODUCT(B11*30)</f>
        <v>0</v>
      </c>
      <c r="H11" s="12">
        <f t="shared" si="2"/>
        <v>0</v>
      </c>
      <c r="I11" s="206"/>
    </row>
    <row r="12" spans="1:9">
      <c r="A12" s="13" t="s">
        <v>55</v>
      </c>
      <c r="B12" s="10"/>
      <c r="C12" s="161"/>
      <c r="D12" s="162"/>
      <c r="E12" s="11">
        <f t="shared" si="0"/>
        <v>0</v>
      </c>
      <c r="F12" s="11">
        <f t="shared" si="1"/>
        <v>0</v>
      </c>
      <c r="G12" s="11">
        <f>PRODUCT(B12*30)</f>
        <v>0</v>
      </c>
      <c r="H12" s="12">
        <f t="shared" si="2"/>
        <v>0</v>
      </c>
      <c r="I12" s="206"/>
    </row>
    <row r="13" spans="1:9">
      <c r="A13" s="13" t="s">
        <v>56</v>
      </c>
      <c r="B13" s="10"/>
      <c r="C13" s="161"/>
      <c r="D13" s="162"/>
      <c r="E13" s="11">
        <f t="shared" si="0"/>
        <v>0</v>
      </c>
      <c r="F13" s="11">
        <f t="shared" si="1"/>
        <v>0</v>
      </c>
      <c r="G13" s="11">
        <f>PRODUCT(B13*20)</f>
        <v>0</v>
      </c>
      <c r="H13" s="12">
        <f t="shared" si="2"/>
        <v>0</v>
      </c>
      <c r="I13" s="206"/>
    </row>
    <row r="14" spans="1:9">
      <c r="A14" s="14" t="s">
        <v>56</v>
      </c>
      <c r="B14" s="10"/>
      <c r="C14" s="161"/>
      <c r="D14" s="162"/>
      <c r="E14" s="11">
        <f t="shared" si="0"/>
        <v>0</v>
      </c>
      <c r="F14" s="11">
        <f t="shared" si="1"/>
        <v>0</v>
      </c>
      <c r="G14" s="11">
        <f>PRODUCT(B14*20)</f>
        <v>0</v>
      </c>
      <c r="H14" s="12">
        <f t="shared" si="2"/>
        <v>0</v>
      </c>
      <c r="I14" s="206"/>
    </row>
    <row r="15" spans="1:9" ht="26">
      <c r="A15" s="163" t="s">
        <v>57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5" t="s">
        <v>44</v>
      </c>
      <c r="B16" s="16" t="s">
        <v>45</v>
      </c>
      <c r="C16" s="16" t="s">
        <v>58</v>
      </c>
      <c r="D16" s="16" t="s">
        <v>49</v>
      </c>
      <c r="E16" s="17" t="s">
        <v>47</v>
      </c>
      <c r="F16" s="17" t="s">
        <v>59</v>
      </c>
      <c r="G16" s="17" t="s">
        <v>49</v>
      </c>
      <c r="H16" s="18" t="s">
        <v>60</v>
      </c>
      <c r="I16" s="206"/>
    </row>
    <row r="17" spans="1:9">
      <c r="A17" s="19" t="s">
        <v>61</v>
      </c>
      <c r="B17" s="20"/>
      <c r="C17" s="20"/>
      <c r="D17" s="20"/>
      <c r="E17" s="21">
        <f>PRODUCT(B17*C17)</f>
        <v>0</v>
      </c>
      <c r="F17" s="22">
        <f t="shared" ref="F17:F36" si="3">PRODUCT(E17*18)/118</f>
        <v>0</v>
      </c>
      <c r="G17" s="23">
        <f>PRODUCT(B17*D17)</f>
        <v>0</v>
      </c>
      <c r="H17" s="24">
        <f>SUM(F17:G17)</f>
        <v>0</v>
      </c>
      <c r="I17" s="206"/>
    </row>
    <row r="18" spans="1:9">
      <c r="A18" s="25" t="s">
        <v>61</v>
      </c>
      <c r="B18" s="26"/>
      <c r="C18" s="26"/>
      <c r="D18" s="26"/>
      <c r="E18" s="27">
        <f t="shared" ref="E18:E23" si="4">PRODUCT(B18*C18)</f>
        <v>0</v>
      </c>
      <c r="F18" s="28">
        <f t="shared" si="3"/>
        <v>0</v>
      </c>
      <c r="G18" s="17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62</v>
      </c>
      <c r="B19" s="31"/>
      <c r="C19" s="31"/>
      <c r="D19" s="31"/>
      <c r="E19" s="27">
        <f t="shared" si="4"/>
        <v>0</v>
      </c>
      <c r="F19" s="28">
        <f t="shared" si="3"/>
        <v>0</v>
      </c>
      <c r="G19" s="17">
        <f t="shared" si="5"/>
        <v>0</v>
      </c>
      <c r="H19" s="29">
        <f t="shared" si="6"/>
        <v>0</v>
      </c>
      <c r="I19" s="206"/>
    </row>
    <row r="20" spans="1:9">
      <c r="A20" s="30" t="s">
        <v>62</v>
      </c>
      <c r="B20" s="31"/>
      <c r="C20" s="31"/>
      <c r="D20" s="31"/>
      <c r="E20" s="27">
        <f t="shared" si="4"/>
        <v>0</v>
      </c>
      <c r="F20" s="28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7">
        <f t="shared" si="4"/>
        <v>0</v>
      </c>
      <c r="F21" s="28">
        <f t="shared" si="3"/>
        <v>0</v>
      </c>
      <c r="G21" s="17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7">
        <f t="shared" si="4"/>
        <v>0</v>
      </c>
      <c r="F22" s="28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7">
        <f t="shared" si="4"/>
        <v>0</v>
      </c>
      <c r="F23" s="28">
        <f t="shared" si="3"/>
        <v>0</v>
      </c>
      <c r="G23" s="17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6"/>
      <c r="C24" s="26"/>
      <c r="D24" s="26"/>
      <c r="E24" s="27">
        <f t="shared" ref="E24:E36" si="7">PRODUCT(B24*C24)</f>
        <v>0</v>
      </c>
      <c r="F24" s="28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7">
        <f t="shared" si="7"/>
        <v>0</v>
      </c>
      <c r="F25" s="28">
        <f t="shared" si="3"/>
        <v>0</v>
      </c>
      <c r="G25" s="17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7">
        <f t="shared" si="7"/>
        <v>0</v>
      </c>
      <c r="F26" s="28">
        <f t="shared" si="3"/>
        <v>0</v>
      </c>
      <c r="G26" s="23">
        <f t="shared" si="8"/>
        <v>0</v>
      </c>
      <c r="H26" s="24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7">
        <f t="shared" si="7"/>
        <v>0</v>
      </c>
      <c r="F27" s="28">
        <f t="shared" si="3"/>
        <v>0</v>
      </c>
      <c r="G27" s="17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6"/>
      <c r="C32" s="26"/>
      <c r="D32" s="26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10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10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10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06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52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61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62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 formatCells="0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54296875" customWidth="1"/>
  </cols>
  <sheetData>
    <row r="1" spans="1:7">
      <c r="A1" s="214" t="s">
        <v>77</v>
      </c>
      <c r="B1" s="215"/>
      <c r="C1" s="215"/>
      <c r="D1" s="215"/>
      <c r="E1" s="215"/>
      <c r="F1" s="215"/>
      <c r="G1" s="247"/>
    </row>
    <row r="2" spans="1:7">
      <c r="A2" s="216"/>
      <c r="B2" s="217"/>
      <c r="C2" s="217"/>
      <c r="D2" s="217"/>
      <c r="E2" s="217"/>
      <c r="F2" s="217"/>
      <c r="G2" s="248"/>
    </row>
    <row r="3" spans="1:7" ht="28">
      <c r="A3" s="232" t="s">
        <v>78</v>
      </c>
      <c r="B3" s="233"/>
      <c r="C3" s="234"/>
      <c r="D3" s="232" t="s">
        <v>79</v>
      </c>
      <c r="E3" s="233"/>
      <c r="F3" s="233"/>
      <c r="G3" s="234"/>
    </row>
    <row r="4" spans="1:7" ht="41.5" customHeight="1">
      <c r="A4" s="235" t="s">
        <v>80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43703</v>
      </c>
      <c r="E4" s="239"/>
      <c r="F4" s="239"/>
      <c r="G4" s="240"/>
    </row>
    <row r="5" spans="1:7" ht="37" customHeight="1">
      <c r="A5" s="235" t="s">
        <v>52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620</v>
      </c>
      <c r="E5" s="239"/>
      <c r="F5" s="239"/>
      <c r="G5" s="240"/>
    </row>
    <row r="6" spans="1:7" ht="40" customHeight="1">
      <c r="A6" s="235" t="s">
        <v>56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2282</v>
      </c>
      <c r="E6" s="239"/>
      <c r="F6" s="239"/>
      <c r="G6" s="240"/>
    </row>
    <row r="7" spans="1:7" ht="38.5" customHeight="1">
      <c r="A7" s="241" t="s">
        <v>61</v>
      </c>
      <c r="B7" s="242"/>
      <c r="C7" s="243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3174</v>
      </c>
      <c r="E7" s="239"/>
      <c r="F7" s="239"/>
      <c r="G7" s="240"/>
    </row>
    <row r="8" spans="1:7" ht="40" customHeight="1">
      <c r="A8" s="241" t="s">
        <v>62</v>
      </c>
      <c r="B8" s="242"/>
      <c r="C8" s="243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9"/>
      <c r="F8" s="239"/>
      <c r="G8" s="240"/>
    </row>
    <row r="9" spans="1:7" ht="38.5" customHeight="1">
      <c r="A9" s="241" t="s">
        <v>82</v>
      </c>
      <c r="B9" s="242"/>
      <c r="C9" s="243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.15" customHeight="1">
      <c r="A10" s="241" t="s">
        <v>82</v>
      </c>
      <c r="B10" s="242"/>
      <c r="C10" s="243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41" t="s">
        <v>82</v>
      </c>
      <c r="B11" s="242"/>
      <c r="C11" s="243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65" customHeight="1">
      <c r="A12" s="241" t="s">
        <v>82</v>
      </c>
      <c r="B12" s="242"/>
      <c r="C12" s="243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.15" customHeight="1">
      <c r="A13" s="241" t="s">
        <v>82</v>
      </c>
      <c r="B13" s="242"/>
      <c r="C13" s="243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41" t="s">
        <v>82</v>
      </c>
      <c r="B14" s="242"/>
      <c r="C14" s="243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41" t="s">
        <v>82</v>
      </c>
      <c r="B15" s="242"/>
      <c r="C15" s="243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41" t="s">
        <v>82</v>
      </c>
      <c r="B16" s="242"/>
      <c r="C16" s="243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41" t="s">
        <v>83</v>
      </c>
      <c r="B17" s="242"/>
      <c r="C17" s="243"/>
      <c r="D17" s="244">
        <f>SUM(D4:D16)</f>
        <v>49909</v>
      </c>
      <c r="E17" s="245"/>
      <c r="F17" s="245"/>
      <c r="G17" s="246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17:C17"/>
    <mergeCell ref="D17:G17"/>
    <mergeCell ref="A12:C12"/>
    <mergeCell ref="D12:G12"/>
    <mergeCell ref="A13:C13"/>
    <mergeCell ref="D13:G13"/>
    <mergeCell ref="A14:C14"/>
    <mergeCell ref="D14:G14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4" master="" otherUserPermission="visible"/>
  <rangeList sheetStid="28" master="" otherUserPermission="visible"/>
  <rangeList sheetStid="27" master="" otherUserPermission="visible"/>
  <rangeList sheetStid="26" master="" otherUserPermission="visible"/>
  <rangeList sheetStid="25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2026-05-01T11:26:28Z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07BCFBA254424CFF9FF6EBC38BAB2A25_13</vt:lpwstr>
  </property>
  <property fmtid="{D5CDD505-2E9C-101B-9397-08002B2CF9AE}" pid="3" name="KSOProductBuildVer">
    <vt:lpwstr>1033-12.2.0.23196</vt:lpwstr>
  </property>
</Properties>
</file>