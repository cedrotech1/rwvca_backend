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<sst xmlns="http://schemas.openxmlformats.org/spreadsheetml/2006/main" count="66" uniqueCount="36">
  <si>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MSANZE</t>
  </si>
  <si>
    <t>Daily report 03/04/ 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</si>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</sst>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77" fontId="1" fillId="0" borderId="0" xfId="1" applyNumberFormat="1" applyFont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3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350</v>
      </c>
      <c r="C10" s="27">
        <v>2124</v>
      </c>
      <c r="D10" s="28"/>
      <c r="E10" s="29">
        <f t="shared" si="3"/>
        <v>743400</v>
      </c>
      <c r="F10" s="29">
        <f t="shared" si="4"/>
        <v>113400</v>
      </c>
      <c r="G10" s="29">
        <f>PRODUCT(B10*30)</f>
        <v>10500</v>
      </c>
      <c r="H10" s="30">
        <f t="shared" si="5"/>
        <v>123900</v>
      </c>
    </row>
    <row r="11" spans="1:8">
      <c r="A11" s="25" t="s">
        <v>14</v>
      </c>
      <c r="B11" s="26">
        <v>140</v>
      </c>
      <c r="C11" s="27">
        <v>1180</v>
      </c>
      <c r="D11" s="28"/>
      <c r="E11" s="29">
        <f t="shared" si="3"/>
        <v>165200</v>
      </c>
      <c r="F11" s="29">
        <f t="shared" si="4"/>
        <v>25200</v>
      </c>
      <c r="G11" s="29">
        <f>PRODUCT(B11*20)</f>
        <v>2800</v>
      </c>
      <c r="H11" s="30">
        <f t="shared" si="5"/>
        <v>28000</v>
      </c>
    </row>
    <row r="12" spans="1:8">
      <c r="A12" s="25" t="s">
        <v>14</v>
      </c>
      <c r="B12" s="26">
        <v>80</v>
      </c>
      <c r="C12" s="27">
        <v>944</v>
      </c>
      <c r="D12" s="28"/>
      <c r="E12" s="29">
        <f t="shared" si="3"/>
        <v>75520</v>
      </c>
      <c r="F12" s="29">
        <f t="shared" si="4"/>
        <v>11520</v>
      </c>
      <c r="G12" s="29">
        <f>PRODUCT(B12*20)</f>
        <v>1600</v>
      </c>
      <c r="H12" s="30">
        <f t="shared" si="5"/>
        <v>13120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8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8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8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8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8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8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8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86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86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86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86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86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86"/>
    </row>
    <row r="30" spans="1:8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8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8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8" t="s">
        <v>21</v>
      </c>
      <c r="B41" s="49"/>
      <c r="C41" s="50"/>
      <c r="D41" s="50"/>
      <c r="E41" s="51">
        <f>SUM(E6:E40)</f>
        <v>984120</v>
      </c>
      <c r="F41" s="51">
        <f>SUM(F6:F40)</f>
        <v>150120</v>
      </c>
      <c r="G41" s="51">
        <f>SUM(G6:G40)</f>
        <v>14900</v>
      </c>
      <c r="H41" s="52">
        <f t="shared" si="19"/>
        <v>165020</v>
      </c>
    </row>
    <row r="42" spans="1:8">
      <c r="A42" s="53" t="s">
        <v>22</v>
      </c>
      <c r="B42" s="54"/>
      <c r="C42" s="55">
        <v>13120</v>
      </c>
      <c r="D42" s="56"/>
      <c r="E42" s="57" t="s">
        <v>23</v>
      </c>
      <c r="F42" s="57"/>
      <c r="G42" s="57"/>
      <c r="H42" s="57"/>
    </row>
    <row r="43" spans="1:8">
      <c r="A43" s="53" t="s">
        <v>24</v>
      </c>
      <c r="B43" s="54"/>
      <c r="C43" s="58">
        <v>151900</v>
      </c>
      <c r="D43" s="55" t="s">
        <v>25</v>
      </c>
      <c r="E43" s="59" t="s">
        <v>26</v>
      </c>
      <c r="F43" s="60"/>
      <c r="G43" s="55" t="s">
        <v>27</v>
      </c>
      <c r="H43" s="61" t="s">
        <v>28</v>
      </c>
    </row>
    <row r="44" ht="15.25" spans="1:8">
      <c r="A44" s="53" t="s">
        <v>29</v>
      </c>
      <c r="B44" s="54"/>
      <c r="C44" s="62"/>
      <c r="D44" s="63"/>
      <c r="E44" s="64"/>
      <c r="F44" s="65"/>
      <c r="G44" s="66"/>
      <c r="H44" s="67"/>
    </row>
    <row r="45" ht="15.25" spans="1:8">
      <c r="A45" s="68" t="s">
        <v>30</v>
      </c>
      <c r="B45" s="69"/>
      <c r="C45" s="70"/>
      <c r="D45" s="55"/>
      <c r="E45" s="71"/>
      <c r="F45" s="72"/>
      <c r="G45" s="26"/>
      <c r="H45" s="73"/>
    </row>
    <row r="46" ht="15.25" spans="1:8">
      <c r="A46" s="74" t="s">
        <v>31</v>
      </c>
      <c r="B46" s="75"/>
      <c r="C46" s="76"/>
      <c r="D46" s="61"/>
      <c r="E46" s="77"/>
      <c r="F46" s="78"/>
      <c r="G46" s="26"/>
      <c r="H46" s="73"/>
    </row>
    <row r="47" ht="15.25" spans="1:8">
      <c r="A47" s="74" t="s">
        <v>32</v>
      </c>
      <c r="B47" s="75"/>
      <c r="C47" s="76"/>
      <c r="D47" s="79"/>
      <c r="E47" s="77"/>
      <c r="F47" s="78"/>
      <c r="G47" s="26"/>
      <c r="H47" s="73"/>
    </row>
    <row r="48" ht="15.25" spans="1:8">
      <c r="A48" s="74" t="s">
        <v>33</v>
      </c>
      <c r="B48" s="75"/>
      <c r="C48" s="80">
        <f>SUM(C42:C47)</f>
        <v>165020</v>
      </c>
      <c r="D48" s="81"/>
      <c r="E48" s="82"/>
      <c r="F48" s="83"/>
      <c r="G48" s="84"/>
      <c r="H48" s="85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WPS_1695969619</cp:lastModifiedBy>
  <dcterms:created xsi:type="dcterms:W3CDTF">2023-07-08T16:04:00Z</dcterms:created>
  <dcterms:modified xsi:type="dcterms:W3CDTF">2026-04-06T08:46:45Z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E02440865FA64E028C7DCF6A7E56242E_13</vt:lpwstr>
  </property>
  <property fmtid="{D5CDD505-2E9C-101B-9397-08002B2CF9AE}" pid="3" name="KSOProductBuildVer">
    <vt:lpwstr>1033-12.2.0.23196</vt:lpwstr>
  </property>
</Properties>
</file>