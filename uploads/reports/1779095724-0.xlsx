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<sst xmlns="http://schemas.openxmlformats.org/spreadsheetml/2006/main" count="66" uniqueCount="36">
  <si>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</si>
  <si>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15/05/2026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</si>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</sst>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3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15</v>
      </c>
      <c r="C6" s="21">
        <v>8850</v>
      </c>
      <c r="D6" s="22"/>
      <c r="E6" s="23">
        <f t="shared" ref="E6" si="0">PRODUCT(B6*C6)</f>
        <v>132750</v>
      </c>
      <c r="F6" s="23">
        <f t="shared" ref="F6" si="1">PRODUCT(E6*18)/118</f>
        <v>20250</v>
      </c>
      <c r="G6" s="23">
        <f>PRODUCT(B6*50)</f>
        <v>750</v>
      </c>
      <c r="H6" s="24">
        <f t="shared" ref="H6" si="2">SUM(F6:G6)</f>
        <v>21000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560</v>
      </c>
      <c r="C10" s="27">
        <v>2124</v>
      </c>
      <c r="D10" s="28"/>
      <c r="E10" s="29">
        <f t="shared" si="3"/>
        <v>1189440</v>
      </c>
      <c r="F10" s="29">
        <f t="shared" si="4"/>
        <v>181440</v>
      </c>
      <c r="G10" s="29">
        <f>PRODUCT(B10*30)</f>
        <v>16800</v>
      </c>
      <c r="H10" s="30">
        <f t="shared" si="5"/>
        <v>198240</v>
      </c>
    </row>
    <row r="11" spans="1:8">
      <c r="A11" s="25" t="s">
        <v>14</v>
      </c>
      <c r="B11" s="26">
        <v>50</v>
      </c>
      <c r="C11" s="27">
        <v>1180</v>
      </c>
      <c r="D11" s="28"/>
      <c r="E11" s="29">
        <f t="shared" si="3"/>
        <v>59000</v>
      </c>
      <c r="F11" s="29">
        <f t="shared" si="4"/>
        <v>9000</v>
      </c>
      <c r="G11" s="29">
        <f>PRODUCT(B11*20)</f>
        <v>1000</v>
      </c>
      <c r="H11" s="30">
        <f t="shared" si="5"/>
        <v>10000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1381190</v>
      </c>
      <c r="F41" s="52">
        <f>SUM(F6:F40)</f>
        <v>210690</v>
      </c>
      <c r="G41" s="52">
        <f>SUM(G6:G40)</f>
        <v>18550</v>
      </c>
      <c r="H41" s="53">
        <f t="shared" si="19"/>
        <v>229240</v>
      </c>
    </row>
    <row r="42" ht="15.25" spans="1:8">
      <c r="A42" s="54" t="s">
        <v>22</v>
      </c>
      <c r="B42" s="55"/>
      <c r="C42" s="56"/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229240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229240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2026-05-18T09:10:35Z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53D1BBB669C844349DCF07F81E1143BB_13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