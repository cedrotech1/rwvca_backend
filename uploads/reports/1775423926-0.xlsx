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80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D8" i="21"/>
  <c r="E61" i="24"/>
  <c r="E60" i="24"/>
  <c r="E59" i="24"/>
  <c r="E58" i="24"/>
  <c r="E57" i="24"/>
  <c r="E56" i="24"/>
  <c r="E55" i="24"/>
  <c r="E54" i="24"/>
  <c r="E53" i="24"/>
  <c r="E52" i="24"/>
  <c r="D7" i="21" s="1"/>
  <c r="E51" i="24"/>
  <c r="D6" i="21" s="1"/>
  <c r="E50" i="24"/>
  <c r="D5" i="21" s="1"/>
  <c r="E49" i="24"/>
  <c r="D4" i="21" s="1"/>
  <c r="C45" i="24"/>
  <c r="C37" i="1" s="1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G22" i="24"/>
  <c r="E22" i="24"/>
  <c r="F22" i="24" s="1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G17" i="24"/>
  <c r="E17" i="24"/>
  <c r="F17" i="24" s="1"/>
  <c r="H14" i="24"/>
  <c r="G14" i="24"/>
  <c r="F14" i="24"/>
  <c r="E14" i="24"/>
  <c r="G13" i="24"/>
  <c r="E13" i="24"/>
  <c r="F13" i="24" s="1"/>
  <c r="G12" i="24"/>
  <c r="E12" i="24"/>
  <c r="H11" i="24"/>
  <c r="G11" i="24"/>
  <c r="F11" i="24"/>
  <c r="E11" i="24"/>
  <c r="G10" i="24"/>
  <c r="E10" i="24"/>
  <c r="F10" i="24" s="1"/>
  <c r="H9" i="24"/>
  <c r="G9" i="24"/>
  <c r="F9" i="24"/>
  <c r="E9" i="24"/>
  <c r="H8" i="24"/>
  <c r="G8" i="24"/>
  <c r="F8" i="24"/>
  <c r="E8" i="24"/>
  <c r="H7" i="24"/>
  <c r="G7" i="24"/>
  <c r="F7" i="24"/>
  <c r="E7" i="24"/>
  <c r="G6" i="24"/>
  <c r="E6" i="24"/>
  <c r="F6" i="24" s="1"/>
  <c r="H6" i="24" s="1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H37" i="13"/>
  <c r="G37" i="13"/>
  <c r="F37" i="13"/>
  <c r="E37" i="13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I29" i="1"/>
  <c r="G29" i="1"/>
  <c r="E29" i="1"/>
  <c r="D29" i="1"/>
  <c r="F28" i="1"/>
  <c r="F27" i="1"/>
  <c r="F26" i="1"/>
  <c r="J25" i="1"/>
  <c r="J29" i="1" s="1"/>
  <c r="I25" i="1"/>
  <c r="H25" i="1"/>
  <c r="H29" i="1" s="1"/>
  <c r="G25" i="1"/>
  <c r="E25" i="1"/>
  <c r="D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10" i="24" l="1"/>
  <c r="H17" i="24"/>
  <c r="H13" i="24"/>
  <c r="G37" i="24"/>
  <c r="C25" i="1" s="1"/>
  <c r="C29" i="1" s="1"/>
  <c r="H22" i="24"/>
  <c r="E37" i="24"/>
  <c r="D17" i="21"/>
  <c r="C36" i="1"/>
  <c r="C34" i="1"/>
  <c r="F12" i="24"/>
  <c r="E62" i="24"/>
  <c r="F37" i="24" l="1"/>
  <c r="B25" i="1" s="1"/>
  <c r="H12" i="24"/>
  <c r="H37" i="24" s="1"/>
  <c r="F25" i="1" l="1"/>
  <c r="F29" i="1" s="1"/>
  <c r="C33" i="1" s="1"/>
  <c r="B29" i="1"/>
  <c r="C32" i="1" s="1"/>
</calcChain>
</file>

<file path=xl/sharedStrings.xml><?xml version="1.0" encoding="utf-8"?>
<sst xmlns="http://schemas.openxmlformats.org/spreadsheetml/2006/main" count="1698" uniqueCount="92">
  <si>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</si>
  <si>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</si>
  <si>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</si>
  <si>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</si>
  <si>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</si>
  <si>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</si>
  <si>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</si>
  <si>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</si>
  <si>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</si>
  <si>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</si>
  <si>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</si>
  <si>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</si>
  <si>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</si>
  <si>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</si>
  <si>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</si>
  <si>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</si>
  <si>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</si>
  <si>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</si>
  <si>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</si>
  <si>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</si>
  <si>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</si>
  <si>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</si>
  <si>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</si>
  <si>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</si>
  <si>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</si>
  <si>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</si>
  <si>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</si>
  <si>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</si>
  <si>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</si>
  <si>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</si>
  <si>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</si>
  <si>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</si>
  <si>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</si>
  <si>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</si>
  <si>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</si>
  <si>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</si>
  <si>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</si>
  <si>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</si>
  <si>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</si>
  <si>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</si>
  <si>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</si>
  <si>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</si>
  <si>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</si>
  <si>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</si>
  <si>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</si>
  <si>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</si>
  <si>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</si>
  <si>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</si>
  <si>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</si>
  <si>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</si>
  <si>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</si>
  <si>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</si>
  <si>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</si>
  <si>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</si>
  <si>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</si>
  <si>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</si>
  <si>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</si>
  <si>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</si>
  <si>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</si>
  <si>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</si>
  <si>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</si>
  <si>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</si>
  <si>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</si>
  <si>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</si>
  <si>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</si>
  <si>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</si>
  <si>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</si>
  <si>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</si>
  <si>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</si>
  <si>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</si>
  <si>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</si>
  <si>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</si>
  <si>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</si>
  <si>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</si>
  <si>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</si>
  <si>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</si>
  <si>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</si>
  <si>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</si>
  <si>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</si>
  <si>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</si>
  <si>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</si>
  <si>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</si>
  <si>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</si>
  <si>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</si>
  <si>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UMUHUMURO</t>
  </si>
  <si>
    <t xml:space="preserve">MSF </t>
  </si>
  <si>
    <t xml:space="preserve">IMBABARI </t>
  </si>
  <si>
    <t>IMIHUMURO</t>
  </si>
  <si>
    <t>IMBABARI</t>
  </si>
  <si>
    <t>OTHER TYPE OF TIMBER</t>
  </si>
  <si>
    <t>IBIPANDE PINUS</t>
  </si>
  <si>
    <t>WEEKLY REPORT 01-05/04/2026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</si>
</sst>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164" fontId="8" fillId="2" borderId="11" xfId="1" applyNumberFormat="1" applyFont="1" applyFill="1" applyBorder="1" applyProtection="1">
      <protection locked="0"/>
    </xf>
    <xf numFmtId="164" fontId="8" fillId="3" borderId="11" xfId="1" applyNumberFormat="1" applyFont="1" applyFill="1" applyBorder="1" applyProtection="1">
      <protection locked="0"/>
    </xf>
    <xf numFmtId="164" fontId="8" fillId="3" borderId="8" xfId="1" applyNumberFormat="1" applyFont="1" applyFill="1" applyBorder="1" applyProtection="1">
      <protection locked="0"/>
    </xf>
    <xf numFmtId="164" fontId="8" fillId="2" borderId="12" xfId="1" applyNumberFormat="1" applyFont="1" applyFill="1" applyBorder="1" applyProtection="1">
      <protection locked="0"/>
    </xf>
    <xf numFmtId="164" fontId="9" fillId="0" borderId="13" xfId="1" applyNumberFormat="1" applyFont="1" applyBorder="1" applyProtection="1">
      <protection locked="0"/>
    </xf>
    <xf numFmtId="164" fontId="8" fillId="0" borderId="15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hidden="1"/>
    </xf>
    <xf numFmtId="164" fontId="8" fillId="2" borderId="16" xfId="1" applyNumberFormat="1" applyFont="1" applyFill="1" applyBorder="1" applyProtection="1">
      <protection locked="0"/>
    </xf>
    <xf numFmtId="164" fontId="9" fillId="0" borderId="17" xfId="1" applyNumberFormat="1" applyFont="1" applyBorder="1" applyProtection="1">
      <protection locked="0"/>
    </xf>
    <xf numFmtId="164" fontId="8" fillId="0" borderId="19" xfId="1" applyNumberFormat="1" applyFont="1" applyBorder="1" applyProtection="1">
      <protection hidden="1"/>
    </xf>
    <xf numFmtId="164" fontId="8" fillId="0" borderId="18" xfId="1" applyNumberFormat="1" applyFont="1" applyBorder="1" applyProtection="1">
      <protection hidden="1"/>
    </xf>
    <xf numFmtId="164" fontId="10" fillId="2" borderId="16" xfId="1" applyNumberFormat="1" applyFont="1" applyFill="1" applyBorder="1" applyProtection="1">
      <protection locked="0"/>
    </xf>
    <xf numFmtId="164" fontId="11" fillId="2" borderId="16" xfId="1" applyNumberFormat="1" applyFont="1" applyFill="1" applyBorder="1" applyProtection="1">
      <protection locked="0"/>
    </xf>
    <xf numFmtId="164" fontId="8" fillId="2" borderId="11" xfId="1" applyNumberFormat="1" applyFont="1" applyFill="1" applyBorder="1" applyAlignment="1" applyProtection="1">
      <alignment horizontal="center"/>
      <protection locked="0"/>
    </xf>
    <xf numFmtId="164" fontId="8" fillId="0" borderId="11" xfId="1" applyNumberFormat="1" applyFont="1" applyBorder="1" applyAlignment="1" applyProtection="1">
      <alignment horizontal="center"/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8" xfId="1" applyNumberFormat="1" applyFont="1" applyBorder="1" applyProtection="1">
      <protection locked="0"/>
    </xf>
    <xf numFmtId="164" fontId="10" fillId="2" borderId="20" xfId="1" applyNumberFormat="1" applyFont="1" applyFill="1" applyBorder="1" applyAlignment="1" applyProtection="1">
      <alignment horizontal="left"/>
      <protection locked="0"/>
    </xf>
    <xf numFmtId="164" fontId="9" fillId="0" borderId="21" xfId="1" applyNumberFormat="1" applyFont="1" applyBorder="1" applyAlignment="1" applyProtection="1">
      <alignment horizontal="center"/>
      <protection locked="0"/>
    </xf>
    <xf numFmtId="164" fontId="8" fillId="0" borderId="22" xfId="1" applyNumberFormat="1" applyFont="1" applyBorder="1" applyProtection="1">
      <protection hidden="1"/>
    </xf>
    <xf numFmtId="164" fontId="8" fillId="0" borderId="21" xfId="1" applyNumberFormat="1" applyFont="1" applyBorder="1" applyProtection="1">
      <protection hidden="1"/>
    </xf>
    <xf numFmtId="164" fontId="8" fillId="0" borderId="23" xfId="1" applyNumberFormat="1" applyFont="1" applyBorder="1" applyProtection="1">
      <protection hidden="1"/>
    </xf>
    <xf numFmtId="164" fontId="8" fillId="0" borderId="1" xfId="1" applyNumberFormat="1" applyFont="1" applyBorder="1" applyProtection="1">
      <protection hidden="1"/>
    </xf>
    <xf numFmtId="164" fontId="10" fillId="2" borderId="24" xfId="1" applyNumberFormat="1" applyFont="1" applyFill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8" fillId="0" borderId="25" xfId="1" applyNumberFormat="1" applyFont="1" applyBorder="1" applyProtection="1">
      <protection hidden="1"/>
    </xf>
    <xf numFmtId="164" fontId="8" fillId="0" borderId="16" xfId="1" applyNumberFormat="1" applyFont="1" applyBorder="1" applyProtection="1">
      <protection hidden="1"/>
    </xf>
    <xf numFmtId="164" fontId="8" fillId="0" borderId="11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hidden="1"/>
    </xf>
    <xf numFmtId="164" fontId="10" fillId="2" borderId="24" xfId="1" applyNumberFormat="1" applyFont="1" applyFill="1" applyBorder="1" applyProtection="1">
      <protection locked="0"/>
    </xf>
    <xf numFmtId="164" fontId="9" fillId="0" borderId="16" xfId="1" applyNumberFormat="1" applyFont="1" applyBorder="1" applyProtection="1">
      <protection locked="0"/>
    </xf>
    <xf numFmtId="164" fontId="8" fillId="0" borderId="26" xfId="1" applyNumberFormat="1" applyFont="1" applyBorder="1" applyProtection="1">
      <protection hidden="1"/>
    </xf>
    <xf numFmtId="164" fontId="8" fillId="0" borderId="10" xfId="1" applyNumberFormat="1" applyFont="1" applyBorder="1" applyProtection="1">
      <protection hidden="1"/>
    </xf>
    <xf numFmtId="164" fontId="8" fillId="2" borderId="24" xfId="1" applyNumberFormat="1" applyFont="1" applyFill="1" applyBorder="1" applyProtection="1">
      <protection locked="0"/>
    </xf>
    <xf numFmtId="164" fontId="9" fillId="0" borderId="12" xfId="1" applyNumberFormat="1" applyFont="1" applyBorder="1" applyAlignment="1" applyProtection="1">
      <alignment horizontal="center"/>
      <protection locked="0"/>
    </xf>
    <xf numFmtId="164" fontId="8" fillId="2" borderId="27" xfId="1" applyNumberFormat="1" applyFont="1" applyFill="1" applyBorder="1" applyProtection="1">
      <protection locked="0"/>
    </xf>
    <xf numFmtId="164" fontId="9" fillId="0" borderId="28" xfId="1" applyNumberFormat="1" applyFont="1" applyBorder="1" applyProtection="1">
      <protection locked="0"/>
    </xf>
    <xf numFmtId="164" fontId="8" fillId="0" borderId="29" xfId="1" applyNumberFormat="1" applyFont="1" applyBorder="1" applyProtection="1">
      <protection hidden="1"/>
    </xf>
    <xf numFmtId="164" fontId="8" fillId="0" borderId="28" xfId="1" applyNumberFormat="1" applyFont="1" applyBorder="1" applyProtection="1">
      <protection hidden="1"/>
    </xf>
    <xf numFmtId="164" fontId="8" fillId="0" borderId="30" xfId="1" applyNumberFormat="1" applyFont="1" applyBorder="1" applyProtection="1">
      <protection hidden="1"/>
    </xf>
    <xf numFmtId="164" fontId="8" fillId="0" borderId="4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hidden="1"/>
    </xf>
    <xf numFmtId="164" fontId="9" fillId="0" borderId="31" xfId="1" applyNumberFormat="1" applyFont="1" applyBorder="1" applyProtection="1">
      <protection locked="0"/>
    </xf>
    <xf numFmtId="164" fontId="8" fillId="2" borderId="33" xfId="1" applyNumberFormat="1" applyFont="1" applyFill="1" applyBorder="1" applyAlignment="1" applyProtection="1">
      <alignment vertical="center"/>
      <protection locked="0"/>
    </xf>
    <xf numFmtId="164" fontId="9" fillId="2" borderId="34" xfId="1" applyNumberFormat="1" applyFont="1" applyFill="1" applyBorder="1" applyProtection="1">
      <protection locked="0"/>
    </xf>
    <xf numFmtId="164" fontId="8" fillId="2" borderId="35" xfId="1" applyNumberFormat="1" applyFont="1" applyFill="1" applyBorder="1" applyProtection="1">
      <protection hidden="1"/>
    </xf>
    <xf numFmtId="164" fontId="11" fillId="3" borderId="38" xfId="1" applyNumberFormat="1" applyFont="1" applyFill="1" applyBorder="1" applyProtection="1">
      <protection locked="0"/>
    </xf>
    <xf numFmtId="164" fontId="9" fillId="2" borderId="2" xfId="1" applyNumberFormat="1" applyFont="1" applyFill="1" applyBorder="1" applyProtection="1">
      <protection locked="0"/>
    </xf>
    <xf numFmtId="164" fontId="9" fillId="3" borderId="11" xfId="1" applyNumberFormat="1" applyFont="1" applyFill="1" applyBorder="1" applyProtection="1">
      <protection locked="0"/>
    </xf>
    <xf numFmtId="164" fontId="11" fillId="3" borderId="8" xfId="1" applyNumberFormat="1" applyFont="1" applyFill="1" applyBorder="1" applyProtection="1">
      <protection locked="0"/>
    </xf>
    <xf numFmtId="164" fontId="9" fillId="0" borderId="30" xfId="1" applyNumberFormat="1" applyFont="1" applyBorder="1" applyProtection="1">
      <protection locked="0"/>
    </xf>
    <xf numFmtId="164" fontId="10" fillId="2" borderId="1" xfId="1" applyNumberFormat="1" applyFont="1" applyFill="1" applyBorder="1" applyProtection="1">
      <protection locked="0"/>
    </xf>
    <xf numFmtId="164" fontId="9" fillId="0" borderId="15" xfId="1" applyNumberFormat="1" applyFont="1" applyBorder="1" applyProtection="1">
      <protection locked="0"/>
    </xf>
    <xf numFmtId="164" fontId="9" fillId="0" borderId="14" xfId="1" applyNumberFormat="1" applyFont="1" applyBorder="1" applyProtection="1">
      <protection locked="0"/>
    </xf>
    <xf numFmtId="164" fontId="9" fillId="0" borderId="10" xfId="1" applyNumberFormat="1" applyFont="1" applyBorder="1" applyProtection="1">
      <protection locked="0"/>
    </xf>
    <xf numFmtId="164" fontId="10" fillId="2" borderId="7" xfId="1" applyNumberFormat="1" applyFont="1" applyFill="1" applyBorder="1" applyProtection="1"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8" xfId="1" applyNumberFormat="1" applyFont="1" applyBorder="1" applyProtection="1">
      <protection locked="0"/>
    </xf>
    <xf numFmtId="164" fontId="9" fillId="0" borderId="7" xfId="1" applyNumberFormat="1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2" borderId="11" xfId="1" applyNumberFormat="1" applyFont="1" applyFill="1" applyBorder="1" applyProtection="1">
      <protection locked="0"/>
    </xf>
    <xf numFmtId="164" fontId="9" fillId="0" borderId="9" xfId="1" applyNumberFormat="1" applyFont="1" applyBorder="1" applyAlignment="1" applyProtection="1">
      <protection locked="0"/>
    </xf>
    <xf numFmtId="164" fontId="10" fillId="2" borderId="12" xfId="1" applyNumberFormat="1" applyFont="1" applyFill="1" applyBorder="1" applyProtection="1">
      <protection locked="0"/>
    </xf>
    <xf numFmtId="164" fontId="9" fillId="0" borderId="6" xfId="1" applyNumberFormat="1" applyFont="1" applyBorder="1" applyAlignment="1" applyProtection="1">
      <protection hidden="1"/>
    </xf>
    <xf numFmtId="164" fontId="10" fillId="2" borderId="31" xfId="1" applyNumberFormat="1" applyFont="1" applyFill="1" applyBorder="1" applyAlignment="1" applyProtection="1">
      <protection locked="0"/>
    </xf>
    <xf numFmtId="164" fontId="9" fillId="0" borderId="40" xfId="1" applyNumberFormat="1" applyFont="1" applyBorder="1" applyAlignment="1" applyProtection="1">
      <protection locked="0"/>
    </xf>
    <xf numFmtId="164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4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4" fontId="16" fillId="0" borderId="0" xfId="1" applyNumberFormat="1" applyFont="1" applyProtection="1">
      <protection locked="0"/>
    </xf>
    <xf numFmtId="164" fontId="0" fillId="0" borderId="0" xfId="1" applyNumberFormat="1" applyFont="1" applyProtection="1">
      <protection locked="0"/>
    </xf>
    <xf numFmtId="164" fontId="16" fillId="0" borderId="10" xfId="1" applyNumberFormat="1" applyFont="1" applyBorder="1" applyProtection="1">
      <protection locked="0"/>
    </xf>
    <xf numFmtId="164" fontId="16" fillId="0" borderId="26" xfId="1" applyNumberFormat="1" applyFont="1" applyBorder="1" applyProtection="1">
      <protection locked="0"/>
    </xf>
    <xf numFmtId="164" fontId="16" fillId="2" borderId="1" xfId="1" applyNumberFormat="1" applyFont="1" applyFill="1" applyBorder="1" applyProtection="1">
      <protection locked="0"/>
    </xf>
    <xf numFmtId="164" fontId="16" fillId="6" borderId="1" xfId="1" applyNumberFormat="1" applyFont="1" applyFill="1" applyBorder="1" applyProtection="1">
      <protection locked="0"/>
    </xf>
    <xf numFmtId="164" fontId="16" fillId="6" borderId="23" xfId="1" applyNumberFormat="1" applyFont="1" applyFill="1" applyBorder="1" applyProtection="1">
      <protection locked="0"/>
    </xf>
    <xf numFmtId="164" fontId="16" fillId="6" borderId="3" xfId="1" applyNumberFormat="1" applyFont="1" applyFill="1" applyBorder="1" applyProtection="1">
      <protection locked="0"/>
    </xf>
    <xf numFmtId="164" fontId="16" fillId="6" borderId="11" xfId="1" applyNumberFormat="1" applyFont="1" applyFill="1" applyBorder="1" applyProtection="1">
      <protection locked="0"/>
    </xf>
    <xf numFmtId="164" fontId="16" fillId="2" borderId="20" xfId="1" applyNumberFormat="1" applyFont="1" applyFill="1" applyBorder="1" applyProtection="1">
      <protection locked="0"/>
    </xf>
    <xf numFmtId="164" fontId="16" fillId="0" borderId="20" xfId="1" applyNumberFormat="1" applyFont="1" applyBorder="1" applyProtection="1">
      <protection hidden="1"/>
    </xf>
    <xf numFmtId="164" fontId="16" fillId="0" borderId="21" xfId="1" applyNumberFormat="1" applyFont="1" applyBorder="1" applyProtection="1">
      <protection hidden="1"/>
    </xf>
    <xf numFmtId="164" fontId="16" fillId="0" borderId="11" xfId="1" applyNumberFormat="1" applyFont="1" applyBorder="1" applyProtection="1">
      <protection hidden="1"/>
    </xf>
    <xf numFmtId="164" fontId="16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hidden="1"/>
    </xf>
    <xf numFmtId="164" fontId="16" fillId="0" borderId="16" xfId="1" applyNumberFormat="1" applyFont="1" applyBorder="1" applyProtection="1">
      <protection hidden="1"/>
    </xf>
    <xf numFmtId="164" fontId="16" fillId="0" borderId="31" xfId="1" applyNumberFormat="1" applyFont="1" applyBorder="1" applyProtection="1">
      <protection hidden="1"/>
    </xf>
    <xf numFmtId="164" fontId="0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locked="0"/>
    </xf>
    <xf numFmtId="164" fontId="16" fillId="0" borderId="16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16" xfId="1" applyNumberFormat="1" applyFont="1" applyBorder="1" applyProtection="1">
      <protection locked="0"/>
    </xf>
    <xf numFmtId="164" fontId="0" fillId="2" borderId="32" xfId="1" applyNumberFormat="1" applyFont="1" applyFill="1" applyBorder="1" applyProtection="1">
      <protection locked="0"/>
    </xf>
    <xf numFmtId="164" fontId="16" fillId="0" borderId="32" xfId="1" applyNumberFormat="1" applyFont="1" applyBorder="1" applyProtection="1">
      <protection locked="0"/>
    </xf>
    <xf numFmtId="164" fontId="16" fillId="0" borderId="31" xfId="1" applyNumberFormat="1" applyFont="1" applyBorder="1" applyProtection="1">
      <protection locked="0"/>
    </xf>
    <xf numFmtId="164" fontId="0" fillId="0" borderId="44" xfId="1" applyNumberFormat="1" applyFont="1" applyBorder="1" applyProtection="1">
      <protection locked="0"/>
    </xf>
    <xf numFmtId="164" fontId="0" fillId="0" borderId="31" xfId="1" applyNumberFormat="1" applyFont="1" applyBorder="1" applyProtection="1">
      <protection locked="0"/>
    </xf>
    <xf numFmtId="164" fontId="20" fillId="2" borderId="4" xfId="1" applyNumberFormat="1" applyFont="1" applyFill="1" applyBorder="1" applyProtection="1">
      <protection locked="0"/>
    </xf>
    <xf numFmtId="164" fontId="20" fillId="2" borderId="4" xfId="1" applyNumberFormat="1" applyFont="1" applyFill="1" applyBorder="1" applyProtection="1">
      <protection hidden="1"/>
    </xf>
    <xf numFmtId="164" fontId="20" fillId="2" borderId="30" xfId="1" applyNumberFormat="1" applyFont="1" applyFill="1" applyBorder="1" applyProtection="1">
      <protection hidden="1"/>
    </xf>
    <xf numFmtId="164" fontId="20" fillId="2" borderId="5" xfId="1" applyNumberFormat="1" applyFont="1" applyFill="1" applyBorder="1" applyProtection="1">
      <protection hidden="1"/>
    </xf>
    <xf numFmtId="164" fontId="0" fillId="0" borderId="0" xfId="1" applyNumberFormat="1" applyFont="1" applyBorder="1" applyProtection="1">
      <protection locked="0"/>
    </xf>
    <xf numFmtId="164" fontId="16" fillId="0" borderId="0" xfId="1" applyNumberFormat="1" applyFont="1" applyBorder="1" applyProtection="1">
      <protection locked="0"/>
    </xf>
    <xf numFmtId="164" fontId="25" fillId="6" borderId="2" xfId="1" applyNumberFormat="1" applyFont="1" applyFill="1" applyBorder="1" applyProtection="1">
      <protection locked="0"/>
    </xf>
    <xf numFmtId="164" fontId="0" fillId="2" borderId="26" xfId="1" applyNumberFormat="1" applyFont="1" applyFill="1" applyBorder="1" applyAlignment="1" applyProtection="1">
      <alignment horizontal="center"/>
      <protection locked="0"/>
    </xf>
    <xf numFmtId="164" fontId="16" fillId="6" borderId="0" xfId="1" applyNumberFormat="1" applyFont="1" applyFill="1" applyBorder="1" applyProtection="1">
      <protection locked="0"/>
    </xf>
    <xf numFmtId="164" fontId="16" fillId="0" borderId="47" xfId="1" applyNumberFormat="1" applyFont="1" applyBorder="1" applyProtection="1">
      <protection hidden="1"/>
    </xf>
    <xf numFmtId="164" fontId="16" fillId="0" borderId="48" xfId="1" applyNumberFormat="1" applyFont="1" applyBorder="1" applyProtection="1">
      <protection hidden="1"/>
    </xf>
    <xf numFmtId="164" fontId="0" fillId="0" borderId="48" xfId="1" applyNumberFormat="1" applyFont="1" applyBorder="1" applyProtection="1">
      <protection locked="0"/>
    </xf>
    <xf numFmtId="164" fontId="0" fillId="0" borderId="49" xfId="1" applyNumberFormat="1" applyFont="1" applyBorder="1" applyProtection="1">
      <protection locked="0"/>
    </xf>
    <xf numFmtId="164" fontId="16" fillId="2" borderId="26" xfId="1" applyNumberFormat="1" applyFont="1" applyFill="1" applyBorder="1" applyProtection="1">
      <protection hidden="1"/>
    </xf>
    <xf numFmtId="164" fontId="20" fillId="2" borderId="0" xfId="1" applyNumberFormat="1" applyFont="1" applyFill="1" applyBorder="1" applyProtection="1">
      <protection locked="0"/>
    </xf>
    <xf numFmtId="164" fontId="8" fillId="2" borderId="20" xfId="1" applyNumberFormat="1" applyFont="1" applyFill="1" applyBorder="1" applyAlignment="1" applyProtection="1">
      <alignment horizontal="left"/>
      <protection locked="0"/>
    </xf>
    <xf numFmtId="164" fontId="24" fillId="2" borderId="7" xfId="1" applyNumberFormat="1" applyFont="1" applyFill="1" applyBorder="1" applyAlignment="1" applyProtection="1">
      <alignment horizontal="center"/>
      <protection locked="0"/>
    </xf>
    <xf numFmtId="164" fontId="24" fillId="2" borderId="8" xfId="1" applyNumberFormat="1" applyFont="1" applyFill="1" applyBorder="1" applyAlignment="1" applyProtection="1">
      <alignment horizontal="center"/>
      <protection locked="0"/>
    </xf>
    <xf numFmtId="164" fontId="24" fillId="2" borderId="9" xfId="1" applyNumberFormat="1" applyFont="1" applyFill="1" applyBorder="1" applyAlignment="1" applyProtection="1">
      <alignment horizontal="center"/>
      <protection locked="0"/>
    </xf>
    <xf numFmtId="164" fontId="23" fillId="0" borderId="1" xfId="1" applyNumberFormat="1" applyFont="1" applyBorder="1" applyAlignment="1" applyProtection="1">
      <alignment horizontal="left"/>
      <protection locked="0"/>
    </xf>
    <xf numFmtId="164" fontId="23" fillId="0" borderId="2" xfId="1" applyNumberFormat="1" applyFont="1" applyBorder="1" applyAlignment="1" applyProtection="1">
      <alignment horizontal="left"/>
      <protection locked="0"/>
    </xf>
    <xf numFmtId="164" fontId="23" fillId="0" borderId="3" xfId="1" applyNumberFormat="1" applyFont="1" applyBorder="1" applyAlignment="1" applyProtection="1">
      <alignment horizontal="left"/>
      <protection locked="0"/>
    </xf>
    <xf numFmtId="164" fontId="23" fillId="0" borderId="4" xfId="1" applyNumberFormat="1" applyFont="1" applyBorder="1" applyAlignment="1" applyProtection="1">
      <alignment horizontal="left"/>
      <protection locked="0"/>
    </xf>
    <xf numFmtId="164" fontId="23" fillId="0" borderId="5" xfId="1" applyNumberFormat="1" applyFont="1" applyBorder="1" applyAlignment="1" applyProtection="1">
      <alignment horizontal="left"/>
      <protection locked="0"/>
    </xf>
    <xf numFmtId="164" fontId="23" fillId="0" borderId="6" xfId="1" applyNumberFormat="1" applyFont="1" applyBorder="1" applyAlignment="1" applyProtection="1">
      <alignment horizontal="left"/>
      <protection locked="0"/>
    </xf>
    <xf numFmtId="164" fontId="18" fillId="2" borderId="10" xfId="1" applyNumberFormat="1" applyFont="1" applyFill="1" applyBorder="1" applyAlignment="1" applyProtection="1">
      <alignment horizontal="center"/>
      <protection locked="0"/>
    </xf>
    <xf numFmtId="164" fontId="18" fillId="2" borderId="0" xfId="1" applyNumberFormat="1" applyFont="1" applyFill="1" applyBorder="1" applyAlignment="1" applyProtection="1">
      <alignment horizontal="center"/>
      <protection locked="0"/>
    </xf>
    <xf numFmtId="164" fontId="0" fillId="6" borderId="8" xfId="1" applyNumberFormat="1" applyFont="1" applyFill="1" applyBorder="1" applyAlignment="1" applyProtection="1">
      <alignment horizontal="center"/>
      <protection locked="0"/>
    </xf>
    <xf numFmtId="164" fontId="0" fillId="6" borderId="9" xfId="1" applyNumberFormat="1" applyFont="1" applyFill="1" applyBorder="1" applyAlignment="1" applyProtection="1">
      <alignment horizontal="center"/>
      <protection locked="0"/>
    </xf>
    <xf numFmtId="164" fontId="22" fillId="3" borderId="7" xfId="1" applyNumberFormat="1" applyFont="1" applyFill="1" applyBorder="1" applyAlignment="1" applyProtection="1">
      <alignment horizontal="center"/>
      <protection locked="0"/>
    </xf>
    <xf numFmtId="164" fontId="22" fillId="3" borderId="8" xfId="1" applyNumberFormat="1" applyFont="1" applyFill="1" applyBorder="1" applyAlignment="1" applyProtection="1">
      <alignment horizontal="center"/>
      <protection locked="0"/>
    </xf>
    <xf numFmtId="164" fontId="21" fillId="0" borderId="33" xfId="1" applyNumberFormat="1" applyFont="1" applyBorder="1" applyAlignment="1" applyProtection="1">
      <alignment horizontal="left"/>
      <protection locked="0"/>
    </xf>
    <xf numFmtId="164" fontId="21" fillId="0" borderId="3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hidden="1"/>
    </xf>
    <xf numFmtId="164" fontId="0" fillId="0" borderId="2" xfId="1" applyNumberFormat="1" applyFont="1" applyBorder="1" applyAlignment="1" applyProtection="1">
      <alignment horizontal="center"/>
      <protection hidden="1"/>
    </xf>
    <xf numFmtId="164" fontId="19" fillId="2" borderId="10" xfId="1" applyNumberFormat="1" applyFont="1" applyFill="1" applyBorder="1" applyAlignment="1" applyProtection="1">
      <alignment horizontal="center" vertical="center"/>
      <protection locked="0"/>
    </xf>
    <xf numFmtId="164" fontId="19" fillId="2" borderId="0" xfId="1" applyNumberFormat="1" applyFont="1" applyFill="1" applyBorder="1" applyAlignment="1" applyProtection="1">
      <alignment horizontal="center" vertical="center"/>
      <protection locked="0"/>
    </xf>
    <xf numFmtId="164" fontId="0" fillId="2" borderId="1" xfId="1" applyNumberFormat="1" applyFont="1" applyFill="1" applyBorder="1" applyAlignment="1" applyProtection="1">
      <alignment horizontal="center"/>
      <protection locked="0"/>
    </xf>
    <xf numFmtId="164" fontId="0" fillId="2" borderId="3" xfId="1" applyNumberFormat="1" applyFont="1" applyFill="1" applyBorder="1" applyAlignment="1" applyProtection="1">
      <alignment horizontal="center"/>
      <protection locked="0"/>
    </xf>
    <xf numFmtId="164" fontId="0" fillId="2" borderId="10" xfId="1" applyNumberFormat="1" applyFont="1" applyFill="1" applyBorder="1" applyAlignment="1" applyProtection="1">
      <alignment horizontal="center"/>
      <protection locked="0"/>
    </xf>
    <xf numFmtId="164" fontId="0" fillId="2" borderId="43" xfId="1" applyNumberFormat="1" applyFont="1" applyFill="1" applyBorder="1" applyAlignment="1" applyProtection="1">
      <alignment horizontal="center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6" xfId="1" applyNumberFormat="1" applyFont="1" applyFill="1" applyBorder="1" applyAlignment="1" applyProtection="1">
      <alignment horizontal="center"/>
      <protection locked="0"/>
    </xf>
    <xf numFmtId="164" fontId="21" fillId="0" borderId="1" xfId="1" applyNumberFormat="1" applyFont="1" applyBorder="1" applyAlignment="1" applyProtection="1">
      <alignment horizontal="left" vertical="top"/>
      <protection locked="0"/>
    </xf>
    <xf numFmtId="164" fontId="21" fillId="0" borderId="2" xfId="1" applyNumberFormat="1" applyFont="1" applyBorder="1" applyAlignment="1" applyProtection="1">
      <alignment horizontal="left" vertical="top"/>
      <protection locked="0"/>
    </xf>
    <xf numFmtId="164" fontId="21" fillId="0" borderId="3" xfId="1" applyNumberFormat="1" applyFont="1" applyBorder="1" applyAlignment="1" applyProtection="1">
      <alignment horizontal="left" vertical="top"/>
      <protection locked="0"/>
    </xf>
    <xf numFmtId="164" fontId="21" fillId="0" borderId="10" xfId="1" applyNumberFormat="1" applyFont="1" applyBorder="1" applyAlignment="1" applyProtection="1">
      <alignment horizontal="left" vertical="top"/>
      <protection locked="0"/>
    </xf>
    <xf numFmtId="164" fontId="21" fillId="0" borderId="0" xfId="1" applyNumberFormat="1" applyFont="1" applyBorder="1" applyAlignment="1" applyProtection="1">
      <alignment horizontal="left" vertical="top"/>
      <protection locked="0"/>
    </xf>
    <xf numFmtId="164" fontId="21" fillId="0" borderId="43" xfId="1" applyNumberFormat="1" applyFont="1" applyBorder="1" applyAlignment="1" applyProtection="1">
      <alignment horizontal="left" vertical="top"/>
      <protection locked="0"/>
    </xf>
    <xf numFmtId="164" fontId="21" fillId="0" borderId="4" xfId="1" applyNumberFormat="1" applyFont="1" applyBorder="1" applyAlignment="1" applyProtection="1">
      <alignment horizontal="left" vertical="top"/>
      <protection locked="0"/>
    </xf>
    <xf numFmtId="164" fontId="21" fillId="0" borderId="5" xfId="1" applyNumberFormat="1" applyFont="1" applyBorder="1" applyAlignment="1" applyProtection="1">
      <alignment horizontal="left" vertical="top"/>
      <protection locked="0"/>
    </xf>
    <xf numFmtId="164" fontId="21" fillId="0" borderId="6" xfId="1" applyNumberFormat="1" applyFont="1" applyBorder="1" applyAlignment="1" applyProtection="1">
      <alignment horizontal="left" vertical="top"/>
      <protection locked="0"/>
    </xf>
    <xf numFmtId="164" fontId="0" fillId="0" borderId="7" xfId="1" applyNumberFormat="1" applyFont="1" applyBorder="1" applyAlignment="1" applyProtection="1">
      <alignment horizontal="center"/>
      <protection hidden="1"/>
    </xf>
    <xf numFmtId="164" fontId="0" fillId="0" borderId="8" xfId="1" applyNumberFormat="1" applyFont="1" applyBorder="1" applyAlignment="1" applyProtection="1">
      <alignment horizontal="center"/>
      <protection hidden="1"/>
    </xf>
    <xf numFmtId="164" fontId="21" fillId="0" borderId="7" xfId="1" applyNumberFormat="1" applyFont="1" applyBorder="1" applyAlignment="1" applyProtection="1">
      <alignment horizontal="left"/>
      <protection locked="0"/>
    </xf>
    <xf numFmtId="164" fontId="21" fillId="0" borderId="9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center"/>
      <protection hidden="1"/>
    </xf>
    <xf numFmtId="164" fontId="21" fillId="0" borderId="45" xfId="1" applyNumberFormat="1" applyFont="1" applyBorder="1" applyAlignment="1" applyProtection="1">
      <alignment horizontal="center"/>
      <protection locked="0"/>
    </xf>
    <xf numFmtId="164" fontId="21" fillId="0" borderId="46" xfId="1" applyNumberFormat="1" applyFont="1" applyBorder="1" applyAlignment="1" applyProtection="1">
      <alignment horizontal="center"/>
      <protection locked="0"/>
    </xf>
    <xf numFmtId="164" fontId="8" fillId="3" borderId="7" xfId="1" applyNumberFormat="1" applyFont="1" applyFill="1" applyBorder="1" applyAlignment="1" applyProtection="1">
      <alignment horizontal="center"/>
      <protection locked="0"/>
    </xf>
    <xf numFmtId="164" fontId="8" fillId="3" borderId="9" xfId="1" applyNumberFormat="1" applyFont="1" applyFill="1" applyBorder="1" applyAlignment="1" applyProtection="1">
      <alignment horizontal="center"/>
      <protection locked="0"/>
    </xf>
    <xf numFmtId="164" fontId="9" fillId="0" borderId="14" xfId="1" applyNumberFormat="1" applyFont="1" applyBorder="1" applyAlignment="1" applyProtection="1">
      <alignment horizontal="center"/>
      <protection locked="0"/>
    </xf>
    <xf numFmtId="164" fontId="9" fillId="0" borderId="13" xfId="1" applyNumberFormat="1" applyFont="1" applyBorder="1" applyAlignment="1" applyProtection="1">
      <alignment horizontal="center"/>
      <protection locked="0"/>
    </xf>
    <xf numFmtId="164" fontId="9" fillId="0" borderId="18" xfId="1" applyNumberFormat="1" applyFont="1" applyBorder="1" applyAlignment="1" applyProtection="1">
      <alignment horizontal="center"/>
      <protection locked="0"/>
    </xf>
    <xf numFmtId="164" fontId="9" fillId="0" borderId="17" xfId="1" applyNumberFormat="1" applyFont="1" applyBorder="1" applyAlignment="1" applyProtection="1">
      <alignment horizontal="center"/>
      <protection locked="0"/>
    </xf>
    <xf numFmtId="164" fontId="12" fillId="3" borderId="7" xfId="1" applyNumberFormat="1" applyFont="1" applyFill="1" applyBorder="1" applyAlignment="1" applyProtection="1">
      <alignment horizontal="center"/>
      <protection locked="0"/>
    </xf>
    <xf numFmtId="164" fontId="12" fillId="3" borderId="8" xfId="1" applyNumberFormat="1" applyFont="1" applyFill="1" applyBorder="1" applyAlignment="1" applyProtection="1">
      <alignment horizontal="center"/>
      <protection locked="0"/>
    </xf>
    <xf numFmtId="164" fontId="10" fillId="3" borderId="36" xfId="1" applyNumberFormat="1" applyFont="1" applyFill="1" applyBorder="1" applyAlignment="1" applyProtection="1">
      <alignment horizontal="center" vertical="center"/>
      <protection locked="0"/>
    </xf>
    <xf numFmtId="164" fontId="8" fillId="3" borderId="37" xfId="1" applyNumberFormat="1" applyFont="1" applyFill="1" applyBorder="1" applyAlignment="1" applyProtection="1">
      <alignment horizontal="center" vertical="center"/>
      <protection locked="0"/>
    </xf>
    <xf numFmtId="164" fontId="9" fillId="3" borderId="33" xfId="1" applyNumberFormat="1" applyFont="1" applyFill="1" applyBorder="1" applyAlignment="1" applyProtection="1">
      <alignment horizontal="center"/>
      <protection locked="0"/>
    </xf>
    <xf numFmtId="164" fontId="9" fillId="3" borderId="39" xfId="1" applyNumberFormat="1" applyFont="1" applyFill="1" applyBorder="1" applyAlignment="1" applyProtection="1">
      <alignment horizontal="center"/>
      <protection locked="0"/>
    </xf>
    <xf numFmtId="164" fontId="8" fillId="0" borderId="4" xfId="1" applyNumberFormat="1" applyFont="1" applyBorder="1" applyAlignment="1" applyProtection="1">
      <alignment horizontal="left"/>
      <protection locked="0"/>
    </xf>
    <xf numFmtId="164" fontId="8" fillId="0" borderId="6" xfId="1" applyNumberFormat="1" applyFont="1" applyBorder="1" applyAlignment="1" applyProtection="1">
      <alignment horizontal="left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left"/>
      <protection locked="0"/>
    </xf>
    <xf numFmtId="164" fontId="8" fillId="0" borderId="9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center"/>
      <protection locked="0"/>
    </xf>
    <xf numFmtId="164" fontId="9" fillId="0" borderId="19" xfId="1" applyNumberFormat="1" applyFont="1" applyBorder="1" applyAlignment="1" applyProtection="1">
      <alignment horizontal="left"/>
      <protection locked="0"/>
    </xf>
    <xf numFmtId="164" fontId="8" fillId="0" borderId="1" xfId="1" applyNumberFormat="1" applyFont="1" applyBorder="1" applyAlignment="1" applyProtection="1">
      <alignment horizontal="left"/>
      <protection locked="0"/>
    </xf>
    <xf numFmtId="164" fontId="8" fillId="0" borderId="3" xfId="1" applyNumberFormat="1" applyFont="1" applyBorder="1" applyAlignment="1" applyProtection="1">
      <alignment horizontal="left"/>
      <protection locked="0"/>
    </xf>
    <xf numFmtId="164" fontId="9" fillId="0" borderId="17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9" xfId="1" applyNumberFormat="1" applyFont="1" applyBorder="1" applyAlignment="1" applyProtection="1">
      <alignment horizontal="left"/>
      <protection locked="0"/>
    </xf>
    <xf numFmtId="164" fontId="9" fillId="0" borderId="40" xfId="1" applyNumberFormat="1" applyFont="1" applyBorder="1" applyAlignment="1" applyProtection="1">
      <alignment horizontal="left"/>
      <protection locked="0"/>
    </xf>
    <xf numFmtId="164" fontId="9" fillId="0" borderId="41" xfId="1" applyNumberFormat="1" applyFont="1" applyBorder="1" applyAlignment="1" applyProtection="1">
      <alignment horizontal="left"/>
      <protection locked="0"/>
    </xf>
    <xf numFmtId="164" fontId="10" fillId="2" borderId="7" xfId="1" applyNumberFormat="1" applyFont="1" applyFill="1" applyBorder="1" applyAlignment="1" applyProtection="1">
      <alignment horizontal="center"/>
      <protection locked="0"/>
    </xf>
    <xf numFmtId="164" fontId="8" fillId="2" borderId="9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protection locked="0"/>
    </xf>
    <xf numFmtId="164" fontId="13" fillId="2" borderId="9" xfId="1" applyNumberFormat="1" applyFont="1" applyFill="1" applyBorder="1" applyAlignment="1" applyProtection="1">
      <protection locked="0"/>
    </xf>
    <xf numFmtId="164" fontId="13" fillId="2" borderId="7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alignment horizontal="center"/>
      <protection locked="0"/>
    </xf>
    <xf numFmtId="164" fontId="15" fillId="2" borderId="8" xfId="1" applyNumberFormat="1" applyFont="1" applyFill="1" applyBorder="1" applyAlignment="1" applyProtection="1">
      <protection locked="0"/>
    </xf>
    <xf numFmtId="164" fontId="15" fillId="2" borderId="9" xfId="1" applyNumberFormat="1" applyFont="1" applyFill="1" applyBorder="1" applyAlignment="1" applyProtection="1">
      <protection locked="0"/>
    </xf>
    <xf numFmtId="164" fontId="15" fillId="0" borderId="7" xfId="1" applyNumberFormat="1" applyFont="1" applyBorder="1" applyAlignment="1" applyProtection="1">
      <alignment horizontal="center"/>
      <protection hidden="1"/>
    </xf>
    <xf numFmtId="164" fontId="15" fillId="0" borderId="8" xfId="1" applyNumberFormat="1" applyFont="1" applyBorder="1" applyAlignment="1" applyProtection="1">
      <alignment horizontal="center"/>
      <protection hidden="1"/>
    </xf>
    <xf numFmtId="164" fontId="16" fillId="2" borderId="8" xfId="1" applyNumberFormat="1" applyFont="1" applyFill="1" applyBorder="1" applyAlignment="1" applyProtection="1">
      <protection locked="0"/>
    </xf>
    <xf numFmtId="164" fontId="16" fillId="2" borderId="9" xfId="1" applyNumberFormat="1" applyFont="1" applyFill="1" applyBorder="1" applyAlignment="1" applyProtection="1">
      <protection locked="0"/>
    </xf>
    <xf numFmtId="164" fontId="16" fillId="0" borderId="7" xfId="1" applyNumberFormat="1" applyFont="1" applyBorder="1" applyAlignment="1" applyProtection="1">
      <alignment horizontal="center"/>
      <protection hidden="1"/>
    </xf>
    <xf numFmtId="164" fontId="16" fillId="0" borderId="8" xfId="1" applyNumberFormat="1" applyFont="1" applyBorder="1" applyAlignment="1" applyProtection="1">
      <alignment horizontal="center"/>
      <protection hidden="1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14" fillId="4" borderId="1" xfId="1" applyNumberFormat="1" applyFont="1" applyFill="1" applyBorder="1" applyAlignment="1" applyProtection="1">
      <alignment horizontal="left" vertical="top" wrapText="1"/>
      <protection locked="0"/>
    </xf>
    <xf numFmtId="164" fontId="14" fillId="4" borderId="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" xfId="1" applyNumberFormat="1" applyFont="1" applyFill="1" applyBorder="1" applyAlignment="1" applyProtection="1">
      <alignment horizontal="left" vertical="top" wrapText="1"/>
      <protection locked="0"/>
    </xf>
    <xf numFmtId="164" fontId="14" fillId="4" borderId="6" xfId="1" applyNumberFormat="1" applyFont="1" applyFill="1" applyBorder="1" applyAlignment="1" applyProtection="1">
      <alignment horizontal="left" vertical="top" wrapText="1"/>
      <protection locked="0"/>
    </xf>
    <xf numFmtId="164" fontId="7" fillId="2" borderId="1" xfId="1" applyNumberFormat="1" applyFont="1" applyFill="1" applyBorder="1" applyAlignment="1" applyProtection="1">
      <alignment horizontal="center"/>
      <protection locked="0"/>
    </xf>
    <xf numFmtId="164" fontId="7" fillId="2" borderId="2" xfId="1" applyNumberFormat="1" applyFont="1" applyFill="1" applyBorder="1" applyAlignment="1" applyProtection="1">
      <alignment horizontal="center"/>
      <protection locked="0"/>
    </xf>
    <xf numFmtId="164" fontId="7" fillId="2" borderId="4" xfId="1" applyNumberFormat="1" applyFont="1" applyFill="1" applyBorder="1" applyAlignment="1" applyProtection="1">
      <alignment horizontal="center"/>
      <protection locked="0"/>
    </xf>
    <xf numFmtId="164" fontId="7" fillId="2" borderId="5" xfId="1" applyNumberFormat="1" applyFont="1" applyFill="1" applyBorder="1" applyAlignment="1" applyProtection="1">
      <alignment horizontal="center"/>
      <protection locked="0"/>
    </xf>
    <xf numFmtId="164" fontId="7" fillId="2" borderId="10" xfId="1" applyNumberFormat="1" applyFont="1" applyFill="1" applyBorder="1" applyAlignment="1" applyProtection="1">
      <alignment horizontal="center"/>
      <protection locked="0"/>
    </xf>
    <xf numFmtId="164" fontId="7" fillId="2" borderId="0" xfId="1" applyNumberFormat="1" applyFont="1" applyFill="1" applyAlignment="1" applyProtection="1">
      <alignment horizontal="center"/>
      <protection locked="0"/>
    </xf>
    <xf numFmtId="164" fontId="7" fillId="2" borderId="0" xfId="1" applyNumberFormat="1" applyFont="1" applyFill="1" applyBorder="1" applyAlignment="1" applyProtection="1">
      <alignment horizontal="center"/>
      <protection locked="0"/>
    </xf>
    <xf numFmtId="164" fontId="1" fillId="0" borderId="1" xfId="1" applyNumberFormat="1" applyFont="1" applyBorder="1" applyAlignment="1" applyProtection="1">
      <alignment horizontal="center"/>
      <protection locked="0"/>
    </xf>
    <xf numFmtId="164" fontId="1" fillId="0" borderId="2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5" xfId="1" applyNumberFormat="1" applyFont="1" applyBorder="1" applyAlignment="1" applyProtection="1">
      <alignment horizontal="center"/>
      <protection locked="0"/>
    </xf>
    <xf numFmtId="164" fontId="17" fillId="0" borderId="7" xfId="1" applyNumberFormat="1" applyFont="1" applyBorder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horizontal="center" vertical="center"/>
      <protection hidden="1"/>
    </xf>
    <xf numFmtId="164" fontId="16" fillId="2" borderId="2" xfId="1" applyNumberFormat="1" applyFont="1" applyFill="1" applyBorder="1" applyAlignment="1" applyProtection="1">
      <protection locked="0"/>
    </xf>
    <xf numFmtId="164" fontId="16" fillId="2" borderId="3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8" fillId="2" borderId="7" xfId="1" applyNumberFormat="1" applyFont="1" applyFill="1" applyBorder="1" applyAlignment="1" applyProtection="1">
      <alignment horizontal="center"/>
      <protection locked="0"/>
    </xf>
    <xf numFmtId="164" fontId="8" fillId="2" borderId="8" xfId="1" applyNumberFormat="1" applyFont="1" applyFill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4" fontId="16" fillId="2" borderId="2" xfId="1" applyNumberFormat="1" applyFont="1" applyFill="1" applyBorder="1" applyAlignment="1"/>
    <xf numFmtId="164" fontId="16" fillId="2" borderId="3" xfId="1" applyNumberFormat="1" applyFont="1" applyFill="1" applyBorder="1" applyAlignment="1"/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164" fontId="2" fillId="2" borderId="7" xfId="1" applyNumberFormat="1" applyFont="1" applyFill="1" applyBorder="1" applyAlignment="1" applyProtection="1">
      <alignment horizontal="center"/>
      <protection locked="0"/>
    </xf>
    <xf numFmtId="164" fontId="2" fillId="2" borderId="8" xfId="1" applyNumberFormat="1" applyFont="1" applyFill="1" applyBorder="1" applyAlignment="1" applyProtection="1">
      <alignment horizontal="center"/>
      <protection locked="0"/>
    </xf>
    <xf numFmtId="164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4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4" fontId="1" fillId="0" borderId="3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632812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6328125" style="73" customWidth="1"/>
    <col min="11" max="11" width="8.90625" style="73"/>
    <col min="12" max="12" width="19.90625" style="73" customWidth="1"/>
    <col min="13" max="16384" width="8.90625" style="73"/>
  </cols>
  <sheetData>
    <row r="1" spans="1:15" ht="51.5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03"/>
      <c r="M1" s="103"/>
      <c r="N1" s="103"/>
    </row>
    <row r="2" spans="1:15" ht="31" customHeight="1">
      <c r="A2" s="134" t="s">
        <v>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03"/>
      <c r="M2" s="103"/>
      <c r="N2" s="103"/>
    </row>
    <row r="3" spans="1:15" ht="15" customHeigh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0</v>
      </c>
      <c r="C8" s="87">
        <f>BISHENYI!G37</f>
        <v>0</v>
      </c>
      <c r="D8" s="87">
        <f>BISHENYI!C43</f>
        <v>0</v>
      </c>
      <c r="E8" s="87">
        <f>BISHENYI!C44</f>
        <v>0</v>
      </c>
      <c r="F8" s="84">
        <f t="shared" si="0"/>
        <v>0</v>
      </c>
      <c r="G8" s="86">
        <f>BISHENYI!C41</f>
        <v>0</v>
      </c>
      <c r="H8" s="87">
        <f>BISHENYI!C39</f>
        <v>0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0</v>
      </c>
      <c r="C9" s="87">
        <f>RWAMAGANA!G37</f>
        <v>0</v>
      </c>
      <c r="D9" s="87">
        <f>RWAMAGANA!C43</f>
        <v>0</v>
      </c>
      <c r="E9" s="87">
        <f>RWAMAGANA!C44</f>
        <v>0</v>
      </c>
      <c r="F9" s="84">
        <f t="shared" si="0"/>
        <v>0</v>
      </c>
      <c r="G9" s="86">
        <f>RWAMAGANA!C41</f>
        <v>0</v>
      </c>
      <c r="H9" s="87">
        <f>RWAMAGANA!C39</f>
        <v>0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362880</v>
      </c>
      <c r="C25" s="87">
        <f>GASHYUSHYA!G37</f>
        <v>33600</v>
      </c>
      <c r="D25" s="87">
        <f>GASHYUSHYA!C43</f>
        <v>0</v>
      </c>
      <c r="E25" s="87">
        <f>GASHYUSHYA!C44</f>
        <v>0</v>
      </c>
      <c r="F25" s="84">
        <f t="shared" si="0"/>
        <v>396480</v>
      </c>
      <c r="G25" s="87">
        <f>GASHYUSHYA!C41</f>
        <v>0</v>
      </c>
      <c r="H25" s="88">
        <f>GASHYUSHYA!C39</f>
        <v>396480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362880</v>
      </c>
      <c r="C29" s="101">
        <f t="shared" si="1"/>
        <v>33600</v>
      </c>
      <c r="D29" s="102">
        <f t="shared" si="1"/>
        <v>0</v>
      </c>
      <c r="E29" s="101">
        <f t="shared" si="1"/>
        <v>0</v>
      </c>
      <c r="F29" s="101">
        <f t="shared" si="1"/>
        <v>396480</v>
      </c>
      <c r="G29" s="102">
        <f t="shared" si="1"/>
        <v>0</v>
      </c>
      <c r="H29" s="102">
        <f t="shared" si="1"/>
        <v>396480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26"/>
      <c r="B30" s="126"/>
      <c r="C30" s="126"/>
      <c r="D30" s="127"/>
      <c r="E30" s="142" t="s">
        <v>33</v>
      </c>
      <c r="F30" s="143"/>
      <c r="G30" s="143"/>
      <c r="H30" s="143"/>
      <c r="I30" s="144"/>
      <c r="J30" s="136"/>
      <c r="K30" s="137"/>
      <c r="L30" s="103"/>
    </row>
    <row r="31" spans="1:15">
      <c r="A31" s="128" t="s">
        <v>34</v>
      </c>
      <c r="B31" s="129"/>
      <c r="C31" s="129"/>
      <c r="D31" s="129"/>
      <c r="E31" s="145"/>
      <c r="F31" s="146"/>
      <c r="G31" s="146"/>
      <c r="H31" s="146"/>
      <c r="I31" s="147"/>
      <c r="J31" s="138"/>
      <c r="K31" s="139"/>
      <c r="L31" s="103"/>
    </row>
    <row r="32" spans="1:15" ht="14.5">
      <c r="A32" s="130" t="s">
        <v>35</v>
      </c>
      <c r="B32" s="131"/>
      <c r="C32" s="132">
        <f>SUM(B29+C29)</f>
        <v>396480</v>
      </c>
      <c r="D32" s="133"/>
      <c r="E32" s="145"/>
      <c r="F32" s="146"/>
      <c r="G32" s="146"/>
      <c r="H32" s="146"/>
      <c r="I32" s="147"/>
      <c r="J32" s="138"/>
      <c r="K32" s="139"/>
      <c r="L32" s="103"/>
    </row>
    <row r="33" spans="1:12" ht="14.5">
      <c r="A33" s="130" t="s">
        <v>36</v>
      </c>
      <c r="B33" s="131"/>
      <c r="C33" s="151">
        <f>SUM(F29,G29)</f>
        <v>396480</v>
      </c>
      <c r="D33" s="152"/>
      <c r="E33" s="145"/>
      <c r="F33" s="146"/>
      <c r="G33" s="146"/>
      <c r="H33" s="146"/>
      <c r="I33" s="147"/>
      <c r="J33" s="138"/>
      <c r="K33" s="139"/>
      <c r="L33" s="103"/>
    </row>
    <row r="34" spans="1:12" ht="14.5">
      <c r="A34" s="153" t="s">
        <v>37</v>
      </c>
      <c r="B34" s="154"/>
      <c r="C34" s="151">
        <f>SUM(H29,J29,I29+G29)</f>
        <v>396480</v>
      </c>
      <c r="D34" s="155"/>
      <c r="E34" s="145"/>
      <c r="F34" s="146"/>
      <c r="G34" s="146"/>
      <c r="H34" s="146"/>
      <c r="I34" s="147"/>
      <c r="J34" s="138"/>
      <c r="K34" s="139"/>
      <c r="L34" s="103"/>
    </row>
    <row r="35" spans="1:12" ht="14.5">
      <c r="A35" s="130" t="s">
        <v>38</v>
      </c>
      <c r="B35" s="131"/>
      <c r="C35" s="151">
        <f>SUM(D29:E29)</f>
        <v>0</v>
      </c>
      <c r="D35" s="155"/>
      <c r="E35" s="148"/>
      <c r="F35" s="149"/>
      <c r="G35" s="149"/>
      <c r="H35" s="149"/>
      <c r="I35" s="150"/>
      <c r="J35" s="138"/>
      <c r="K35" s="139"/>
      <c r="L35" s="103"/>
    </row>
    <row r="36" spans="1:12" ht="14.5">
      <c r="A36" s="130" t="s">
        <v>39</v>
      </c>
      <c r="B36" s="131"/>
      <c r="C36" s="151">
        <f>SUM(H29+I29+J29+C35)</f>
        <v>396480</v>
      </c>
      <c r="D36" s="155"/>
      <c r="E36" s="118" t="s">
        <v>40</v>
      </c>
      <c r="F36" s="119"/>
      <c r="G36" s="119"/>
      <c r="H36" s="119"/>
      <c r="I36" s="120"/>
      <c r="J36" s="138"/>
      <c r="K36" s="139"/>
      <c r="L36" s="103"/>
    </row>
    <row r="37" spans="1:12" ht="14.5">
      <c r="A37" s="156" t="s">
        <v>41</v>
      </c>
      <c r="B37" s="157"/>
      <c r="C37" s="151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396480</v>
      </c>
      <c r="D37" s="155"/>
      <c r="E37" s="121"/>
      <c r="F37" s="122"/>
      <c r="G37" s="122"/>
      <c r="H37" s="122"/>
      <c r="I37" s="123"/>
      <c r="J37" s="138"/>
      <c r="K37" s="139"/>
      <c r="L37" s="103"/>
    </row>
    <row r="38" spans="1:12" ht="26">
      <c r="A38" s="115" t="s">
        <v>42</v>
      </c>
      <c r="B38" s="116"/>
      <c r="C38" s="116"/>
      <c r="D38" s="116"/>
      <c r="E38" s="116"/>
      <c r="F38" s="116"/>
      <c r="G38" s="116"/>
      <c r="H38" s="116"/>
      <c r="I38" s="117"/>
      <c r="J38" s="140"/>
      <c r="K38" s="141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36:B36"/>
    <mergeCell ref="C36:D36"/>
    <mergeCell ref="A37:B37"/>
    <mergeCell ref="C37:D37"/>
    <mergeCell ref="A38:I38"/>
    <mergeCell ref="E36:I37"/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  <mergeCell ref="A35:B35"/>
    <mergeCell ref="C35:D3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9" customWidth="1"/>
    <col min="2" max="2" width="21.90625" style="69" customWidth="1"/>
    <col min="3" max="3" width="25" style="69" customWidth="1"/>
    <col min="4" max="4" width="15.36328125" style="69" customWidth="1"/>
    <col min="5" max="5" width="25.36328125" style="69" customWidth="1"/>
    <col min="6" max="6" width="25.453125" style="69" customWidth="1"/>
    <col min="7" max="7" width="16.54296875" style="69" customWidth="1"/>
    <col min="8" max="8" width="34.179687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6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8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s="71" customFormat="1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9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20.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" customHeight="1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22" customHeight="1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22.5" customHeight="1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24.5" customHeight="1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22" customHeight="1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22" customHeight="1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22" customHeight="1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22" customHeight="1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9" customWidth="1"/>
    <col min="2" max="2" width="19.36328125" style="69" customWidth="1"/>
    <col min="3" max="3" width="13.54296875" style="69" customWidth="1"/>
    <col min="4" max="4" width="11.7265625" style="69" customWidth="1"/>
    <col min="5" max="5" width="21" style="69" customWidth="1"/>
    <col min="6" max="6" width="21.7265625" style="69" customWidth="1"/>
    <col min="7" max="7" width="20.6328125" style="69" customWidth="1"/>
    <col min="8" max="8" width="21.8164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4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3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>
        <v>2124</v>
      </c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9" customWidth="1"/>
    <col min="2" max="2" width="26.36328125" style="69" customWidth="1"/>
    <col min="3" max="3" width="18.90625" style="69" customWidth="1"/>
    <col min="4" max="4" width="12.81640625" style="69" customWidth="1"/>
    <col min="5" max="5" width="20.453125" style="69" customWidth="1"/>
    <col min="6" max="6" width="21.54296875" style="69" customWidth="1"/>
    <col min="7" max="7" width="14.36328125" style="69" customWidth="1"/>
    <col min="8" max="8" width="24.26953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4.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9" customWidth="1"/>
    <col min="2" max="2" width="17.453125" style="69" customWidth="1"/>
    <col min="3" max="3" width="20.26953125" style="69" customWidth="1"/>
    <col min="4" max="4" width="14.90625" style="69" customWidth="1"/>
    <col min="5" max="5" width="28.36328125" style="69" customWidth="1"/>
    <col min="6" max="6" width="22.08984375" style="69" customWidth="1"/>
    <col min="7" max="7" width="16.6328125" style="69" customWidth="1"/>
    <col min="8" max="8" width="26.5429687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9" customWidth="1"/>
    <col min="2" max="2" width="19.453125" style="69" customWidth="1"/>
    <col min="3" max="3" width="14.81640625" style="69" customWidth="1"/>
    <col min="4" max="4" width="9.7265625" style="69" customWidth="1"/>
    <col min="5" max="5" width="22.1796875" style="69" customWidth="1"/>
    <col min="6" max="6" width="23.54296875" style="69" customWidth="1"/>
    <col min="7" max="7" width="17.26953125" style="69" customWidth="1"/>
    <col min="8" max="8" width="22.6328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9" customWidth="1"/>
    <col min="2" max="2" width="15.90625" style="69" customWidth="1"/>
    <col min="3" max="3" width="18.54296875" style="69" customWidth="1"/>
    <col min="4" max="4" width="11.7265625" style="69" customWidth="1"/>
    <col min="5" max="5" width="24.08984375" style="69" customWidth="1"/>
    <col min="6" max="6" width="18.453125" style="69" customWidth="1"/>
    <col min="7" max="7" width="15.81640625" style="69" customWidth="1"/>
    <col min="8" max="8" width="15.7265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3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6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4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3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0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s="69" customFormat="1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9" customWidth="1"/>
    <col min="2" max="2" width="19.26953125" style="69" customWidth="1"/>
    <col min="3" max="3" width="21" style="69" customWidth="1"/>
    <col min="4" max="4" width="15" style="69" customWidth="1"/>
    <col min="5" max="5" width="19.1796875" style="69" customWidth="1"/>
    <col min="6" max="6" width="15.81640625" style="69" customWidth="1"/>
    <col min="7" max="7" width="17.3632812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1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5.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9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9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2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2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s="69" customFormat="1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9" customWidth="1"/>
    <col min="2" max="2" width="15.81640625" style="69" customWidth="1"/>
    <col min="3" max="3" width="21.08984375" style="69" customWidth="1"/>
    <col min="4" max="4" width="18.1796875" style="69" customWidth="1"/>
    <col min="5" max="5" width="21.08984375" style="69" customWidth="1"/>
    <col min="6" max="6" width="18.6328125" style="69" customWidth="1"/>
    <col min="7" max="7" width="20.1796875" style="69" customWidth="1"/>
    <col min="8" max="8" width="17.453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34.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7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9" customHeight="1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5" customHeight="1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9" customHeight="1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9" customHeight="1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9" customHeight="1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9" customHeight="1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9" customHeight="1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9" customHeight="1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9" customHeight="1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9" customHeight="1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9" customHeight="1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9" customHeight="1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9" customHeight="1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9" customHeight="1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9" customHeight="1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 ht="14.5" customHeight="1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9" customWidth="1"/>
    <col min="2" max="2" width="14.36328125" style="69" customWidth="1"/>
    <col min="3" max="3" width="20" style="69" customWidth="1"/>
    <col min="4" max="4" width="14.1796875" style="69" customWidth="1"/>
    <col min="5" max="5" width="20.08984375" style="69" customWidth="1"/>
    <col min="6" max="6" width="15.26953125" style="69" customWidth="1"/>
    <col min="7" max="7" width="16.179687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1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4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69" customWidth="1"/>
    <col min="2" max="2" width="14.453125" style="69" customWidth="1"/>
    <col min="3" max="3" width="24" style="69" customWidth="1"/>
    <col min="4" max="4" width="18.08984375" style="69" customWidth="1"/>
    <col min="5" max="5" width="20.6328125" style="69" customWidth="1"/>
    <col min="6" max="6" width="22.90625" style="69" customWidth="1"/>
    <col min="7" max="7" width="21.179687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9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0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0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4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7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9" customWidth="1"/>
    <col min="2" max="2" width="16.08984375" style="69" customWidth="1"/>
    <col min="3" max="3" width="23.81640625" style="69" customWidth="1"/>
    <col min="4" max="4" width="18.26953125" style="69" customWidth="1"/>
    <col min="5" max="5" width="16.90625" style="69" customWidth="1"/>
    <col min="6" max="6" width="20.54296875" style="69" customWidth="1"/>
    <col min="7" max="7" width="18.90625" style="69" customWidth="1"/>
    <col min="8" max="8" width="24.6328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0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2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 formatCells="0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36" workbookViewId="0">
      <selection activeCell="C42" sqref="C42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9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>
      <c r="A3" s="211" t="s">
        <v>91</v>
      </c>
      <c r="B3" s="212"/>
      <c r="C3" s="212"/>
      <c r="D3" s="212"/>
      <c r="E3" s="212"/>
      <c r="F3" s="212"/>
      <c r="G3" s="212"/>
      <c r="H3" s="213"/>
      <c r="I3" s="199"/>
    </row>
    <row r="4" spans="1:9" ht="30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>
        <v>1120</v>
      </c>
      <c r="C12" s="162">
        <v>2124</v>
      </c>
      <c r="D12" s="163"/>
      <c r="E12" s="10">
        <f t="shared" si="0"/>
        <v>2378880</v>
      </c>
      <c r="F12" s="10">
        <f t="shared" si="1"/>
        <v>362880</v>
      </c>
      <c r="G12" s="10">
        <f>PRODUCT(B12*30)</f>
        <v>33600</v>
      </c>
      <c r="H12" s="11">
        <f t="shared" si="2"/>
        <v>396480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14" t="s">
        <v>90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84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85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86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2378880</v>
      </c>
      <c r="F37" s="47">
        <f>SUM(F5:F36)</f>
        <v>362880</v>
      </c>
      <c r="G37" s="47">
        <f t="shared" ref="G37:H37" si="10">SUM(G5:G36)</f>
        <v>33600</v>
      </c>
      <c r="H37" s="47">
        <f t="shared" si="10"/>
        <v>396480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>
        <v>396480</v>
      </c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396480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1120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87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50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88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89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89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89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89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89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1120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214" t="s">
        <v>77</v>
      </c>
      <c r="B1" s="215"/>
      <c r="C1" s="215"/>
      <c r="D1" s="215"/>
      <c r="E1" s="215"/>
      <c r="F1" s="215"/>
      <c r="G1" s="248"/>
    </row>
    <row r="2" spans="1:7">
      <c r="A2" s="216"/>
      <c r="B2" s="217"/>
      <c r="C2" s="217"/>
      <c r="D2" s="217"/>
      <c r="E2" s="217"/>
      <c r="F2" s="217"/>
      <c r="G2" s="249"/>
    </row>
    <row r="3" spans="1:7" ht="28">
      <c r="A3" s="236" t="s">
        <v>78</v>
      </c>
      <c r="B3" s="237"/>
      <c r="C3" s="238"/>
      <c r="D3" s="236" t="s">
        <v>79</v>
      </c>
      <c r="E3" s="237"/>
      <c r="F3" s="237"/>
      <c r="G3" s="238"/>
    </row>
    <row r="4" spans="1:7" ht="41.5" customHeight="1">
      <c r="A4" s="239" t="s">
        <v>80</v>
      </c>
      <c r="B4" s="240"/>
      <c r="C4" s="241"/>
      <c r="D4" s="233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1120</v>
      </c>
      <c r="E4" s="234"/>
      <c r="F4" s="234"/>
      <c r="G4" s="235"/>
    </row>
    <row r="5" spans="1:7" ht="37" customHeight="1">
      <c r="A5" s="239" t="s">
        <v>53</v>
      </c>
      <c r="B5" s="240"/>
      <c r="C5" s="241"/>
      <c r="D5" s="233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4"/>
      <c r="F5" s="234"/>
      <c r="G5" s="235"/>
    </row>
    <row r="6" spans="1:7" ht="40" customHeight="1">
      <c r="A6" s="239" t="s">
        <v>57</v>
      </c>
      <c r="B6" s="240"/>
      <c r="C6" s="241"/>
      <c r="D6" s="233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4"/>
      <c r="F6" s="234"/>
      <c r="G6" s="235"/>
    </row>
    <row r="7" spans="1:7" ht="38.5" customHeight="1">
      <c r="A7" s="242" t="s">
        <v>62</v>
      </c>
      <c r="B7" s="243"/>
      <c r="C7" s="244"/>
      <c r="D7" s="233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4"/>
      <c r="F7" s="234"/>
      <c r="G7" s="235"/>
    </row>
    <row r="8" spans="1:7" ht="40" customHeight="1">
      <c r="A8" s="242" t="s">
        <v>63</v>
      </c>
      <c r="B8" s="243"/>
      <c r="C8" s="244"/>
      <c r="D8" s="233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4"/>
      <c r="F8" s="234"/>
      <c r="G8" s="235"/>
    </row>
    <row r="9" spans="1:7" ht="38.5" customHeight="1">
      <c r="A9" s="242" t="s">
        <v>89</v>
      </c>
      <c r="B9" s="243"/>
      <c r="C9" s="244"/>
      <c r="D9" s="233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4"/>
      <c r="F9" s="234"/>
      <c r="G9" s="235"/>
    </row>
    <row r="10" spans="1:7" ht="38" customHeight="1">
      <c r="A10" s="242" t="s">
        <v>89</v>
      </c>
      <c r="B10" s="243"/>
      <c r="C10" s="244"/>
      <c r="D10" s="233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4"/>
      <c r="F10" s="234"/>
      <c r="G10" s="235"/>
    </row>
    <row r="11" spans="1:7" ht="38.5" customHeight="1">
      <c r="A11" s="242" t="s">
        <v>89</v>
      </c>
      <c r="B11" s="243"/>
      <c r="C11" s="244"/>
      <c r="D11" s="233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4"/>
      <c r="F11" s="234"/>
      <c r="G11" s="235"/>
    </row>
    <row r="12" spans="1:7" ht="36.5" customHeight="1">
      <c r="A12" s="242" t="s">
        <v>89</v>
      </c>
      <c r="B12" s="243"/>
      <c r="C12" s="244"/>
      <c r="D12" s="233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4"/>
      <c r="F12" s="234"/>
      <c r="G12" s="235"/>
    </row>
    <row r="13" spans="1:7" ht="38" customHeight="1">
      <c r="A13" s="242" t="s">
        <v>89</v>
      </c>
      <c r="B13" s="243"/>
      <c r="C13" s="244"/>
      <c r="D13" s="233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4"/>
      <c r="F13" s="234"/>
      <c r="G13" s="235"/>
    </row>
    <row r="14" spans="1:7" ht="28.5">
      <c r="A14" s="242" t="s">
        <v>89</v>
      </c>
      <c r="B14" s="243"/>
      <c r="C14" s="244"/>
      <c r="D14" s="233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4"/>
      <c r="F14" s="234"/>
      <c r="G14" s="235"/>
    </row>
    <row r="15" spans="1:7" ht="28.5">
      <c r="A15" s="242" t="s">
        <v>89</v>
      </c>
      <c r="B15" s="243"/>
      <c r="C15" s="244"/>
      <c r="D15" s="233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4"/>
      <c r="F15" s="234"/>
      <c r="G15" s="235"/>
    </row>
    <row r="16" spans="1:7" ht="28.5">
      <c r="A16" s="242" t="s">
        <v>89</v>
      </c>
      <c r="B16" s="243"/>
      <c r="C16" s="244"/>
      <c r="D16" s="233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4"/>
      <c r="F16" s="234"/>
      <c r="G16" s="235"/>
    </row>
    <row r="17" spans="1:7" ht="28.5">
      <c r="A17" s="242" t="s">
        <v>83</v>
      </c>
      <c r="B17" s="243"/>
      <c r="C17" s="244"/>
      <c r="D17" s="245">
        <f>SUM(D4:D16)</f>
        <v>1120</v>
      </c>
      <c r="E17" s="246"/>
      <c r="F17" s="246"/>
      <c r="G17" s="247"/>
    </row>
  </sheetData>
  <sheetProtection password="C8CD" sheet="1" objects="1" scenarios="1"/>
  <mergeCells count="31"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  <mergeCell ref="A17:C17"/>
    <mergeCell ref="D17:G17"/>
    <mergeCell ref="A12:C12"/>
    <mergeCell ref="D12:G12"/>
    <mergeCell ref="A13:C13"/>
    <mergeCell ref="D13:G13"/>
    <mergeCell ref="A14:C14"/>
    <mergeCell ref="D14:G14"/>
    <mergeCell ref="D8:G8"/>
    <mergeCell ref="A3:C3"/>
    <mergeCell ref="D3:G3"/>
    <mergeCell ref="A4:C4"/>
    <mergeCell ref="D4:G4"/>
    <mergeCell ref="A5:C5"/>
    <mergeCell ref="D5:G5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4.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2026-04-05T21:15:45Z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30D19738AC80482CA0E62011B538CFF0_13</vt:lpwstr>
  </property>
  <property fmtid="{D5CDD505-2E9C-101B-9397-08002B2CF9AE}" pid="3" name="KSOProductBuildVer">
    <vt:lpwstr>1033-12.2.0.23155</vt:lpwstr>
  </property>
</Properties>
</file>