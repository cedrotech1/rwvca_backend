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D:\RWVCA DOCUMENT\"/>
    </mc:Choice>
  </mc:AlternateContent>
  <bookViews>
    <workbookView xWindow="0" yWindow="0" windowWidth="23040" windowHeight="9072" tabRatio="965" activeTab="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E36" i="24"/>
  <c r="F36" i="24" s="1"/>
  <c r="H36" i="24" s="1"/>
  <c r="G35" i="24"/>
  <c r="E35" i="24"/>
  <c r="F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H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E21" i="24"/>
  <c r="F21" i="24" s="1"/>
  <c r="G20" i="24"/>
  <c r="E20" i="24"/>
  <c r="F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F14" i="24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F9" i="24"/>
  <c r="H9" i="24" s="1"/>
  <c r="E9" i="24"/>
  <c r="G8" i="24"/>
  <c r="E8" i="24"/>
  <c r="F8" i="24" s="1"/>
  <c r="H8" i="24" s="1"/>
  <c r="G7" i="24"/>
  <c r="E7" i="24"/>
  <c r="F7" i="24" s="1"/>
  <c r="H7" i="24" s="1"/>
  <c r="G6" i="24"/>
  <c r="G37" i="24" s="1"/>
  <c r="C25" i="1" s="1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E61" i="18"/>
  <c r="D16" i="21" s="1"/>
  <c r="E60" i="18"/>
  <c r="D15" i="21" s="1"/>
  <c r="E59" i="18"/>
  <c r="D14" i="21" s="1"/>
  <c r="E58" i="18"/>
  <c r="D13" i="21" s="1"/>
  <c r="E57" i="18"/>
  <c r="E56" i="18"/>
  <c r="D11" i="21" s="1"/>
  <c r="E55" i="18"/>
  <c r="D10" i="21" s="1"/>
  <c r="E54" i="18"/>
  <c r="D9" i="21" s="1"/>
  <c r="E53" i="18"/>
  <c r="D8" i="21" s="1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62" i="16" s="1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G32" i="15"/>
  <c r="E32" i="15"/>
  <c r="F32" i="15" s="1"/>
  <c r="H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H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G20" i="9"/>
  <c r="E20" i="9"/>
  <c r="F20" i="9" s="1"/>
  <c r="G19" i="9"/>
  <c r="E19" i="9"/>
  <c r="F19" i="9" s="1"/>
  <c r="G18" i="9"/>
  <c r="E18" i="9"/>
  <c r="F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G9" i="9"/>
  <c r="E9" i="9"/>
  <c r="F9" i="9" s="1"/>
  <c r="H9" i="9" s="1"/>
  <c r="G8" i="9"/>
  <c r="E8" i="9"/>
  <c r="F8" i="9" s="1"/>
  <c r="H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G19" i="22"/>
  <c r="E19" i="22"/>
  <c r="F19" i="22" s="1"/>
  <c r="G18" i="22"/>
  <c r="E18" i="22"/>
  <c r="F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E36" i="8"/>
  <c r="F36" i="8" s="1"/>
  <c r="H36" i="8" s="1"/>
  <c r="G35" i="8"/>
  <c r="E35" i="8"/>
  <c r="F35" i="8" s="1"/>
  <c r="H35" i="8" s="1"/>
  <c r="G34" i="8"/>
  <c r="F34" i="8"/>
  <c r="E34" i="8"/>
  <c r="G33" i="8"/>
  <c r="F33" i="8"/>
  <c r="H33" i="8" s="1"/>
  <c r="E33" i="8"/>
  <c r="G32" i="8"/>
  <c r="E32" i="8"/>
  <c r="F32" i="8" s="1"/>
  <c r="H32" i="8" s="1"/>
  <c r="G31" i="8"/>
  <c r="E31" i="8"/>
  <c r="F31" i="8" s="1"/>
  <c r="H31" i="8" s="1"/>
  <c r="G30" i="8"/>
  <c r="F30" i="8"/>
  <c r="E30" i="8"/>
  <c r="G29" i="8"/>
  <c r="F29" i="8"/>
  <c r="H29" i="8" s="1"/>
  <c r="E29" i="8"/>
  <c r="G28" i="8"/>
  <c r="E28" i="8"/>
  <c r="F28" i="8" s="1"/>
  <c r="H28" i="8" s="1"/>
  <c r="G27" i="8"/>
  <c r="E27" i="8"/>
  <c r="F27" i="8" s="1"/>
  <c r="H27" i="8" s="1"/>
  <c r="G26" i="8"/>
  <c r="F26" i="8"/>
  <c r="E26" i="8"/>
  <c r="G25" i="8"/>
  <c r="F25" i="8"/>
  <c r="H25" i="8" s="1"/>
  <c r="E25" i="8"/>
  <c r="G24" i="8"/>
  <c r="E24" i="8"/>
  <c r="F24" i="8" s="1"/>
  <c r="H24" i="8" s="1"/>
  <c r="G23" i="8"/>
  <c r="E23" i="8"/>
  <c r="F23" i="8" s="1"/>
  <c r="H23" i="8" s="1"/>
  <c r="G22" i="8"/>
  <c r="E22" i="8"/>
  <c r="F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G13" i="8"/>
  <c r="E13" i="8"/>
  <c r="F13" i="8" s="1"/>
  <c r="G12" i="8"/>
  <c r="E12" i="8"/>
  <c r="F12" i="8" s="1"/>
  <c r="G11" i="8"/>
  <c r="E11" i="8"/>
  <c r="F11" i="8" s="1"/>
  <c r="H11" i="8" s="1"/>
  <c r="G10" i="8"/>
  <c r="E10" i="8"/>
  <c r="F10" i="8" s="1"/>
  <c r="G9" i="8"/>
  <c r="E9" i="8"/>
  <c r="F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G28" i="6"/>
  <c r="E28" i="6"/>
  <c r="F28" i="6" s="1"/>
  <c r="G27" i="6"/>
  <c r="E27" i="6"/>
  <c r="F27" i="6" s="1"/>
  <c r="G26" i="6"/>
  <c r="E26" i="6"/>
  <c r="F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G14" i="6"/>
  <c r="E14" i="6"/>
  <c r="F14" i="6" s="1"/>
  <c r="G13" i="6"/>
  <c r="E13" i="6"/>
  <c r="F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G28" i="19"/>
  <c r="E28" i="19"/>
  <c r="F28" i="19" s="1"/>
  <c r="G27" i="19"/>
  <c r="E27" i="19"/>
  <c r="F27" i="19" s="1"/>
  <c r="G26" i="19"/>
  <c r="E26" i="19"/>
  <c r="F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G14" i="19"/>
  <c r="E14" i="19"/>
  <c r="F14" i="19" s="1"/>
  <c r="G13" i="19"/>
  <c r="E13" i="19"/>
  <c r="F13" i="19" s="1"/>
  <c r="G12" i="19"/>
  <c r="E12" i="19"/>
  <c r="F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D12" i="21" s="1"/>
  <c r="E56" i="7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H11" i="7" s="1"/>
  <c r="G10" i="7"/>
  <c r="E10" i="7"/>
  <c r="F10" i="7" s="1"/>
  <c r="G9" i="7"/>
  <c r="E9" i="7"/>
  <c r="F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G11" i="4"/>
  <c r="E11" i="4"/>
  <c r="F11" i="4" s="1"/>
  <c r="H11" i="4" s="1"/>
  <c r="G10" i="4"/>
  <c r="E10" i="4"/>
  <c r="F10" i="4" s="1"/>
  <c r="G9" i="4"/>
  <c r="E9" i="4"/>
  <c r="F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H31" i="2" s="1"/>
  <c r="G30" i="2"/>
  <c r="E30" i="2"/>
  <c r="F30" i="2" s="1"/>
  <c r="H30" i="2" s="1"/>
  <c r="G29" i="2"/>
  <c r="E29" i="2"/>
  <c r="F29" i="2" s="1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G6" i="2"/>
  <c r="E6" i="2"/>
  <c r="F6" i="2" s="1"/>
  <c r="D5" i="21" l="1"/>
  <c r="H12" i="4"/>
  <c r="H20" i="4"/>
  <c r="H26" i="4"/>
  <c r="H32" i="4"/>
  <c r="H12" i="7"/>
  <c r="H20" i="7"/>
  <c r="H26" i="7"/>
  <c r="H32" i="7"/>
  <c r="H12" i="19"/>
  <c r="H20" i="19"/>
  <c r="H26" i="19"/>
  <c r="H32" i="19"/>
  <c r="H12" i="6"/>
  <c r="H20" i="6"/>
  <c r="H26" i="6"/>
  <c r="H32" i="6"/>
  <c r="E62" i="6"/>
  <c r="H12" i="8"/>
  <c r="H10" i="22"/>
  <c r="H18" i="22"/>
  <c r="H24" i="22"/>
  <c r="H30" i="22"/>
  <c r="H36" i="22"/>
  <c r="H10" i="9"/>
  <c r="H18" i="9"/>
  <c r="H24" i="9"/>
  <c r="H30" i="9"/>
  <c r="H36" i="9"/>
  <c r="H10" i="10"/>
  <c r="H18" i="10"/>
  <c r="H24" i="10"/>
  <c r="H30" i="10"/>
  <c r="H36" i="10"/>
  <c r="H10" i="11"/>
  <c r="H18" i="11"/>
  <c r="H24" i="11"/>
  <c r="H30" i="11"/>
  <c r="H36" i="11"/>
  <c r="H25" i="15"/>
  <c r="H19" i="24"/>
  <c r="H35" i="24"/>
  <c r="H13" i="7"/>
  <c r="H21" i="7"/>
  <c r="H7" i="19"/>
  <c r="H13" i="19"/>
  <c r="H21" i="19"/>
  <c r="H27" i="19"/>
  <c r="H33" i="19"/>
  <c r="H7" i="6"/>
  <c r="H13" i="6"/>
  <c r="H21" i="6"/>
  <c r="H27" i="6"/>
  <c r="H33" i="6"/>
  <c r="H7" i="8"/>
  <c r="H13" i="8"/>
  <c r="H11" i="22"/>
  <c r="H19" i="22"/>
  <c r="H11" i="9"/>
  <c r="H19" i="9"/>
  <c r="H25" i="9"/>
  <c r="H31" i="9"/>
  <c r="H11" i="10"/>
  <c r="H19" i="10"/>
  <c r="H25" i="10"/>
  <c r="H31" i="10"/>
  <c r="H11" i="11"/>
  <c r="H26" i="15"/>
  <c r="H20" i="24"/>
  <c r="E62" i="7"/>
  <c r="G37" i="19"/>
  <c r="C23" i="1" s="1"/>
  <c r="D7" i="21"/>
  <c r="E62" i="8"/>
  <c r="E62" i="9"/>
  <c r="D6" i="21"/>
  <c r="G37" i="6"/>
  <c r="C9" i="1" s="1"/>
  <c r="H22" i="7"/>
  <c r="H28" i="7"/>
  <c r="H34" i="7"/>
  <c r="H8" i="19"/>
  <c r="H14" i="19"/>
  <c r="H22" i="19"/>
  <c r="H28" i="19"/>
  <c r="H34" i="19"/>
  <c r="H8" i="6"/>
  <c r="H14" i="6"/>
  <c r="H22" i="6"/>
  <c r="H28" i="6"/>
  <c r="H34" i="6"/>
  <c r="H8" i="8"/>
  <c r="H14" i="8"/>
  <c r="H12" i="22"/>
  <c r="H20" i="22"/>
  <c r="H26" i="22"/>
  <c r="H32" i="22"/>
  <c r="H12" i="9"/>
  <c r="H20" i="9"/>
  <c r="H26" i="9"/>
  <c r="H32" i="9"/>
  <c r="H12" i="10"/>
  <c r="H20" i="10"/>
  <c r="H26" i="10"/>
  <c r="H32" i="10"/>
  <c r="H12" i="11"/>
  <c r="H20" i="11"/>
  <c r="H26" i="11"/>
  <c r="H32" i="11"/>
  <c r="H10" i="15"/>
  <c r="H27" i="15"/>
  <c r="H21" i="24"/>
  <c r="G37" i="10"/>
  <c r="H22" i="15"/>
  <c r="E62" i="12"/>
  <c r="H14" i="24"/>
  <c r="H23" i="2"/>
  <c r="H29" i="2"/>
  <c r="H35" i="2"/>
  <c r="H9" i="5"/>
  <c r="H17" i="5"/>
  <c r="H23" i="5"/>
  <c r="H29" i="5"/>
  <c r="H35" i="5"/>
  <c r="H9" i="3"/>
  <c r="H17" i="3"/>
  <c r="H23" i="3"/>
  <c r="H29" i="3"/>
  <c r="H9" i="4"/>
  <c r="H23" i="4"/>
  <c r="H29" i="4"/>
  <c r="H9" i="7"/>
  <c r="H17" i="7"/>
  <c r="H23" i="7"/>
  <c r="H9" i="19"/>
  <c r="H17" i="19"/>
  <c r="H23" i="19"/>
  <c r="H29" i="19"/>
  <c r="H35" i="19"/>
  <c r="H9" i="6"/>
  <c r="H17" i="6"/>
  <c r="H23" i="6"/>
  <c r="H29" i="6"/>
  <c r="H35" i="6"/>
  <c r="H9" i="8"/>
  <c r="H22" i="8"/>
  <c r="H26" i="8"/>
  <c r="H30" i="8"/>
  <c r="H34" i="8"/>
  <c r="H7" i="22"/>
  <c r="H13" i="22"/>
  <c r="H7" i="9"/>
  <c r="H13" i="9"/>
  <c r="H21" i="9"/>
  <c r="H27" i="9"/>
  <c r="H33" i="9"/>
  <c r="H7" i="10"/>
  <c r="H13" i="10"/>
  <c r="H21" i="10"/>
  <c r="H27" i="10"/>
  <c r="H33" i="10"/>
  <c r="H7" i="11"/>
  <c r="H13" i="11"/>
  <c r="H17" i="15"/>
  <c r="H33" i="15"/>
  <c r="G37" i="14"/>
  <c r="C18" i="1" s="1"/>
  <c r="G37" i="16"/>
  <c r="C20" i="1" s="1"/>
  <c r="G37" i="17"/>
  <c r="C21" i="1" s="1"/>
  <c r="G37" i="18"/>
  <c r="C22" i="1" s="1"/>
  <c r="G37" i="23"/>
  <c r="C24" i="1" s="1"/>
  <c r="H27" i="24"/>
  <c r="E62" i="24"/>
  <c r="H18" i="2"/>
  <c r="H17" i="2"/>
  <c r="H9" i="2"/>
  <c r="H7" i="2"/>
  <c r="H11" i="2"/>
  <c r="H12" i="3"/>
  <c r="H13" i="3"/>
  <c r="H8" i="3"/>
  <c r="E62" i="3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H37" i="23" s="1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37" i="2"/>
  <c r="H6" i="2"/>
  <c r="E37" i="2"/>
  <c r="H37" i="19" l="1"/>
  <c r="H37" i="5"/>
  <c r="H37" i="10"/>
  <c r="H37" i="8"/>
  <c r="H37" i="9"/>
  <c r="H37" i="6"/>
  <c r="H37" i="4"/>
  <c r="H37" i="11"/>
  <c r="H37" i="24"/>
  <c r="H37" i="16"/>
  <c r="H37" i="15"/>
  <c r="H37" i="7"/>
  <c r="H37" i="2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<sst xmlns="http://schemas.openxmlformats.org/spreadsheetml/2006/main" count="1698" uniqueCount="92">
  <si>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</si>
  <si>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</si>
  <si>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</si>
  <si>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</si>
  <si>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</si>
  <si>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</si>
  <si>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</si>
  <si>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</si>
  <si>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</si>
  <si>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</si>
  <si>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</si>
  <si>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</si>
  <si>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</si>
  <si>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</si>
  <si>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</si>
  <si>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</si>
  <si>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</si>
  <si>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</si>
  <si>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</si>
  <si>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</si>
  <si>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</si>
  <si>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</si>
  <si>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</si>
  <si>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</si>
  <si>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</si>
  <si>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</si>
  <si>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</si>
  <si>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</si>
  <si>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</si>
  <si>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</si>
  <si>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</si>
  <si>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</si>
  <si>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</si>
  <si>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</si>
  <si>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</si>
  <si>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</si>
  <si>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</si>
  <si>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</si>
  <si>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</si>
  <si>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</si>
  <si>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</si>
  <si>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</si>
  <si>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</si>
  <si>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</si>
  <si>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</si>
  <si>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</si>
  <si>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</si>
  <si>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</si>
  <si>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</si>
  <si>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</si>
  <si>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</si>
  <si>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</si>
  <si>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</si>
  <si>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</si>
  <si>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</si>
  <si>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</si>
  <si>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</si>
  <si>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</si>
  <si>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</si>
  <si>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</si>
  <si>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</si>
  <si>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</si>
  <si>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</si>
  <si>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</si>
  <si>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</si>
  <si>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</si>
  <si>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</si>
  <si>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</si>
  <si>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</si>
  <si>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</si>
  <si>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</si>
  <si>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</si>
  <si>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</si>
  <si>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</si>
  <si>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</si>
  <si>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</si>
  <si>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</si>
  <si>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</si>
  <si>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</si>
  <si>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</si>
  <si>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</si>
  <si>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</si>
  <si>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</si>
  <si>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</si>
  <si>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</si>
  <si>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</si>
  <si>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16 TO 22 FEBRUARY 2026</t>
  </si>
  <si>
    <t>Inturusu nini</t>
  </si>
  <si>
    <t>Madrien</t>
  </si>
  <si>
    <t>WEEK REPORT FROM 27 TO 30 APRIL 2026</t>
  </si>
  <si>
    <t>Inturusu ntoya</t>
  </si>
  <si>
    <t>Ibipande Bya Pinus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</si>
</sst>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9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88671875" defaultRowHeight="18"/>
  <cols>
    <col min="1" max="1" width="22.77734375" style="83" customWidth="1"/>
    <col min="2" max="2" width="28.21875" style="87" customWidth="1"/>
    <col min="3" max="3" width="24.44140625" style="88" customWidth="1"/>
    <col min="4" max="4" width="16.109375" style="83" customWidth="1"/>
    <col min="5" max="5" width="21.77734375" style="83" customWidth="1"/>
    <col min="6" max="6" width="20.6640625" style="85" customWidth="1"/>
    <col min="7" max="7" width="20.109375" style="85" customWidth="1"/>
    <col min="8" max="8" width="17" style="83" customWidth="1"/>
    <col min="9" max="9" width="16.77734375" style="83" customWidth="1"/>
    <col min="10" max="10" width="14.6640625" style="83" customWidth="1"/>
    <col min="11" max="11" width="8.88671875" style="83"/>
    <col min="12" max="12" width="19.88671875" style="83" customWidth="1"/>
    <col min="13" max="16384" width="8.88671875" style="83"/>
  </cols>
  <sheetData>
    <row r="1" spans="1:15" ht="50.4">
      <c r="A1" s="135" t="s">
        <v>37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82"/>
      <c r="M1" s="82"/>
      <c r="N1" s="82"/>
    </row>
    <row r="2" spans="1:15" ht="31.05" customHeight="1">
      <c r="A2" s="137" t="s">
        <v>36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82"/>
      <c r="M2" s="82"/>
      <c r="N2" s="82"/>
    </row>
    <row r="3" spans="1:15" ht="15" customHeight="1" thickBot="1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82"/>
      <c r="M3" s="82"/>
      <c r="N3" s="82"/>
    </row>
    <row r="4" spans="1:15" ht="18.600000000000001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8.600000000000001" thickBot="1">
      <c r="A5" s="73" t="s">
        <v>16</v>
      </c>
      <c r="B5" s="45">
        <f>GISOZI!F37</f>
        <v>8549602.1694915257</v>
      </c>
      <c r="C5" s="46">
        <f>GISOZI!G37</f>
        <v>699780</v>
      </c>
      <c r="D5" s="46">
        <f>GISOZI!C43</f>
        <v>0</v>
      </c>
      <c r="E5" s="46">
        <f>GISOZI!C44</f>
        <v>0</v>
      </c>
      <c r="F5" s="50">
        <f>SUM(B5:C5)</f>
        <v>9249382.1694915257</v>
      </c>
      <c r="G5" s="46">
        <f>GISOZI!C41</f>
        <v>0</v>
      </c>
      <c r="H5" s="46">
        <f>GISOZI!C39</f>
        <v>9251143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8.600000000000001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8.600000000000001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2711706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8.600000000000001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8.600000000000001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8.600000000000001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8.600000000000001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8.600000000000001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8.600000000000001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8.600000000000001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8.600000000000001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8.600000000000001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8.600000000000001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8.600000000000001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8.600000000000001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8.600000000000001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8.600000000000001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8.600000000000001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8.600000000000001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8.600000000000001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8.600000000000001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8.600000000000001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8.600000000000001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8.600000000000001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8.600000000000001" thickBot="1">
      <c r="A29" s="68"/>
      <c r="B29" s="69">
        <f t="shared" ref="B29:E29" si="1">SUM(B5:B28)</f>
        <v>8549602.1694915257</v>
      </c>
      <c r="C29" s="70">
        <f t="shared" si="1"/>
        <v>699780</v>
      </c>
      <c r="D29" s="71">
        <f t="shared" si="1"/>
        <v>0</v>
      </c>
      <c r="E29" s="70">
        <f t="shared" si="1"/>
        <v>0</v>
      </c>
      <c r="F29" s="70">
        <f>SUM(F5:F28)</f>
        <v>9249382.1694915257</v>
      </c>
      <c r="G29" s="71">
        <f>SUM(G5:G28)</f>
        <v>0</v>
      </c>
      <c r="H29" s="71">
        <f>SUM(H5:H28)</f>
        <v>11962849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29"/>
      <c r="B30" s="129"/>
      <c r="C30" s="129"/>
      <c r="D30" s="130"/>
      <c r="E30" s="120" t="s">
        <v>11</v>
      </c>
      <c r="F30" s="121"/>
      <c r="G30" s="121"/>
      <c r="H30" s="121"/>
      <c r="I30" s="122"/>
      <c r="J30" s="139"/>
      <c r="K30" s="140"/>
      <c r="L30" s="82"/>
    </row>
    <row r="31" spans="1:15" ht="18.600000000000001" thickBot="1">
      <c r="A31" s="116" t="s">
        <v>9</v>
      </c>
      <c r="B31" s="117"/>
      <c r="C31" s="117"/>
      <c r="D31" s="117"/>
      <c r="E31" s="123"/>
      <c r="F31" s="124"/>
      <c r="G31" s="124"/>
      <c r="H31" s="124"/>
      <c r="I31" s="125"/>
      <c r="J31" s="141"/>
      <c r="K31" s="142"/>
      <c r="L31" s="82"/>
    </row>
    <row r="32" spans="1:15" ht="15" thickBot="1">
      <c r="A32" s="131" t="s">
        <v>12</v>
      </c>
      <c r="B32" s="132"/>
      <c r="C32" s="133">
        <f>SUM(B29+C29)</f>
        <v>9249382.1694915257</v>
      </c>
      <c r="D32" s="134"/>
      <c r="E32" s="123"/>
      <c r="F32" s="124"/>
      <c r="G32" s="124"/>
      <c r="H32" s="124"/>
      <c r="I32" s="125"/>
      <c r="J32" s="141"/>
      <c r="K32" s="142"/>
      <c r="L32" s="82"/>
    </row>
    <row r="33" spans="1:12" ht="15" thickBot="1">
      <c r="A33" s="131" t="s">
        <v>13</v>
      </c>
      <c r="B33" s="132"/>
      <c r="C33" s="118">
        <f>SUM(F29,G29)</f>
        <v>9249382.1694915257</v>
      </c>
      <c r="D33" s="119"/>
      <c r="E33" s="123"/>
      <c r="F33" s="124"/>
      <c r="G33" s="124"/>
      <c r="H33" s="124"/>
      <c r="I33" s="125"/>
      <c r="J33" s="141"/>
      <c r="K33" s="142"/>
      <c r="L33" s="82"/>
    </row>
    <row r="34" spans="1:12" ht="15" thickBot="1">
      <c r="A34" s="155" t="s">
        <v>81</v>
      </c>
      <c r="B34" s="156"/>
      <c r="C34" s="118">
        <f>SUM(H29,J29,I29+G29)</f>
        <v>11962849</v>
      </c>
      <c r="D34" s="154"/>
      <c r="E34" s="123"/>
      <c r="F34" s="124"/>
      <c r="G34" s="124"/>
      <c r="H34" s="124"/>
      <c r="I34" s="125"/>
      <c r="J34" s="141"/>
      <c r="K34" s="142"/>
      <c r="L34" s="82"/>
    </row>
    <row r="35" spans="1:12" ht="15" thickBot="1">
      <c r="A35" s="131" t="s">
        <v>10</v>
      </c>
      <c r="B35" s="132"/>
      <c r="C35" s="118">
        <f>SUM(D29:E29)</f>
        <v>0</v>
      </c>
      <c r="D35" s="154"/>
      <c r="E35" s="126"/>
      <c r="F35" s="127"/>
      <c r="G35" s="127"/>
      <c r="H35" s="127"/>
      <c r="I35" s="128"/>
      <c r="J35" s="141"/>
      <c r="K35" s="142"/>
      <c r="L35" s="82"/>
    </row>
    <row r="36" spans="1:12" ht="15" thickBot="1">
      <c r="A36" s="131" t="s">
        <v>83</v>
      </c>
      <c r="B36" s="132"/>
      <c r="C36" s="118">
        <f>SUM(H29+I29+J29+C35)</f>
        <v>11962849</v>
      </c>
      <c r="D36" s="154"/>
      <c r="E36" s="145" t="s">
        <v>35</v>
      </c>
      <c r="F36" s="146"/>
      <c r="G36" s="146"/>
      <c r="H36" s="146"/>
      <c r="I36" s="147"/>
      <c r="J36" s="141"/>
      <c r="K36" s="142"/>
      <c r="L36" s="82"/>
    </row>
    <row r="37" spans="1:12" ht="15" thickBot="1">
      <c r="A37" s="114" t="s">
        <v>14</v>
      </c>
      <c r="B37" s="115"/>
      <c r="C37" s="118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11962849</v>
      </c>
      <c r="D37" s="154"/>
      <c r="E37" s="148"/>
      <c r="F37" s="149"/>
      <c r="G37" s="149"/>
      <c r="H37" s="149"/>
      <c r="I37" s="150"/>
      <c r="J37" s="141"/>
      <c r="K37" s="142"/>
      <c r="L37" s="82"/>
    </row>
    <row r="38" spans="1:12" ht="26.4" thickBot="1">
      <c r="A38" s="151" t="s">
        <v>15</v>
      </c>
      <c r="B38" s="152"/>
      <c r="C38" s="152"/>
      <c r="D38" s="152"/>
      <c r="E38" s="152"/>
      <c r="F38" s="152"/>
      <c r="G38" s="152"/>
      <c r="H38" s="152"/>
      <c r="I38" s="153"/>
      <c r="J38" s="143"/>
      <c r="K38" s="144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24" zoomScale="90" zoomScaleNormal="90" workbookViewId="0">
      <selection activeCell="C40" sqref="C40"/>
    </sheetView>
  </sheetViews>
  <sheetFormatPr defaultColWidth="8.77734375" defaultRowHeight="14.4"/>
  <cols>
    <col min="1" max="1" width="18.88671875" style="43" customWidth="1"/>
    <col min="2" max="2" width="21.88671875" style="43" customWidth="1"/>
    <col min="3" max="3" width="25" style="43" customWidth="1"/>
    <col min="4" max="4" width="15.33203125" style="43" customWidth="1"/>
    <col min="5" max="5" width="25.33203125" style="43" customWidth="1"/>
    <col min="6" max="6" width="25.44140625" style="43" customWidth="1"/>
    <col min="7" max="7" width="16.5546875" style="43" customWidth="1"/>
    <col min="8" max="8" width="34.21875" style="43" customWidth="1"/>
    <col min="9" max="16384" width="8.77734375" style="43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6.5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5" customHeight="1">
      <c r="A3" s="214" t="s">
        <v>89</v>
      </c>
      <c r="B3" s="215"/>
      <c r="C3" s="215"/>
      <c r="D3" s="215"/>
      <c r="E3" s="215"/>
      <c r="F3" s="215"/>
      <c r="G3" s="215"/>
      <c r="H3" s="216"/>
      <c r="I3" s="158"/>
    </row>
    <row r="4" spans="1:9" ht="28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>
        <v>1176</v>
      </c>
      <c r="C6" s="219">
        <v>8000</v>
      </c>
      <c r="D6" s="220"/>
      <c r="E6" s="10">
        <f t="shared" ref="E6:E14" si="0">PRODUCT(B6*C6)</f>
        <v>9408000</v>
      </c>
      <c r="F6" s="10">
        <f t="shared" ref="F6:F14" si="1">PRODUCT(E6*18)/118</f>
        <v>1435118.6440677966</v>
      </c>
      <c r="G6" s="10">
        <f>PRODUCT(B6*50)</f>
        <v>58800</v>
      </c>
      <c r="H6" s="99">
        <f t="shared" ref="H6:H14" si="2">SUM(F6:G6)</f>
        <v>1493918.6440677966</v>
      </c>
      <c r="I6" s="158"/>
    </row>
    <row r="7" spans="1:9">
      <c r="A7" s="38" t="s">
        <v>45</v>
      </c>
      <c r="B7" s="9">
        <v>200</v>
      </c>
      <c r="C7" s="219">
        <v>4720</v>
      </c>
      <c r="D7" s="220"/>
      <c r="E7" s="10">
        <f t="shared" si="0"/>
        <v>944000</v>
      </c>
      <c r="F7" s="10">
        <f t="shared" si="1"/>
        <v>144000</v>
      </c>
      <c r="G7" s="10">
        <f>PRODUCT(B7*50)</f>
        <v>10000</v>
      </c>
      <c r="H7" s="99">
        <f t="shared" si="2"/>
        <v>154000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87</v>
      </c>
      <c r="B9" s="11">
        <v>249</v>
      </c>
      <c r="C9" s="196">
        <v>3776</v>
      </c>
      <c r="D9" s="197"/>
      <c r="E9" s="12">
        <f t="shared" si="0"/>
        <v>940224</v>
      </c>
      <c r="F9" s="12">
        <f t="shared" si="1"/>
        <v>143424</v>
      </c>
      <c r="G9" s="12">
        <f>PRODUCT(B9*30)</f>
        <v>7470</v>
      </c>
      <c r="H9" s="100">
        <f t="shared" si="2"/>
        <v>150894</v>
      </c>
      <c r="I9" s="158"/>
    </row>
    <row r="10" spans="1:9">
      <c r="A10" s="39" t="s">
        <v>90</v>
      </c>
      <c r="B10" s="11">
        <v>4140</v>
      </c>
      <c r="C10" s="196">
        <v>2000</v>
      </c>
      <c r="D10" s="197"/>
      <c r="E10" s="12">
        <f t="shared" si="0"/>
        <v>8280000</v>
      </c>
      <c r="F10" s="12">
        <f t="shared" si="1"/>
        <v>1263050.8474576271</v>
      </c>
      <c r="G10" s="12">
        <f>PRODUCT(B10*30)</f>
        <v>124200</v>
      </c>
      <c r="H10" s="100">
        <f t="shared" si="2"/>
        <v>1387250.8474576271</v>
      </c>
      <c r="I10" s="158"/>
    </row>
    <row r="11" spans="1:9">
      <c r="A11" s="40" t="s">
        <v>66</v>
      </c>
      <c r="B11" s="11">
        <v>800</v>
      </c>
      <c r="C11" s="196">
        <v>3000</v>
      </c>
      <c r="D11" s="197"/>
      <c r="E11" s="12">
        <f t="shared" si="0"/>
        <v>2400000</v>
      </c>
      <c r="F11" s="12">
        <f t="shared" si="1"/>
        <v>366101.69491525425</v>
      </c>
      <c r="G11" s="12">
        <f>PRODUCT(B11*30)</f>
        <v>24000</v>
      </c>
      <c r="H11" s="100">
        <f t="shared" si="2"/>
        <v>390101.69491525425</v>
      </c>
      <c r="I11" s="158"/>
    </row>
    <row r="12" spans="1:9">
      <c r="A12" s="40" t="s">
        <v>88</v>
      </c>
      <c r="B12" s="11">
        <v>14832</v>
      </c>
      <c r="C12" s="196">
        <v>2124</v>
      </c>
      <c r="D12" s="197"/>
      <c r="E12" s="12">
        <f t="shared" si="0"/>
        <v>31503168</v>
      </c>
      <c r="F12" s="12">
        <f>PRODUCT(E12*18)/118</f>
        <v>4805568</v>
      </c>
      <c r="G12" s="12">
        <f>PRODUCT(B12*30)</f>
        <v>444960</v>
      </c>
      <c r="H12" s="100">
        <f t="shared" si="2"/>
        <v>5250528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88</v>
      </c>
      <c r="B17" s="26">
        <v>720</v>
      </c>
      <c r="C17" s="26">
        <v>2600</v>
      </c>
      <c r="D17" s="26">
        <v>30</v>
      </c>
      <c r="E17" s="19">
        <f>PRODUCT(B17*C17)</f>
        <v>1872000</v>
      </c>
      <c r="F17" s="16">
        <f t="shared" ref="F17:F36" si="3">PRODUCT(E17*18)/118</f>
        <v>285559.32203389832</v>
      </c>
      <c r="G17" s="94">
        <f>PRODUCT(B17*D17)</f>
        <v>21600</v>
      </c>
      <c r="H17" s="102">
        <f>SUM(F17:G17)</f>
        <v>307159.32203389832</v>
      </c>
      <c r="I17" s="158"/>
    </row>
    <row r="18" spans="1:9" ht="15" thickBot="1">
      <c r="A18" s="34" t="s">
        <v>91</v>
      </c>
      <c r="B18" s="27">
        <v>350</v>
      </c>
      <c r="C18" s="27">
        <v>2000</v>
      </c>
      <c r="D18" s="27">
        <v>25</v>
      </c>
      <c r="E18" s="20">
        <f t="shared" ref="E18:E22" si="4">PRODUCT(B18*C18)</f>
        <v>700000</v>
      </c>
      <c r="F18" s="17">
        <f t="shared" si="3"/>
        <v>106779.66101694915</v>
      </c>
      <c r="G18" s="15">
        <f t="shared" ref="G18:G22" si="5">PRODUCT(B18*D18)</f>
        <v>8750</v>
      </c>
      <c r="H18" s="103">
        <f t="shared" ref="H18:H22" si="6">SUM(F18:G18)</f>
        <v>115529.66101694915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56047392</v>
      </c>
      <c r="F37" s="24">
        <f>SUM(F5:F36)</f>
        <v>8549602.1694915257</v>
      </c>
      <c r="G37" s="24">
        <f t="shared" ref="G37:H37" si="10">SUM(G5:G36)</f>
        <v>699780</v>
      </c>
      <c r="H37" s="24">
        <f t="shared" si="10"/>
        <v>9249382.1694915257</v>
      </c>
      <c r="I37" s="158"/>
    </row>
    <row r="38" spans="1:9" s="89" customFormat="1" ht="14.5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>
        <v>9251143</v>
      </c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9251143</v>
      </c>
      <c r="D45" s="92"/>
      <c r="E45" s="178"/>
      <c r="F45" s="179"/>
      <c r="G45" s="93"/>
      <c r="H45" s="110"/>
      <c r="I45" s="158"/>
    </row>
    <row r="46" spans="1:9" ht="19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20.5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2.95" customHeight="1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22.05" customHeight="1" thickBot="1">
      <c r="A49" s="168"/>
      <c r="B49" s="169"/>
      <c r="C49" s="176" t="s">
        <v>61</v>
      </c>
      <c r="D49" s="177"/>
      <c r="E49" s="184">
        <f>SUM(B9:B12)</f>
        <v>20021</v>
      </c>
      <c r="F49" s="185"/>
      <c r="G49" s="185"/>
      <c r="H49" s="185"/>
      <c r="I49" s="158"/>
    </row>
    <row r="50" spans="1:9" ht="22.5" customHeight="1" thickBot="1">
      <c r="A50" s="170"/>
      <c r="B50" s="171"/>
      <c r="C50" s="176" t="s">
        <v>46</v>
      </c>
      <c r="D50" s="177"/>
      <c r="E50" s="184">
        <f>SUM(B6:B8)</f>
        <v>1376</v>
      </c>
      <c r="F50" s="185"/>
      <c r="G50" s="185"/>
      <c r="H50" s="185"/>
      <c r="I50" s="158"/>
    </row>
    <row r="51" spans="1:9" ht="24.45" customHeight="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22.05" customHeight="1" thickBot="1">
      <c r="A52" s="170"/>
      <c r="B52" s="171"/>
      <c r="C52" s="160" t="s">
        <v>63</v>
      </c>
      <c r="D52" s="161"/>
      <c r="E52" s="188">
        <f>SUM(B17:B18)</f>
        <v>1070</v>
      </c>
      <c r="F52" s="189"/>
      <c r="G52" s="189"/>
      <c r="H52" s="189"/>
      <c r="I52" s="158"/>
    </row>
    <row r="53" spans="1:9" ht="22.05" customHeight="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22.05" customHeight="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22.05" customHeight="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4" thickBot="1">
      <c r="A62" s="170"/>
      <c r="B62" s="171"/>
      <c r="C62" s="160" t="s">
        <v>65</v>
      </c>
      <c r="D62" s="161"/>
      <c r="E62" s="223">
        <f>SUM(E49:H61)</f>
        <v>22467</v>
      </c>
      <c r="F62" s="224"/>
      <c r="G62" s="224"/>
      <c r="H62" s="224"/>
      <c r="I62" s="158"/>
    </row>
    <row r="63" spans="1:9" ht="18.600000000000001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7734375" defaultRowHeight="14.4"/>
  <cols>
    <col min="1" max="1" width="27.21875" style="43" customWidth="1"/>
    <col min="2" max="2" width="19.33203125" style="43" customWidth="1"/>
    <col min="3" max="3" width="13.5546875" style="43" customWidth="1"/>
    <col min="4" max="4" width="11.77734375" style="43" customWidth="1"/>
    <col min="5" max="5" width="21" style="43" customWidth="1"/>
    <col min="6" max="6" width="21.77734375" style="43" customWidth="1"/>
    <col min="7" max="7" width="20.6640625" style="43" customWidth="1"/>
    <col min="8" max="8" width="21.77734375" style="43" customWidth="1"/>
    <col min="9" max="16384" width="8.77734375" style="43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4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2.9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>
        <v>2124</v>
      </c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8.600000000000001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7734375" defaultRowHeight="14.4"/>
  <cols>
    <col min="1" max="1" width="22.6640625" style="43" customWidth="1"/>
    <col min="2" max="2" width="26.33203125" style="43" customWidth="1"/>
    <col min="3" max="3" width="18.88671875" style="43" customWidth="1"/>
    <col min="4" max="4" width="12.77734375" style="43" customWidth="1"/>
    <col min="5" max="5" width="20.44140625" style="43" customWidth="1"/>
    <col min="6" max="6" width="21.5546875" style="43" customWidth="1"/>
    <col min="7" max="7" width="14.33203125" style="43" customWidth="1"/>
    <col min="8" max="8" width="24.21875" style="43" customWidth="1"/>
    <col min="9" max="16384" width="8.77734375" style="43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4.4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8.600000000000001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85" zoomScaleNormal="85" workbookViewId="0">
      <selection activeCell="B10" sqref="B10"/>
    </sheetView>
  </sheetViews>
  <sheetFormatPr defaultColWidth="8.77734375" defaultRowHeight="14.4"/>
  <cols>
    <col min="1" max="1" width="21.109375" style="43" customWidth="1"/>
    <col min="2" max="2" width="17.44140625" style="43" customWidth="1"/>
    <col min="3" max="3" width="20.21875" style="43" customWidth="1"/>
    <col min="4" max="4" width="14.88671875" style="43" customWidth="1"/>
    <col min="5" max="5" width="28.33203125" style="43" customWidth="1"/>
    <col min="6" max="6" width="22.109375" style="43" customWidth="1"/>
    <col min="7" max="7" width="16.6640625" style="43" customWidth="1"/>
    <col min="8" max="8" width="26.5546875" style="43" customWidth="1"/>
    <col min="9" max="16384" width="8.77734375" style="43"/>
  </cols>
  <sheetData>
    <row r="1" spans="1:9" ht="14.55" customHeight="1">
      <c r="A1" s="210" t="s">
        <v>85</v>
      </c>
      <c r="B1" s="211"/>
      <c r="C1" s="211"/>
      <c r="D1" s="211"/>
      <c r="E1" s="211"/>
      <c r="F1" s="211"/>
      <c r="G1" s="211"/>
      <c r="H1" s="211"/>
      <c r="I1" s="225"/>
    </row>
    <row r="2" spans="1:9" ht="24.4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5" customHeight="1">
      <c r="A3" s="214" t="s">
        <v>86</v>
      </c>
      <c r="B3" s="215"/>
      <c r="C3" s="215"/>
      <c r="D3" s="215"/>
      <c r="E3" s="215"/>
      <c r="F3" s="215"/>
      <c r="G3" s="215"/>
      <c r="H3" s="216"/>
      <c r="I3" s="226"/>
    </row>
    <row r="4" spans="1:9" ht="28.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>
        <v>7670</v>
      </c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>
        <v>3700</v>
      </c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>
        <v>2714</v>
      </c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>
        <v>2124</v>
      </c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>
        <v>1357</v>
      </c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thickBot="1">
      <c r="A39" s="206" t="s">
        <v>68</v>
      </c>
      <c r="B39" s="207"/>
      <c r="C39" s="55">
        <v>2711706</v>
      </c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2711706</v>
      </c>
      <c r="D45" s="92"/>
      <c r="E45" s="178"/>
      <c r="F45" s="179"/>
      <c r="G45" s="93"/>
      <c r="H45" s="110"/>
      <c r="I45" s="226"/>
    </row>
    <row r="46" spans="1:9" ht="14.5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8.600000000000001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7734375" defaultRowHeight="14.4"/>
  <cols>
    <col min="1" max="1" width="23.5546875" style="43" customWidth="1"/>
    <col min="2" max="2" width="19.44140625" style="43" customWidth="1"/>
    <col min="3" max="3" width="14.77734375" style="43" customWidth="1"/>
    <col min="4" max="4" width="9.77734375" style="43" customWidth="1"/>
    <col min="5" max="5" width="22.21875" style="43" customWidth="1"/>
    <col min="6" max="6" width="23.5546875" style="43" customWidth="1"/>
    <col min="7" max="7" width="17.21875" style="43" customWidth="1"/>
    <col min="8" max="8" width="22.6640625" style="43" customWidth="1"/>
    <col min="9" max="16384" width="8.77734375" style="43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8.600000000000001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4"/>
  <cols>
    <col min="1" max="1" width="20.77734375" customWidth="1"/>
    <col min="2" max="2" width="17.88671875" customWidth="1"/>
    <col min="3" max="3" width="12.6640625" customWidth="1"/>
    <col min="4" max="4" width="14.44140625" customWidth="1"/>
    <col min="5" max="5" width="21.6640625" customWidth="1"/>
    <col min="6" max="6" width="19.6640625" customWidth="1"/>
    <col min="7" max="7" width="15.6640625" customWidth="1"/>
    <col min="8" max="8" width="20.88671875" customWidth="1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8.600000000000001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4"/>
  <cols>
    <col min="1" max="1" width="23.5546875" customWidth="1"/>
    <col min="2" max="2" width="14.77734375" customWidth="1"/>
    <col min="3" max="3" width="21.5546875" customWidth="1"/>
    <col min="4" max="4" width="11.21875" customWidth="1"/>
    <col min="5" max="5" width="21.88671875" customWidth="1"/>
    <col min="6" max="6" width="22.33203125" customWidth="1"/>
    <col min="7" max="7" width="17.5546875" customWidth="1"/>
    <col min="8" max="8" width="16.77734375" customWidth="1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8.600000000000001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7734375" defaultRowHeight="14.4"/>
  <cols>
    <col min="1" max="1" width="24" style="43" customWidth="1"/>
    <col min="2" max="2" width="15.88671875" style="43" customWidth="1"/>
    <col min="3" max="3" width="18.5546875" style="43" customWidth="1"/>
    <col min="4" max="4" width="11.77734375" style="43" customWidth="1"/>
    <col min="5" max="5" width="24.109375" style="43" customWidth="1"/>
    <col min="6" max="6" width="18.44140625" style="43" customWidth="1"/>
    <col min="7" max="8" width="15.77734375" style="43" customWidth="1"/>
    <col min="9" max="16384" width="8.77734375" style="43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2.9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5.9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8.600000000000001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4"/>
  <cols>
    <col min="1" max="1" width="24.5546875" customWidth="1"/>
    <col min="2" max="2" width="16.33203125" customWidth="1"/>
    <col min="3" max="3" width="21.44140625" customWidth="1"/>
    <col min="4" max="4" width="12" customWidth="1"/>
    <col min="5" max="5" width="21.88671875" customWidth="1"/>
    <col min="6" max="6" width="17.44140625" customWidth="1"/>
    <col min="7" max="7" width="15.21875" customWidth="1"/>
    <col min="8" max="8" width="21.88671875" customWidth="1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4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8.600000000000001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4"/>
  <cols>
    <col min="1" max="1" width="18.88671875" customWidth="1"/>
    <col min="2" max="2" width="16.109375" customWidth="1"/>
    <col min="3" max="3" width="20.88671875" customWidth="1"/>
    <col min="4" max="4" width="14.21875" customWidth="1"/>
    <col min="5" max="5" width="18.21875" customWidth="1"/>
    <col min="6" max="6" width="17.77734375" customWidth="1"/>
    <col min="7" max="7" width="13.21875" customWidth="1"/>
    <col min="8" max="8" width="20" customWidth="1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2.9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0.5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4.5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8.600000000000001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7734375" defaultRowHeight="14.4"/>
  <cols>
    <col min="1" max="1" width="19.6640625" style="43" customWidth="1"/>
    <col min="2" max="2" width="19.21875" style="43" customWidth="1"/>
    <col min="3" max="3" width="21" style="43" customWidth="1"/>
    <col min="4" max="4" width="15" style="43" customWidth="1"/>
    <col min="5" max="5" width="19.21875" style="43" customWidth="1"/>
    <col min="6" max="6" width="15.77734375" style="43" customWidth="1"/>
    <col min="7" max="7" width="17.33203125" style="43" customWidth="1"/>
    <col min="8" max="8" width="19.88671875" style="43" customWidth="1"/>
    <col min="9" max="16384" width="8.77734375" style="43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1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5.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.0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9.0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8.600000000000001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4"/>
  <cols>
    <col min="1" max="1" width="23.21875" customWidth="1"/>
    <col min="2" max="2" width="15.44140625" customWidth="1"/>
    <col min="3" max="3" width="20.21875" customWidth="1"/>
    <col min="4" max="4" width="16.109375" customWidth="1"/>
    <col min="5" max="5" width="18.21875" customWidth="1"/>
    <col min="6" max="6" width="15.33203125" customWidth="1"/>
    <col min="7" max="7" width="22.77734375" customWidth="1"/>
    <col min="8" max="8" width="19" customWidth="1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2.0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2.0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8.600000000000001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ColWidth="8.77734375" defaultRowHeight="14.4"/>
  <cols>
    <col min="1" max="1" width="24.6640625" style="43" customWidth="1"/>
    <col min="2" max="2" width="15.77734375" style="43" customWidth="1"/>
    <col min="3" max="3" width="21.109375" style="43" customWidth="1"/>
    <col min="4" max="4" width="18.21875" style="43" customWidth="1"/>
    <col min="5" max="5" width="21.109375" style="43" customWidth="1"/>
    <col min="6" max="6" width="18.6640625" style="43" customWidth="1"/>
    <col min="7" max="7" width="20.21875" style="43" customWidth="1"/>
    <col min="8" max="8" width="17.44140625" style="43" customWidth="1"/>
    <col min="9" max="16384" width="8.77734375" style="43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34.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7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4.5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8.95" customHeight="1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5" customHeight="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.05" customHeight="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.05" customHeight="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.05" customHeight="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.05" customHeight="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.05" customHeight="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.05" customHeight="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.05" customHeight="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.05" customHeight="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.05" customHeight="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.05" customHeight="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.05" customHeight="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.05" customHeight="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.05" customHeight="1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4.55" customHeight="1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7734375" defaultRowHeight="14.4"/>
  <cols>
    <col min="1" max="1" width="19.77734375" style="43" customWidth="1"/>
    <col min="2" max="2" width="14.33203125" style="43" customWidth="1"/>
    <col min="3" max="3" width="20" style="43" customWidth="1"/>
    <col min="4" max="4" width="14.21875" style="43" customWidth="1"/>
    <col min="5" max="5" width="20.109375" style="43" customWidth="1"/>
    <col min="6" max="6" width="15.21875" style="43" customWidth="1"/>
    <col min="7" max="7" width="16.21875" style="43" customWidth="1"/>
    <col min="8" max="8" width="19.88671875" style="43" customWidth="1"/>
    <col min="9" max="16384" width="8.77734375" style="43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1.4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4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4.5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8.600000000000001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7734375" defaultRowHeight="14.4"/>
  <cols>
    <col min="1" max="1" width="19.77734375" style="43" customWidth="1"/>
    <col min="2" max="2" width="14.44140625" style="43" customWidth="1"/>
    <col min="3" max="3" width="24" style="43" customWidth="1"/>
    <col min="4" max="4" width="18.109375" style="43" customWidth="1"/>
    <col min="5" max="5" width="20.6640625" style="43" customWidth="1"/>
    <col min="6" max="6" width="22.88671875" style="43" customWidth="1"/>
    <col min="7" max="7" width="21.21875" style="43" customWidth="1"/>
    <col min="8" max="8" width="19.88671875" style="43" customWidth="1"/>
    <col min="9" max="16384" width="8.77734375" style="43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8.600000000000001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4"/>
  <cols>
    <col min="1" max="1" width="21" customWidth="1"/>
    <col min="2" max="2" width="18.77734375" customWidth="1"/>
    <col min="3" max="3" width="27.21875" customWidth="1"/>
    <col min="4" max="4" width="20" customWidth="1"/>
    <col min="5" max="5" width="17" customWidth="1"/>
    <col min="6" max="6" width="18.88671875" customWidth="1"/>
    <col min="7" max="7" width="19" customWidth="1"/>
    <col min="8" max="8" width="24.33203125" customWidth="1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9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8.600000000000001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4"/>
  <cols>
    <col min="1" max="1" width="19.88671875" customWidth="1"/>
    <col min="2" max="2" width="15.109375" customWidth="1"/>
    <col min="3" max="3" width="25.21875" customWidth="1"/>
    <col min="4" max="4" width="18.88671875" customWidth="1"/>
    <col min="5" max="5" width="17.77734375" customWidth="1"/>
    <col min="6" max="6" width="18.109375" customWidth="1"/>
    <col min="7" max="7" width="21.77734375" customWidth="1"/>
    <col min="8" max="8" width="22.33203125" customWidth="1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0.5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0.5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8.600000000000001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4"/>
  <cols>
    <col min="1" max="1" width="24.21875" customWidth="1"/>
    <col min="2" max="2" width="18.44140625" customWidth="1"/>
    <col min="3" max="3" width="22.6640625" customWidth="1"/>
    <col min="4" max="4" width="17.33203125" customWidth="1"/>
    <col min="5" max="5" width="21.33203125" customWidth="1"/>
    <col min="6" max="6" width="18.88671875" customWidth="1"/>
    <col min="7" max="7" width="17.77734375" customWidth="1"/>
    <col min="8" max="8" width="22.5546875" customWidth="1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4.4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.4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8.600000000000001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4"/>
  <cols>
    <col min="1" max="1" width="22.44140625" customWidth="1"/>
    <col min="2" max="2" width="17.21875" customWidth="1"/>
    <col min="3" max="3" width="19.21875" customWidth="1"/>
    <col min="4" max="4" width="16.5546875" customWidth="1"/>
    <col min="5" max="5" width="22.21875" customWidth="1"/>
    <col min="6" max="6" width="17.21875" customWidth="1"/>
    <col min="7" max="7" width="16.21875" customWidth="1"/>
    <col min="8" max="8" width="23.21875" customWidth="1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7.4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.4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8.600000000000001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7734375" defaultRowHeight="14.4"/>
  <cols>
    <col min="1" max="1" width="22.77734375" style="43" customWidth="1"/>
    <col min="2" max="2" width="16.109375" style="43" customWidth="1"/>
    <col min="3" max="3" width="23.77734375" style="43" customWidth="1"/>
    <col min="4" max="4" width="18.21875" style="43" customWidth="1"/>
    <col min="5" max="5" width="16.88671875" style="43" customWidth="1"/>
    <col min="6" max="6" width="20.5546875" style="43" customWidth="1"/>
    <col min="7" max="7" width="18.88671875" style="43" customWidth="1"/>
    <col min="8" max="8" width="24.6640625" style="43" customWidth="1"/>
    <col min="9" max="16384" width="8.77734375" style="43"/>
  </cols>
  <sheetData>
    <row r="1" spans="1:9" ht="14.5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0.5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2.0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8.60000000000000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8.60000000000000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8.60000000000000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8.60000000000000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8.60000000000000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8.60000000000000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8.60000000000000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8.60000000000000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8.600000000000001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4"/>
  <cols>
    <col min="1" max="1" width="26.33203125" customWidth="1"/>
    <col min="2" max="2" width="21.77734375" customWidth="1"/>
    <col min="3" max="3" width="25.21875" customWidth="1"/>
    <col min="4" max="4" width="18.44140625" customWidth="1"/>
    <col min="5" max="5" width="21.21875" customWidth="1"/>
    <col min="6" max="6" width="15.33203125" customWidth="1"/>
    <col min="7" max="7" width="13.44140625" customWidth="1"/>
    <col min="8" max="8" width="15.21875" customWidth="1"/>
  </cols>
  <sheetData>
    <row r="1" spans="1:9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9.5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30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4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8.60000000000000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8.60000000000000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8.60000000000000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8.60000000000000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8.60000000000000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8.600000000000001" thickBot="1">
      <c r="A54" s="170"/>
      <c r="B54" s="171"/>
      <c r="C54" s="160" t="s">
        <v>84</v>
      </c>
      <c r="D54" s="161"/>
      <c r="E54" s="188">
        <f>B29</f>
        <v>0</v>
      </c>
      <c r="F54" s="189"/>
      <c r="G54" s="189"/>
      <c r="H54" s="189"/>
      <c r="I54" s="158"/>
    </row>
    <row r="55" spans="1:9" ht="18.600000000000001" thickBot="1">
      <c r="A55" s="170"/>
      <c r="B55" s="171"/>
      <c r="C55" s="160" t="s">
        <v>84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8.600000000000001" thickBot="1">
      <c r="A56" s="170"/>
      <c r="B56" s="171"/>
      <c r="C56" s="160" t="s">
        <v>84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8.600000000000001" thickBot="1">
      <c r="A57" s="170"/>
      <c r="B57" s="171"/>
      <c r="C57" s="160" t="s">
        <v>84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8.600000000000001" thickBot="1">
      <c r="A58" s="170"/>
      <c r="B58" s="171"/>
      <c r="C58" s="160" t="s">
        <v>84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8.600000000000001" thickBot="1">
      <c r="A59" s="170"/>
      <c r="B59" s="171"/>
      <c r="C59" s="160" t="s">
        <v>84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8.600000000000001" thickBot="1">
      <c r="A60" s="170"/>
      <c r="B60" s="171"/>
      <c r="C60" s="160" t="s">
        <v>84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8.600000000000001" thickBot="1">
      <c r="A61" s="170"/>
      <c r="B61" s="171"/>
      <c r="C61" s="160" t="s">
        <v>84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4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8.600000000000001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4"/>
  <cols>
    <col min="3" max="3" width="53" customWidth="1"/>
    <col min="7" max="7" width="47.6640625" customWidth="1"/>
  </cols>
  <sheetData>
    <row r="1" spans="1:7">
      <c r="A1" s="180" t="s">
        <v>57</v>
      </c>
      <c r="B1" s="181"/>
      <c r="C1" s="181"/>
      <c r="D1" s="181"/>
      <c r="E1" s="181"/>
      <c r="F1" s="181"/>
      <c r="G1" s="238"/>
    </row>
    <row r="2" spans="1:7" ht="15" thickBot="1">
      <c r="A2" s="182"/>
      <c r="B2" s="183"/>
      <c r="C2" s="183"/>
      <c r="D2" s="183"/>
      <c r="E2" s="183"/>
      <c r="F2" s="183"/>
      <c r="G2" s="239"/>
    </row>
    <row r="3" spans="1:7" ht="28.8" thickBot="1">
      <c r="A3" s="240" t="s">
        <v>58</v>
      </c>
      <c r="B3" s="241"/>
      <c r="C3" s="242"/>
      <c r="D3" s="240" t="s">
        <v>59</v>
      </c>
      <c r="E3" s="241"/>
      <c r="F3" s="241"/>
      <c r="G3" s="242"/>
    </row>
    <row r="4" spans="1:7" ht="41.55" customHeight="1" thickBot="1">
      <c r="A4" s="232" t="s">
        <v>61</v>
      </c>
      <c r="B4" s="233"/>
      <c r="C4" s="234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20021</v>
      </c>
      <c r="E4" s="236"/>
      <c r="F4" s="236"/>
      <c r="G4" s="237"/>
    </row>
    <row r="5" spans="1:7" ht="37.049999999999997" customHeight="1" thickBot="1">
      <c r="A5" s="232" t="s">
        <v>46</v>
      </c>
      <c r="B5" s="233"/>
      <c r="C5" s="234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1376</v>
      </c>
      <c r="E5" s="236"/>
      <c r="F5" s="236"/>
      <c r="G5" s="237"/>
    </row>
    <row r="6" spans="1:7" ht="40.049999999999997" customHeight="1" thickBot="1">
      <c r="A6" s="232" t="s">
        <v>60</v>
      </c>
      <c r="B6" s="233"/>
      <c r="C6" s="234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6"/>
      <c r="F6" s="236"/>
      <c r="G6" s="237"/>
    </row>
    <row r="7" spans="1:7" ht="38.549999999999997" customHeight="1" thickBot="1">
      <c r="A7" s="243" t="s">
        <v>63</v>
      </c>
      <c r="B7" s="244"/>
      <c r="C7" s="245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1070</v>
      </c>
      <c r="E7" s="236"/>
      <c r="F7" s="236"/>
      <c r="G7" s="237"/>
    </row>
    <row r="8" spans="1:7" ht="40.049999999999997" customHeight="1" thickBot="1">
      <c r="A8" s="243" t="s">
        <v>64</v>
      </c>
      <c r="B8" s="244"/>
      <c r="C8" s="245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6"/>
      <c r="F8" s="236"/>
      <c r="G8" s="237"/>
    </row>
    <row r="9" spans="1:7" ht="38.549999999999997" customHeight="1" thickBot="1">
      <c r="A9" s="243" t="s">
        <v>84</v>
      </c>
      <c r="B9" s="244"/>
      <c r="C9" s="245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7.950000000000003" customHeight="1" thickBot="1">
      <c r="A10" s="243" t="s">
        <v>84</v>
      </c>
      <c r="B10" s="244"/>
      <c r="C10" s="245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49999999999997" customHeight="1" thickBot="1">
      <c r="A11" s="243" t="s">
        <v>84</v>
      </c>
      <c r="B11" s="244"/>
      <c r="C11" s="245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450000000000003" customHeight="1" thickBot="1">
      <c r="A12" s="243" t="s">
        <v>84</v>
      </c>
      <c r="B12" s="244"/>
      <c r="C12" s="245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7.950000000000003" customHeight="1" thickBot="1">
      <c r="A13" s="243" t="s">
        <v>84</v>
      </c>
      <c r="B13" s="244"/>
      <c r="C13" s="245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.4" thickBot="1">
      <c r="A14" s="243" t="s">
        <v>84</v>
      </c>
      <c r="B14" s="244"/>
      <c r="C14" s="245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.4" thickBot="1">
      <c r="A15" s="243" t="s">
        <v>84</v>
      </c>
      <c r="B15" s="244"/>
      <c r="C15" s="245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.4" thickBot="1">
      <c r="A16" s="243" t="s">
        <v>84</v>
      </c>
      <c r="B16" s="244"/>
      <c r="C16" s="245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.4" thickBot="1">
      <c r="A17" s="243" t="s">
        <v>65</v>
      </c>
      <c r="B17" s="244"/>
      <c r="C17" s="245"/>
      <c r="D17" s="246">
        <f>SUM(D4:D16)</f>
        <v>22467</v>
      </c>
      <c r="E17" s="247"/>
      <c r="F17" s="247"/>
      <c r="G17" s="248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dcterms:created xsi:type="dcterms:W3CDTF">2023-12-29T10:10:15Z</dcterms:created>
  <dcterms:modified xsi:type="dcterms:W3CDTF">2026-05-04T11:17:39Z</dcterms:modified>
</cp:coreProperties>
</file>