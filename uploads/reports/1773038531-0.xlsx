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<sst xmlns="http://schemas.openxmlformats.org/spreadsheetml/2006/main" count="1698" uniqueCount="87">
  <si>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</si>
  <si>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</si>
  <si>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</si>
  <si>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</si>
  <si>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</si>
  <si>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</si>
  <si>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</si>
  <si>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</si>
  <si>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</si>
  <si>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</si>
  <si>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</si>
  <si>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</si>
  <si>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</si>
  <si>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</si>
  <si>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</si>
  <si>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</si>
  <si>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</si>
  <si>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</si>
  <si>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</si>
  <si>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</si>
  <si>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</si>
  <si>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</si>
  <si>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</si>
  <si>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</si>
  <si>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</si>
  <si>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</si>
  <si>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</si>
  <si>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</si>
  <si>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</si>
  <si>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</si>
  <si>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</si>
  <si>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</si>
  <si>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</si>
  <si>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</si>
  <si>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</si>
  <si>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</si>
  <si>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</si>
  <si>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</si>
  <si>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</si>
  <si>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</si>
  <si>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</si>
  <si>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</si>
  <si>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</si>
  <si>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</si>
  <si>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</si>
  <si>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</si>
  <si>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</si>
  <si>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</si>
  <si>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</si>
  <si>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</si>
  <si>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</si>
  <si>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</si>
  <si>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</si>
  <si>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</si>
  <si>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</si>
  <si>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</si>
  <si>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</si>
  <si>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</si>
  <si>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</si>
  <si>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</si>
  <si>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</si>
  <si>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</si>
  <si>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</si>
  <si>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</si>
  <si>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</si>
  <si>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</si>
  <si>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</si>
  <si>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</si>
  <si>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</si>
  <si>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</si>
  <si>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</si>
  <si>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</si>
  <si>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</si>
  <si>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</si>
  <si>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</si>
  <si>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</si>
  <si>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</si>
  <si>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</si>
  <si>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</si>
  <si>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</si>
  <si>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</si>
  <si>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</si>
  <si>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</si>
  <si>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</si>
  <si>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</si>
  <si>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</si>
  <si>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02 TO 08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</si>
</sst>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2277000</v>
      </c>
      <c r="C7" s="48">
        <f>KIMIRONKO!G37</f>
        <v>211000</v>
      </c>
      <c r="D7" s="48">
        <f>KIMIRONKO!C43</f>
        <v>0</v>
      </c>
      <c r="E7" s="48">
        <f>KIMIRONKO!C44</f>
        <v>0</v>
      </c>
      <c r="F7" s="50">
        <f t="shared" si="0"/>
        <v>2488000</v>
      </c>
      <c r="G7" s="48">
        <f>KIMIRONKO!C41</f>
        <v>0</v>
      </c>
      <c r="H7" s="48">
        <f>KIMIRONKO!C39</f>
        <v>2488000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2277000</v>
      </c>
      <c r="C29" s="70">
        <f t="shared" si="1"/>
        <v>211000</v>
      </c>
      <c r="D29" s="71">
        <f t="shared" si="1"/>
        <v>0</v>
      </c>
      <c r="E29" s="70">
        <f t="shared" si="1"/>
        <v>0</v>
      </c>
      <c r="F29" s="70">
        <f>SUM(F5:F28)</f>
        <v>2488000</v>
      </c>
      <c r="G29" s="71">
        <f>SUM(G5:G28)</f>
        <v>0</v>
      </c>
      <c r="H29" s="71">
        <f>SUM(H5:H28)</f>
        <v>2488000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2488000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2488000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2488000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2488000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2488000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s="89" customFormat="1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3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24.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22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22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22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3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86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>
        <v>7670</v>
      </c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6900</v>
      </c>
      <c r="C12" s="163">
        <v>2124</v>
      </c>
      <c r="D12" s="164"/>
      <c r="E12" s="12">
        <f t="shared" si="0"/>
        <v>14655600</v>
      </c>
      <c r="F12" s="12">
        <f>PRODUCT(E12*18)/118</f>
        <v>2235600</v>
      </c>
      <c r="G12" s="12">
        <f>PRODUCT(B12*30)</f>
        <v>207000</v>
      </c>
      <c r="H12" s="100">
        <f t="shared" si="2"/>
        <v>2442600</v>
      </c>
      <c r="I12" s="226"/>
    </row>
    <row r="13" spans="1:9">
      <c r="A13" s="40" t="s">
        <v>60</v>
      </c>
      <c r="B13" s="11">
        <v>200</v>
      </c>
      <c r="C13" s="163">
        <v>1357</v>
      </c>
      <c r="D13" s="164"/>
      <c r="E13" s="12">
        <f t="shared" si="0"/>
        <v>271400</v>
      </c>
      <c r="F13" s="12">
        <f t="shared" si="1"/>
        <v>41400</v>
      </c>
      <c r="G13" s="12">
        <f>PRODUCT(B13*20)</f>
        <v>4000</v>
      </c>
      <c r="H13" s="100">
        <f t="shared" si="2"/>
        <v>45400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14927000</v>
      </c>
      <c r="F37" s="24">
        <f>SUM(F5:F36)</f>
        <v>2277000</v>
      </c>
      <c r="G37" s="24">
        <f t="shared" ref="G37:H37" si="10">SUM(G5:G36)</f>
        <v>211000</v>
      </c>
      <c r="H37" s="24">
        <f t="shared" si="10"/>
        <v>2488000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2488000</v>
      </c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2488000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6900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200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7100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6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9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6900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200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7100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2026-03-09T06:26:55Z</dcterms:modified>
</cp:coreProperties>
</file>