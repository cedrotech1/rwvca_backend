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C37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H21" i="1" l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<sst xmlns="http://schemas.openxmlformats.org/spreadsheetml/2006/main" count="1779" uniqueCount="86">
  <si>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</si>
  <si>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</si>
  <si>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</si>
  <si>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</si>
  <si>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</si>
  <si>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</si>
  <si>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</si>
  <si>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</si>
  <si>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</si>
  <si>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</si>
  <si>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</si>
  <si>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</si>
  <si>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</si>
  <si>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</si>
  <si>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</si>
  <si>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</si>
  <si>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</si>
  <si>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</si>
  <si>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</si>
  <si>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</si>
  <si>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</si>
  <si>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</si>
  <si>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</si>
  <si>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</si>
  <si>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</si>
  <si>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</si>
  <si>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</si>
  <si>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</si>
  <si>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</si>
  <si>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</si>
  <si>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</si>
  <si>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</si>
  <si>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</si>
  <si>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</si>
  <si>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</si>
  <si>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</si>
  <si>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</si>
  <si>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</si>
  <si>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</si>
  <si>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</si>
  <si>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</si>
  <si>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</si>
  <si>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</si>
  <si>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</si>
  <si>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</si>
  <si>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</si>
  <si>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</si>
  <si>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</si>
  <si>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</si>
  <si>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</si>
  <si>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</si>
  <si>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</si>
  <si>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</si>
  <si>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</si>
  <si>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</si>
  <si>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</si>
  <si>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</si>
  <si>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</si>
  <si>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</si>
  <si>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</si>
  <si>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</si>
  <si>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</si>
  <si>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</si>
  <si>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</si>
  <si>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</si>
  <si>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</si>
  <si>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</si>
  <si>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</si>
  <si>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</si>
  <si>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</si>
  <si>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</si>
  <si>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</si>
  <si>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</si>
  <si>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</si>
  <si>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</si>
  <si>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</si>
  <si>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</si>
  <si>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</si>
  <si>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</si>
  <si>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</si>
  <si>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</si>
  <si>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</si>
  <si>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</si>
  <si>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</si>
  <si>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</si>
  <si>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DAILY REPORT ON 24/04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</si>
</sst>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137052.15254237287</v>
      </c>
      <c r="C21" s="18">
        <f>KIREHE!G29</f>
        <v>12690</v>
      </c>
      <c r="D21" s="20"/>
      <c r="E21" s="21"/>
      <c r="F21" s="14">
        <f t="shared" si="0"/>
        <v>149742.15254237287</v>
      </c>
      <c r="G21" s="17">
        <f>KIREHE!C33</f>
        <v>0</v>
      </c>
      <c r="H21" s="18">
        <f>KIREHE!C31</f>
        <v>149742.15254237287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137052.15254237287</v>
      </c>
      <c r="C29" s="33">
        <f t="shared" si="1"/>
        <v>12690</v>
      </c>
      <c r="D29" s="34">
        <f t="shared" si="1"/>
        <v>0</v>
      </c>
      <c r="E29" s="33">
        <f t="shared" si="1"/>
        <v>0</v>
      </c>
      <c r="F29" s="33">
        <f t="shared" si="1"/>
        <v>149742.15254237287</v>
      </c>
      <c r="G29" s="34">
        <f t="shared" si="1"/>
        <v>0</v>
      </c>
      <c r="H29" s="34">
        <f t="shared" si="1"/>
        <v>8513064.1525423732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149742.15254237287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08">
        <f>SUM(F29,G29)</f>
        <v>149742.15254237287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08">
        <f>SUM(H29,J29,I29)</f>
        <v>8513064.1525423732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08">
        <f>SUM(D29:E29)</f>
        <v>0</v>
      </c>
      <c r="D35" s="107"/>
      <c r="E35" s="124"/>
      <c r="F35" s="127"/>
      <c r="G35" s="127"/>
      <c r="H35" s="127"/>
      <c r="I35" s="110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08">
        <f>SUM(C33,C35)</f>
        <v>149742.15254237287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9" t="s">
        <v>40</v>
      </c>
      <c r="B37" s="110"/>
      <c r="C37" s="108">
        <f>SUM(C34:C35)</f>
        <v>8513064.1525423732</v>
      </c>
      <c r="D37" s="107"/>
      <c r="E37" s="124"/>
      <c r="F37" s="127"/>
      <c r="G37" s="127"/>
      <c r="H37" s="127"/>
      <c r="I37" s="110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1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68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f>SUM(C39:C44)</f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07"/>
      <c r="E62" s="17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>
        <v>7670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f>SUM(C31:C36)</f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83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>
        <v>15000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>
        <v>9000</v>
      </c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>
        <v>7670</v>
      </c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>
        <v>4130</v>
      </c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>
        <v>3540</v>
      </c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>
        <v>2006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>
        <v>8363322</v>
      </c>
      <c r="D39" s="82"/>
      <c r="E39" s="143"/>
      <c r="F39" s="144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f>SUM(C39:C44)</f>
        <v>8363322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B62" s="159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>
        <v>2124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>
        <v>1357</v>
      </c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39" t="s">
        <v>72</v>
      </c>
      <c r="B42" s="107"/>
      <c r="C42" s="90"/>
      <c r="D42" s="74"/>
      <c r="E42" s="175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74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74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76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38">
        <f>SUM(B13:B14)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8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8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8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8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8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8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8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8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8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SUM(B11:B14)</f>
        <v>0</v>
      </c>
      <c r="F49" s="129"/>
      <c r="G49" s="129"/>
      <c r="H49" s="107"/>
    </row>
    <row r="50" spans="1:8" ht="14.25" customHeight="1">
      <c r="A50" s="37"/>
      <c r="B50" s="137" t="s">
        <v>52</v>
      </c>
      <c r="C50" s="129"/>
      <c r="D50" s="107"/>
      <c r="E50" s="138">
        <f>SUM(B8:B10)</f>
        <v>0</v>
      </c>
      <c r="F50" s="129"/>
      <c r="G50" s="129"/>
      <c r="H50" s="107"/>
    </row>
    <row r="51" spans="1:8" ht="14.25" customHeight="1">
      <c r="A51" s="37"/>
      <c r="B51" s="137" t="s">
        <v>80</v>
      </c>
      <c r="C51" s="129"/>
      <c r="D51" s="107"/>
      <c r="E51" s="138">
        <f>SUM(B15:B16)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08">
        <f>SUM(B19:B20)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SUM(B29:B30)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0" si="7">B31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>B45</f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8.7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85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6">
        <v>2360</v>
      </c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423</v>
      </c>
      <c r="C10" s="146">
        <v>2124</v>
      </c>
      <c r="D10" s="141"/>
      <c r="E10" s="48">
        <f t="shared" si="0"/>
        <v>898452</v>
      </c>
      <c r="F10" s="48">
        <f t="shared" si="1"/>
        <v>137052</v>
      </c>
      <c r="G10" s="48">
        <f t="shared" si="4"/>
        <v>12690</v>
      </c>
      <c r="H10" s="49">
        <f t="shared" si="3"/>
        <v>149742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/>
      <c r="E22" s="61">
        <f t="shared" si="6"/>
        <v>1</v>
      </c>
      <c r="F22" s="62">
        <f t="shared" si="7"/>
        <v>0.15254237288135594</v>
      </c>
      <c r="G22" s="62">
        <f t="shared" si="8"/>
        <v>0</v>
      </c>
      <c r="H22" s="62">
        <f t="shared" si="9"/>
        <v>0.15254237288135594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898453</v>
      </c>
      <c r="F29" s="74">
        <f t="shared" si="10"/>
        <v>137052.15254237287</v>
      </c>
      <c r="G29" s="75">
        <f t="shared" si="10"/>
        <v>12690</v>
      </c>
      <c r="H29" s="76">
        <f t="shared" si="9"/>
        <v>149742.15254237287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>
        <f>H29</f>
        <v>149742.15254237287</v>
      </c>
      <c r="D31" s="82"/>
      <c r="E31" s="143"/>
      <c r="F31" s="144"/>
      <c r="G31" s="10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104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104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105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102">
        <f>C31</f>
        <v>149742.15254237287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423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1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424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6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10"/>
    </row>
    <row r="3" spans="1:7" ht="14.25" customHeight="1">
      <c r="A3" s="181" t="s">
        <v>77</v>
      </c>
      <c r="B3" s="129"/>
      <c r="C3" s="107"/>
      <c r="D3" s="181" t="s">
        <v>78</v>
      </c>
      <c r="E3" s="129"/>
      <c r="F3" s="129"/>
      <c r="G3" s="107"/>
    </row>
    <row r="4" spans="1:7" ht="41.25" customHeight="1">
      <c r="A4" s="179" t="s">
        <v>79</v>
      </c>
      <c r="B4" s="129"/>
      <c r="C4" s="107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423</v>
      </c>
      <c r="E4" s="129"/>
      <c r="F4" s="129"/>
      <c r="G4" s="107"/>
    </row>
    <row r="5" spans="1:7" ht="36.75" customHeight="1">
      <c r="A5" s="179" t="s">
        <v>52</v>
      </c>
      <c r="B5" s="129"/>
      <c r="C5" s="107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9"/>
      <c r="F5" s="129"/>
      <c r="G5" s="107"/>
    </row>
    <row r="6" spans="1:7" ht="39.75" customHeight="1">
      <c r="A6" s="179" t="s">
        <v>56</v>
      </c>
      <c r="B6" s="129"/>
      <c r="C6" s="107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2" t="s">
        <v>61</v>
      </c>
      <c r="B7" s="129"/>
      <c r="C7" s="107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07"/>
    </row>
    <row r="8" spans="1:7" ht="39.75" customHeight="1">
      <c r="A8" s="182" t="s">
        <v>62</v>
      </c>
      <c r="B8" s="129"/>
      <c r="C8" s="107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07"/>
    </row>
    <row r="9" spans="1:7" ht="38.25" customHeight="1">
      <c r="A9" s="182" t="s">
        <v>81</v>
      </c>
      <c r="B9" s="129"/>
      <c r="C9" s="107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07"/>
    </row>
    <row r="10" spans="1:7" ht="37.5" customHeight="1">
      <c r="A10" s="182" t="s">
        <v>81</v>
      </c>
      <c r="B10" s="129"/>
      <c r="C10" s="107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9"/>
      <c r="F10" s="129"/>
      <c r="G10" s="107"/>
    </row>
    <row r="11" spans="1:7" ht="38.25" customHeight="1">
      <c r="A11" s="182" t="s">
        <v>81</v>
      </c>
      <c r="B11" s="129"/>
      <c r="C11" s="107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07"/>
    </row>
    <row r="12" spans="1:7" ht="36" customHeight="1">
      <c r="A12" s="182" t="s">
        <v>81</v>
      </c>
      <c r="B12" s="129"/>
      <c r="C12" s="107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07"/>
    </row>
    <row r="13" spans="1:7" ht="37.5" customHeight="1">
      <c r="A13" s="182" t="s">
        <v>81</v>
      </c>
      <c r="B13" s="129"/>
      <c r="C13" s="107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2" t="s">
        <v>81</v>
      </c>
      <c r="B14" s="129"/>
      <c r="C14" s="107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2" t="s">
        <v>81</v>
      </c>
      <c r="B15" s="129"/>
      <c r="C15" s="107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2" t="s">
        <v>81</v>
      </c>
      <c r="B16" s="129"/>
      <c r="C16" s="107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2" t="s">
        <v>82</v>
      </c>
      <c r="B17" s="129"/>
      <c r="C17" s="107"/>
      <c r="D17" s="183">
        <f>SUM(D4:D16)</f>
        <v>424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2026-04-24T15:22:10Z</dcterms:modified>
</cp:coreProperties>
</file>