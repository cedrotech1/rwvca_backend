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showInkAnnotation="0"/>
  <bookViews>
    <workbookView xWindow="-110" yWindow="-110" windowWidth="19420" windowHeight="10300" tabRatio="965" activeTab="3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21"/>
  <c r="D14"/>
  <c r="D15"/>
  <c r="D16"/>
  <c r="D6"/>
  <c r="D8"/>
  <c r="D9"/>
  <c r="D10"/>
  <c r="D11"/>
  <c r="D12"/>
  <c r="E25" i="1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H25"/>
  <c r="H24"/>
  <c r="H23"/>
  <c r="H22"/>
  <c r="H21"/>
  <c r="H20"/>
  <c r="H19"/>
  <c r="H18"/>
  <c r="H17"/>
  <c r="H16"/>
  <c r="J25"/>
  <c r="I25"/>
  <c r="J24"/>
  <c r="J23"/>
  <c r="J22"/>
  <c r="J21"/>
  <c r="J20"/>
  <c r="J19"/>
  <c r="J18"/>
  <c r="J17"/>
  <c r="J10"/>
  <c r="J9"/>
  <c r="J8"/>
  <c r="J6"/>
  <c r="J5"/>
  <c r="I24"/>
  <c r="I23"/>
  <c r="I22"/>
  <c r="I21"/>
  <c r="I20"/>
  <c r="I19"/>
  <c r="I18"/>
  <c r="I17"/>
  <c r="I10"/>
  <c r="I9"/>
  <c r="I8"/>
  <c r="I6"/>
  <c r="I5"/>
  <c r="H10"/>
  <c r="H9"/>
  <c r="H8"/>
  <c r="H6"/>
  <c r="H5"/>
  <c r="G10"/>
  <c r="G9"/>
  <c r="G8"/>
  <c r="G6"/>
  <c r="G25"/>
  <c r="G24"/>
  <c r="G23"/>
  <c r="G22"/>
  <c r="G21"/>
  <c r="G20"/>
  <c r="G19"/>
  <c r="G18"/>
  <c r="G17"/>
  <c r="G16"/>
  <c r="E61" i="24"/>
  <c r="E60"/>
  <c r="E59"/>
  <c r="E58"/>
  <c r="E57"/>
  <c r="E56"/>
  <c r="E55"/>
  <c r="E54"/>
  <c r="E53"/>
  <c r="E52"/>
  <c r="E51"/>
  <c r="E50"/>
  <c r="E49"/>
  <c r="E62" s="1"/>
  <c r="C45"/>
  <c r="G36"/>
  <c r="F36"/>
  <c r="H36" s="1"/>
  <c r="E36"/>
  <c r="G35"/>
  <c r="E35"/>
  <c r="F35" s="1"/>
  <c r="H35" s="1"/>
  <c r="G34"/>
  <c r="F34"/>
  <c r="H34" s="1"/>
  <c r="E34"/>
  <c r="G33"/>
  <c r="E33"/>
  <c r="F33" s="1"/>
  <c r="H33" s="1"/>
  <c r="G32"/>
  <c r="E32"/>
  <c r="F32" s="1"/>
  <c r="H32" s="1"/>
  <c r="G31"/>
  <c r="E31"/>
  <c r="F31" s="1"/>
  <c r="H31" s="1"/>
  <c r="G30"/>
  <c r="F30"/>
  <c r="H30" s="1"/>
  <c r="E30"/>
  <c r="G29"/>
  <c r="E29"/>
  <c r="F29" s="1"/>
  <c r="H29" s="1"/>
  <c r="G28"/>
  <c r="E28"/>
  <c r="F28" s="1"/>
  <c r="H28" s="1"/>
  <c r="G27"/>
  <c r="E27"/>
  <c r="F27" s="1"/>
  <c r="H27" s="1"/>
  <c r="G26"/>
  <c r="F26"/>
  <c r="H26" s="1"/>
  <c r="E26"/>
  <c r="G25"/>
  <c r="E25"/>
  <c r="F25" s="1"/>
  <c r="H25" s="1"/>
  <c r="G24"/>
  <c r="E24"/>
  <c r="F24" s="1"/>
  <c r="H24" s="1"/>
  <c r="G23"/>
  <c r="E23"/>
  <c r="F23" s="1"/>
  <c r="H23" s="1"/>
  <c r="G22"/>
  <c r="F22"/>
  <c r="H22" s="1"/>
  <c r="E22"/>
  <c r="G21"/>
  <c r="E21"/>
  <c r="F21" s="1"/>
  <c r="H21" s="1"/>
  <c r="G20"/>
  <c r="E20"/>
  <c r="F20" s="1"/>
  <c r="H20" s="1"/>
  <c r="G19"/>
  <c r="E19"/>
  <c r="F19" s="1"/>
  <c r="H19" s="1"/>
  <c r="G18"/>
  <c r="F18"/>
  <c r="H18" s="1"/>
  <c r="E18"/>
  <c r="G17"/>
  <c r="E17"/>
  <c r="F17" s="1"/>
  <c r="H17" s="1"/>
  <c r="G14"/>
  <c r="F14"/>
  <c r="H14" s="1"/>
  <c r="E14"/>
  <c r="G13"/>
  <c r="F13"/>
  <c r="H13" s="1"/>
  <c r="E13"/>
  <c r="G12"/>
  <c r="F12"/>
  <c r="H12" s="1"/>
  <c r="E12"/>
  <c r="G11"/>
  <c r="F11"/>
  <c r="H11" s="1"/>
  <c r="E11"/>
  <c r="G10"/>
  <c r="E10"/>
  <c r="F10" s="1"/>
  <c r="H10" s="1"/>
  <c r="G9"/>
  <c r="F9"/>
  <c r="H9" s="1"/>
  <c r="E9"/>
  <c r="G8"/>
  <c r="F8"/>
  <c r="H8" s="1"/>
  <c r="E8"/>
  <c r="G7"/>
  <c r="F7"/>
  <c r="H7" s="1"/>
  <c r="E7"/>
  <c r="G6"/>
  <c r="G37" s="1"/>
  <c r="C25" i="1" s="1"/>
  <c r="F6" i="24"/>
  <c r="E6"/>
  <c r="E61" i="2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4" i="1" s="1"/>
  <c r="E6" i="23"/>
  <c r="F6" s="1"/>
  <c r="E61" i="18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2" i="1" s="1"/>
  <c r="E6" i="18"/>
  <c r="F6" s="1"/>
  <c r="E61" i="17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21" i="1" s="1"/>
  <c r="E6" i="17"/>
  <c r="F6" s="1"/>
  <c r="E61" i="16"/>
  <c r="E60"/>
  <c r="E59"/>
  <c r="E58"/>
  <c r="E57"/>
  <c r="E56"/>
  <c r="E55"/>
  <c r="E54"/>
  <c r="E53"/>
  <c r="E52"/>
  <c r="E62" s="1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20" i="1" s="1"/>
  <c r="E6" i="16"/>
  <c r="F6" s="1"/>
  <c r="E61" i="14"/>
  <c r="E60"/>
  <c r="E59"/>
  <c r="E58"/>
  <c r="E57"/>
  <c r="E56"/>
  <c r="E55"/>
  <c r="E54"/>
  <c r="E53"/>
  <c r="E52"/>
  <c r="E62" s="1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18" i="1" s="1"/>
  <c r="E6" i="14"/>
  <c r="F6" s="1"/>
  <c r="E61" i="1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2"/>
  <c r="E60"/>
  <c r="E59"/>
  <c r="E58"/>
  <c r="E57"/>
  <c r="E56"/>
  <c r="E55"/>
  <c r="E54"/>
  <c r="E53"/>
  <c r="E52"/>
  <c r="E51"/>
  <c r="E50"/>
  <c r="E62" s="1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5"/>
  <c r="E60"/>
  <c r="E59"/>
  <c r="E58"/>
  <c r="E57"/>
  <c r="E56"/>
  <c r="E55"/>
  <c r="E54"/>
  <c r="E53"/>
  <c r="E52"/>
  <c r="E51"/>
  <c r="E50"/>
  <c r="E49"/>
  <c r="C45"/>
  <c r="G36"/>
  <c r="F36"/>
  <c r="H36" s="1"/>
  <c r="E36"/>
  <c r="G35"/>
  <c r="E35"/>
  <c r="F35" s="1"/>
  <c r="H35" s="1"/>
  <c r="G34"/>
  <c r="E34"/>
  <c r="F34" s="1"/>
  <c r="H34" s="1"/>
  <c r="G33"/>
  <c r="E33"/>
  <c r="F33" s="1"/>
  <c r="H33" s="1"/>
  <c r="G32"/>
  <c r="F32"/>
  <c r="H32" s="1"/>
  <c r="E32"/>
  <c r="G31"/>
  <c r="E31"/>
  <c r="F31" s="1"/>
  <c r="H31" s="1"/>
  <c r="G30"/>
  <c r="E30"/>
  <c r="F30" s="1"/>
  <c r="H30" s="1"/>
  <c r="G29"/>
  <c r="E29"/>
  <c r="F29" s="1"/>
  <c r="H29" s="1"/>
  <c r="G28"/>
  <c r="F28"/>
  <c r="H28" s="1"/>
  <c r="E28"/>
  <c r="G27"/>
  <c r="E27"/>
  <c r="F27" s="1"/>
  <c r="H27" s="1"/>
  <c r="G26"/>
  <c r="E26"/>
  <c r="F26" s="1"/>
  <c r="H26" s="1"/>
  <c r="G25"/>
  <c r="E25"/>
  <c r="F25" s="1"/>
  <c r="H25" s="1"/>
  <c r="G24"/>
  <c r="F24"/>
  <c r="H24" s="1"/>
  <c r="E24"/>
  <c r="G23"/>
  <c r="E23"/>
  <c r="F23" s="1"/>
  <c r="H23" s="1"/>
  <c r="G22"/>
  <c r="E22"/>
  <c r="F22" s="1"/>
  <c r="H22" s="1"/>
  <c r="G21"/>
  <c r="E21"/>
  <c r="F21" s="1"/>
  <c r="H21" s="1"/>
  <c r="G20"/>
  <c r="F20"/>
  <c r="H20" s="1"/>
  <c r="E20"/>
  <c r="G19"/>
  <c r="E19"/>
  <c r="F19" s="1"/>
  <c r="H19" s="1"/>
  <c r="G18"/>
  <c r="E18"/>
  <c r="F18" s="1"/>
  <c r="H18" s="1"/>
  <c r="G17"/>
  <c r="E17"/>
  <c r="F17" s="1"/>
  <c r="H17" s="1"/>
  <c r="G14"/>
  <c r="F14"/>
  <c r="H14" s="1"/>
  <c r="E14"/>
  <c r="G13"/>
  <c r="F13"/>
  <c r="H13" s="1"/>
  <c r="E13"/>
  <c r="G12"/>
  <c r="F12"/>
  <c r="H12" s="1"/>
  <c r="E12"/>
  <c r="G11"/>
  <c r="F11"/>
  <c r="H11" s="1"/>
  <c r="E11"/>
  <c r="G10"/>
  <c r="E10"/>
  <c r="F10" s="1"/>
  <c r="H10" s="1"/>
  <c r="G9"/>
  <c r="F9"/>
  <c r="H9" s="1"/>
  <c r="E9"/>
  <c r="G8"/>
  <c r="F8"/>
  <c r="H8" s="1"/>
  <c r="E8"/>
  <c r="G7"/>
  <c r="F7"/>
  <c r="H7" s="1"/>
  <c r="E7"/>
  <c r="G6"/>
  <c r="F6"/>
  <c r="E6"/>
  <c r="E61" i="11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G22"/>
  <c r="E22"/>
  <c r="F22" s="1"/>
  <c r="H22" s="1"/>
  <c r="G21"/>
  <c r="E21"/>
  <c r="F21" s="1"/>
  <c r="G20"/>
  <c r="E20"/>
  <c r="F20" s="1"/>
  <c r="H20" s="1"/>
  <c r="G19"/>
  <c r="E19"/>
  <c r="F19" s="1"/>
  <c r="G18"/>
  <c r="E18"/>
  <c r="F18" s="1"/>
  <c r="H18" s="1"/>
  <c r="G17"/>
  <c r="E17"/>
  <c r="F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0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E6"/>
  <c r="F6" s="1"/>
  <c r="E61" i="9"/>
  <c r="E60"/>
  <c r="E59"/>
  <c r="E58"/>
  <c r="E57"/>
  <c r="E56"/>
  <c r="E55"/>
  <c r="E54"/>
  <c r="E53"/>
  <c r="E52"/>
  <c r="E51"/>
  <c r="E50"/>
  <c r="E49"/>
  <c r="E62" s="1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22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G22"/>
  <c r="E22"/>
  <c r="F22" s="1"/>
  <c r="H22" s="1"/>
  <c r="G21"/>
  <c r="E21"/>
  <c r="F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8"/>
  <c r="E60"/>
  <c r="E59"/>
  <c r="E58"/>
  <c r="E57"/>
  <c r="E56"/>
  <c r="E55"/>
  <c r="E54"/>
  <c r="E53"/>
  <c r="E52"/>
  <c r="E51"/>
  <c r="E50"/>
  <c r="E49"/>
  <c r="E62" s="1"/>
  <c r="C45"/>
  <c r="G36"/>
  <c r="F36"/>
  <c r="H36" s="1"/>
  <c r="E36"/>
  <c r="G35"/>
  <c r="F35"/>
  <c r="H35" s="1"/>
  <c r="E35"/>
  <c r="G34"/>
  <c r="F34"/>
  <c r="H34" s="1"/>
  <c r="E34"/>
  <c r="G33"/>
  <c r="F33"/>
  <c r="H33" s="1"/>
  <c r="E33"/>
  <c r="G32"/>
  <c r="F32"/>
  <c r="H32" s="1"/>
  <c r="E32"/>
  <c r="G31"/>
  <c r="F31"/>
  <c r="H31" s="1"/>
  <c r="E31"/>
  <c r="G30"/>
  <c r="F30"/>
  <c r="H30" s="1"/>
  <c r="E30"/>
  <c r="G29"/>
  <c r="F29"/>
  <c r="H29" s="1"/>
  <c r="E29"/>
  <c r="G28"/>
  <c r="F28"/>
  <c r="H28" s="1"/>
  <c r="E28"/>
  <c r="G27"/>
  <c r="F27"/>
  <c r="H27" s="1"/>
  <c r="E27"/>
  <c r="G26"/>
  <c r="F26"/>
  <c r="H26" s="1"/>
  <c r="E26"/>
  <c r="G25"/>
  <c r="F25"/>
  <c r="H25" s="1"/>
  <c r="E25"/>
  <c r="G24"/>
  <c r="F24"/>
  <c r="H24" s="1"/>
  <c r="E24"/>
  <c r="G23"/>
  <c r="F23"/>
  <c r="H23" s="1"/>
  <c r="E23"/>
  <c r="G22"/>
  <c r="E22"/>
  <c r="F22" s="1"/>
  <c r="H22" s="1"/>
  <c r="G21"/>
  <c r="F21"/>
  <c r="H21" s="1"/>
  <c r="E21"/>
  <c r="G20"/>
  <c r="E20"/>
  <c r="F20" s="1"/>
  <c r="H20" s="1"/>
  <c r="G19"/>
  <c r="E19"/>
  <c r="F19" s="1"/>
  <c r="H19" s="1"/>
  <c r="G18"/>
  <c r="E18"/>
  <c r="F18" s="1"/>
  <c r="H18" s="1"/>
  <c r="G17"/>
  <c r="F17"/>
  <c r="H17" s="1"/>
  <c r="E17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6"/>
  <c r="E60"/>
  <c r="E59"/>
  <c r="E58"/>
  <c r="E57"/>
  <c r="E56"/>
  <c r="E55"/>
  <c r="E54"/>
  <c r="E53"/>
  <c r="E52"/>
  <c r="D7" i="21" s="1"/>
  <c r="E51" i="6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G17"/>
  <c r="E17"/>
  <c r="F17" s="1"/>
  <c r="H17" s="1"/>
  <c r="G14"/>
  <c r="E14"/>
  <c r="F14" s="1"/>
  <c r="H14" s="1"/>
  <c r="G13"/>
  <c r="E13"/>
  <c r="F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9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3" i="1" s="1"/>
  <c r="E6" i="19"/>
  <c r="F6" s="1"/>
  <c r="E61" i="7"/>
  <c r="E60"/>
  <c r="E59"/>
  <c r="E58"/>
  <c r="E57"/>
  <c r="E56"/>
  <c r="E55"/>
  <c r="E54"/>
  <c r="E53"/>
  <c r="E52"/>
  <c r="E51"/>
  <c r="E50"/>
  <c r="E49"/>
  <c r="E62" s="1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4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3"/>
  <c r="E60"/>
  <c r="E59"/>
  <c r="E58"/>
  <c r="E57"/>
  <c r="E56"/>
  <c r="E55"/>
  <c r="E54"/>
  <c r="E53"/>
  <c r="E52"/>
  <c r="E51"/>
  <c r="E50"/>
  <c r="E62" s="1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5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2"/>
  <c r="E60"/>
  <c r="E59"/>
  <c r="E58"/>
  <c r="E57"/>
  <c r="E56"/>
  <c r="E55"/>
  <c r="E54"/>
  <c r="E53"/>
  <c r="E52"/>
  <c r="E51"/>
  <c r="E50"/>
  <c r="E49"/>
  <c r="D4" i="21" s="1"/>
  <c r="C45" i="2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H18" i="6" l="1"/>
  <c r="E62"/>
  <c r="H13"/>
  <c r="G37"/>
  <c r="C9" i="1" s="1"/>
  <c r="D5" i="21"/>
  <c r="H10" i="2"/>
  <c r="C37" i="1"/>
  <c r="G37" i="3"/>
  <c r="G37" i="2"/>
  <c r="E62"/>
  <c r="E37" i="24"/>
  <c r="F37"/>
  <c r="B25" i="1" s="1"/>
  <c r="E62" i="23"/>
  <c r="E62" i="18"/>
  <c r="H10" i="17"/>
  <c r="E62"/>
  <c r="H10" i="16"/>
  <c r="E62" i="13"/>
  <c r="G37"/>
  <c r="C17" i="1" s="1"/>
  <c r="G37" i="12"/>
  <c r="G37" i="15"/>
  <c r="C19" i="1" s="1"/>
  <c r="F37" i="15"/>
  <c r="B19" i="1" s="1"/>
  <c r="E37" i="15"/>
  <c r="E62"/>
  <c r="G37" i="11"/>
  <c r="H17"/>
  <c r="H19"/>
  <c r="H21"/>
  <c r="H23"/>
  <c r="H25"/>
  <c r="H27"/>
  <c r="H29"/>
  <c r="H31"/>
  <c r="H33"/>
  <c r="H35"/>
  <c r="E62"/>
  <c r="E62" i="10"/>
  <c r="G37" i="9"/>
  <c r="G37" i="22"/>
  <c r="H21"/>
  <c r="H23"/>
  <c r="H25"/>
  <c r="H27"/>
  <c r="H29"/>
  <c r="H31"/>
  <c r="H33"/>
  <c r="H35"/>
  <c r="E62"/>
  <c r="G37" i="8"/>
  <c r="H10"/>
  <c r="H10" i="6"/>
  <c r="E62" i="19"/>
  <c r="G37" i="7"/>
  <c r="C10" i="1" s="1"/>
  <c r="H25" i="7"/>
  <c r="H27"/>
  <c r="H29"/>
  <c r="H31"/>
  <c r="H33"/>
  <c r="H35"/>
  <c r="H10"/>
  <c r="H35" i="4"/>
  <c r="H17"/>
  <c r="G37"/>
  <c r="C6" i="1" s="1"/>
  <c r="H10" i="4"/>
  <c r="E62"/>
  <c r="H35" i="3"/>
  <c r="H10" i="5"/>
  <c r="E62"/>
  <c r="G37"/>
  <c r="C8" i="1" s="1"/>
  <c r="H6" i="24"/>
  <c r="H37" s="1"/>
  <c r="F37" i="23"/>
  <c r="B24" i="1" s="1"/>
  <c r="H6" i="23"/>
  <c r="H37" s="1"/>
  <c r="E37"/>
  <c r="F37" i="18"/>
  <c r="B22" i="1" s="1"/>
  <c r="H6" i="18"/>
  <c r="H37" s="1"/>
  <c r="E37"/>
  <c r="F37" i="17"/>
  <c r="B21" i="1" s="1"/>
  <c r="H6" i="17"/>
  <c r="E37"/>
  <c r="F37" i="16"/>
  <c r="B20" i="1" s="1"/>
  <c r="H6" i="16"/>
  <c r="H37" s="1"/>
  <c r="E37"/>
  <c r="F37" i="14"/>
  <c r="B18" i="1" s="1"/>
  <c r="H6" i="14"/>
  <c r="H37" s="1"/>
  <c r="E37"/>
  <c r="F37" i="13"/>
  <c r="B17" i="1" s="1"/>
  <c r="H6" i="13"/>
  <c r="H37" s="1"/>
  <c r="E37"/>
  <c r="F37" i="12"/>
  <c r="H6"/>
  <c r="H37" s="1"/>
  <c r="E37"/>
  <c r="H6" i="15"/>
  <c r="H37" s="1"/>
  <c r="F37" i="11"/>
  <c r="H6"/>
  <c r="H37" s="1"/>
  <c r="E37"/>
  <c r="F37" i="10"/>
  <c r="H6"/>
  <c r="H37" s="1"/>
  <c r="E37"/>
  <c r="F37" i="9"/>
  <c r="H6"/>
  <c r="H37" s="1"/>
  <c r="E37"/>
  <c r="F37" i="22"/>
  <c r="H6"/>
  <c r="E37"/>
  <c r="F37" i="8"/>
  <c r="H6"/>
  <c r="H37" s="1"/>
  <c r="E37"/>
  <c r="F37" i="6"/>
  <c r="B9" i="1" s="1"/>
  <c r="H6" i="6"/>
  <c r="E37"/>
  <c r="F37" i="19"/>
  <c r="B23" i="1" s="1"/>
  <c r="H6" i="19"/>
  <c r="H37" s="1"/>
  <c r="E37"/>
  <c r="F37" i="7"/>
  <c r="B10" i="1" s="1"/>
  <c r="H6" i="7"/>
  <c r="H37" s="1"/>
  <c r="E37"/>
  <c r="F37" i="4"/>
  <c r="B6" i="1" s="1"/>
  <c r="H6" i="4"/>
  <c r="H37" s="1"/>
  <c r="E37"/>
  <c r="F37" i="3"/>
  <c r="H6"/>
  <c r="E37"/>
  <c r="F37" i="5"/>
  <c r="B8" i="1" s="1"/>
  <c r="H6" i="5"/>
  <c r="H37" s="1"/>
  <c r="E37"/>
  <c r="F37" i="2"/>
  <c r="H6"/>
  <c r="H37" s="1"/>
  <c r="E37"/>
  <c r="H37" i="6" l="1"/>
  <c r="H37" i="17"/>
  <c r="H37" i="22"/>
  <c r="H37" i="3"/>
  <c r="G15" i="1" l="1"/>
  <c r="G14"/>
  <c r="G13"/>
  <c r="G12"/>
  <c r="G11"/>
  <c r="G7"/>
  <c r="G5"/>
  <c r="I16"/>
  <c r="I15"/>
  <c r="I14"/>
  <c r="I13"/>
  <c r="I12"/>
  <c r="I11"/>
  <c r="I7"/>
  <c r="F25"/>
  <c r="F26"/>
  <c r="F27"/>
  <c r="F28"/>
  <c r="J7"/>
  <c r="H7"/>
  <c r="J16"/>
  <c r="J15"/>
  <c r="J14"/>
  <c r="J13"/>
  <c r="J12"/>
  <c r="J11"/>
  <c r="H15"/>
  <c r="H14"/>
  <c r="H13"/>
  <c r="H12"/>
  <c r="H11"/>
  <c r="G29" l="1"/>
  <c r="I29"/>
  <c r="F24" l="1"/>
  <c r="C14" l="1"/>
  <c r="C11" l="1"/>
  <c r="C12"/>
  <c r="C16"/>
  <c r="C15"/>
  <c r="C13"/>
  <c r="C7"/>
  <c r="F23" l="1"/>
  <c r="F9"/>
  <c r="F10"/>
  <c r="B11"/>
  <c r="F11" s="1"/>
  <c r="B13"/>
  <c r="F13" s="1"/>
  <c r="B14"/>
  <c r="F14" s="1"/>
  <c r="F17"/>
  <c r="F19"/>
  <c r="F20"/>
  <c r="B16"/>
  <c r="F16" s="1"/>
  <c r="F18"/>
  <c r="F22"/>
  <c r="B15"/>
  <c r="F15" s="1"/>
  <c r="F8"/>
  <c r="F6"/>
  <c r="B7"/>
  <c r="F7" s="1"/>
  <c r="B12" l="1"/>
  <c r="F12" s="1"/>
  <c r="F21"/>
  <c r="D17" i="21"/>
  <c r="C5" i="1" l="1"/>
  <c r="B5" l="1"/>
  <c r="F5" s="1"/>
  <c r="F29" s="1"/>
  <c r="C33" s="1"/>
  <c r="D29" l="1"/>
  <c r="J29"/>
  <c r="H29"/>
  <c r="E29"/>
  <c r="C29"/>
  <c r="B29"/>
  <c r="C32" l="1"/>
  <c r="C35"/>
  <c r="C36" s="1"/>
  <c r="C34"/>
</calcChain>
</file>

<file path=xl/sharedStrings.xml><?xml version="1.0" encoding="utf-8"?>
<sst xmlns="http://schemas.openxmlformats.org/spreadsheetml/2006/main" count="1698" uniqueCount="87">
  <si>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</si>
  <si>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</si>
  <si>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</si>
  <si>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</si>
  <si>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</si>
  <si>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</si>
  <si>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</si>
  <si>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</si>
  <si>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</si>
  <si>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</si>
  <si>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</si>
  <si>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</si>
  <si>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</si>
  <si>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</si>
  <si>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</si>
  <si>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</si>
  <si>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</si>
  <si>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</si>
  <si>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</si>
  <si>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</si>
  <si>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</si>
  <si>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</si>
  <si>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</si>
  <si>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</si>
  <si>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</si>
  <si>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</si>
  <si>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</si>
  <si>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</si>
  <si>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</si>
  <si>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</si>
  <si>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</si>
  <si>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</si>
  <si>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</si>
  <si>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</si>
  <si>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</si>
  <si>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</si>
  <si>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</si>
  <si>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</si>
  <si>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</si>
  <si>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</si>
  <si>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</si>
  <si>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</si>
  <si>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</si>
  <si>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</si>
  <si>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</si>
  <si>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</si>
  <si>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</si>
  <si>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</si>
  <si>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</si>
  <si>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</si>
  <si>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</si>
  <si>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</si>
  <si>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</si>
  <si>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</si>
  <si>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</si>
  <si>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</si>
  <si>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</si>
  <si>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</si>
  <si>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</si>
  <si>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</si>
  <si>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</si>
  <si>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</si>
  <si>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</si>
  <si>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</si>
  <si>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</si>
  <si>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</si>
  <si>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</si>
  <si>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</si>
  <si>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</si>
  <si>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</si>
  <si>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</si>
  <si>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</si>
  <si>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</si>
  <si>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</si>
  <si>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</si>
  <si>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</si>
  <si>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</si>
  <si>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</si>
  <si>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</si>
  <si>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</si>
  <si>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</si>
  <si>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</si>
  <si>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</si>
  <si>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</si>
  <si>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</si>
  <si>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MONTHS REPORT OF MARS  2026</t>
  </si>
  <si>
    <t>GEREVERIA</t>
  </si>
</sst>
</file>

<file path=xl/styles.xml><?xml version="1.0" encoding="utf-8"?>
<styleSheet xmlns="http://schemas.openxmlformats.org/spreadsheetml/2006/main">
  <numFmts count="2">
    <numFmt numFmtId="164" formatCode="_(* #,##0.00_);_(* \(#,##0.00\);_(* &quot;-&quot;??_);_(@_)"/>
    <numFmt numFmtId="165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9">
    <xf numFmtId="0" fontId="0" fillId="0" borderId="0" xfId="0"/>
    <xf numFmtId="165" fontId="3" fillId="0" borderId="7" xfId="1" applyNumberFormat="1" applyFont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9" fillId="0" borderId="30" xfId="1" applyNumberFormat="1" applyFont="1" applyBorder="1" applyProtection="1">
      <protection hidden="1"/>
    </xf>
    <xf numFmtId="165" fontId="8" fillId="0" borderId="31" xfId="1" applyNumberFormat="1" applyFont="1" applyBorder="1" applyProtection="1">
      <protection locked="0"/>
    </xf>
    <xf numFmtId="165" fontId="9" fillId="0" borderId="33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9" fillId="0" borderId="1" xfId="1" applyNumberFormat="1" applyFont="1" applyBorder="1" applyAlignment="1" applyProtection="1">
      <alignment horizontal="center"/>
      <protection locked="0"/>
    </xf>
    <xf numFmtId="165" fontId="9" fillId="0" borderId="1" xfId="1" applyNumberFormat="1" applyFont="1" applyBorder="1" applyProtection="1">
      <protection hidden="1"/>
    </xf>
    <xf numFmtId="165" fontId="9" fillId="0" borderId="6" xfId="1" applyNumberFormat="1" applyFont="1" applyBorder="1" applyProtection="1">
      <protection hidden="1"/>
    </xf>
    <xf numFmtId="165" fontId="9" fillId="0" borderId="7" xfId="1" applyNumberFormat="1" applyFont="1" applyBorder="1" applyProtection="1">
      <protection hidden="1"/>
    </xf>
    <xf numFmtId="165" fontId="9" fillId="0" borderId="8" xfId="1" applyNumberFormat="1" applyFont="1" applyBorder="1" applyProtection="1">
      <protection hidden="1"/>
    </xf>
    <xf numFmtId="165" fontId="9" fillId="0" borderId="9" xfId="1" applyNumberFormat="1" applyFont="1" applyBorder="1" applyProtection="1">
      <protection hidden="1"/>
    </xf>
    <xf numFmtId="165" fontId="9" fillId="0" borderId="10" xfId="1" applyNumberFormat="1" applyFont="1" applyBorder="1" applyProtection="1">
      <protection hidden="1"/>
    </xf>
    <xf numFmtId="165" fontId="9" fillId="0" borderId="34" xfId="1" applyNumberFormat="1" applyFont="1" applyBorder="1" applyProtection="1">
      <protection hidden="1"/>
    </xf>
    <xf numFmtId="165" fontId="9" fillId="4" borderId="2" xfId="1" applyNumberFormat="1" applyFont="1" applyFill="1" applyBorder="1" applyAlignment="1" applyProtection="1">
      <alignment vertical="center"/>
      <protection locked="0"/>
    </xf>
    <xf numFmtId="165" fontId="8" fillId="4" borderId="35" xfId="1" applyNumberFormat="1" applyFont="1" applyFill="1" applyBorder="1" applyProtection="1">
      <protection locked="0"/>
    </xf>
    <xf numFmtId="165" fontId="9" fillId="4" borderId="36" xfId="1" applyNumberFormat="1" applyFont="1" applyFill="1" applyBorder="1" applyProtection="1">
      <protection hidden="1"/>
    </xf>
    <xf numFmtId="165" fontId="9" fillId="0" borderId="37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9" fillId="3" borderId="1" xfId="1" applyNumberFormat="1" applyFont="1" applyFill="1" applyBorder="1" applyProtection="1">
      <protection locked="0"/>
    </xf>
    <xf numFmtId="165" fontId="9" fillId="3" borderId="4" xfId="1" applyNumberFormat="1" applyFont="1" applyFill="1" applyBorder="1" applyProtection="1">
      <protection locked="0"/>
    </xf>
    <xf numFmtId="165" fontId="9" fillId="4" borderId="1" xfId="1" applyNumberFormat="1" applyFont="1" applyFill="1" applyBorder="1" applyAlignment="1" applyProtection="1">
      <alignment horizontal="center"/>
      <protection locked="0"/>
    </xf>
    <xf numFmtId="165" fontId="11" fillId="4" borderId="38" xfId="1" applyNumberFormat="1" applyFont="1" applyFill="1" applyBorder="1" applyAlignment="1" applyProtection="1">
      <alignment horizontal="left"/>
      <protection locked="0"/>
    </xf>
    <xf numFmtId="165" fontId="11" fillId="4" borderId="39" xfId="1" applyNumberFormat="1" applyFont="1" applyFill="1" applyBorder="1" applyAlignment="1" applyProtection="1">
      <alignment horizontal="left"/>
      <protection locked="0"/>
    </xf>
    <xf numFmtId="165" fontId="11" fillId="4" borderId="39" xfId="1" applyNumberFormat="1" applyFont="1" applyFill="1" applyBorder="1" applyProtection="1">
      <protection locked="0"/>
    </xf>
    <xf numFmtId="165" fontId="9" fillId="4" borderId="39" xfId="1" applyNumberFormat="1" applyFont="1" applyFill="1" applyBorder="1" applyProtection="1">
      <protection locked="0"/>
    </xf>
    <xf numFmtId="165" fontId="9" fillId="4" borderId="40" xfId="1" applyNumberFormat="1" applyFont="1" applyFill="1" applyBorder="1" applyProtection="1">
      <protection locked="0"/>
    </xf>
    <xf numFmtId="165" fontId="9" fillId="4" borderId="27" xfId="1" applyNumberFormat="1" applyFont="1" applyFill="1" applyBorder="1" applyProtection="1">
      <protection locked="0"/>
    </xf>
    <xf numFmtId="165" fontId="9" fillId="4" borderId="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5" fillId="4" borderId="7" xfId="1" applyNumberFormat="1" applyFont="1" applyFill="1" applyBorder="1" applyProtection="1">
      <protection locked="0"/>
    </xf>
    <xf numFmtId="165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9" fillId="0" borderId="1" xfId="1" applyNumberFormat="1" applyFont="1" applyBorder="1" applyProtection="1">
      <protection locked="0"/>
    </xf>
    <xf numFmtId="165" fontId="3" fillId="0" borderId="38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39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1" fillId="4" borderId="1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11" xfId="1" applyNumberFormat="1" applyFont="1" applyFill="1" applyBorder="1" applyProtection="1">
      <protection locked="0"/>
    </xf>
    <xf numFmtId="165" fontId="11" fillId="4" borderId="20" xfId="1" applyNumberFormat="1" applyFont="1" applyFill="1" applyBorder="1" applyProtection="1">
      <protection locked="0"/>
    </xf>
    <xf numFmtId="165" fontId="8" fillId="0" borderId="33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5" fillId="3" borderId="47" xfId="1" applyNumberFormat="1" applyFont="1" applyFill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38" xfId="1" applyNumberFormat="1" applyFont="1" applyFill="1" applyBorder="1" applyProtection="1">
      <protection locked="0"/>
    </xf>
    <xf numFmtId="165" fontId="3" fillId="4" borderId="39" xfId="1" applyNumberFormat="1" applyFont="1" applyFill="1" applyBorder="1" applyProtection="1">
      <protection locked="0"/>
    </xf>
    <xf numFmtId="165" fontId="0" fillId="4" borderId="39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hidden="1"/>
    </xf>
    <xf numFmtId="165" fontId="23" fillId="2" borderId="12" xfId="1" applyNumberFormat="1" applyFont="1" applyFill="1" applyBorder="1" applyProtection="1">
      <protection locked="0"/>
    </xf>
    <xf numFmtId="165" fontId="0" fillId="4" borderId="41" xfId="1" applyNumberFormat="1" applyFont="1" applyFill="1" applyBorder="1" applyAlignment="1" applyProtection="1">
      <alignment horizontal="center"/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5" fontId="8" fillId="0" borderId="5" xfId="1" applyNumberFormat="1" applyFont="1" applyBorder="1" applyAlignment="1" applyProtection="1">
      <protection locked="0"/>
    </xf>
    <xf numFmtId="165" fontId="8" fillId="0" borderId="18" xfId="1" applyNumberFormat="1" applyFont="1" applyBorder="1" applyAlignment="1" applyProtection="1">
      <protection hidden="1"/>
    </xf>
    <xf numFmtId="165" fontId="11" fillId="4" borderId="8" xfId="1" applyNumberFormat="1" applyFont="1" applyFill="1" applyBorder="1" applyAlignment="1" applyProtection="1">
      <protection locked="0"/>
    </xf>
    <xf numFmtId="165" fontId="8" fillId="0" borderId="43" xfId="1" applyNumberFormat="1" applyFont="1" applyBorder="1" applyAlignment="1" applyProtection="1">
      <protection locked="0"/>
    </xf>
    <xf numFmtId="165" fontId="9" fillId="0" borderId="19" xfId="1" applyNumberFormat="1" applyFont="1" applyBorder="1" applyProtection="1">
      <protection hidden="1"/>
    </xf>
    <xf numFmtId="165" fontId="9" fillId="0" borderId="41" xfId="1" applyNumberFormat="1" applyFont="1" applyBorder="1" applyProtection="1">
      <protection hidden="1"/>
    </xf>
    <xf numFmtId="165" fontId="9" fillId="0" borderId="24" xfId="1" applyNumberFormat="1" applyFont="1" applyBorder="1" applyProtection="1">
      <protection hidden="1"/>
    </xf>
    <xf numFmtId="165" fontId="8" fillId="0" borderId="34" xfId="1" applyNumberFormat="1" applyFont="1" applyBorder="1" applyProtection="1">
      <protection locked="0"/>
    </xf>
    <xf numFmtId="165" fontId="9" fillId="4" borderId="1" xfId="1" applyNumberFormat="1" applyFont="1" applyFill="1" applyBorder="1" applyProtection="1">
      <protection locked="0"/>
    </xf>
    <xf numFmtId="165" fontId="9" fillId="0" borderId="29" xfId="1" applyNumberFormat="1" applyFont="1" applyBorder="1" applyProtection="1">
      <protection hidden="1"/>
    </xf>
    <xf numFmtId="165" fontId="9" fillId="0" borderId="32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hidden="1"/>
    </xf>
    <xf numFmtId="165" fontId="9" fillId="0" borderId="11" xfId="1" applyNumberFormat="1" applyFont="1" applyBorder="1" applyProtection="1">
      <protection hidden="1"/>
    </xf>
    <xf numFmtId="165" fontId="9" fillId="0" borderId="20" xfId="1" applyNumberFormat="1" applyFont="1" applyBorder="1" applyProtection="1">
      <protection hidden="1"/>
    </xf>
    <xf numFmtId="165" fontId="9" fillId="0" borderId="14" xfId="1" applyNumberFormat="1" applyFont="1" applyBorder="1" applyProtection="1">
      <protection hidden="1"/>
    </xf>
    <xf numFmtId="165" fontId="9" fillId="0" borderId="16" xfId="1" applyNumberFormat="1" applyFont="1" applyBorder="1" applyProtection="1">
      <protection hidden="1"/>
    </xf>
    <xf numFmtId="165" fontId="9" fillId="0" borderId="42" xfId="1" applyNumberFormat="1" applyFont="1" applyBorder="1" applyProtection="1">
      <protection hidden="1"/>
    </xf>
    <xf numFmtId="165" fontId="15" fillId="3" borderId="4" xfId="1" applyNumberFormat="1" applyFont="1" applyFill="1" applyBorder="1" applyProtection="1">
      <protection locked="0"/>
    </xf>
    <xf numFmtId="165" fontId="8" fillId="0" borderId="29" xfId="1" applyNumberFormat="1" applyFont="1" applyBorder="1" applyProtection="1">
      <protection locked="0"/>
    </xf>
    <xf numFmtId="165" fontId="8" fillId="0" borderId="32" xfId="1" applyNumberFormat="1" applyFont="1" applyBorder="1" applyProtection="1">
      <protection locked="0"/>
    </xf>
    <xf numFmtId="165" fontId="8" fillId="0" borderId="49" xfId="1" applyNumberFormat="1" applyFont="1" applyBorder="1" applyAlignment="1" applyProtection="1">
      <protection locked="0"/>
    </xf>
    <xf numFmtId="165" fontId="3" fillId="0" borderId="48" xfId="1" applyNumberFormat="1" applyFont="1" applyBorder="1" applyProtection="1">
      <protection hidden="1"/>
    </xf>
    <xf numFmtId="165" fontId="3" fillId="0" borderId="21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locked="0"/>
    </xf>
    <xf numFmtId="165" fontId="21" fillId="4" borderId="14" xfId="1" applyNumberFormat="1" applyFont="1" applyFill="1" applyBorder="1" applyAlignment="1" applyProtection="1">
      <alignment horizontal="center"/>
      <protection locked="0"/>
    </xf>
    <xf numFmtId="165" fontId="21" fillId="4" borderId="0" xfId="1" applyNumberFormat="1" applyFont="1" applyFill="1" applyBorder="1" applyAlignment="1" applyProtection="1">
      <alignment horizontal="center"/>
      <protection locked="0"/>
    </xf>
    <xf numFmtId="165" fontId="22" fillId="4" borderId="14" xfId="1" applyNumberFormat="1" applyFont="1" applyFill="1" applyBorder="1" applyAlignment="1" applyProtection="1">
      <alignment horizontal="center" vertical="center"/>
      <protection locked="0"/>
    </xf>
    <xf numFmtId="165" fontId="22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5" fontId="3" fillId="4" borderId="4" xfId="1" applyNumberFormat="1" applyFont="1" applyFill="1" applyBorder="1" applyAlignment="1" applyProtection="1">
      <protection locked="0"/>
    </xf>
    <xf numFmtId="165" fontId="3" fillId="4" borderId="5" xfId="1" applyNumberFormat="1" applyFont="1" applyFill="1" applyBorder="1" applyAlignment="1" applyProtection="1">
      <protection locked="0"/>
    </xf>
    <xf numFmtId="165" fontId="3" fillId="4" borderId="12" xfId="1" applyNumberFormat="1" applyFont="1" applyFill="1" applyBorder="1" applyAlignment="1" applyProtection="1">
      <protection locked="0"/>
    </xf>
    <xf numFmtId="165" fontId="3" fillId="4" borderId="13" xfId="1" applyNumberFormat="1" applyFont="1" applyFill="1" applyBorder="1" applyAlignment="1" applyProtection="1">
      <protection locked="0"/>
    </xf>
    <xf numFmtId="165" fontId="9" fillId="4" borderId="20" xfId="1" applyNumberFormat="1" applyFont="1" applyFill="1" applyBorder="1" applyAlignment="1" applyProtection="1">
      <alignment horizontal="center"/>
      <protection locked="0"/>
    </xf>
    <xf numFmtId="165" fontId="9" fillId="4" borderId="4" xfId="1" applyNumberFormat="1" applyFont="1" applyFill="1" applyBorder="1" applyAlignment="1" applyProtection="1">
      <alignment horizontal="center"/>
      <protection locked="0"/>
    </xf>
    <xf numFmtId="165" fontId="11" fillId="4" borderId="20" xfId="1" applyNumberFormat="1" applyFont="1" applyFill="1" applyBorder="1" applyAlignment="1" applyProtection="1">
      <alignment horizontal="center"/>
      <protection locked="0"/>
    </xf>
    <xf numFmtId="165" fontId="9" fillId="4" borderId="5" xfId="1" applyNumberFormat="1" applyFont="1" applyFill="1" applyBorder="1" applyAlignment="1" applyProtection="1">
      <alignment horizontal="center"/>
      <protection locked="0"/>
    </xf>
    <xf numFmtId="165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8" xfId="1" applyNumberFormat="1" applyFont="1" applyFill="1" applyBorder="1" applyAlignment="1" applyProtection="1">
      <alignment horizontal="left" vertical="top" wrapText="1"/>
      <protection locked="0"/>
    </xf>
    <xf numFmtId="165" fontId="9" fillId="0" borderId="20" xfId="1" applyNumberFormat="1" applyFont="1" applyBorder="1" applyAlignment="1" applyProtection="1">
      <alignment horizontal="left"/>
      <protection locked="0"/>
    </xf>
    <xf numFmtId="165" fontId="9" fillId="0" borderId="5" xfId="1" applyNumberFormat="1" applyFont="1" applyBorder="1" applyAlignment="1" applyProtection="1">
      <alignment horizontal="left"/>
      <protection locked="0"/>
    </xf>
    <xf numFmtId="165" fontId="9" fillId="0" borderId="11" xfId="1" applyNumberFormat="1" applyFont="1" applyBorder="1" applyAlignment="1" applyProtection="1">
      <alignment horizontal="left"/>
      <protection locked="0"/>
    </xf>
    <xf numFmtId="165" fontId="9" fillId="0" borderId="13" xfId="1" applyNumberFormat="1" applyFont="1" applyBorder="1" applyAlignment="1" applyProtection="1">
      <alignment horizontal="left"/>
      <protection locked="0"/>
    </xf>
    <xf numFmtId="165" fontId="9" fillId="0" borderId="2" xfId="1" applyNumberFormat="1" applyFont="1" applyBorder="1" applyAlignment="1" applyProtection="1">
      <alignment horizontal="left"/>
      <protection locked="0"/>
    </xf>
    <xf numFmtId="165" fontId="9" fillId="0" borderId="3" xfId="1" applyNumberFormat="1" applyFont="1" applyBorder="1" applyAlignment="1" applyProtection="1">
      <alignment horizontal="left"/>
      <protection locked="0"/>
    </xf>
    <xf numFmtId="165" fontId="16" fillId="4" borderId="4" xfId="1" applyNumberFormat="1" applyFont="1" applyFill="1" applyBorder="1" applyAlignment="1" applyProtection="1">
      <protection locked="0"/>
    </xf>
    <xf numFmtId="165" fontId="16" fillId="4" borderId="5" xfId="1" applyNumberFormat="1" applyFont="1" applyFill="1" applyBorder="1" applyAlignment="1" applyProtection="1">
      <protection locked="0"/>
    </xf>
    <xf numFmtId="165" fontId="12" fillId="4" borderId="4" xfId="1" applyNumberFormat="1" applyFont="1" applyFill="1" applyBorder="1" applyAlignment="1" applyProtection="1">
      <protection locked="0"/>
    </xf>
    <xf numFmtId="165" fontId="12" fillId="4" borderId="5" xfId="1" applyNumberFormat="1" applyFont="1" applyFill="1" applyBorder="1" applyAlignment="1" applyProtection="1">
      <protection locked="0"/>
    </xf>
    <xf numFmtId="165" fontId="8" fillId="0" borderId="43" xfId="1" applyNumberFormat="1" applyFont="1" applyBorder="1" applyAlignment="1" applyProtection="1">
      <alignment horizontal="left"/>
      <protection locked="0"/>
    </xf>
    <xf numFmtId="165" fontId="8" fillId="0" borderId="44" xfId="1" applyNumberFormat="1" applyFont="1" applyBorder="1" applyAlignment="1" applyProtection="1">
      <alignment horizontal="left"/>
      <protection locked="0"/>
    </xf>
    <xf numFmtId="165" fontId="8" fillId="0" borderId="31" xfId="1" applyNumberFormat="1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8" fillId="0" borderId="31" xfId="1" applyNumberFormat="1" applyFont="1" applyBorder="1" applyAlignment="1" applyProtection="1">
      <alignment horizontal="center"/>
      <protection locked="0"/>
    </xf>
    <xf numFmtId="165" fontId="10" fillId="3" borderId="20" xfId="1" applyNumberFormat="1" applyFont="1" applyFill="1" applyBorder="1" applyAlignment="1" applyProtection="1">
      <alignment horizontal="center"/>
      <protection locked="0"/>
    </xf>
    <xf numFmtId="165" fontId="10" fillId="3" borderId="4" xfId="1" applyNumberFormat="1" applyFont="1" applyFill="1" applyBorder="1" applyAlignment="1" applyProtection="1">
      <alignment horizontal="center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165" fontId="11" fillId="3" borderId="45" xfId="1" applyNumberFormat="1" applyFont="1" applyFill="1" applyBorder="1" applyAlignment="1" applyProtection="1">
      <alignment horizontal="center" vertical="center"/>
      <protection locked="0"/>
    </xf>
    <xf numFmtId="165" fontId="9" fillId="3" borderId="46" xfId="1" applyNumberFormat="1" applyFont="1" applyFill="1" applyBorder="1" applyAlignment="1" applyProtection="1">
      <alignment horizontal="center" vertical="center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24" fillId="4" borderId="11" xfId="1" applyNumberFormat="1" applyFont="1" applyFill="1" applyBorder="1" applyAlignment="1" applyProtection="1">
      <alignment horizontal="center"/>
      <protection locked="0"/>
    </xf>
    <xf numFmtId="165" fontId="24" fillId="4" borderId="12" xfId="1" applyNumberFormat="1" applyFont="1" applyFill="1" applyBorder="1" applyAlignment="1" applyProtection="1">
      <alignment horizontal="center"/>
      <protection locked="0"/>
    </xf>
    <xf numFmtId="165" fontId="24" fillId="4" borderId="16" xfId="1" applyNumberFormat="1" applyFont="1" applyFill="1" applyBorder="1" applyAlignment="1" applyProtection="1">
      <alignment horizontal="center"/>
      <protection locked="0"/>
    </xf>
    <xf numFmtId="165" fontId="24" fillId="4" borderId="17" xfId="1" applyNumberFormat="1" applyFont="1" applyFill="1" applyBorder="1" applyAlignment="1" applyProtection="1">
      <alignment horizontal="center"/>
      <protection locked="0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9" fillId="3" borderId="20" xfId="1" applyNumberFormat="1" applyFont="1" applyFill="1" applyBorder="1" applyAlignment="1" applyProtection="1">
      <alignment horizontal="center"/>
      <protection locked="0"/>
    </xf>
    <xf numFmtId="165" fontId="9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9" fillId="0" borderId="16" xfId="1" applyNumberFormat="1" applyFont="1" applyBorder="1" applyAlignment="1" applyProtection="1">
      <alignment horizontal="left"/>
      <protection locked="0"/>
    </xf>
    <xf numFmtId="165" fontId="9" fillId="0" borderId="18" xfId="1" applyNumberFormat="1" applyFont="1" applyBorder="1" applyAlignment="1" applyProtection="1">
      <alignment horizontal="left"/>
      <protection locked="0"/>
    </xf>
    <xf numFmtId="165" fontId="13" fillId="0" borderId="11" xfId="1" applyNumberFormat="1" applyFont="1" applyBorder="1" applyAlignment="1" applyProtection="1">
      <alignment horizontal="center"/>
      <protection locked="0"/>
    </xf>
    <xf numFmtId="165" fontId="13" fillId="0" borderId="12" xfId="1" applyNumberFormat="1" applyFont="1" applyBorder="1" applyAlignment="1" applyProtection="1">
      <alignment horizontal="center"/>
      <protection locked="0"/>
    </xf>
    <xf numFmtId="165" fontId="13" fillId="0" borderId="16" xfId="1" applyNumberFormat="1" applyFont="1" applyBorder="1" applyAlignment="1" applyProtection="1">
      <alignment horizontal="center"/>
      <protection locked="0"/>
    </xf>
    <xf numFmtId="165" fontId="13" fillId="0" borderId="17" xfId="1" applyNumberFormat="1" applyFont="1" applyBorder="1" applyAlignment="1" applyProtection="1">
      <alignment horizontal="center"/>
      <protection locked="0"/>
    </xf>
    <xf numFmtId="165" fontId="12" fillId="0" borderId="20" xfId="1" applyNumberFormat="1" applyFont="1" applyBorder="1" applyAlignment="1" applyProtection="1">
      <alignment horizontal="center"/>
      <protection hidden="1"/>
    </xf>
    <xf numFmtId="165" fontId="12" fillId="0" borderId="4" xfId="1" applyNumberFormat="1" applyFont="1" applyBorder="1" applyAlignment="1" applyProtection="1">
      <alignment horizontal="center"/>
      <protection hidden="1"/>
    </xf>
    <xf numFmtId="165" fontId="16" fillId="4" borderId="20" xfId="1" applyNumberFormat="1" applyFont="1" applyFill="1" applyBorder="1" applyAlignment="1" applyProtection="1">
      <alignment horizontal="center"/>
      <protection locked="0"/>
    </xf>
    <xf numFmtId="165" fontId="16" fillId="4" borderId="4" xfId="1" applyNumberFormat="1" applyFont="1" applyFill="1" applyBorder="1" applyAlignment="1" applyProtection="1">
      <alignment horizontal="center"/>
      <protection locked="0"/>
    </xf>
    <xf numFmtId="165" fontId="3" fillId="0" borderId="20" xfId="1" applyNumberFormat="1" applyFont="1" applyBorder="1" applyAlignment="1" applyProtection="1">
      <alignment horizontal="center"/>
      <protection hidden="1"/>
    </xf>
    <xf numFmtId="165" fontId="3" fillId="0" borderId="4" xfId="1" applyNumberFormat="1" applyFont="1" applyBorder="1" applyAlignment="1" applyProtection="1">
      <alignment horizontal="center"/>
      <protection hidden="1"/>
    </xf>
    <xf numFmtId="165" fontId="0" fillId="0" borderId="11" xfId="1" applyNumberFormat="1" applyFont="1" applyBorder="1" applyAlignment="1" applyProtection="1">
      <alignment horizontal="center"/>
      <protection locked="0"/>
    </xf>
    <xf numFmtId="165" fontId="0" fillId="0" borderId="12" xfId="1" applyNumberFormat="1" applyFont="1" applyBorder="1" applyAlignment="1" applyProtection="1">
      <alignment horizontal="center"/>
      <protection locked="0"/>
    </xf>
    <xf numFmtId="165" fontId="26" fillId="0" borderId="20" xfId="1" applyNumberFormat="1" applyFont="1" applyBorder="1" applyAlignment="1" applyProtection="1">
      <alignment horizontal="center" vertical="center"/>
      <protection hidden="1"/>
    </xf>
    <xf numFmtId="165" fontId="26" fillId="0" borderId="4" xfId="1" applyNumberFormat="1" applyFont="1" applyBorder="1" applyAlignment="1" applyProtection="1">
      <alignment horizontal="center" vertical="center"/>
      <protection hidden="1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5" fontId="3" fillId="4" borderId="12" xfId="1" applyNumberFormat="1" applyFont="1" applyFill="1" applyBorder="1" applyAlignment="1"/>
    <xf numFmtId="165" fontId="3" fillId="4" borderId="13" xfId="1" applyNumberFormat="1" applyFont="1" applyFill="1" applyBorder="1" applyAlignment="1"/>
    <xf numFmtId="165" fontId="0" fillId="0" borderId="11" xfId="1" applyNumberFormat="1" applyFont="1" applyBorder="1" applyAlignment="1">
      <alignment horizontal="center"/>
    </xf>
    <xf numFmtId="165" fontId="0" fillId="0" borderId="12" xfId="1" applyNumberFormat="1" applyFont="1" applyBorder="1" applyAlignment="1">
      <alignment horizontal="center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165" fontId="13" fillId="0" borderId="13" xfId="1" applyNumberFormat="1" applyFont="1" applyBorder="1" applyAlignment="1" applyProtection="1">
      <alignment horizontal="center"/>
      <protection locked="0"/>
    </xf>
    <xf numFmtId="165" fontId="13" fillId="0" borderId="18" xfId="1" applyNumberFormat="1" applyFont="1" applyBorder="1" applyAlignment="1" applyProtection="1">
      <alignment horizontal="center"/>
      <protection locked="0"/>
    </xf>
    <xf numFmtId="165" fontId="18" fillId="4" borderId="20" xfId="1" applyNumberFormat="1" applyFont="1" applyFill="1" applyBorder="1" applyAlignment="1" applyProtection="1">
      <alignment horizontal="center"/>
      <protection locked="0"/>
    </xf>
    <xf numFmtId="165" fontId="18" fillId="4" borderId="4" xfId="1" applyNumberFormat="1" applyFont="1" applyFill="1" applyBorder="1" applyAlignment="1" applyProtection="1">
      <alignment horizontal="center"/>
      <protection locked="0"/>
    </xf>
    <xf numFmtId="165" fontId="18" fillId="4" borderId="5" xfId="1" applyNumberFormat="1" applyFont="1" applyFill="1" applyBorder="1" applyAlignment="1" applyProtection="1">
      <alignment horizontal="center"/>
      <protection locked="0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5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08984375" style="83" customWidth="1"/>
    <col min="5" max="5" width="21.7265625" style="83" customWidth="1"/>
    <col min="6" max="6" width="20.6328125" style="85" customWidth="1"/>
    <col min="7" max="7" width="20.08984375" style="85" customWidth="1"/>
    <col min="8" max="8" width="17" style="83" customWidth="1"/>
    <col min="9" max="9" width="16.81640625" style="83" customWidth="1"/>
    <col min="10" max="10" width="14.6328125" style="83" customWidth="1"/>
    <col min="11" max="11" width="8.90625" style="83"/>
    <col min="12" max="12" width="19.90625" style="83" customWidth="1"/>
    <col min="13" max="16384" width="8.90625" style="83"/>
  </cols>
  <sheetData>
    <row r="1" spans="1:15" ht="51.5">
      <c r="A1" s="114" t="s">
        <v>37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82"/>
      <c r="M1" s="82"/>
      <c r="N1" s="82"/>
    </row>
    <row r="2" spans="1:15" ht="31" customHeight="1">
      <c r="A2" s="116" t="s">
        <v>36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82"/>
      <c r="M2" s="82"/>
      <c r="N2" s="82"/>
    </row>
    <row r="3" spans="1:15" ht="15" customHeight="1" thickBot="1">
      <c r="A3" s="116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GISOZI!F37</f>
        <v>0</v>
      </c>
      <c r="C5" s="46">
        <f>GISOZI!G37</f>
        <v>0</v>
      </c>
      <c r="D5" s="46">
        <f>GISOZI!C43</f>
        <v>0</v>
      </c>
      <c r="E5" s="46">
        <f>GISOZI!C44</f>
        <v>0</v>
      </c>
      <c r="F5" s="50">
        <f>SUM(B5:C5)</f>
        <v>0</v>
      </c>
      <c r="G5" s="46">
        <f>GISOZI!C41</f>
        <v>0</v>
      </c>
      <c r="H5" s="46">
        <f>GISOZI!C39</f>
        <v>0</v>
      </c>
      <c r="I5" s="46">
        <f>GISOZI!C42</f>
        <v>0</v>
      </c>
      <c r="J5" s="46">
        <f>GISOZI!C40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0</v>
      </c>
      <c r="C8" s="48">
        <f>BISHENYI!G37</f>
        <v>0</v>
      </c>
      <c r="D8" s="48">
        <f>BISHENYI!C43</f>
        <v>0</v>
      </c>
      <c r="E8" s="48">
        <f>BISHENYI!C44</f>
        <v>0</v>
      </c>
      <c r="F8" s="50">
        <f t="shared" si="0"/>
        <v>0</v>
      </c>
      <c r="G8" s="47">
        <f>BISHENYI!C41</f>
        <v>0</v>
      </c>
      <c r="H8" s="48">
        <f>BISHENYI!C39</f>
        <v>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4180662</v>
      </c>
      <c r="C9" s="48">
        <f>RWAMAGANA!G37</f>
        <v>462650</v>
      </c>
      <c r="D9" s="48">
        <f>RWAMAGANA!C43</f>
        <v>0</v>
      </c>
      <c r="E9" s="48">
        <f>RWAMAGANA!C44</f>
        <v>0</v>
      </c>
      <c r="F9" s="50">
        <f t="shared" si="0"/>
        <v>4643312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0</v>
      </c>
      <c r="C21" s="48">
        <f>KIREHE!G37</f>
        <v>0</v>
      </c>
      <c r="D21" s="48">
        <f>KIREHE!C43</f>
        <v>0</v>
      </c>
      <c r="E21" s="48">
        <f>KIREHE!C44</f>
        <v>0</v>
      </c>
      <c r="F21" s="50">
        <f t="shared" si="0"/>
        <v>0</v>
      </c>
      <c r="G21" s="47">
        <f>KIREHE!C41</f>
        <v>0</v>
      </c>
      <c r="H21" s="48">
        <f>KIREHE!C39</f>
        <v>0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4180662</v>
      </c>
      <c r="C29" s="70">
        <f t="shared" si="1"/>
        <v>462650</v>
      </c>
      <c r="D29" s="71">
        <f t="shared" si="1"/>
        <v>0</v>
      </c>
      <c r="E29" s="70">
        <f t="shared" si="1"/>
        <v>0</v>
      </c>
      <c r="F29" s="70">
        <f>SUM(F5:F28)</f>
        <v>4643312</v>
      </c>
      <c r="G29" s="71">
        <f>SUM(G5:G28)</f>
        <v>0</v>
      </c>
      <c r="H29" s="71">
        <f>SUM(H5:H28)</f>
        <v>0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53"/>
      <c r="B30" s="153"/>
      <c r="C30" s="153"/>
      <c r="D30" s="154"/>
      <c r="E30" s="144" t="s">
        <v>11</v>
      </c>
      <c r="F30" s="145"/>
      <c r="G30" s="145"/>
      <c r="H30" s="145"/>
      <c r="I30" s="146"/>
      <c r="J30" s="118"/>
      <c r="K30" s="119"/>
      <c r="L30" s="82"/>
    </row>
    <row r="31" spans="1:15" ht="19" thickBot="1">
      <c r="A31" s="141" t="s">
        <v>9</v>
      </c>
      <c r="B31" s="142"/>
      <c r="C31" s="142"/>
      <c r="D31" s="142"/>
      <c r="E31" s="147"/>
      <c r="F31" s="148"/>
      <c r="G31" s="148"/>
      <c r="H31" s="148"/>
      <c r="I31" s="149"/>
      <c r="J31" s="120"/>
      <c r="K31" s="121"/>
      <c r="L31" s="82"/>
    </row>
    <row r="32" spans="1:15" ht="15" thickBot="1">
      <c r="A32" s="137" t="s">
        <v>12</v>
      </c>
      <c r="B32" s="138"/>
      <c r="C32" s="155">
        <f>SUM(B29+C29)</f>
        <v>4643312</v>
      </c>
      <c r="D32" s="156"/>
      <c r="E32" s="147"/>
      <c r="F32" s="148"/>
      <c r="G32" s="148"/>
      <c r="H32" s="148"/>
      <c r="I32" s="149"/>
      <c r="J32" s="120"/>
      <c r="K32" s="121"/>
      <c r="L32" s="82"/>
    </row>
    <row r="33" spans="1:12" ht="15" thickBot="1">
      <c r="A33" s="137" t="s">
        <v>13</v>
      </c>
      <c r="B33" s="138"/>
      <c r="C33" s="133">
        <f>SUM(F29,G29)</f>
        <v>4643312</v>
      </c>
      <c r="D33" s="143"/>
      <c r="E33" s="147"/>
      <c r="F33" s="148"/>
      <c r="G33" s="148"/>
      <c r="H33" s="148"/>
      <c r="I33" s="149"/>
      <c r="J33" s="120"/>
      <c r="K33" s="121"/>
      <c r="L33" s="82"/>
    </row>
    <row r="34" spans="1:12" ht="15" thickBot="1">
      <c r="A34" s="135" t="s">
        <v>81</v>
      </c>
      <c r="B34" s="136"/>
      <c r="C34" s="133">
        <f>SUM(H29,J29,I29+G29)</f>
        <v>0</v>
      </c>
      <c r="D34" s="134"/>
      <c r="E34" s="147"/>
      <c r="F34" s="148"/>
      <c r="G34" s="148"/>
      <c r="H34" s="148"/>
      <c r="I34" s="149"/>
      <c r="J34" s="120"/>
      <c r="K34" s="121"/>
      <c r="L34" s="82"/>
    </row>
    <row r="35" spans="1:12" ht="15" thickBot="1">
      <c r="A35" s="137" t="s">
        <v>10</v>
      </c>
      <c r="B35" s="138"/>
      <c r="C35" s="133">
        <f>SUM(D29:E29)</f>
        <v>0</v>
      </c>
      <c r="D35" s="134"/>
      <c r="E35" s="150"/>
      <c r="F35" s="151"/>
      <c r="G35" s="151"/>
      <c r="H35" s="151"/>
      <c r="I35" s="152"/>
      <c r="J35" s="120"/>
      <c r="K35" s="121"/>
      <c r="L35" s="82"/>
    </row>
    <row r="36" spans="1:12" ht="15" thickBot="1">
      <c r="A36" s="137" t="s">
        <v>83</v>
      </c>
      <c r="B36" s="138"/>
      <c r="C36" s="133">
        <f>SUM(H29+I29+J29+C35)</f>
        <v>0</v>
      </c>
      <c r="D36" s="134"/>
      <c r="E36" s="124" t="s">
        <v>35</v>
      </c>
      <c r="F36" s="125"/>
      <c r="G36" s="125"/>
      <c r="H36" s="125"/>
      <c r="I36" s="126"/>
      <c r="J36" s="120"/>
      <c r="K36" s="121"/>
      <c r="L36" s="82"/>
    </row>
    <row r="37" spans="1:12" ht="15" thickBot="1">
      <c r="A37" s="139" t="s">
        <v>14</v>
      </c>
      <c r="B37" s="140"/>
      <c r="C37" s="133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0</v>
      </c>
      <c r="D37" s="134"/>
      <c r="E37" s="127"/>
      <c r="F37" s="128"/>
      <c r="G37" s="128"/>
      <c r="H37" s="128"/>
      <c r="I37" s="129"/>
      <c r="J37" s="120"/>
      <c r="K37" s="121"/>
      <c r="L37" s="82"/>
    </row>
    <row r="38" spans="1:12" ht="26.5" thickBot="1">
      <c r="A38" s="130" t="s">
        <v>15</v>
      </c>
      <c r="B38" s="131"/>
      <c r="C38" s="131"/>
      <c r="D38" s="131"/>
      <c r="E38" s="131"/>
      <c r="F38" s="131"/>
      <c r="G38" s="131"/>
      <c r="H38" s="131"/>
      <c r="I38" s="132"/>
      <c r="J38" s="122"/>
      <c r="K38" s="123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4"/>
  <sheetViews>
    <sheetView zoomScale="90" zoomScaleNormal="90" workbookViewId="0">
      <selection activeCell="C11" sqref="C11:D11"/>
    </sheetView>
  </sheetViews>
  <sheetFormatPr defaultRowHeight="14.5"/>
  <cols>
    <col min="1" max="1" width="18.90625" style="43" customWidth="1"/>
    <col min="2" max="2" width="21.90625" style="43" customWidth="1"/>
    <col min="3" max="3" width="25" style="43" customWidth="1"/>
    <col min="4" max="4" width="15.36328125" style="43" customWidth="1"/>
    <col min="5" max="5" width="25.36328125" style="43" customWidth="1"/>
    <col min="6" max="6" width="25.453125" style="43" customWidth="1"/>
    <col min="7" max="7" width="16.54296875" style="43" customWidth="1"/>
    <col min="8" max="8" width="34.1796875" style="43" customWidth="1"/>
    <col min="9" max="16384" width="8.7265625" style="43"/>
  </cols>
  <sheetData>
    <row r="1" spans="1:9" ht="14.5" customHeight="1">
      <c r="A1" s="198" t="s">
        <v>55</v>
      </c>
      <c r="B1" s="199"/>
      <c r="C1" s="199"/>
      <c r="D1" s="199"/>
      <c r="E1" s="199"/>
      <c r="F1" s="199"/>
      <c r="G1" s="199"/>
      <c r="H1" s="199"/>
      <c r="I1" s="157"/>
    </row>
    <row r="2" spans="1:9" ht="26.5" customHeight="1" thickBot="1">
      <c r="A2" s="200"/>
      <c r="B2" s="201"/>
      <c r="C2" s="201"/>
      <c r="D2" s="201"/>
      <c r="E2" s="201"/>
      <c r="F2" s="201"/>
      <c r="G2" s="201"/>
      <c r="H2" s="201"/>
      <c r="I2" s="158"/>
    </row>
    <row r="3" spans="1:9" ht="14.5" customHeight="1">
      <c r="A3" s="202" t="s">
        <v>80</v>
      </c>
      <c r="B3" s="203"/>
      <c r="C3" s="203"/>
      <c r="D3" s="203"/>
      <c r="E3" s="203"/>
      <c r="F3" s="203"/>
      <c r="G3" s="203"/>
      <c r="H3" s="204"/>
      <c r="I3" s="158"/>
    </row>
    <row r="4" spans="1:9" ht="28.5" customHeight="1" thickBot="1">
      <c r="A4" s="200"/>
      <c r="B4" s="201"/>
      <c r="C4" s="201"/>
      <c r="D4" s="201"/>
      <c r="E4" s="201"/>
      <c r="F4" s="201"/>
      <c r="G4" s="201"/>
      <c r="H4" s="201"/>
      <c r="I4" s="158"/>
    </row>
    <row r="5" spans="1:9" ht="15" thickBot="1">
      <c r="A5" s="98" t="s">
        <v>38</v>
      </c>
      <c r="B5" s="30" t="s">
        <v>39</v>
      </c>
      <c r="C5" s="205" t="s">
        <v>40</v>
      </c>
      <c r="D5" s="206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07"/>
      <c r="D6" s="20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07"/>
      <c r="D7" s="20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88"/>
      <c r="D8" s="18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88"/>
      <c r="D9" s="18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88"/>
      <c r="D10" s="18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88"/>
      <c r="D11" s="18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88"/>
      <c r="D12" s="18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88"/>
      <c r="D13" s="18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88"/>
      <c r="D14" s="18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0" t="s">
        <v>49</v>
      </c>
      <c r="B15" s="191"/>
      <c r="C15" s="191"/>
      <c r="D15" s="191"/>
      <c r="E15" s="191"/>
      <c r="F15" s="191"/>
      <c r="G15" s="191"/>
      <c r="H15" s="191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s="89" customFormat="1" ht="14.5" customHeight="1" thickBot="1">
      <c r="A38" s="195" t="s">
        <v>78</v>
      </c>
      <c r="B38" s="196"/>
      <c r="C38" s="63" t="s">
        <v>72</v>
      </c>
      <c r="D38" s="54"/>
      <c r="E38" s="193" t="s">
        <v>70</v>
      </c>
      <c r="F38" s="194"/>
      <c r="G38" s="62" t="s">
        <v>71</v>
      </c>
      <c r="H38" s="107" t="s">
        <v>72</v>
      </c>
      <c r="I38" s="158"/>
    </row>
    <row r="39" spans="1:9" ht="15" customHeight="1" thickBot="1">
      <c r="A39" s="209" t="s">
        <v>68</v>
      </c>
      <c r="B39" s="210"/>
      <c r="C39" s="55"/>
      <c r="D39" s="58"/>
      <c r="E39" s="192"/>
      <c r="F39" s="192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197"/>
      <c r="F40" s="197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87"/>
      <c r="F41" s="187"/>
      <c r="G41" s="60"/>
      <c r="H41" s="109"/>
      <c r="I41" s="158"/>
    </row>
    <row r="42" spans="1:9" ht="15" thickBot="1">
      <c r="A42" s="176" t="s">
        <v>74</v>
      </c>
      <c r="B42" s="177"/>
      <c r="C42" s="53"/>
      <c r="D42" s="56"/>
      <c r="E42" s="186"/>
      <c r="F42" s="187"/>
      <c r="G42" s="11"/>
      <c r="H42" s="109"/>
      <c r="I42" s="158"/>
    </row>
    <row r="43" spans="1:9" ht="15" thickBot="1">
      <c r="A43" s="178" t="s">
        <v>75</v>
      </c>
      <c r="B43" s="179"/>
      <c r="C43" s="90"/>
      <c r="D43" s="56"/>
      <c r="E43" s="186"/>
      <c r="F43" s="187"/>
      <c r="G43" s="11"/>
      <c r="H43" s="109"/>
      <c r="I43" s="158"/>
    </row>
    <row r="44" spans="1:9" ht="15" thickBot="1">
      <c r="A44" s="178" t="s">
        <v>76</v>
      </c>
      <c r="B44" s="179"/>
      <c r="C44" s="90"/>
      <c r="D44" s="57"/>
      <c r="E44" s="186"/>
      <c r="F44" s="187"/>
      <c r="G44" s="11"/>
      <c r="H44" s="109"/>
      <c r="I44" s="158"/>
    </row>
    <row r="45" spans="1:9" ht="15" thickBot="1">
      <c r="A45" s="178" t="s">
        <v>77</v>
      </c>
      <c r="B45" s="179"/>
      <c r="C45" s="91">
        <f>SUM(C39+C40+C41+C42+C43+C44)</f>
        <v>0</v>
      </c>
      <c r="D45" s="92"/>
      <c r="E45" s="184"/>
      <c r="F45" s="185"/>
      <c r="G45" s="93"/>
      <c r="H45" s="110"/>
      <c r="I45" s="158"/>
    </row>
    <row r="46" spans="1:9" ht="19.5" customHeight="1">
      <c r="A46" s="211" t="s">
        <v>57</v>
      </c>
      <c r="B46" s="212"/>
      <c r="C46" s="212"/>
      <c r="D46" s="212"/>
      <c r="E46" s="212"/>
      <c r="F46" s="212"/>
      <c r="G46" s="212"/>
      <c r="H46" s="212"/>
      <c r="I46" s="158"/>
    </row>
    <row r="47" spans="1:9" ht="20.5" customHeight="1" thickBot="1">
      <c r="A47" s="213"/>
      <c r="B47" s="214"/>
      <c r="C47" s="214"/>
      <c r="D47" s="214"/>
      <c r="E47" s="214"/>
      <c r="F47" s="214"/>
      <c r="G47" s="214"/>
      <c r="H47" s="214"/>
      <c r="I47" s="158"/>
    </row>
    <row r="48" spans="1:9" ht="23" customHeight="1" thickBot="1">
      <c r="A48" s="166" t="s">
        <v>9</v>
      </c>
      <c r="B48" s="167"/>
      <c r="C48" s="180" t="s">
        <v>58</v>
      </c>
      <c r="D48" s="181"/>
      <c r="E48" s="217" t="s">
        <v>59</v>
      </c>
      <c r="F48" s="218"/>
      <c r="G48" s="218"/>
      <c r="H48" s="218"/>
      <c r="I48" s="158"/>
    </row>
    <row r="49" spans="1:9" ht="22" customHeight="1" thickBot="1">
      <c r="A49" s="168"/>
      <c r="B49" s="169"/>
      <c r="C49" s="182" t="s">
        <v>61</v>
      </c>
      <c r="D49" s="183"/>
      <c r="E49" s="215">
        <f>SUM(B9:B12)</f>
        <v>0</v>
      </c>
      <c r="F49" s="216"/>
      <c r="G49" s="216"/>
      <c r="H49" s="216"/>
      <c r="I49" s="158"/>
    </row>
    <row r="50" spans="1:9" ht="22.5" customHeight="1" thickBot="1">
      <c r="A50" s="170"/>
      <c r="B50" s="171"/>
      <c r="C50" s="182" t="s">
        <v>46</v>
      </c>
      <c r="D50" s="183"/>
      <c r="E50" s="215">
        <f>SUM(B6:B8)</f>
        <v>0</v>
      </c>
      <c r="F50" s="216"/>
      <c r="G50" s="216"/>
      <c r="H50" s="216"/>
      <c r="I50" s="158"/>
    </row>
    <row r="51" spans="1:9" ht="24.5" customHeight="1" thickBot="1">
      <c r="A51" s="170"/>
      <c r="B51" s="171"/>
      <c r="C51" s="182" t="s">
        <v>62</v>
      </c>
      <c r="D51" s="183"/>
      <c r="E51" s="215">
        <f>SUM(B13:B14)</f>
        <v>0</v>
      </c>
      <c r="F51" s="216"/>
      <c r="G51" s="216"/>
      <c r="H51" s="216"/>
      <c r="I51" s="158"/>
    </row>
    <row r="52" spans="1:9" ht="22" customHeight="1" thickBot="1">
      <c r="A52" s="170"/>
      <c r="B52" s="171"/>
      <c r="C52" s="160" t="s">
        <v>63</v>
      </c>
      <c r="D52" s="161"/>
      <c r="E52" s="219">
        <f>SUM(B17:B18)</f>
        <v>0</v>
      </c>
      <c r="F52" s="220"/>
      <c r="G52" s="220"/>
      <c r="H52" s="220"/>
      <c r="I52" s="158"/>
    </row>
    <row r="53" spans="1:9" ht="22" customHeight="1" thickBot="1">
      <c r="A53" s="170"/>
      <c r="B53" s="171"/>
      <c r="C53" s="160" t="s">
        <v>64</v>
      </c>
      <c r="D53" s="161"/>
      <c r="E53" s="219">
        <f>SUM(B19:B20)</f>
        <v>0</v>
      </c>
      <c r="F53" s="220"/>
      <c r="G53" s="220"/>
      <c r="H53" s="220"/>
      <c r="I53" s="158"/>
    </row>
    <row r="54" spans="1:9" ht="22" customHeight="1" thickBot="1">
      <c r="A54" s="170"/>
      <c r="B54" s="171"/>
      <c r="C54" s="160" t="s">
        <v>56</v>
      </c>
      <c r="D54" s="161"/>
      <c r="E54" s="219">
        <f>B29</f>
        <v>0</v>
      </c>
      <c r="F54" s="220"/>
      <c r="G54" s="220"/>
      <c r="H54" s="220"/>
      <c r="I54" s="158"/>
    </row>
    <row r="55" spans="1:9" ht="22" customHeight="1" thickBot="1">
      <c r="A55" s="170"/>
      <c r="B55" s="171"/>
      <c r="C55" s="160" t="s">
        <v>56</v>
      </c>
      <c r="D55" s="161"/>
      <c r="E55" s="219">
        <f t="shared" ref="E55:E61" si="11">B30</f>
        <v>0</v>
      </c>
      <c r="F55" s="220"/>
      <c r="G55" s="220"/>
      <c r="H55" s="220"/>
      <c r="I55" s="158"/>
    </row>
    <row r="56" spans="1:9" ht="19" thickBot="1">
      <c r="A56" s="170"/>
      <c r="B56" s="171"/>
      <c r="C56" s="160" t="s">
        <v>56</v>
      </c>
      <c r="D56" s="161"/>
      <c r="E56" s="219">
        <f t="shared" si="11"/>
        <v>0</v>
      </c>
      <c r="F56" s="220"/>
      <c r="G56" s="220"/>
      <c r="H56" s="220"/>
      <c r="I56" s="158"/>
    </row>
    <row r="57" spans="1:9" ht="19" thickBot="1">
      <c r="A57" s="170"/>
      <c r="B57" s="171"/>
      <c r="C57" s="160" t="s">
        <v>56</v>
      </c>
      <c r="D57" s="161"/>
      <c r="E57" s="219">
        <f t="shared" si="11"/>
        <v>0</v>
      </c>
      <c r="F57" s="220"/>
      <c r="G57" s="220"/>
      <c r="H57" s="220"/>
      <c r="I57" s="158"/>
    </row>
    <row r="58" spans="1:9" ht="19" thickBot="1">
      <c r="A58" s="170"/>
      <c r="B58" s="171"/>
      <c r="C58" s="160" t="s">
        <v>56</v>
      </c>
      <c r="D58" s="161"/>
      <c r="E58" s="219">
        <f t="shared" si="11"/>
        <v>0</v>
      </c>
      <c r="F58" s="220"/>
      <c r="G58" s="220"/>
      <c r="H58" s="220"/>
      <c r="I58" s="158"/>
    </row>
    <row r="59" spans="1:9" ht="19" thickBot="1">
      <c r="A59" s="170"/>
      <c r="B59" s="171"/>
      <c r="C59" s="160" t="s">
        <v>56</v>
      </c>
      <c r="D59" s="161"/>
      <c r="E59" s="219">
        <f t="shared" si="11"/>
        <v>0</v>
      </c>
      <c r="F59" s="220"/>
      <c r="G59" s="220"/>
      <c r="H59" s="220"/>
      <c r="I59" s="158"/>
    </row>
    <row r="60" spans="1:9" ht="19" thickBot="1">
      <c r="A60" s="170"/>
      <c r="B60" s="171"/>
      <c r="C60" s="160" t="s">
        <v>56</v>
      </c>
      <c r="D60" s="161"/>
      <c r="E60" s="219">
        <f t="shared" si="11"/>
        <v>0</v>
      </c>
      <c r="F60" s="220"/>
      <c r="G60" s="220"/>
      <c r="H60" s="220"/>
      <c r="I60" s="158"/>
    </row>
    <row r="61" spans="1:9" ht="19" thickBot="1">
      <c r="A61" s="170"/>
      <c r="B61" s="171"/>
      <c r="C61" s="160" t="s">
        <v>56</v>
      </c>
      <c r="D61" s="161"/>
      <c r="E61" s="219">
        <f t="shared" si="11"/>
        <v>0</v>
      </c>
      <c r="F61" s="220"/>
      <c r="G61" s="220"/>
      <c r="H61" s="220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3:H53"/>
    <mergeCell ref="E63:H63"/>
    <mergeCell ref="E60:H60"/>
    <mergeCell ref="E61:H61"/>
    <mergeCell ref="E62:H62"/>
    <mergeCell ref="E58:H58"/>
    <mergeCell ref="E59:H59"/>
    <mergeCell ref="E54:H54"/>
    <mergeCell ref="E55:H55"/>
    <mergeCell ref="E56:H56"/>
    <mergeCell ref="E57:H57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E42:F42"/>
    <mergeCell ref="E43:F43"/>
    <mergeCell ref="E44:F44"/>
    <mergeCell ref="C14:D14"/>
    <mergeCell ref="A15:H15"/>
    <mergeCell ref="E39:F39"/>
    <mergeCell ref="E38:F38"/>
    <mergeCell ref="A38:B38"/>
    <mergeCell ref="A40:B40"/>
    <mergeCell ref="E40:F40"/>
    <mergeCell ref="A39:B39"/>
    <mergeCell ref="E41:F41"/>
    <mergeCell ref="C49:D49"/>
    <mergeCell ref="C50:D50"/>
    <mergeCell ref="C51:D51"/>
    <mergeCell ref="C52:D52"/>
    <mergeCell ref="E45:F45"/>
    <mergeCell ref="A46:H47"/>
    <mergeCell ref="E51:H51"/>
    <mergeCell ref="E48:H48"/>
    <mergeCell ref="E49:H49"/>
    <mergeCell ref="E50:H50"/>
    <mergeCell ref="E52:H52"/>
    <mergeCell ref="A42:B42"/>
    <mergeCell ref="A43:B43"/>
    <mergeCell ref="A44:B44"/>
    <mergeCell ref="A45:B45"/>
    <mergeCell ref="C48:D48"/>
    <mergeCell ref="I1:I64"/>
    <mergeCell ref="C56:D56"/>
    <mergeCell ref="C57:D57"/>
    <mergeCell ref="C58:D58"/>
    <mergeCell ref="C59:D59"/>
    <mergeCell ref="C60:D60"/>
    <mergeCell ref="C61:D61"/>
    <mergeCell ref="C62:D62"/>
    <mergeCell ref="C63:D63"/>
    <mergeCell ref="A64:H64"/>
    <mergeCell ref="A48:B48"/>
    <mergeCell ref="A49:B63"/>
    <mergeCell ref="C53:D53"/>
    <mergeCell ref="C54:D54"/>
    <mergeCell ref="C55:D55"/>
    <mergeCell ref="A41:B4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9" sqref="C9:D9"/>
    </sheetView>
  </sheetViews>
  <sheetFormatPr defaultRowHeight="14.5"/>
  <cols>
    <col min="1" max="1" width="27.26953125" style="43" customWidth="1"/>
    <col min="2" max="2" width="19.36328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6328125" style="43" customWidth="1"/>
    <col min="8" max="8" width="21.81640625" style="43" customWidth="1"/>
    <col min="9" max="16384" width="8.7265625" style="43"/>
  </cols>
  <sheetData>
    <row r="1" spans="1:9" ht="14.5" customHeight="1">
      <c r="A1" s="198" t="s">
        <v>55</v>
      </c>
      <c r="B1" s="199"/>
      <c r="C1" s="199"/>
      <c r="D1" s="199"/>
      <c r="E1" s="199"/>
      <c r="F1" s="199"/>
      <c r="G1" s="199"/>
      <c r="H1" s="199"/>
      <c r="I1" s="225"/>
    </row>
    <row r="2" spans="1:9" ht="24" customHeight="1" thickBot="1">
      <c r="A2" s="200"/>
      <c r="B2" s="201"/>
      <c r="C2" s="201"/>
      <c r="D2" s="201"/>
      <c r="E2" s="201"/>
      <c r="F2" s="201"/>
      <c r="G2" s="201"/>
      <c r="H2" s="201"/>
      <c r="I2" s="226"/>
    </row>
    <row r="3" spans="1:9" ht="14.5" customHeight="1">
      <c r="A3" s="202" t="s">
        <v>80</v>
      </c>
      <c r="B3" s="203"/>
      <c r="C3" s="203"/>
      <c r="D3" s="203"/>
      <c r="E3" s="203"/>
      <c r="F3" s="203"/>
      <c r="G3" s="203"/>
      <c r="H3" s="204"/>
      <c r="I3" s="226"/>
    </row>
    <row r="4" spans="1:9" ht="23" customHeight="1" thickBot="1">
      <c r="A4" s="200"/>
      <c r="B4" s="201"/>
      <c r="C4" s="201"/>
      <c r="D4" s="201"/>
      <c r="E4" s="201"/>
      <c r="F4" s="201"/>
      <c r="G4" s="201"/>
      <c r="H4" s="201"/>
      <c r="I4" s="226"/>
    </row>
    <row r="5" spans="1:9" ht="15" thickBot="1">
      <c r="A5" s="98" t="s">
        <v>38</v>
      </c>
      <c r="B5" s="30" t="s">
        <v>39</v>
      </c>
      <c r="C5" s="205" t="s">
        <v>40</v>
      </c>
      <c r="D5" s="206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07"/>
      <c r="D6" s="20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07"/>
      <c r="D7" s="20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88"/>
      <c r="D8" s="18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88"/>
      <c r="D9" s="18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88">
        <v>2124</v>
      </c>
      <c r="D10" s="18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88"/>
      <c r="D11" s="18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88"/>
      <c r="D12" s="18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88"/>
      <c r="D13" s="18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88"/>
      <c r="D14" s="18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0" t="s">
        <v>49</v>
      </c>
      <c r="B15" s="191"/>
      <c r="C15" s="191"/>
      <c r="D15" s="191"/>
      <c r="E15" s="191"/>
      <c r="F15" s="191"/>
      <c r="G15" s="191"/>
      <c r="H15" s="191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95" t="s">
        <v>78</v>
      </c>
      <c r="B38" s="196"/>
      <c r="C38" s="63" t="s">
        <v>72</v>
      </c>
      <c r="D38" s="54"/>
      <c r="E38" s="193" t="s">
        <v>70</v>
      </c>
      <c r="F38" s="194"/>
      <c r="G38" s="62" t="s">
        <v>71</v>
      </c>
      <c r="H38" s="107" t="s">
        <v>72</v>
      </c>
      <c r="I38" s="226"/>
    </row>
    <row r="39" spans="1:9" ht="15" customHeight="1" thickBot="1">
      <c r="A39" s="209" t="s">
        <v>68</v>
      </c>
      <c r="B39" s="210"/>
      <c r="C39" s="55"/>
      <c r="D39" s="58"/>
      <c r="E39" s="192"/>
      <c r="F39" s="192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197"/>
      <c r="F40" s="197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87"/>
      <c r="F41" s="187"/>
      <c r="G41" s="60"/>
      <c r="H41" s="109"/>
      <c r="I41" s="226"/>
    </row>
    <row r="42" spans="1:9" ht="15" thickBot="1">
      <c r="A42" s="176" t="s">
        <v>74</v>
      </c>
      <c r="B42" s="177"/>
      <c r="C42" s="53"/>
      <c r="D42" s="56"/>
      <c r="E42" s="186"/>
      <c r="F42" s="187"/>
      <c r="G42" s="11"/>
      <c r="H42" s="109"/>
      <c r="I42" s="226"/>
    </row>
    <row r="43" spans="1:9" ht="15" thickBot="1">
      <c r="A43" s="178" t="s">
        <v>75</v>
      </c>
      <c r="B43" s="179"/>
      <c r="C43" s="90"/>
      <c r="D43" s="56"/>
      <c r="E43" s="186"/>
      <c r="F43" s="187"/>
      <c r="G43" s="11"/>
      <c r="H43" s="109"/>
      <c r="I43" s="226"/>
    </row>
    <row r="44" spans="1:9" ht="15" thickBot="1">
      <c r="A44" s="178" t="s">
        <v>76</v>
      </c>
      <c r="B44" s="179"/>
      <c r="C44" s="90"/>
      <c r="D44" s="57"/>
      <c r="E44" s="186"/>
      <c r="F44" s="187"/>
      <c r="G44" s="11"/>
      <c r="H44" s="109"/>
      <c r="I44" s="226"/>
    </row>
    <row r="45" spans="1:9" ht="15" thickBot="1">
      <c r="A45" s="178" t="s">
        <v>77</v>
      </c>
      <c r="B45" s="179"/>
      <c r="C45" s="91">
        <f>SUM(C39+C40+C41+C42+C43+C44)</f>
        <v>0</v>
      </c>
      <c r="D45" s="92"/>
      <c r="E45" s="184"/>
      <c r="F45" s="185"/>
      <c r="G45" s="93"/>
      <c r="H45" s="110"/>
      <c r="I45" s="226"/>
    </row>
    <row r="46" spans="1:9" ht="14.5" customHeight="1">
      <c r="A46" s="211" t="s">
        <v>57</v>
      </c>
      <c r="B46" s="212"/>
      <c r="C46" s="212"/>
      <c r="D46" s="212"/>
      <c r="E46" s="212"/>
      <c r="F46" s="212"/>
      <c r="G46" s="212"/>
      <c r="H46" s="212"/>
      <c r="I46" s="226"/>
    </row>
    <row r="47" spans="1:9" ht="15" customHeight="1" thickBot="1">
      <c r="A47" s="213"/>
      <c r="B47" s="214"/>
      <c r="C47" s="214"/>
      <c r="D47" s="214"/>
      <c r="E47" s="214"/>
      <c r="F47" s="214"/>
      <c r="G47" s="214"/>
      <c r="H47" s="214"/>
      <c r="I47" s="226"/>
    </row>
    <row r="48" spans="1:9" ht="24" thickBot="1">
      <c r="A48" s="166" t="s">
        <v>9</v>
      </c>
      <c r="B48" s="167"/>
      <c r="C48" s="180" t="s">
        <v>58</v>
      </c>
      <c r="D48" s="181"/>
      <c r="E48" s="217" t="s">
        <v>59</v>
      </c>
      <c r="F48" s="218"/>
      <c r="G48" s="218"/>
      <c r="H48" s="218"/>
      <c r="I48" s="226"/>
    </row>
    <row r="49" spans="1:9" ht="19" thickBot="1">
      <c r="A49" s="168"/>
      <c r="B49" s="169"/>
      <c r="C49" s="182" t="s">
        <v>61</v>
      </c>
      <c r="D49" s="183"/>
      <c r="E49" s="215">
        <f>SUM(B9:B12)</f>
        <v>0</v>
      </c>
      <c r="F49" s="216"/>
      <c r="G49" s="216"/>
      <c r="H49" s="216"/>
      <c r="I49" s="226"/>
    </row>
    <row r="50" spans="1:9" ht="19" thickBot="1">
      <c r="A50" s="170"/>
      <c r="B50" s="171"/>
      <c r="C50" s="182" t="s">
        <v>46</v>
      </c>
      <c r="D50" s="183"/>
      <c r="E50" s="215">
        <f>SUM(B6:B8)</f>
        <v>0</v>
      </c>
      <c r="F50" s="216"/>
      <c r="G50" s="216"/>
      <c r="H50" s="216"/>
      <c r="I50" s="226"/>
    </row>
    <row r="51" spans="1:9" ht="19" thickBot="1">
      <c r="A51" s="170"/>
      <c r="B51" s="171"/>
      <c r="C51" s="182" t="s">
        <v>62</v>
      </c>
      <c r="D51" s="183"/>
      <c r="E51" s="215">
        <f>SUM(B13:B14)</f>
        <v>0</v>
      </c>
      <c r="F51" s="216"/>
      <c r="G51" s="216"/>
      <c r="H51" s="216"/>
      <c r="I51" s="226"/>
    </row>
    <row r="52" spans="1:9" ht="19" thickBot="1">
      <c r="A52" s="170"/>
      <c r="B52" s="171"/>
      <c r="C52" s="160" t="s">
        <v>63</v>
      </c>
      <c r="D52" s="161"/>
      <c r="E52" s="219">
        <f>SUM(B17:B18)</f>
        <v>0</v>
      </c>
      <c r="F52" s="220"/>
      <c r="G52" s="220"/>
      <c r="H52" s="220"/>
      <c r="I52" s="226"/>
    </row>
    <row r="53" spans="1:9" ht="19" thickBot="1">
      <c r="A53" s="170"/>
      <c r="B53" s="171"/>
      <c r="C53" s="160" t="s">
        <v>64</v>
      </c>
      <c r="D53" s="161"/>
      <c r="E53" s="219">
        <f>SUM(B19:B20)</f>
        <v>0</v>
      </c>
      <c r="F53" s="220"/>
      <c r="G53" s="220"/>
      <c r="H53" s="220"/>
      <c r="I53" s="226"/>
    </row>
    <row r="54" spans="1:9" ht="19" thickBot="1">
      <c r="A54" s="170"/>
      <c r="B54" s="171"/>
      <c r="C54" s="160" t="s">
        <v>56</v>
      </c>
      <c r="D54" s="161"/>
      <c r="E54" s="219">
        <f>B29</f>
        <v>0</v>
      </c>
      <c r="F54" s="220"/>
      <c r="G54" s="220"/>
      <c r="H54" s="220"/>
      <c r="I54" s="226"/>
    </row>
    <row r="55" spans="1:9" ht="19" thickBot="1">
      <c r="A55" s="170"/>
      <c r="B55" s="171"/>
      <c r="C55" s="160" t="s">
        <v>56</v>
      </c>
      <c r="D55" s="161"/>
      <c r="E55" s="219">
        <f t="shared" ref="E55:E61" si="11">B30</f>
        <v>0</v>
      </c>
      <c r="F55" s="220"/>
      <c r="G55" s="220"/>
      <c r="H55" s="220"/>
      <c r="I55" s="226"/>
    </row>
    <row r="56" spans="1:9" ht="19" thickBot="1">
      <c r="A56" s="170"/>
      <c r="B56" s="171"/>
      <c r="C56" s="160" t="s">
        <v>56</v>
      </c>
      <c r="D56" s="161"/>
      <c r="E56" s="219">
        <f t="shared" si="11"/>
        <v>0</v>
      </c>
      <c r="F56" s="220"/>
      <c r="G56" s="220"/>
      <c r="H56" s="220"/>
      <c r="I56" s="226"/>
    </row>
    <row r="57" spans="1:9" ht="19" thickBot="1">
      <c r="A57" s="170"/>
      <c r="B57" s="171"/>
      <c r="C57" s="160" t="s">
        <v>56</v>
      </c>
      <c r="D57" s="161"/>
      <c r="E57" s="219">
        <f t="shared" si="11"/>
        <v>0</v>
      </c>
      <c r="F57" s="220"/>
      <c r="G57" s="220"/>
      <c r="H57" s="220"/>
      <c r="I57" s="226"/>
    </row>
    <row r="58" spans="1:9" ht="19" thickBot="1">
      <c r="A58" s="170"/>
      <c r="B58" s="171"/>
      <c r="C58" s="160" t="s">
        <v>56</v>
      </c>
      <c r="D58" s="161"/>
      <c r="E58" s="219">
        <f t="shared" si="11"/>
        <v>0</v>
      </c>
      <c r="F58" s="220"/>
      <c r="G58" s="220"/>
      <c r="H58" s="220"/>
      <c r="I58" s="226"/>
    </row>
    <row r="59" spans="1:9" ht="19" thickBot="1">
      <c r="A59" s="170"/>
      <c r="B59" s="171"/>
      <c r="C59" s="160" t="s">
        <v>56</v>
      </c>
      <c r="D59" s="161"/>
      <c r="E59" s="219">
        <f t="shared" si="11"/>
        <v>0</v>
      </c>
      <c r="F59" s="220"/>
      <c r="G59" s="220"/>
      <c r="H59" s="220"/>
      <c r="I59" s="226"/>
    </row>
    <row r="60" spans="1:9" ht="19" thickBot="1">
      <c r="A60" s="170"/>
      <c r="B60" s="171"/>
      <c r="C60" s="160" t="s">
        <v>56</v>
      </c>
      <c r="D60" s="161"/>
      <c r="E60" s="219">
        <f t="shared" si="11"/>
        <v>0</v>
      </c>
      <c r="F60" s="220"/>
      <c r="G60" s="220"/>
      <c r="H60" s="220"/>
      <c r="I60" s="226"/>
    </row>
    <row r="61" spans="1:9" ht="19" thickBot="1">
      <c r="A61" s="170"/>
      <c r="B61" s="171"/>
      <c r="C61" s="160" t="s">
        <v>56</v>
      </c>
      <c r="D61" s="161"/>
      <c r="E61" s="219">
        <f t="shared" si="11"/>
        <v>0</v>
      </c>
      <c r="F61" s="220"/>
      <c r="G61" s="220"/>
      <c r="H61" s="220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  <mergeCell ref="A43:B43"/>
    <mergeCell ref="E43:F43"/>
    <mergeCell ref="A44:B44"/>
    <mergeCell ref="E44:F44"/>
    <mergeCell ref="A45:B45"/>
    <mergeCell ref="E45:F45"/>
    <mergeCell ref="A15:H15"/>
    <mergeCell ref="A41:B41"/>
    <mergeCell ref="E41:F41"/>
    <mergeCell ref="A42:B42"/>
    <mergeCell ref="E42:F42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A39:B39"/>
    <mergeCell ref="E39:F39"/>
    <mergeCell ref="A40:B40"/>
    <mergeCell ref="E40:F40"/>
    <mergeCell ref="C60:D60"/>
    <mergeCell ref="C61:D61"/>
    <mergeCell ref="E56:H56"/>
    <mergeCell ref="E57:H57"/>
    <mergeCell ref="E58:H58"/>
    <mergeCell ref="C57:D57"/>
    <mergeCell ref="C58:D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2:D62"/>
    <mergeCell ref="C63:D63"/>
    <mergeCell ref="A64:H64"/>
    <mergeCell ref="E62:H62"/>
    <mergeCell ref="E63:H6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4"/>
  <sheetViews>
    <sheetView tabSelected="1" topLeftCell="A21" workbookViewId="0">
      <selection activeCell="E18" sqref="E18"/>
    </sheetView>
  </sheetViews>
  <sheetFormatPr defaultRowHeight="14.5"/>
  <cols>
    <col min="1" max="1" width="22.6328125" style="43" customWidth="1"/>
    <col min="2" max="2" width="26.36328125" style="43" customWidth="1"/>
    <col min="3" max="3" width="18.9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36328125" style="43" customWidth="1"/>
    <col min="8" max="8" width="24.26953125" style="43" customWidth="1"/>
    <col min="9" max="16384" width="8.7265625" style="43"/>
  </cols>
  <sheetData>
    <row r="1" spans="1:9" ht="14.5" customHeight="1">
      <c r="A1" s="198" t="s">
        <v>55</v>
      </c>
      <c r="B1" s="199"/>
      <c r="C1" s="199"/>
      <c r="D1" s="199"/>
      <c r="E1" s="199"/>
      <c r="F1" s="199"/>
      <c r="G1" s="199"/>
      <c r="H1" s="199"/>
      <c r="I1" s="225"/>
    </row>
    <row r="2" spans="1:9" ht="24.5" customHeight="1" thickBot="1">
      <c r="A2" s="200"/>
      <c r="B2" s="201"/>
      <c r="C2" s="201"/>
      <c r="D2" s="201"/>
      <c r="E2" s="201"/>
      <c r="F2" s="201"/>
      <c r="G2" s="201"/>
      <c r="H2" s="201"/>
      <c r="I2" s="226"/>
    </row>
    <row r="3" spans="1:9" ht="14.5" customHeight="1">
      <c r="A3" s="202" t="s">
        <v>85</v>
      </c>
      <c r="B3" s="203"/>
      <c r="C3" s="203"/>
      <c r="D3" s="203"/>
      <c r="E3" s="203"/>
      <c r="F3" s="203"/>
      <c r="G3" s="203"/>
      <c r="H3" s="204"/>
      <c r="I3" s="226"/>
    </row>
    <row r="4" spans="1:9" ht="21" customHeight="1" thickBot="1">
      <c r="A4" s="200"/>
      <c r="B4" s="201"/>
      <c r="C4" s="201"/>
      <c r="D4" s="201"/>
      <c r="E4" s="201"/>
      <c r="F4" s="201"/>
      <c r="G4" s="201"/>
      <c r="H4" s="201"/>
      <c r="I4" s="226"/>
    </row>
    <row r="5" spans="1:9" ht="15" thickBot="1">
      <c r="A5" s="98" t="s">
        <v>38</v>
      </c>
      <c r="B5" s="30" t="s">
        <v>39</v>
      </c>
      <c r="C5" s="205" t="s">
        <v>40</v>
      </c>
      <c r="D5" s="206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07"/>
      <c r="D6" s="20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07"/>
      <c r="D7" s="20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>
        <v>160</v>
      </c>
      <c r="C8" s="188">
        <v>5900</v>
      </c>
      <c r="D8" s="189"/>
      <c r="E8" s="12">
        <f t="shared" si="0"/>
        <v>944000</v>
      </c>
      <c r="F8" s="12">
        <f t="shared" si="1"/>
        <v>144000</v>
      </c>
      <c r="G8" s="12">
        <f>PRODUCT(B8*50)</f>
        <v>8000</v>
      </c>
      <c r="H8" s="100">
        <f t="shared" si="2"/>
        <v>152000</v>
      </c>
      <c r="I8" s="226"/>
    </row>
    <row r="9" spans="1:9">
      <c r="A9" s="39" t="s">
        <v>47</v>
      </c>
      <c r="B9" s="11"/>
      <c r="C9" s="188"/>
      <c r="D9" s="18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>
        <v>11923</v>
      </c>
      <c r="C10" s="188">
        <v>2124</v>
      </c>
      <c r="D10" s="189"/>
      <c r="E10" s="12">
        <f t="shared" si="0"/>
        <v>25324452</v>
      </c>
      <c r="F10" s="12">
        <f t="shared" si="1"/>
        <v>3863052</v>
      </c>
      <c r="G10" s="12">
        <f>PRODUCT(B10*30)</f>
        <v>357690</v>
      </c>
      <c r="H10" s="100">
        <f t="shared" si="2"/>
        <v>4220742</v>
      </c>
      <c r="I10" s="226"/>
    </row>
    <row r="11" spans="1:9">
      <c r="A11" s="40" t="s">
        <v>66</v>
      </c>
      <c r="B11" s="11"/>
      <c r="C11" s="188"/>
      <c r="D11" s="18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88"/>
      <c r="D12" s="18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>
        <v>450</v>
      </c>
      <c r="C13" s="188">
        <v>1357</v>
      </c>
      <c r="D13" s="189"/>
      <c r="E13" s="12">
        <f t="shared" si="0"/>
        <v>610650</v>
      </c>
      <c r="F13" s="12">
        <f t="shared" si="1"/>
        <v>93150</v>
      </c>
      <c r="G13" s="12">
        <f>PRODUCT(B13*20)</f>
        <v>9000</v>
      </c>
      <c r="H13" s="100">
        <f t="shared" si="2"/>
        <v>102150</v>
      </c>
      <c r="I13" s="226"/>
    </row>
    <row r="14" spans="1:9" ht="15" thickBot="1">
      <c r="A14" s="41" t="s">
        <v>60</v>
      </c>
      <c r="B14" s="11"/>
      <c r="C14" s="188"/>
      <c r="D14" s="18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0" t="s">
        <v>49</v>
      </c>
      <c r="B15" s="191"/>
      <c r="C15" s="191"/>
      <c r="D15" s="191"/>
      <c r="E15" s="191"/>
      <c r="F15" s="191"/>
      <c r="G15" s="191"/>
      <c r="H15" s="191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86</v>
      </c>
      <c r="B17" s="26">
        <v>447</v>
      </c>
      <c r="C17" s="26">
        <v>1180</v>
      </c>
      <c r="D17" s="26">
        <v>30</v>
      </c>
      <c r="E17" s="19">
        <f>PRODUCT(B17*C17)</f>
        <v>527460</v>
      </c>
      <c r="F17" s="16">
        <f t="shared" ref="F17:F36" si="3">PRODUCT(E17*18)/118</f>
        <v>80460</v>
      </c>
      <c r="G17" s="94">
        <f>PRODUCT(B17*D17)</f>
        <v>13410</v>
      </c>
      <c r="H17" s="102">
        <f>SUM(F17:G17)</f>
        <v>93870</v>
      </c>
      <c r="I17" s="226"/>
    </row>
    <row r="18" spans="1:9" ht="15" thickBot="1">
      <c r="A18" s="34" t="s">
        <v>86</v>
      </c>
      <c r="B18" s="27">
        <v>355</v>
      </c>
      <c r="C18" s="27"/>
      <c r="D18" s="27">
        <v>210</v>
      </c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74550</v>
      </c>
      <c r="H18" s="103">
        <f t="shared" ref="H18:H22" si="6">SUM(F18:G18)</f>
        <v>74550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27406562</v>
      </c>
      <c r="F37" s="24">
        <f>SUM(F5:F36)</f>
        <v>4180662</v>
      </c>
      <c r="G37" s="24">
        <f t="shared" ref="G37:H37" si="10">SUM(G5:G36)</f>
        <v>462650</v>
      </c>
      <c r="H37" s="24">
        <f t="shared" si="10"/>
        <v>4643312</v>
      </c>
      <c r="I37" s="226"/>
    </row>
    <row r="38" spans="1:9" ht="14.5" customHeight="1" thickBot="1">
      <c r="A38" s="195" t="s">
        <v>78</v>
      </c>
      <c r="B38" s="196"/>
      <c r="C38" s="63" t="s">
        <v>72</v>
      </c>
      <c r="D38" s="54"/>
      <c r="E38" s="193" t="s">
        <v>70</v>
      </c>
      <c r="F38" s="194"/>
      <c r="G38" s="62" t="s">
        <v>71</v>
      </c>
      <c r="H38" s="107" t="s">
        <v>72</v>
      </c>
      <c r="I38" s="226"/>
    </row>
    <row r="39" spans="1:9" ht="15" customHeight="1" thickBot="1">
      <c r="A39" s="209" t="s">
        <v>68</v>
      </c>
      <c r="B39" s="210"/>
      <c r="C39" s="55"/>
      <c r="D39" s="58"/>
      <c r="E39" s="192"/>
      <c r="F39" s="192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197"/>
      <c r="F40" s="197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87"/>
      <c r="F41" s="187"/>
      <c r="G41" s="60"/>
      <c r="H41" s="109"/>
      <c r="I41" s="226"/>
    </row>
    <row r="42" spans="1:9" ht="15" thickBot="1">
      <c r="A42" s="176" t="s">
        <v>74</v>
      </c>
      <c r="B42" s="177"/>
      <c r="C42" s="53"/>
      <c r="D42" s="56"/>
      <c r="E42" s="186"/>
      <c r="F42" s="187"/>
      <c r="G42" s="11"/>
      <c r="H42" s="109"/>
      <c r="I42" s="226"/>
    </row>
    <row r="43" spans="1:9" ht="15" thickBot="1">
      <c r="A43" s="178" t="s">
        <v>75</v>
      </c>
      <c r="B43" s="179"/>
      <c r="C43" s="90"/>
      <c r="D43" s="56"/>
      <c r="E43" s="186"/>
      <c r="F43" s="187"/>
      <c r="G43" s="11"/>
      <c r="H43" s="109"/>
      <c r="I43" s="226"/>
    </row>
    <row r="44" spans="1:9" ht="15" thickBot="1">
      <c r="A44" s="178" t="s">
        <v>76</v>
      </c>
      <c r="B44" s="179"/>
      <c r="C44" s="90"/>
      <c r="D44" s="57"/>
      <c r="E44" s="186"/>
      <c r="F44" s="187"/>
      <c r="G44" s="11"/>
      <c r="H44" s="109"/>
      <c r="I44" s="226"/>
    </row>
    <row r="45" spans="1:9" ht="15" thickBot="1">
      <c r="A45" s="178" t="s">
        <v>77</v>
      </c>
      <c r="B45" s="179"/>
      <c r="C45" s="91">
        <f>SUM(C39+C40+C41+C42+C43+C44)</f>
        <v>0</v>
      </c>
      <c r="D45" s="92"/>
      <c r="E45" s="184"/>
      <c r="F45" s="185"/>
      <c r="G45" s="93"/>
      <c r="H45" s="110"/>
      <c r="I45" s="226"/>
    </row>
    <row r="46" spans="1:9">
      <c r="A46" s="211" t="s">
        <v>57</v>
      </c>
      <c r="B46" s="212"/>
      <c r="C46" s="212"/>
      <c r="D46" s="212"/>
      <c r="E46" s="212"/>
      <c r="F46" s="212"/>
      <c r="G46" s="212"/>
      <c r="H46" s="212"/>
      <c r="I46" s="226"/>
    </row>
    <row r="47" spans="1:9" ht="15" thickBot="1">
      <c r="A47" s="213"/>
      <c r="B47" s="214"/>
      <c r="C47" s="214"/>
      <c r="D47" s="214"/>
      <c r="E47" s="214"/>
      <c r="F47" s="214"/>
      <c r="G47" s="214"/>
      <c r="H47" s="214"/>
      <c r="I47" s="226"/>
    </row>
    <row r="48" spans="1:9" ht="24" thickBot="1">
      <c r="A48" s="166" t="s">
        <v>9</v>
      </c>
      <c r="B48" s="167"/>
      <c r="C48" s="180" t="s">
        <v>58</v>
      </c>
      <c r="D48" s="181"/>
      <c r="E48" s="217" t="s">
        <v>59</v>
      </c>
      <c r="F48" s="218"/>
      <c r="G48" s="218"/>
      <c r="H48" s="218"/>
      <c r="I48" s="226"/>
    </row>
    <row r="49" spans="1:9" ht="19" thickBot="1">
      <c r="A49" s="168"/>
      <c r="B49" s="169"/>
      <c r="C49" s="182" t="s">
        <v>61</v>
      </c>
      <c r="D49" s="183"/>
      <c r="E49" s="215">
        <f>SUM(B9:B12)</f>
        <v>11923</v>
      </c>
      <c r="F49" s="216"/>
      <c r="G49" s="216"/>
      <c r="H49" s="216"/>
      <c r="I49" s="226"/>
    </row>
    <row r="50" spans="1:9" ht="19" thickBot="1">
      <c r="A50" s="170"/>
      <c r="B50" s="171"/>
      <c r="C50" s="182" t="s">
        <v>46</v>
      </c>
      <c r="D50" s="183"/>
      <c r="E50" s="215">
        <f>SUM(B6:B8)</f>
        <v>160</v>
      </c>
      <c r="F50" s="216"/>
      <c r="G50" s="216"/>
      <c r="H50" s="216"/>
      <c r="I50" s="226"/>
    </row>
    <row r="51" spans="1:9" ht="19" thickBot="1">
      <c r="A51" s="170"/>
      <c r="B51" s="171"/>
      <c r="C51" s="182" t="s">
        <v>62</v>
      </c>
      <c r="D51" s="183"/>
      <c r="E51" s="215">
        <f>SUM(B13:B14)</f>
        <v>450</v>
      </c>
      <c r="F51" s="216"/>
      <c r="G51" s="216"/>
      <c r="H51" s="216"/>
      <c r="I51" s="226"/>
    </row>
    <row r="52" spans="1:9" ht="19" thickBot="1">
      <c r="A52" s="170"/>
      <c r="B52" s="171"/>
      <c r="C52" s="160" t="s">
        <v>63</v>
      </c>
      <c r="D52" s="161"/>
      <c r="E52" s="219">
        <f>SUM(B17:B18)</f>
        <v>802</v>
      </c>
      <c r="F52" s="220"/>
      <c r="G52" s="220"/>
      <c r="H52" s="220"/>
      <c r="I52" s="226"/>
    </row>
    <row r="53" spans="1:9" ht="19" thickBot="1">
      <c r="A53" s="170"/>
      <c r="B53" s="171"/>
      <c r="C53" s="160" t="s">
        <v>64</v>
      </c>
      <c r="D53" s="161"/>
      <c r="E53" s="219">
        <f>SUM(B19:B20)</f>
        <v>0</v>
      </c>
      <c r="F53" s="220"/>
      <c r="G53" s="220"/>
      <c r="H53" s="220"/>
      <c r="I53" s="226"/>
    </row>
    <row r="54" spans="1:9" ht="19" thickBot="1">
      <c r="A54" s="170"/>
      <c r="B54" s="171"/>
      <c r="C54" s="160" t="s">
        <v>56</v>
      </c>
      <c r="D54" s="161"/>
      <c r="E54" s="219">
        <f>B29</f>
        <v>0</v>
      </c>
      <c r="F54" s="220"/>
      <c r="G54" s="220"/>
      <c r="H54" s="220"/>
      <c r="I54" s="226"/>
    </row>
    <row r="55" spans="1:9" ht="19" thickBot="1">
      <c r="A55" s="170"/>
      <c r="B55" s="171"/>
      <c r="C55" s="160" t="s">
        <v>56</v>
      </c>
      <c r="D55" s="161"/>
      <c r="E55" s="219">
        <f t="shared" ref="E55:E61" si="11">B30</f>
        <v>0</v>
      </c>
      <c r="F55" s="220"/>
      <c r="G55" s="220"/>
      <c r="H55" s="220"/>
      <c r="I55" s="226"/>
    </row>
    <row r="56" spans="1:9" ht="19" thickBot="1">
      <c r="A56" s="170"/>
      <c r="B56" s="171"/>
      <c r="C56" s="160" t="s">
        <v>56</v>
      </c>
      <c r="D56" s="161"/>
      <c r="E56" s="219">
        <f t="shared" si="11"/>
        <v>0</v>
      </c>
      <c r="F56" s="220"/>
      <c r="G56" s="220"/>
      <c r="H56" s="220"/>
      <c r="I56" s="226"/>
    </row>
    <row r="57" spans="1:9" ht="19" thickBot="1">
      <c r="A57" s="170"/>
      <c r="B57" s="171"/>
      <c r="C57" s="160" t="s">
        <v>56</v>
      </c>
      <c r="D57" s="161"/>
      <c r="E57" s="219">
        <f t="shared" si="11"/>
        <v>0</v>
      </c>
      <c r="F57" s="220"/>
      <c r="G57" s="220"/>
      <c r="H57" s="220"/>
      <c r="I57" s="226"/>
    </row>
    <row r="58" spans="1:9" ht="19" thickBot="1">
      <c r="A58" s="170"/>
      <c r="B58" s="171"/>
      <c r="C58" s="160" t="s">
        <v>56</v>
      </c>
      <c r="D58" s="161"/>
      <c r="E58" s="219">
        <f t="shared" si="11"/>
        <v>0</v>
      </c>
      <c r="F58" s="220"/>
      <c r="G58" s="220"/>
      <c r="H58" s="220"/>
      <c r="I58" s="226"/>
    </row>
    <row r="59" spans="1:9" ht="19" thickBot="1">
      <c r="A59" s="170"/>
      <c r="B59" s="171"/>
      <c r="C59" s="160" t="s">
        <v>56</v>
      </c>
      <c r="D59" s="161"/>
      <c r="E59" s="219">
        <f t="shared" si="11"/>
        <v>0</v>
      </c>
      <c r="F59" s="220"/>
      <c r="G59" s="220"/>
      <c r="H59" s="220"/>
      <c r="I59" s="226"/>
    </row>
    <row r="60" spans="1:9" ht="19" thickBot="1">
      <c r="A60" s="170"/>
      <c r="B60" s="171"/>
      <c r="C60" s="160" t="s">
        <v>56</v>
      </c>
      <c r="D60" s="161"/>
      <c r="E60" s="219">
        <f t="shared" si="11"/>
        <v>0</v>
      </c>
      <c r="F60" s="220"/>
      <c r="G60" s="220"/>
      <c r="H60" s="220"/>
      <c r="I60" s="226"/>
    </row>
    <row r="61" spans="1:9" ht="19" thickBot="1">
      <c r="A61" s="170"/>
      <c r="B61" s="171"/>
      <c r="C61" s="160" t="s">
        <v>56</v>
      </c>
      <c r="D61" s="161"/>
      <c r="E61" s="219">
        <f t="shared" si="11"/>
        <v>0</v>
      </c>
      <c r="F61" s="220"/>
      <c r="G61" s="220"/>
      <c r="H61" s="220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13335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1.08984375" style="43" customWidth="1"/>
    <col min="2" max="2" width="17.453125" style="43" customWidth="1"/>
    <col min="3" max="3" width="20.26953125" style="43" customWidth="1"/>
    <col min="4" max="4" width="14.90625" style="43" customWidth="1"/>
    <col min="5" max="5" width="28.36328125" style="43" customWidth="1"/>
    <col min="6" max="6" width="22.08984375" style="43" customWidth="1"/>
    <col min="7" max="7" width="16.6328125" style="43" customWidth="1"/>
    <col min="8" max="8" width="26.54296875" style="43" customWidth="1"/>
    <col min="9" max="16384" width="8.7265625" style="43"/>
  </cols>
  <sheetData>
    <row r="1" spans="1:9" ht="14.5" customHeight="1">
      <c r="A1" s="198" t="s">
        <v>55</v>
      </c>
      <c r="B1" s="199"/>
      <c r="C1" s="199"/>
      <c r="D1" s="199"/>
      <c r="E1" s="199"/>
      <c r="F1" s="199"/>
      <c r="G1" s="199"/>
      <c r="H1" s="199"/>
      <c r="I1" s="225"/>
    </row>
    <row r="2" spans="1:9" ht="15" customHeight="1" thickBot="1">
      <c r="A2" s="200"/>
      <c r="B2" s="201"/>
      <c r="C2" s="201"/>
      <c r="D2" s="201"/>
      <c r="E2" s="201"/>
      <c r="F2" s="201"/>
      <c r="G2" s="201"/>
      <c r="H2" s="201"/>
      <c r="I2" s="226"/>
    </row>
    <row r="3" spans="1:9" ht="14.5" customHeight="1">
      <c r="A3" s="202" t="s">
        <v>80</v>
      </c>
      <c r="B3" s="203"/>
      <c r="C3" s="203"/>
      <c r="D3" s="203"/>
      <c r="E3" s="203"/>
      <c r="F3" s="203"/>
      <c r="G3" s="203"/>
      <c r="H3" s="204"/>
      <c r="I3" s="226"/>
    </row>
    <row r="4" spans="1:9" ht="15" customHeight="1" thickBot="1">
      <c r="A4" s="200"/>
      <c r="B4" s="201"/>
      <c r="C4" s="201"/>
      <c r="D4" s="201"/>
      <c r="E4" s="201"/>
      <c r="F4" s="201"/>
      <c r="G4" s="201"/>
      <c r="H4" s="201"/>
      <c r="I4" s="226"/>
    </row>
    <row r="5" spans="1:9" ht="15" thickBot="1">
      <c r="A5" s="98" t="s">
        <v>38</v>
      </c>
      <c r="B5" s="30" t="s">
        <v>39</v>
      </c>
      <c r="C5" s="205" t="s">
        <v>40</v>
      </c>
      <c r="D5" s="206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07"/>
      <c r="D6" s="20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07"/>
      <c r="D7" s="20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88"/>
      <c r="D8" s="18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88"/>
      <c r="D9" s="18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88"/>
      <c r="D10" s="18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88"/>
      <c r="D11" s="18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88"/>
      <c r="D12" s="18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88"/>
      <c r="D13" s="18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88"/>
      <c r="D14" s="18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0" t="s">
        <v>49</v>
      </c>
      <c r="B15" s="191"/>
      <c r="C15" s="191"/>
      <c r="D15" s="191"/>
      <c r="E15" s="191"/>
      <c r="F15" s="191"/>
      <c r="G15" s="191"/>
      <c r="H15" s="191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195" t="s">
        <v>78</v>
      </c>
      <c r="B38" s="196"/>
      <c r="C38" s="63" t="s">
        <v>72</v>
      </c>
      <c r="D38" s="54"/>
      <c r="E38" s="193" t="s">
        <v>70</v>
      </c>
      <c r="F38" s="194"/>
      <c r="G38" s="62" t="s">
        <v>71</v>
      </c>
      <c r="H38" s="107" t="s">
        <v>72</v>
      </c>
      <c r="I38" s="226"/>
    </row>
    <row r="39" spans="1:9" ht="15" thickBot="1">
      <c r="A39" s="209" t="s">
        <v>68</v>
      </c>
      <c r="B39" s="210"/>
      <c r="C39" s="55"/>
      <c r="D39" s="58"/>
      <c r="E39" s="192"/>
      <c r="F39" s="192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197"/>
      <c r="F40" s="197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87"/>
      <c r="F41" s="187"/>
      <c r="G41" s="60"/>
      <c r="H41" s="109"/>
      <c r="I41" s="226"/>
    </row>
    <row r="42" spans="1:9" ht="15" thickBot="1">
      <c r="A42" s="176" t="s">
        <v>74</v>
      </c>
      <c r="B42" s="177"/>
      <c r="C42" s="53"/>
      <c r="D42" s="56"/>
      <c r="E42" s="186"/>
      <c r="F42" s="187"/>
      <c r="G42" s="11"/>
      <c r="H42" s="109"/>
      <c r="I42" s="226"/>
    </row>
    <row r="43" spans="1:9" ht="15" thickBot="1">
      <c r="A43" s="178" t="s">
        <v>75</v>
      </c>
      <c r="B43" s="179"/>
      <c r="C43" s="90"/>
      <c r="D43" s="56"/>
      <c r="E43" s="186"/>
      <c r="F43" s="187"/>
      <c r="G43" s="11"/>
      <c r="H43" s="109"/>
      <c r="I43" s="226"/>
    </row>
    <row r="44" spans="1:9" ht="15" thickBot="1">
      <c r="A44" s="178" t="s">
        <v>76</v>
      </c>
      <c r="B44" s="179"/>
      <c r="C44" s="90"/>
      <c r="D44" s="57"/>
      <c r="E44" s="186"/>
      <c r="F44" s="187"/>
      <c r="G44" s="11"/>
      <c r="H44" s="109"/>
      <c r="I44" s="226"/>
    </row>
    <row r="45" spans="1:9" ht="15" thickBot="1">
      <c r="A45" s="178" t="s">
        <v>77</v>
      </c>
      <c r="B45" s="179"/>
      <c r="C45" s="91">
        <f>SUM(C39+C40+C41+C42+C43+C44)</f>
        <v>0</v>
      </c>
      <c r="D45" s="92"/>
      <c r="E45" s="184"/>
      <c r="F45" s="185"/>
      <c r="G45" s="93"/>
      <c r="H45" s="110"/>
      <c r="I45" s="226"/>
    </row>
    <row r="46" spans="1:9" ht="14.5" customHeight="1">
      <c r="A46" s="211" t="s">
        <v>57</v>
      </c>
      <c r="B46" s="212"/>
      <c r="C46" s="212"/>
      <c r="D46" s="212"/>
      <c r="E46" s="212"/>
      <c r="F46" s="212"/>
      <c r="G46" s="212"/>
      <c r="H46" s="212"/>
      <c r="I46" s="226"/>
    </row>
    <row r="47" spans="1:9" ht="15" customHeight="1" thickBot="1">
      <c r="A47" s="213"/>
      <c r="B47" s="214"/>
      <c r="C47" s="214"/>
      <c r="D47" s="214"/>
      <c r="E47" s="214"/>
      <c r="F47" s="214"/>
      <c r="G47" s="214"/>
      <c r="H47" s="214"/>
      <c r="I47" s="226"/>
    </row>
    <row r="48" spans="1:9" ht="24" thickBot="1">
      <c r="A48" s="166" t="s">
        <v>9</v>
      </c>
      <c r="B48" s="167"/>
      <c r="C48" s="180" t="s">
        <v>58</v>
      </c>
      <c r="D48" s="181"/>
      <c r="E48" s="217" t="s">
        <v>59</v>
      </c>
      <c r="F48" s="218"/>
      <c r="G48" s="218"/>
      <c r="H48" s="218"/>
      <c r="I48" s="226"/>
    </row>
    <row r="49" spans="1:9" ht="19" thickBot="1">
      <c r="A49" s="168"/>
      <c r="B49" s="169"/>
      <c r="C49" s="182" t="s">
        <v>61</v>
      </c>
      <c r="D49" s="183"/>
      <c r="E49" s="215">
        <f>SUM(B9:B12)</f>
        <v>0</v>
      </c>
      <c r="F49" s="216"/>
      <c r="G49" s="216"/>
      <c r="H49" s="216"/>
      <c r="I49" s="226"/>
    </row>
    <row r="50" spans="1:9" ht="19" thickBot="1">
      <c r="A50" s="170"/>
      <c r="B50" s="171"/>
      <c r="C50" s="182" t="s">
        <v>46</v>
      </c>
      <c r="D50" s="183"/>
      <c r="E50" s="215">
        <f>SUM(B6:B8)</f>
        <v>0</v>
      </c>
      <c r="F50" s="216"/>
      <c r="G50" s="216"/>
      <c r="H50" s="216"/>
      <c r="I50" s="226"/>
    </row>
    <row r="51" spans="1:9" ht="19" thickBot="1">
      <c r="A51" s="170"/>
      <c r="B51" s="171"/>
      <c r="C51" s="182" t="s">
        <v>62</v>
      </c>
      <c r="D51" s="183"/>
      <c r="E51" s="215">
        <f>SUM(B13:B14)</f>
        <v>0</v>
      </c>
      <c r="F51" s="216"/>
      <c r="G51" s="216"/>
      <c r="H51" s="216"/>
      <c r="I51" s="226"/>
    </row>
    <row r="52" spans="1:9" ht="19" thickBot="1">
      <c r="A52" s="170"/>
      <c r="B52" s="171"/>
      <c r="C52" s="160" t="s">
        <v>63</v>
      </c>
      <c r="D52" s="161"/>
      <c r="E52" s="219">
        <f>SUM(B17:B18)</f>
        <v>0</v>
      </c>
      <c r="F52" s="220"/>
      <c r="G52" s="220"/>
      <c r="H52" s="220"/>
      <c r="I52" s="226"/>
    </row>
    <row r="53" spans="1:9" ht="19" thickBot="1">
      <c r="A53" s="170"/>
      <c r="B53" s="171"/>
      <c r="C53" s="160" t="s">
        <v>64</v>
      </c>
      <c r="D53" s="161"/>
      <c r="E53" s="219">
        <f>SUM(B19:B20)</f>
        <v>0</v>
      </c>
      <c r="F53" s="220"/>
      <c r="G53" s="220"/>
      <c r="H53" s="220"/>
      <c r="I53" s="226"/>
    </row>
    <row r="54" spans="1:9" ht="19" thickBot="1">
      <c r="A54" s="170"/>
      <c r="B54" s="171"/>
      <c r="C54" s="160" t="s">
        <v>56</v>
      </c>
      <c r="D54" s="161"/>
      <c r="E54" s="219">
        <f>B29</f>
        <v>0</v>
      </c>
      <c r="F54" s="220"/>
      <c r="G54" s="220"/>
      <c r="H54" s="220"/>
      <c r="I54" s="226"/>
    </row>
    <row r="55" spans="1:9" ht="19" thickBot="1">
      <c r="A55" s="170"/>
      <c r="B55" s="171"/>
      <c r="C55" s="160" t="s">
        <v>56</v>
      </c>
      <c r="D55" s="161"/>
      <c r="E55" s="219">
        <f t="shared" ref="E55:E61" si="11">B30</f>
        <v>0</v>
      </c>
      <c r="F55" s="220"/>
      <c r="G55" s="220"/>
      <c r="H55" s="220"/>
      <c r="I55" s="226"/>
    </row>
    <row r="56" spans="1:9" ht="19" thickBot="1">
      <c r="A56" s="170"/>
      <c r="B56" s="171"/>
      <c r="C56" s="160" t="s">
        <v>56</v>
      </c>
      <c r="D56" s="161"/>
      <c r="E56" s="219">
        <f t="shared" si="11"/>
        <v>0</v>
      </c>
      <c r="F56" s="220"/>
      <c r="G56" s="220"/>
      <c r="H56" s="220"/>
      <c r="I56" s="226"/>
    </row>
    <row r="57" spans="1:9" ht="19" thickBot="1">
      <c r="A57" s="170"/>
      <c r="B57" s="171"/>
      <c r="C57" s="160" t="s">
        <v>56</v>
      </c>
      <c r="D57" s="161"/>
      <c r="E57" s="219">
        <f t="shared" si="11"/>
        <v>0</v>
      </c>
      <c r="F57" s="220"/>
      <c r="G57" s="220"/>
      <c r="H57" s="220"/>
      <c r="I57" s="226"/>
    </row>
    <row r="58" spans="1:9" ht="19" thickBot="1">
      <c r="A58" s="170"/>
      <c r="B58" s="171"/>
      <c r="C58" s="160" t="s">
        <v>56</v>
      </c>
      <c r="D58" s="161"/>
      <c r="E58" s="219">
        <f t="shared" si="11"/>
        <v>0</v>
      </c>
      <c r="F58" s="220"/>
      <c r="G58" s="220"/>
      <c r="H58" s="220"/>
      <c r="I58" s="226"/>
    </row>
    <row r="59" spans="1:9" ht="19" thickBot="1">
      <c r="A59" s="170"/>
      <c r="B59" s="171"/>
      <c r="C59" s="160" t="s">
        <v>56</v>
      </c>
      <c r="D59" s="161"/>
      <c r="E59" s="219">
        <f t="shared" si="11"/>
        <v>0</v>
      </c>
      <c r="F59" s="220"/>
      <c r="G59" s="220"/>
      <c r="H59" s="220"/>
      <c r="I59" s="226"/>
    </row>
    <row r="60" spans="1:9" ht="19" thickBot="1">
      <c r="A60" s="170"/>
      <c r="B60" s="171"/>
      <c r="C60" s="160" t="s">
        <v>56</v>
      </c>
      <c r="D60" s="161"/>
      <c r="E60" s="219">
        <f t="shared" si="11"/>
        <v>0</v>
      </c>
      <c r="F60" s="220"/>
      <c r="G60" s="220"/>
      <c r="H60" s="220"/>
      <c r="I60" s="226"/>
    </row>
    <row r="61" spans="1:9" ht="19" thickBot="1">
      <c r="A61" s="170"/>
      <c r="B61" s="171"/>
      <c r="C61" s="160" t="s">
        <v>56</v>
      </c>
      <c r="D61" s="161"/>
      <c r="E61" s="219">
        <f t="shared" si="11"/>
        <v>0</v>
      </c>
      <c r="F61" s="220"/>
      <c r="G61" s="220"/>
      <c r="H61" s="220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60:H60"/>
    <mergeCell ref="E61:H61"/>
    <mergeCell ref="E62:H62"/>
    <mergeCell ref="E63:H63"/>
    <mergeCell ref="C61:D61"/>
    <mergeCell ref="C62:D62"/>
    <mergeCell ref="C63:D63"/>
    <mergeCell ref="A42:B42"/>
    <mergeCell ref="E42:F42"/>
    <mergeCell ref="A46:H47"/>
    <mergeCell ref="E49:H49"/>
    <mergeCell ref="E50:H50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C60:D60"/>
    <mergeCell ref="E43:F43"/>
    <mergeCell ref="A44:B44"/>
    <mergeCell ref="E44:F44"/>
    <mergeCell ref="E45:F45"/>
    <mergeCell ref="A45:B45"/>
    <mergeCell ref="E48:H48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6328125" style="43" customWidth="1"/>
    <col min="9" max="16384" width="8.7265625" style="43"/>
  </cols>
  <sheetData>
    <row r="1" spans="1:9" ht="14.5" customHeight="1">
      <c r="A1" s="198" t="s">
        <v>55</v>
      </c>
      <c r="B1" s="199"/>
      <c r="C1" s="199"/>
      <c r="D1" s="199"/>
      <c r="E1" s="199"/>
      <c r="F1" s="199"/>
      <c r="G1" s="199"/>
      <c r="H1" s="199"/>
      <c r="I1" s="225"/>
    </row>
    <row r="2" spans="1:9" ht="15" customHeight="1" thickBot="1">
      <c r="A2" s="200"/>
      <c r="B2" s="201"/>
      <c r="C2" s="201"/>
      <c r="D2" s="201"/>
      <c r="E2" s="201"/>
      <c r="F2" s="201"/>
      <c r="G2" s="201"/>
      <c r="H2" s="201"/>
      <c r="I2" s="226"/>
    </row>
    <row r="3" spans="1:9" ht="14.5" customHeight="1">
      <c r="A3" s="202" t="s">
        <v>80</v>
      </c>
      <c r="B3" s="203"/>
      <c r="C3" s="203"/>
      <c r="D3" s="203"/>
      <c r="E3" s="203"/>
      <c r="F3" s="203"/>
      <c r="G3" s="203"/>
      <c r="H3" s="204"/>
      <c r="I3" s="226"/>
    </row>
    <row r="4" spans="1:9" ht="15" customHeight="1" thickBot="1">
      <c r="A4" s="200"/>
      <c r="B4" s="201"/>
      <c r="C4" s="201"/>
      <c r="D4" s="201"/>
      <c r="E4" s="201"/>
      <c r="F4" s="201"/>
      <c r="G4" s="201"/>
      <c r="H4" s="201"/>
      <c r="I4" s="226"/>
    </row>
    <row r="5" spans="1:9" ht="15" thickBot="1">
      <c r="A5" s="98" t="s">
        <v>38</v>
      </c>
      <c r="B5" s="30" t="s">
        <v>39</v>
      </c>
      <c r="C5" s="205" t="s">
        <v>40</v>
      </c>
      <c r="D5" s="206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07"/>
      <c r="D6" s="20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07"/>
      <c r="D7" s="20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88"/>
      <c r="D8" s="18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88"/>
      <c r="D9" s="18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88"/>
      <c r="D10" s="18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88"/>
      <c r="D11" s="18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88"/>
      <c r="D12" s="18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88"/>
      <c r="D13" s="18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88"/>
      <c r="D14" s="18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0" t="s">
        <v>49</v>
      </c>
      <c r="B15" s="191"/>
      <c r="C15" s="191"/>
      <c r="D15" s="191"/>
      <c r="E15" s="191"/>
      <c r="F15" s="191"/>
      <c r="G15" s="191"/>
      <c r="H15" s="191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95" t="s">
        <v>78</v>
      </c>
      <c r="B38" s="196"/>
      <c r="C38" s="63" t="s">
        <v>72</v>
      </c>
      <c r="D38" s="54"/>
      <c r="E38" s="193" t="s">
        <v>70</v>
      </c>
      <c r="F38" s="194"/>
      <c r="G38" s="62" t="s">
        <v>71</v>
      </c>
      <c r="H38" s="107" t="s">
        <v>72</v>
      </c>
      <c r="I38" s="226"/>
    </row>
    <row r="39" spans="1:9" ht="15" customHeight="1" thickBot="1">
      <c r="A39" s="209" t="s">
        <v>68</v>
      </c>
      <c r="B39" s="210"/>
      <c r="C39" s="55"/>
      <c r="D39" s="58"/>
      <c r="E39" s="192"/>
      <c r="F39" s="192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197"/>
      <c r="F40" s="197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87"/>
      <c r="F41" s="187"/>
      <c r="G41" s="60"/>
      <c r="H41" s="109"/>
      <c r="I41" s="226"/>
    </row>
    <row r="42" spans="1:9" ht="15" thickBot="1">
      <c r="A42" s="176" t="s">
        <v>74</v>
      </c>
      <c r="B42" s="177"/>
      <c r="C42" s="53"/>
      <c r="D42" s="56"/>
      <c r="E42" s="186"/>
      <c r="F42" s="187"/>
      <c r="G42" s="11"/>
      <c r="H42" s="109"/>
      <c r="I42" s="226"/>
    </row>
    <row r="43" spans="1:9" ht="15" thickBot="1">
      <c r="A43" s="178" t="s">
        <v>75</v>
      </c>
      <c r="B43" s="179"/>
      <c r="C43" s="90"/>
      <c r="D43" s="56"/>
      <c r="E43" s="186"/>
      <c r="F43" s="187"/>
      <c r="G43" s="11"/>
      <c r="H43" s="109"/>
      <c r="I43" s="226"/>
    </row>
    <row r="44" spans="1:9" ht="15" thickBot="1">
      <c r="A44" s="178" t="s">
        <v>76</v>
      </c>
      <c r="B44" s="179"/>
      <c r="C44" s="90"/>
      <c r="D44" s="57"/>
      <c r="E44" s="186"/>
      <c r="F44" s="187"/>
      <c r="G44" s="11"/>
      <c r="H44" s="109"/>
      <c r="I44" s="226"/>
    </row>
    <row r="45" spans="1:9" ht="15" thickBot="1">
      <c r="A45" s="178" t="s">
        <v>77</v>
      </c>
      <c r="B45" s="179"/>
      <c r="C45" s="91">
        <f>SUM(C39+C40+C41+C42+C43+C44)</f>
        <v>0</v>
      </c>
      <c r="D45" s="92"/>
      <c r="E45" s="184"/>
      <c r="F45" s="185"/>
      <c r="G45" s="93"/>
      <c r="H45" s="110"/>
      <c r="I45" s="226"/>
    </row>
    <row r="46" spans="1:9">
      <c r="A46" s="211" t="s">
        <v>57</v>
      </c>
      <c r="B46" s="212"/>
      <c r="C46" s="212"/>
      <c r="D46" s="212"/>
      <c r="E46" s="212"/>
      <c r="F46" s="212"/>
      <c r="G46" s="212"/>
      <c r="H46" s="212"/>
      <c r="I46" s="226"/>
    </row>
    <row r="47" spans="1:9" ht="15" thickBot="1">
      <c r="A47" s="213"/>
      <c r="B47" s="214"/>
      <c r="C47" s="214"/>
      <c r="D47" s="214"/>
      <c r="E47" s="214"/>
      <c r="F47" s="214"/>
      <c r="G47" s="214"/>
      <c r="H47" s="214"/>
      <c r="I47" s="226"/>
    </row>
    <row r="48" spans="1:9" ht="24" thickBot="1">
      <c r="A48" s="166" t="s">
        <v>9</v>
      </c>
      <c r="B48" s="167"/>
      <c r="C48" s="180" t="s">
        <v>58</v>
      </c>
      <c r="D48" s="181"/>
      <c r="E48" s="217" t="s">
        <v>59</v>
      </c>
      <c r="F48" s="218"/>
      <c r="G48" s="218"/>
      <c r="H48" s="218"/>
      <c r="I48" s="226"/>
    </row>
    <row r="49" spans="1:9" ht="19" thickBot="1">
      <c r="A49" s="168"/>
      <c r="B49" s="169"/>
      <c r="C49" s="182" t="s">
        <v>61</v>
      </c>
      <c r="D49" s="183"/>
      <c r="E49" s="215">
        <f>SUM(B9:B12)</f>
        <v>0</v>
      </c>
      <c r="F49" s="216"/>
      <c r="G49" s="216"/>
      <c r="H49" s="216"/>
      <c r="I49" s="226"/>
    </row>
    <row r="50" spans="1:9" ht="19" thickBot="1">
      <c r="A50" s="170"/>
      <c r="B50" s="171"/>
      <c r="C50" s="182" t="s">
        <v>46</v>
      </c>
      <c r="D50" s="183"/>
      <c r="E50" s="215">
        <f>SUM(B6:B8)</f>
        <v>0</v>
      </c>
      <c r="F50" s="216"/>
      <c r="G50" s="216"/>
      <c r="H50" s="216"/>
      <c r="I50" s="226"/>
    </row>
    <row r="51" spans="1:9" ht="19" thickBot="1">
      <c r="A51" s="170"/>
      <c r="B51" s="171"/>
      <c r="C51" s="182" t="s">
        <v>62</v>
      </c>
      <c r="D51" s="183"/>
      <c r="E51" s="215">
        <f>SUM(B13:B14)</f>
        <v>0</v>
      </c>
      <c r="F51" s="216"/>
      <c r="G51" s="216"/>
      <c r="H51" s="216"/>
      <c r="I51" s="226"/>
    </row>
    <row r="52" spans="1:9" ht="19" thickBot="1">
      <c r="A52" s="170"/>
      <c r="B52" s="171"/>
      <c r="C52" s="160" t="s">
        <v>63</v>
      </c>
      <c r="D52" s="161"/>
      <c r="E52" s="219">
        <f>SUM(B17:B18)</f>
        <v>0</v>
      </c>
      <c r="F52" s="220"/>
      <c r="G52" s="220"/>
      <c r="H52" s="220"/>
      <c r="I52" s="226"/>
    </row>
    <row r="53" spans="1:9" ht="19" thickBot="1">
      <c r="A53" s="170"/>
      <c r="B53" s="171"/>
      <c r="C53" s="160" t="s">
        <v>64</v>
      </c>
      <c r="D53" s="161"/>
      <c r="E53" s="219">
        <f>SUM(B19:B20)</f>
        <v>0</v>
      </c>
      <c r="F53" s="220"/>
      <c r="G53" s="220"/>
      <c r="H53" s="220"/>
      <c r="I53" s="226"/>
    </row>
    <row r="54" spans="1:9" ht="19" thickBot="1">
      <c r="A54" s="170"/>
      <c r="B54" s="171"/>
      <c r="C54" s="160" t="s">
        <v>56</v>
      </c>
      <c r="D54" s="161"/>
      <c r="E54" s="219">
        <f>B29</f>
        <v>0</v>
      </c>
      <c r="F54" s="220"/>
      <c r="G54" s="220"/>
      <c r="H54" s="220"/>
      <c r="I54" s="226"/>
    </row>
    <row r="55" spans="1:9" ht="19" thickBot="1">
      <c r="A55" s="170"/>
      <c r="B55" s="171"/>
      <c r="C55" s="160" t="s">
        <v>56</v>
      </c>
      <c r="D55" s="161"/>
      <c r="E55" s="219">
        <f t="shared" ref="E55:E61" si="11">B30</f>
        <v>0</v>
      </c>
      <c r="F55" s="220"/>
      <c r="G55" s="220"/>
      <c r="H55" s="220"/>
      <c r="I55" s="226"/>
    </row>
    <row r="56" spans="1:9" ht="19" thickBot="1">
      <c r="A56" s="170"/>
      <c r="B56" s="171"/>
      <c r="C56" s="160" t="s">
        <v>56</v>
      </c>
      <c r="D56" s="161"/>
      <c r="E56" s="219">
        <f t="shared" si="11"/>
        <v>0</v>
      </c>
      <c r="F56" s="220"/>
      <c r="G56" s="220"/>
      <c r="H56" s="220"/>
      <c r="I56" s="226"/>
    </row>
    <row r="57" spans="1:9" ht="19" thickBot="1">
      <c r="A57" s="170"/>
      <c r="B57" s="171"/>
      <c r="C57" s="160" t="s">
        <v>56</v>
      </c>
      <c r="D57" s="161"/>
      <c r="E57" s="219">
        <f t="shared" si="11"/>
        <v>0</v>
      </c>
      <c r="F57" s="220"/>
      <c r="G57" s="220"/>
      <c r="H57" s="220"/>
      <c r="I57" s="226"/>
    </row>
    <row r="58" spans="1:9" ht="19" thickBot="1">
      <c r="A58" s="170"/>
      <c r="B58" s="171"/>
      <c r="C58" s="160" t="s">
        <v>56</v>
      </c>
      <c r="D58" s="161"/>
      <c r="E58" s="219">
        <f t="shared" si="11"/>
        <v>0</v>
      </c>
      <c r="F58" s="220"/>
      <c r="G58" s="220"/>
      <c r="H58" s="220"/>
      <c r="I58" s="226"/>
    </row>
    <row r="59" spans="1:9" ht="19" thickBot="1">
      <c r="A59" s="170"/>
      <c r="B59" s="171"/>
      <c r="C59" s="160" t="s">
        <v>56</v>
      </c>
      <c r="D59" s="161"/>
      <c r="E59" s="219">
        <f t="shared" si="11"/>
        <v>0</v>
      </c>
      <c r="F59" s="220"/>
      <c r="G59" s="220"/>
      <c r="H59" s="220"/>
      <c r="I59" s="226"/>
    </row>
    <row r="60" spans="1:9" ht="19" thickBot="1">
      <c r="A60" s="170"/>
      <c r="B60" s="171"/>
      <c r="C60" s="160" t="s">
        <v>56</v>
      </c>
      <c r="D60" s="161"/>
      <c r="E60" s="219">
        <f t="shared" si="11"/>
        <v>0</v>
      </c>
      <c r="F60" s="220"/>
      <c r="G60" s="220"/>
      <c r="H60" s="220"/>
      <c r="I60" s="226"/>
    </row>
    <row r="61" spans="1:9" ht="19" thickBot="1">
      <c r="A61" s="170"/>
      <c r="B61" s="171"/>
      <c r="C61" s="160" t="s">
        <v>56</v>
      </c>
      <c r="D61" s="161"/>
      <c r="E61" s="219">
        <f t="shared" si="11"/>
        <v>0</v>
      </c>
      <c r="F61" s="220"/>
      <c r="G61" s="220"/>
      <c r="H61" s="220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198" t="s">
        <v>55</v>
      </c>
      <c r="B1" s="199"/>
      <c r="C1" s="199"/>
      <c r="D1" s="199"/>
      <c r="E1" s="199"/>
      <c r="F1" s="199"/>
      <c r="G1" s="199"/>
      <c r="H1" s="199"/>
      <c r="I1" s="157"/>
    </row>
    <row r="2" spans="1:9" ht="15" customHeight="1" thickBot="1">
      <c r="A2" s="200"/>
      <c r="B2" s="201"/>
      <c r="C2" s="201"/>
      <c r="D2" s="201"/>
      <c r="E2" s="201"/>
      <c r="F2" s="201"/>
      <c r="G2" s="201"/>
      <c r="H2" s="201"/>
      <c r="I2" s="158"/>
    </row>
    <row r="3" spans="1:9" ht="14.5" customHeight="1">
      <c r="A3" s="202" t="s">
        <v>80</v>
      </c>
      <c r="B3" s="203"/>
      <c r="C3" s="203"/>
      <c r="D3" s="203"/>
      <c r="E3" s="203"/>
      <c r="F3" s="203"/>
      <c r="G3" s="203"/>
      <c r="H3" s="204"/>
      <c r="I3" s="158"/>
    </row>
    <row r="4" spans="1:9" ht="15" customHeight="1" thickBot="1">
      <c r="A4" s="200"/>
      <c r="B4" s="201"/>
      <c r="C4" s="201"/>
      <c r="D4" s="201"/>
      <c r="E4" s="201"/>
      <c r="F4" s="201"/>
      <c r="G4" s="201"/>
      <c r="H4" s="201"/>
      <c r="I4" s="158"/>
    </row>
    <row r="5" spans="1:9" ht="15" thickBot="1">
      <c r="A5" s="98" t="s">
        <v>38</v>
      </c>
      <c r="B5" s="30" t="s">
        <v>39</v>
      </c>
      <c r="C5" s="205" t="s">
        <v>40</v>
      </c>
      <c r="D5" s="206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07"/>
      <c r="D6" s="20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07"/>
      <c r="D7" s="20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88"/>
      <c r="D8" s="18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88"/>
      <c r="D9" s="18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88"/>
      <c r="D10" s="18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88"/>
      <c r="D11" s="18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88"/>
      <c r="D12" s="18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88"/>
      <c r="D13" s="18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88"/>
      <c r="D14" s="18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0" t="s">
        <v>49</v>
      </c>
      <c r="B15" s="191"/>
      <c r="C15" s="191"/>
      <c r="D15" s="191"/>
      <c r="E15" s="191"/>
      <c r="F15" s="191"/>
      <c r="G15" s="191"/>
      <c r="H15" s="191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195" t="s">
        <v>78</v>
      </c>
      <c r="B38" s="196"/>
      <c r="C38" s="63" t="s">
        <v>72</v>
      </c>
      <c r="D38" s="54"/>
      <c r="E38" s="193" t="s">
        <v>70</v>
      </c>
      <c r="F38" s="194"/>
      <c r="G38" s="62" t="s">
        <v>71</v>
      </c>
      <c r="H38" s="107" t="s">
        <v>72</v>
      </c>
      <c r="I38" s="158"/>
    </row>
    <row r="39" spans="1:9" ht="15" customHeight="1" thickBot="1">
      <c r="A39" s="209" t="s">
        <v>68</v>
      </c>
      <c r="B39" s="210"/>
      <c r="C39" s="55"/>
      <c r="D39" s="58"/>
      <c r="E39" s="192"/>
      <c r="F39" s="192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197"/>
      <c r="F40" s="197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87"/>
      <c r="F41" s="187"/>
      <c r="G41" s="60"/>
      <c r="H41" s="109"/>
      <c r="I41" s="158"/>
    </row>
    <row r="42" spans="1:9" ht="15" thickBot="1">
      <c r="A42" s="176" t="s">
        <v>74</v>
      </c>
      <c r="B42" s="177"/>
      <c r="C42" s="53"/>
      <c r="D42" s="56"/>
      <c r="E42" s="186"/>
      <c r="F42" s="187"/>
      <c r="G42" s="11"/>
      <c r="H42" s="109"/>
      <c r="I42" s="158"/>
    </row>
    <row r="43" spans="1:9" ht="15" thickBot="1">
      <c r="A43" s="178" t="s">
        <v>75</v>
      </c>
      <c r="B43" s="179"/>
      <c r="C43" s="90"/>
      <c r="D43" s="56"/>
      <c r="E43" s="186"/>
      <c r="F43" s="187"/>
      <c r="G43" s="11"/>
      <c r="H43" s="109"/>
      <c r="I43" s="158"/>
    </row>
    <row r="44" spans="1:9" ht="15" thickBot="1">
      <c r="A44" s="178" t="s">
        <v>76</v>
      </c>
      <c r="B44" s="179"/>
      <c r="C44" s="90"/>
      <c r="D44" s="57"/>
      <c r="E44" s="186"/>
      <c r="F44" s="187"/>
      <c r="G44" s="11"/>
      <c r="H44" s="109"/>
      <c r="I44" s="158"/>
    </row>
    <row r="45" spans="1:9" ht="15" thickBot="1">
      <c r="A45" s="178" t="s">
        <v>77</v>
      </c>
      <c r="B45" s="179"/>
      <c r="C45" s="91">
        <f>SUM(C39+C40+C41+C42+C43+C44)</f>
        <v>0</v>
      </c>
      <c r="D45" s="92"/>
      <c r="E45" s="184"/>
      <c r="F45" s="185"/>
      <c r="G45" s="93"/>
      <c r="H45" s="110"/>
      <c r="I45" s="158"/>
    </row>
    <row r="46" spans="1:9">
      <c r="A46" s="211" t="s">
        <v>57</v>
      </c>
      <c r="B46" s="212"/>
      <c r="C46" s="212"/>
      <c r="D46" s="212"/>
      <c r="E46" s="212"/>
      <c r="F46" s="212"/>
      <c r="G46" s="212"/>
      <c r="H46" s="212"/>
      <c r="I46" s="158"/>
    </row>
    <row r="47" spans="1:9" ht="15" thickBot="1">
      <c r="A47" s="213"/>
      <c r="B47" s="214"/>
      <c r="C47" s="214"/>
      <c r="D47" s="214"/>
      <c r="E47" s="214"/>
      <c r="F47" s="214"/>
      <c r="G47" s="214"/>
      <c r="H47" s="214"/>
      <c r="I47" s="158"/>
    </row>
    <row r="48" spans="1:9" ht="24" thickBot="1">
      <c r="A48" s="166" t="s">
        <v>9</v>
      </c>
      <c r="B48" s="167"/>
      <c r="C48" s="180" t="s">
        <v>58</v>
      </c>
      <c r="D48" s="181"/>
      <c r="E48" s="217" t="s">
        <v>59</v>
      </c>
      <c r="F48" s="218"/>
      <c r="G48" s="218"/>
      <c r="H48" s="218"/>
      <c r="I48" s="158"/>
    </row>
    <row r="49" spans="1:9" ht="19" thickBot="1">
      <c r="A49" s="168"/>
      <c r="B49" s="169"/>
      <c r="C49" s="182" t="s">
        <v>61</v>
      </c>
      <c r="D49" s="183"/>
      <c r="E49" s="215">
        <f>SUM(B9:B12)</f>
        <v>0</v>
      </c>
      <c r="F49" s="216"/>
      <c r="G49" s="216"/>
      <c r="H49" s="216"/>
      <c r="I49" s="158"/>
    </row>
    <row r="50" spans="1:9" ht="19" thickBot="1">
      <c r="A50" s="170"/>
      <c r="B50" s="171"/>
      <c r="C50" s="182" t="s">
        <v>46</v>
      </c>
      <c r="D50" s="183"/>
      <c r="E50" s="215">
        <f>SUM(B6:B8)</f>
        <v>0</v>
      </c>
      <c r="F50" s="216"/>
      <c r="G50" s="216"/>
      <c r="H50" s="216"/>
      <c r="I50" s="158"/>
    </row>
    <row r="51" spans="1:9" ht="19" thickBot="1">
      <c r="A51" s="170"/>
      <c r="B51" s="171"/>
      <c r="C51" s="182" t="s">
        <v>62</v>
      </c>
      <c r="D51" s="183"/>
      <c r="E51" s="215">
        <f>SUM(B13:B14)</f>
        <v>0</v>
      </c>
      <c r="F51" s="216"/>
      <c r="G51" s="216"/>
      <c r="H51" s="216"/>
      <c r="I51" s="158"/>
    </row>
    <row r="52" spans="1:9" ht="19" thickBot="1">
      <c r="A52" s="170"/>
      <c r="B52" s="171"/>
      <c r="C52" s="160" t="s">
        <v>63</v>
      </c>
      <c r="D52" s="161"/>
      <c r="E52" s="219">
        <f>SUM(B17:B18)</f>
        <v>0</v>
      </c>
      <c r="F52" s="220"/>
      <c r="G52" s="220"/>
      <c r="H52" s="220"/>
      <c r="I52" s="158"/>
    </row>
    <row r="53" spans="1:9" ht="19" thickBot="1">
      <c r="A53" s="170"/>
      <c r="B53" s="171"/>
      <c r="C53" s="160" t="s">
        <v>64</v>
      </c>
      <c r="D53" s="161"/>
      <c r="E53" s="219">
        <f>SUM(B19:B20)</f>
        <v>0</v>
      </c>
      <c r="F53" s="220"/>
      <c r="G53" s="220"/>
      <c r="H53" s="220"/>
      <c r="I53" s="158"/>
    </row>
    <row r="54" spans="1:9" ht="19" thickBot="1">
      <c r="A54" s="170"/>
      <c r="B54" s="171"/>
      <c r="C54" s="160" t="s">
        <v>56</v>
      </c>
      <c r="D54" s="161"/>
      <c r="E54" s="219">
        <f>B29</f>
        <v>0</v>
      </c>
      <c r="F54" s="220"/>
      <c r="G54" s="220"/>
      <c r="H54" s="220"/>
      <c r="I54" s="158"/>
    </row>
    <row r="55" spans="1:9" ht="19" thickBot="1">
      <c r="A55" s="170"/>
      <c r="B55" s="171"/>
      <c r="C55" s="160" t="s">
        <v>56</v>
      </c>
      <c r="D55" s="161"/>
      <c r="E55" s="219">
        <f t="shared" ref="E55:E61" si="11">B30</f>
        <v>0</v>
      </c>
      <c r="F55" s="220"/>
      <c r="G55" s="220"/>
      <c r="H55" s="220"/>
      <c r="I55" s="158"/>
    </row>
    <row r="56" spans="1:9" ht="19" thickBot="1">
      <c r="A56" s="170"/>
      <c r="B56" s="171"/>
      <c r="C56" s="160" t="s">
        <v>56</v>
      </c>
      <c r="D56" s="161"/>
      <c r="E56" s="219">
        <f t="shared" si="11"/>
        <v>0</v>
      </c>
      <c r="F56" s="220"/>
      <c r="G56" s="220"/>
      <c r="H56" s="220"/>
      <c r="I56" s="158"/>
    </row>
    <row r="57" spans="1:9" ht="19" thickBot="1">
      <c r="A57" s="170"/>
      <c r="B57" s="171"/>
      <c r="C57" s="160" t="s">
        <v>56</v>
      </c>
      <c r="D57" s="161"/>
      <c r="E57" s="219">
        <f t="shared" si="11"/>
        <v>0</v>
      </c>
      <c r="F57" s="220"/>
      <c r="G57" s="220"/>
      <c r="H57" s="220"/>
      <c r="I57" s="158"/>
    </row>
    <row r="58" spans="1:9" ht="19" thickBot="1">
      <c r="A58" s="170"/>
      <c r="B58" s="171"/>
      <c r="C58" s="160" t="s">
        <v>56</v>
      </c>
      <c r="D58" s="161"/>
      <c r="E58" s="219">
        <f t="shared" si="11"/>
        <v>0</v>
      </c>
      <c r="F58" s="220"/>
      <c r="G58" s="220"/>
      <c r="H58" s="220"/>
      <c r="I58" s="158"/>
    </row>
    <row r="59" spans="1:9" ht="19" thickBot="1">
      <c r="A59" s="170"/>
      <c r="B59" s="171"/>
      <c r="C59" s="160" t="s">
        <v>56</v>
      </c>
      <c r="D59" s="161"/>
      <c r="E59" s="219">
        <f t="shared" si="11"/>
        <v>0</v>
      </c>
      <c r="F59" s="220"/>
      <c r="G59" s="220"/>
      <c r="H59" s="220"/>
      <c r="I59" s="158"/>
    </row>
    <row r="60" spans="1:9" ht="19" thickBot="1">
      <c r="A60" s="170"/>
      <c r="B60" s="171"/>
      <c r="C60" s="160" t="s">
        <v>56</v>
      </c>
      <c r="D60" s="161"/>
      <c r="E60" s="219">
        <f t="shared" si="11"/>
        <v>0</v>
      </c>
      <c r="F60" s="220"/>
      <c r="G60" s="220"/>
      <c r="H60" s="220"/>
      <c r="I60" s="158"/>
    </row>
    <row r="61" spans="1:9" ht="19" thickBot="1">
      <c r="A61" s="170"/>
      <c r="B61" s="171"/>
      <c r="C61" s="160" t="s">
        <v>56</v>
      </c>
      <c r="D61" s="161"/>
      <c r="E61" s="219">
        <f t="shared" si="11"/>
        <v>0</v>
      </c>
      <c r="F61" s="220"/>
      <c r="G61" s="220"/>
      <c r="H61" s="220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198" t="s">
        <v>55</v>
      </c>
      <c r="B1" s="199"/>
      <c r="C1" s="199"/>
      <c r="D1" s="199"/>
      <c r="E1" s="199"/>
      <c r="F1" s="199"/>
      <c r="G1" s="199"/>
      <c r="H1" s="199"/>
      <c r="I1" s="157"/>
    </row>
    <row r="2" spans="1:9" ht="15" customHeight="1" thickBot="1">
      <c r="A2" s="200"/>
      <c r="B2" s="201"/>
      <c r="C2" s="201"/>
      <c r="D2" s="201"/>
      <c r="E2" s="201"/>
      <c r="F2" s="201"/>
      <c r="G2" s="201"/>
      <c r="H2" s="201"/>
      <c r="I2" s="158"/>
    </row>
    <row r="3" spans="1:9" ht="14.5" customHeight="1">
      <c r="A3" s="202" t="s">
        <v>80</v>
      </c>
      <c r="B3" s="203"/>
      <c r="C3" s="203"/>
      <c r="D3" s="203"/>
      <c r="E3" s="203"/>
      <c r="F3" s="203"/>
      <c r="G3" s="203"/>
      <c r="H3" s="204"/>
      <c r="I3" s="158"/>
    </row>
    <row r="4" spans="1:9" ht="15" customHeight="1" thickBot="1">
      <c r="A4" s="200"/>
      <c r="B4" s="201"/>
      <c r="C4" s="201"/>
      <c r="D4" s="201"/>
      <c r="E4" s="201"/>
      <c r="F4" s="201"/>
      <c r="G4" s="201"/>
      <c r="H4" s="201"/>
      <c r="I4" s="158"/>
    </row>
    <row r="5" spans="1:9" ht="15" thickBot="1">
      <c r="A5" s="98" t="s">
        <v>38</v>
      </c>
      <c r="B5" s="30" t="s">
        <v>39</v>
      </c>
      <c r="C5" s="205" t="s">
        <v>40</v>
      </c>
      <c r="D5" s="206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07"/>
      <c r="D6" s="20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07"/>
      <c r="D7" s="20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88"/>
      <c r="D8" s="18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88"/>
      <c r="D9" s="18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88"/>
      <c r="D10" s="18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88"/>
      <c r="D11" s="18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88"/>
      <c r="D12" s="18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88"/>
      <c r="D13" s="18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88"/>
      <c r="D14" s="18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0" t="s">
        <v>49</v>
      </c>
      <c r="B15" s="191"/>
      <c r="C15" s="191"/>
      <c r="D15" s="191"/>
      <c r="E15" s="191"/>
      <c r="F15" s="191"/>
      <c r="G15" s="191"/>
      <c r="H15" s="191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195" t="s">
        <v>78</v>
      </c>
      <c r="B38" s="196"/>
      <c r="C38" s="63" t="s">
        <v>72</v>
      </c>
      <c r="D38" s="54"/>
      <c r="E38" s="193" t="s">
        <v>70</v>
      </c>
      <c r="F38" s="194"/>
      <c r="G38" s="62" t="s">
        <v>71</v>
      </c>
      <c r="H38" s="107" t="s">
        <v>72</v>
      </c>
      <c r="I38" s="158"/>
    </row>
    <row r="39" spans="1:9" ht="15" customHeight="1" thickBot="1">
      <c r="A39" s="209" t="s">
        <v>68</v>
      </c>
      <c r="B39" s="210"/>
      <c r="C39" s="55"/>
      <c r="D39" s="58"/>
      <c r="E39" s="192"/>
      <c r="F39" s="192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197"/>
      <c r="F40" s="197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87"/>
      <c r="F41" s="187"/>
      <c r="G41" s="60"/>
      <c r="H41" s="109"/>
      <c r="I41" s="158"/>
    </row>
    <row r="42" spans="1:9" ht="15" thickBot="1">
      <c r="A42" s="176" t="s">
        <v>74</v>
      </c>
      <c r="B42" s="177"/>
      <c r="C42" s="53"/>
      <c r="D42" s="56"/>
      <c r="E42" s="186"/>
      <c r="F42" s="187"/>
      <c r="G42" s="11"/>
      <c r="H42" s="109"/>
      <c r="I42" s="158"/>
    </row>
    <row r="43" spans="1:9" ht="15" thickBot="1">
      <c r="A43" s="178" t="s">
        <v>75</v>
      </c>
      <c r="B43" s="179"/>
      <c r="C43" s="90"/>
      <c r="D43" s="56"/>
      <c r="E43" s="186"/>
      <c r="F43" s="187"/>
      <c r="G43" s="11"/>
      <c r="H43" s="109"/>
      <c r="I43" s="158"/>
    </row>
    <row r="44" spans="1:9" ht="15" thickBot="1">
      <c r="A44" s="178" t="s">
        <v>76</v>
      </c>
      <c r="B44" s="179"/>
      <c r="C44" s="90"/>
      <c r="D44" s="57"/>
      <c r="E44" s="186"/>
      <c r="F44" s="187"/>
      <c r="G44" s="11"/>
      <c r="H44" s="109"/>
      <c r="I44" s="158"/>
    </row>
    <row r="45" spans="1:9" ht="15" thickBot="1">
      <c r="A45" s="178" t="s">
        <v>77</v>
      </c>
      <c r="B45" s="179"/>
      <c r="C45" s="91">
        <f>SUM(C39+C40+C41+C42+C43+C44)</f>
        <v>0</v>
      </c>
      <c r="D45" s="92"/>
      <c r="E45" s="184"/>
      <c r="F45" s="185"/>
      <c r="G45" s="93"/>
      <c r="H45" s="110"/>
      <c r="I45" s="158"/>
    </row>
    <row r="46" spans="1:9">
      <c r="A46" s="211" t="s">
        <v>57</v>
      </c>
      <c r="B46" s="212"/>
      <c r="C46" s="212"/>
      <c r="D46" s="212"/>
      <c r="E46" s="212"/>
      <c r="F46" s="212"/>
      <c r="G46" s="212"/>
      <c r="H46" s="212"/>
      <c r="I46" s="158"/>
    </row>
    <row r="47" spans="1:9" ht="15" thickBot="1">
      <c r="A47" s="213"/>
      <c r="B47" s="214"/>
      <c r="C47" s="214"/>
      <c r="D47" s="214"/>
      <c r="E47" s="214"/>
      <c r="F47" s="214"/>
      <c r="G47" s="214"/>
      <c r="H47" s="214"/>
      <c r="I47" s="158"/>
    </row>
    <row r="48" spans="1:9" ht="24" thickBot="1">
      <c r="A48" s="166" t="s">
        <v>9</v>
      </c>
      <c r="B48" s="167"/>
      <c r="C48" s="180" t="s">
        <v>58</v>
      </c>
      <c r="D48" s="181"/>
      <c r="E48" s="217" t="s">
        <v>59</v>
      </c>
      <c r="F48" s="218"/>
      <c r="G48" s="218"/>
      <c r="H48" s="218"/>
      <c r="I48" s="158"/>
    </row>
    <row r="49" spans="1:9" ht="19" thickBot="1">
      <c r="A49" s="168"/>
      <c r="B49" s="169"/>
      <c r="C49" s="182" t="s">
        <v>61</v>
      </c>
      <c r="D49" s="183"/>
      <c r="E49" s="215">
        <f>SUM(B9:B12)</f>
        <v>0</v>
      </c>
      <c r="F49" s="216"/>
      <c r="G49" s="216"/>
      <c r="H49" s="216"/>
      <c r="I49" s="158"/>
    </row>
    <row r="50" spans="1:9" ht="19" thickBot="1">
      <c r="A50" s="170"/>
      <c r="B50" s="171"/>
      <c r="C50" s="182" t="s">
        <v>46</v>
      </c>
      <c r="D50" s="183"/>
      <c r="E50" s="215">
        <f>SUM(B6:B8)</f>
        <v>0</v>
      </c>
      <c r="F50" s="216"/>
      <c r="G50" s="216"/>
      <c r="H50" s="216"/>
      <c r="I50" s="158"/>
    </row>
    <row r="51" spans="1:9" ht="19" thickBot="1">
      <c r="A51" s="170"/>
      <c r="B51" s="171"/>
      <c r="C51" s="182" t="s">
        <v>62</v>
      </c>
      <c r="D51" s="183"/>
      <c r="E51" s="215">
        <f>SUM(B13:B14)</f>
        <v>0</v>
      </c>
      <c r="F51" s="216"/>
      <c r="G51" s="216"/>
      <c r="H51" s="216"/>
      <c r="I51" s="158"/>
    </row>
    <row r="52" spans="1:9" ht="19" thickBot="1">
      <c r="A52" s="170"/>
      <c r="B52" s="171"/>
      <c r="C52" s="160" t="s">
        <v>63</v>
      </c>
      <c r="D52" s="161"/>
      <c r="E52" s="219">
        <f>SUM(B17:B18)</f>
        <v>0</v>
      </c>
      <c r="F52" s="220"/>
      <c r="G52" s="220"/>
      <c r="H52" s="220"/>
      <c r="I52" s="158"/>
    </row>
    <row r="53" spans="1:9" ht="19" thickBot="1">
      <c r="A53" s="170"/>
      <c r="B53" s="171"/>
      <c r="C53" s="160" t="s">
        <v>64</v>
      </c>
      <c r="D53" s="161"/>
      <c r="E53" s="219">
        <f>SUM(B19:B20)</f>
        <v>0</v>
      </c>
      <c r="F53" s="220"/>
      <c r="G53" s="220"/>
      <c r="H53" s="220"/>
      <c r="I53" s="158"/>
    </row>
    <row r="54" spans="1:9" ht="19" thickBot="1">
      <c r="A54" s="170"/>
      <c r="B54" s="171"/>
      <c r="C54" s="160" t="s">
        <v>56</v>
      </c>
      <c r="D54" s="161"/>
      <c r="E54" s="219">
        <f>B29</f>
        <v>0</v>
      </c>
      <c r="F54" s="220"/>
      <c r="G54" s="220"/>
      <c r="H54" s="220"/>
      <c r="I54" s="158"/>
    </row>
    <row r="55" spans="1:9" ht="19" thickBot="1">
      <c r="A55" s="170"/>
      <c r="B55" s="171"/>
      <c r="C55" s="160" t="s">
        <v>56</v>
      </c>
      <c r="D55" s="161"/>
      <c r="E55" s="219">
        <f t="shared" ref="E55:E61" si="11">B30</f>
        <v>0</v>
      </c>
      <c r="F55" s="220"/>
      <c r="G55" s="220"/>
      <c r="H55" s="220"/>
      <c r="I55" s="158"/>
    </row>
    <row r="56" spans="1:9" ht="19" thickBot="1">
      <c r="A56" s="170"/>
      <c r="B56" s="171"/>
      <c r="C56" s="160" t="s">
        <v>56</v>
      </c>
      <c r="D56" s="161"/>
      <c r="E56" s="219">
        <f t="shared" si="11"/>
        <v>0</v>
      </c>
      <c r="F56" s="220"/>
      <c r="G56" s="220"/>
      <c r="H56" s="220"/>
      <c r="I56" s="158"/>
    </row>
    <row r="57" spans="1:9" ht="19" thickBot="1">
      <c r="A57" s="170"/>
      <c r="B57" s="171"/>
      <c r="C57" s="160" t="s">
        <v>56</v>
      </c>
      <c r="D57" s="161"/>
      <c r="E57" s="219">
        <f t="shared" si="11"/>
        <v>0</v>
      </c>
      <c r="F57" s="220"/>
      <c r="G57" s="220"/>
      <c r="H57" s="220"/>
      <c r="I57" s="158"/>
    </row>
    <row r="58" spans="1:9" ht="19" thickBot="1">
      <c r="A58" s="170"/>
      <c r="B58" s="171"/>
      <c r="C58" s="160" t="s">
        <v>56</v>
      </c>
      <c r="D58" s="161"/>
      <c r="E58" s="219">
        <f t="shared" si="11"/>
        <v>0</v>
      </c>
      <c r="F58" s="220"/>
      <c r="G58" s="220"/>
      <c r="H58" s="220"/>
      <c r="I58" s="158"/>
    </row>
    <row r="59" spans="1:9" ht="19" thickBot="1">
      <c r="A59" s="170"/>
      <c r="B59" s="171"/>
      <c r="C59" s="160" t="s">
        <v>56</v>
      </c>
      <c r="D59" s="161"/>
      <c r="E59" s="219">
        <f t="shared" si="11"/>
        <v>0</v>
      </c>
      <c r="F59" s="220"/>
      <c r="G59" s="220"/>
      <c r="H59" s="220"/>
      <c r="I59" s="158"/>
    </row>
    <row r="60" spans="1:9" ht="19" thickBot="1">
      <c r="A60" s="170"/>
      <c r="B60" s="171"/>
      <c r="C60" s="160" t="s">
        <v>56</v>
      </c>
      <c r="D60" s="161"/>
      <c r="E60" s="219">
        <f t="shared" si="11"/>
        <v>0</v>
      </c>
      <c r="F60" s="220"/>
      <c r="G60" s="220"/>
      <c r="H60" s="220"/>
      <c r="I60" s="158"/>
    </row>
    <row r="61" spans="1:9" ht="19" thickBot="1">
      <c r="A61" s="170"/>
      <c r="B61" s="171"/>
      <c r="C61" s="160" t="s">
        <v>56</v>
      </c>
      <c r="D61" s="161"/>
      <c r="E61" s="219">
        <f t="shared" si="11"/>
        <v>0</v>
      </c>
      <c r="F61" s="220"/>
      <c r="G61" s="220"/>
      <c r="H61" s="220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4"/>
  <sheetViews>
    <sheetView topLeftCell="A6" workbookViewId="0">
      <selection activeCell="E21" sqref="E21"/>
    </sheetView>
  </sheetViews>
  <sheetFormatPr defaultRowHeight="14.5"/>
  <cols>
    <col min="1" max="1" width="24" style="43" customWidth="1"/>
    <col min="2" max="2" width="15.90625" style="43" customWidth="1"/>
    <col min="3" max="3" width="18.54296875" style="43" customWidth="1"/>
    <col min="4" max="4" width="11.7265625" style="43" customWidth="1"/>
    <col min="5" max="5" width="24.089843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198" t="s">
        <v>55</v>
      </c>
      <c r="B1" s="199"/>
      <c r="C1" s="199"/>
      <c r="D1" s="199"/>
      <c r="E1" s="199"/>
      <c r="F1" s="199"/>
      <c r="G1" s="199"/>
      <c r="H1" s="199"/>
      <c r="I1" s="225"/>
    </row>
    <row r="2" spans="1:9" ht="23" customHeight="1" thickBot="1">
      <c r="A2" s="200"/>
      <c r="B2" s="201"/>
      <c r="C2" s="201"/>
      <c r="D2" s="201"/>
      <c r="E2" s="201"/>
      <c r="F2" s="201"/>
      <c r="G2" s="201"/>
      <c r="H2" s="201"/>
      <c r="I2" s="226"/>
    </row>
    <row r="3" spans="1:9" ht="14.5" customHeight="1">
      <c r="A3" s="202" t="s">
        <v>80</v>
      </c>
      <c r="B3" s="203"/>
      <c r="C3" s="203"/>
      <c r="D3" s="203"/>
      <c r="E3" s="203"/>
      <c r="F3" s="203"/>
      <c r="G3" s="203"/>
      <c r="H3" s="204"/>
      <c r="I3" s="226"/>
    </row>
    <row r="4" spans="1:9" ht="26" customHeight="1" thickBot="1">
      <c r="A4" s="200"/>
      <c r="B4" s="201"/>
      <c r="C4" s="201"/>
      <c r="D4" s="201"/>
      <c r="E4" s="201"/>
      <c r="F4" s="201"/>
      <c r="G4" s="201"/>
      <c r="H4" s="201"/>
      <c r="I4" s="226"/>
    </row>
    <row r="5" spans="1:9" ht="15" thickBot="1">
      <c r="A5" s="98" t="s">
        <v>38</v>
      </c>
      <c r="B5" s="30" t="s">
        <v>39</v>
      </c>
      <c r="C5" s="205" t="s">
        <v>40</v>
      </c>
      <c r="D5" s="206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07"/>
      <c r="D6" s="20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07"/>
      <c r="D7" s="20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88"/>
      <c r="D8" s="18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88"/>
      <c r="D9" s="18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88"/>
      <c r="D10" s="18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88"/>
      <c r="D11" s="18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88"/>
      <c r="D12" s="18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88"/>
      <c r="D13" s="18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88"/>
      <c r="D14" s="18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0" t="s">
        <v>49</v>
      </c>
      <c r="B15" s="191"/>
      <c r="C15" s="191"/>
      <c r="D15" s="191"/>
      <c r="E15" s="191"/>
      <c r="F15" s="191"/>
      <c r="G15" s="191"/>
      <c r="H15" s="191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195" t="s">
        <v>78</v>
      </c>
      <c r="B38" s="196"/>
      <c r="C38" s="63" t="s">
        <v>72</v>
      </c>
      <c r="D38" s="54"/>
      <c r="E38" s="193" t="s">
        <v>70</v>
      </c>
      <c r="F38" s="194"/>
      <c r="G38" s="62" t="s">
        <v>71</v>
      </c>
      <c r="H38" s="107" t="s">
        <v>72</v>
      </c>
      <c r="I38" s="226"/>
    </row>
    <row r="39" spans="1:9" ht="15" thickBot="1">
      <c r="A39" s="209" t="s">
        <v>68</v>
      </c>
      <c r="B39" s="210"/>
      <c r="C39" s="55"/>
      <c r="D39" s="58"/>
      <c r="E39" s="192"/>
      <c r="F39" s="192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197"/>
      <c r="F40" s="197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87"/>
      <c r="F41" s="187"/>
      <c r="G41" s="60"/>
      <c r="H41" s="109"/>
      <c r="I41" s="226"/>
    </row>
    <row r="42" spans="1:9" ht="15" thickBot="1">
      <c r="A42" s="176" t="s">
        <v>74</v>
      </c>
      <c r="B42" s="177"/>
      <c r="C42" s="53"/>
      <c r="D42" s="56"/>
      <c r="E42" s="186"/>
      <c r="F42" s="187"/>
      <c r="G42" s="11"/>
      <c r="H42" s="109"/>
      <c r="I42" s="226"/>
    </row>
    <row r="43" spans="1:9" ht="15" thickBot="1">
      <c r="A43" s="178" t="s">
        <v>75</v>
      </c>
      <c r="B43" s="179"/>
      <c r="C43" s="90"/>
      <c r="D43" s="56"/>
      <c r="E43" s="186"/>
      <c r="F43" s="187"/>
      <c r="G43" s="11"/>
      <c r="H43" s="109"/>
      <c r="I43" s="226"/>
    </row>
    <row r="44" spans="1:9" ht="15" thickBot="1">
      <c r="A44" s="178" t="s">
        <v>76</v>
      </c>
      <c r="B44" s="179"/>
      <c r="C44" s="90"/>
      <c r="D44" s="57"/>
      <c r="E44" s="186"/>
      <c r="F44" s="187"/>
      <c r="G44" s="11"/>
      <c r="H44" s="109"/>
      <c r="I44" s="226"/>
    </row>
    <row r="45" spans="1:9" ht="15" thickBot="1">
      <c r="A45" s="178" t="s">
        <v>77</v>
      </c>
      <c r="B45" s="179"/>
      <c r="C45" s="91">
        <f>SUM(C39+C40+C41+C42+C43+C44)</f>
        <v>0</v>
      </c>
      <c r="D45" s="92"/>
      <c r="E45" s="184"/>
      <c r="F45" s="185"/>
      <c r="G45" s="93"/>
      <c r="H45" s="110"/>
      <c r="I45" s="226"/>
    </row>
    <row r="46" spans="1:9" ht="14.5" customHeight="1">
      <c r="A46" s="211" t="s">
        <v>57</v>
      </c>
      <c r="B46" s="212"/>
      <c r="C46" s="212"/>
      <c r="D46" s="212"/>
      <c r="E46" s="212"/>
      <c r="F46" s="212"/>
      <c r="G46" s="212"/>
      <c r="H46" s="212"/>
      <c r="I46" s="226"/>
    </row>
    <row r="47" spans="1:9" ht="15" customHeight="1" thickBot="1">
      <c r="A47" s="213"/>
      <c r="B47" s="214"/>
      <c r="C47" s="214"/>
      <c r="D47" s="214"/>
      <c r="E47" s="214"/>
      <c r="F47" s="214"/>
      <c r="G47" s="214"/>
      <c r="H47" s="214"/>
      <c r="I47" s="226"/>
    </row>
    <row r="48" spans="1:9" ht="24" thickBot="1">
      <c r="A48" s="166" t="s">
        <v>9</v>
      </c>
      <c r="B48" s="167"/>
      <c r="C48" s="180" t="s">
        <v>58</v>
      </c>
      <c r="D48" s="181"/>
      <c r="E48" s="217" t="s">
        <v>59</v>
      </c>
      <c r="F48" s="218"/>
      <c r="G48" s="218"/>
      <c r="H48" s="218"/>
      <c r="I48" s="226"/>
    </row>
    <row r="49" spans="1:9" ht="19" thickBot="1">
      <c r="A49" s="168"/>
      <c r="B49" s="169"/>
      <c r="C49" s="182" t="s">
        <v>61</v>
      </c>
      <c r="D49" s="183"/>
      <c r="E49" s="215">
        <f>SUM(B9:B12)</f>
        <v>0</v>
      </c>
      <c r="F49" s="216"/>
      <c r="G49" s="216"/>
      <c r="H49" s="216"/>
      <c r="I49" s="226"/>
    </row>
    <row r="50" spans="1:9" ht="19" thickBot="1">
      <c r="A50" s="170"/>
      <c r="B50" s="171"/>
      <c r="C50" s="182" t="s">
        <v>46</v>
      </c>
      <c r="D50" s="183"/>
      <c r="E50" s="215">
        <f>SUM(B6:B8)</f>
        <v>0</v>
      </c>
      <c r="F50" s="216"/>
      <c r="G50" s="216"/>
      <c r="H50" s="216"/>
      <c r="I50" s="226"/>
    </row>
    <row r="51" spans="1:9" ht="19" thickBot="1">
      <c r="A51" s="170"/>
      <c r="B51" s="171"/>
      <c r="C51" s="182" t="s">
        <v>62</v>
      </c>
      <c r="D51" s="183"/>
      <c r="E51" s="215">
        <f>SUM(B13:B14)</f>
        <v>0</v>
      </c>
      <c r="F51" s="216"/>
      <c r="G51" s="216"/>
      <c r="H51" s="216"/>
      <c r="I51" s="226"/>
    </row>
    <row r="52" spans="1:9" ht="19" thickBot="1">
      <c r="A52" s="170"/>
      <c r="B52" s="171"/>
      <c r="C52" s="160" t="s">
        <v>63</v>
      </c>
      <c r="D52" s="161"/>
      <c r="E52" s="219">
        <f>SUM(B17:B18)</f>
        <v>0</v>
      </c>
      <c r="F52" s="220"/>
      <c r="G52" s="220"/>
      <c r="H52" s="220"/>
      <c r="I52" s="226"/>
    </row>
    <row r="53" spans="1:9" ht="19" thickBot="1">
      <c r="A53" s="170"/>
      <c r="B53" s="171"/>
      <c r="C53" s="160" t="s">
        <v>64</v>
      </c>
      <c r="D53" s="161"/>
      <c r="E53" s="219">
        <f>SUM(B19:B20)</f>
        <v>0</v>
      </c>
      <c r="F53" s="220"/>
      <c r="G53" s="220"/>
      <c r="H53" s="220"/>
      <c r="I53" s="226"/>
    </row>
    <row r="54" spans="1:9" ht="19" thickBot="1">
      <c r="A54" s="170"/>
      <c r="B54" s="171"/>
      <c r="C54" s="160" t="s">
        <v>56</v>
      </c>
      <c r="D54" s="161"/>
      <c r="E54" s="219">
        <f>B29</f>
        <v>0</v>
      </c>
      <c r="F54" s="220"/>
      <c r="G54" s="220"/>
      <c r="H54" s="220"/>
      <c r="I54" s="226"/>
    </row>
    <row r="55" spans="1:9" ht="19" thickBot="1">
      <c r="A55" s="170"/>
      <c r="B55" s="171"/>
      <c r="C55" s="160" t="s">
        <v>56</v>
      </c>
      <c r="D55" s="161"/>
      <c r="E55" s="219">
        <f t="shared" ref="E55:E61" si="11">B30</f>
        <v>0</v>
      </c>
      <c r="F55" s="220"/>
      <c r="G55" s="220"/>
      <c r="H55" s="220"/>
      <c r="I55" s="226"/>
    </row>
    <row r="56" spans="1:9" ht="19" thickBot="1">
      <c r="A56" s="170"/>
      <c r="B56" s="171"/>
      <c r="C56" s="160" t="s">
        <v>56</v>
      </c>
      <c r="D56" s="161"/>
      <c r="E56" s="219">
        <f t="shared" si="11"/>
        <v>0</v>
      </c>
      <c r="F56" s="220"/>
      <c r="G56" s="220"/>
      <c r="H56" s="220"/>
      <c r="I56" s="226"/>
    </row>
    <row r="57" spans="1:9" ht="19" thickBot="1">
      <c r="A57" s="170"/>
      <c r="B57" s="171"/>
      <c r="C57" s="160" t="s">
        <v>56</v>
      </c>
      <c r="D57" s="161"/>
      <c r="E57" s="219">
        <f t="shared" si="11"/>
        <v>0</v>
      </c>
      <c r="F57" s="220"/>
      <c r="G57" s="220"/>
      <c r="H57" s="220"/>
      <c r="I57" s="226"/>
    </row>
    <row r="58" spans="1:9" ht="19" thickBot="1">
      <c r="A58" s="170"/>
      <c r="B58" s="171"/>
      <c r="C58" s="160" t="s">
        <v>56</v>
      </c>
      <c r="D58" s="161"/>
      <c r="E58" s="219">
        <f t="shared" si="11"/>
        <v>0</v>
      </c>
      <c r="F58" s="220"/>
      <c r="G58" s="220"/>
      <c r="H58" s="220"/>
      <c r="I58" s="226"/>
    </row>
    <row r="59" spans="1:9" ht="19" thickBot="1">
      <c r="A59" s="170"/>
      <c r="B59" s="171"/>
      <c r="C59" s="160" t="s">
        <v>56</v>
      </c>
      <c r="D59" s="161"/>
      <c r="E59" s="219">
        <f t="shared" si="11"/>
        <v>0</v>
      </c>
      <c r="F59" s="220"/>
      <c r="G59" s="220"/>
      <c r="H59" s="220"/>
      <c r="I59" s="226"/>
    </row>
    <row r="60" spans="1:9" ht="19" thickBot="1">
      <c r="A60" s="170"/>
      <c r="B60" s="171"/>
      <c r="C60" s="160" t="s">
        <v>56</v>
      </c>
      <c r="D60" s="161"/>
      <c r="E60" s="219">
        <f t="shared" si="11"/>
        <v>0</v>
      </c>
      <c r="F60" s="220"/>
      <c r="G60" s="220"/>
      <c r="H60" s="220"/>
      <c r="I60" s="226"/>
    </row>
    <row r="61" spans="1:9" ht="19" thickBot="1">
      <c r="A61" s="170"/>
      <c r="B61" s="171"/>
      <c r="C61" s="160" t="s">
        <v>56</v>
      </c>
      <c r="D61" s="161"/>
      <c r="E61" s="219">
        <f t="shared" si="11"/>
        <v>0</v>
      </c>
      <c r="F61" s="220"/>
      <c r="G61" s="220"/>
      <c r="H61" s="220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60:H60"/>
    <mergeCell ref="E61:H61"/>
    <mergeCell ref="E62:H62"/>
    <mergeCell ref="E63:H63"/>
    <mergeCell ref="C61:D61"/>
    <mergeCell ref="C62:D62"/>
    <mergeCell ref="C63:D63"/>
    <mergeCell ref="A42:B42"/>
    <mergeCell ref="E42:F42"/>
    <mergeCell ref="A43:B43"/>
    <mergeCell ref="A46:H47"/>
    <mergeCell ref="E49:H49"/>
    <mergeCell ref="E38:F38"/>
    <mergeCell ref="E39:F39"/>
    <mergeCell ref="A40:B40"/>
    <mergeCell ref="E40:F40"/>
    <mergeCell ref="A41:B41"/>
    <mergeCell ref="E41:F41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C60:D60"/>
    <mergeCell ref="A44:B44"/>
    <mergeCell ref="E44:F44"/>
    <mergeCell ref="A45:B45"/>
    <mergeCell ref="E45:F45"/>
    <mergeCell ref="E48:H48"/>
    <mergeCell ref="E50:H50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198" t="s">
        <v>55</v>
      </c>
      <c r="B1" s="199"/>
      <c r="C1" s="199"/>
      <c r="D1" s="199"/>
      <c r="E1" s="199"/>
      <c r="F1" s="199"/>
      <c r="G1" s="199"/>
      <c r="H1" s="199"/>
      <c r="I1" s="157"/>
    </row>
    <row r="2" spans="1:9" ht="24" customHeight="1" thickBot="1">
      <c r="A2" s="200"/>
      <c r="B2" s="201"/>
      <c r="C2" s="201"/>
      <c r="D2" s="201"/>
      <c r="E2" s="201"/>
      <c r="F2" s="201"/>
      <c r="G2" s="201"/>
      <c r="H2" s="201"/>
      <c r="I2" s="158"/>
    </row>
    <row r="3" spans="1:9" ht="14.5" customHeight="1">
      <c r="A3" s="202" t="s">
        <v>80</v>
      </c>
      <c r="B3" s="203"/>
      <c r="C3" s="203"/>
      <c r="D3" s="203"/>
      <c r="E3" s="203"/>
      <c r="F3" s="203"/>
      <c r="G3" s="203"/>
      <c r="H3" s="204"/>
      <c r="I3" s="158"/>
    </row>
    <row r="4" spans="1:9" ht="21" customHeight="1" thickBot="1">
      <c r="A4" s="200"/>
      <c r="B4" s="201"/>
      <c r="C4" s="201"/>
      <c r="D4" s="201"/>
      <c r="E4" s="201"/>
      <c r="F4" s="201"/>
      <c r="G4" s="201"/>
      <c r="H4" s="201"/>
      <c r="I4" s="158"/>
    </row>
    <row r="5" spans="1:9" ht="15" thickBot="1">
      <c r="A5" s="98" t="s">
        <v>38</v>
      </c>
      <c r="B5" s="30" t="s">
        <v>39</v>
      </c>
      <c r="C5" s="205" t="s">
        <v>40</v>
      </c>
      <c r="D5" s="206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07"/>
      <c r="D6" s="20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07"/>
      <c r="D7" s="20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88"/>
      <c r="D8" s="18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88"/>
      <c r="D9" s="18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88"/>
      <c r="D10" s="18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88"/>
      <c r="D11" s="18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88"/>
      <c r="D12" s="18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88"/>
      <c r="D13" s="18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88"/>
      <c r="D14" s="18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0" t="s">
        <v>49</v>
      </c>
      <c r="B15" s="191"/>
      <c r="C15" s="191"/>
      <c r="D15" s="191"/>
      <c r="E15" s="191"/>
      <c r="F15" s="191"/>
      <c r="G15" s="191"/>
      <c r="H15" s="191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5" thickBot="1">
      <c r="A38" s="195" t="s">
        <v>78</v>
      </c>
      <c r="B38" s="196"/>
      <c r="C38" s="63" t="s">
        <v>72</v>
      </c>
      <c r="D38" s="54"/>
      <c r="E38" s="193" t="s">
        <v>70</v>
      </c>
      <c r="F38" s="194"/>
      <c r="G38" s="62" t="s">
        <v>71</v>
      </c>
      <c r="H38" s="107" t="s">
        <v>72</v>
      </c>
      <c r="I38" s="158"/>
    </row>
    <row r="39" spans="1:9" ht="15" thickBot="1">
      <c r="A39" s="209" t="s">
        <v>68</v>
      </c>
      <c r="B39" s="210"/>
      <c r="C39" s="55"/>
      <c r="D39" s="58"/>
      <c r="E39" s="192"/>
      <c r="F39" s="192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197"/>
      <c r="F40" s="197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87"/>
      <c r="F41" s="187"/>
      <c r="G41" s="60"/>
      <c r="H41" s="109"/>
      <c r="I41" s="158"/>
    </row>
    <row r="42" spans="1:9" ht="15" thickBot="1">
      <c r="A42" s="176" t="s">
        <v>74</v>
      </c>
      <c r="B42" s="177"/>
      <c r="C42" s="53"/>
      <c r="D42" s="56"/>
      <c r="E42" s="186"/>
      <c r="F42" s="187"/>
      <c r="G42" s="11"/>
      <c r="H42" s="109"/>
      <c r="I42" s="158"/>
    </row>
    <row r="43" spans="1:9" ht="15" thickBot="1">
      <c r="A43" s="178" t="s">
        <v>75</v>
      </c>
      <c r="B43" s="179"/>
      <c r="C43" s="90"/>
      <c r="D43" s="56"/>
      <c r="E43" s="186"/>
      <c r="F43" s="187"/>
      <c r="G43" s="11"/>
      <c r="H43" s="109"/>
      <c r="I43" s="158"/>
    </row>
    <row r="44" spans="1:9" ht="15" thickBot="1">
      <c r="A44" s="178" t="s">
        <v>76</v>
      </c>
      <c r="B44" s="179"/>
      <c r="C44" s="90"/>
      <c r="D44" s="57"/>
      <c r="E44" s="186"/>
      <c r="F44" s="187"/>
      <c r="G44" s="11"/>
      <c r="H44" s="109"/>
      <c r="I44" s="158"/>
    </row>
    <row r="45" spans="1:9" ht="15" thickBot="1">
      <c r="A45" s="178" t="s">
        <v>77</v>
      </c>
      <c r="B45" s="179"/>
      <c r="C45" s="91">
        <f>SUM(C39+C40+C41+C42+C43+C44)</f>
        <v>0</v>
      </c>
      <c r="D45" s="92"/>
      <c r="E45" s="184"/>
      <c r="F45" s="185"/>
      <c r="G45" s="93"/>
      <c r="H45" s="110"/>
      <c r="I45" s="158"/>
    </row>
    <row r="46" spans="1:9" ht="14.5" customHeight="1">
      <c r="A46" s="211" t="s">
        <v>57</v>
      </c>
      <c r="B46" s="212"/>
      <c r="C46" s="212"/>
      <c r="D46" s="212"/>
      <c r="E46" s="212"/>
      <c r="F46" s="212"/>
      <c r="G46" s="212"/>
      <c r="H46" s="212"/>
      <c r="I46" s="158"/>
    </row>
    <row r="47" spans="1:9" ht="15" customHeight="1" thickBot="1">
      <c r="A47" s="213"/>
      <c r="B47" s="214"/>
      <c r="C47" s="214"/>
      <c r="D47" s="214"/>
      <c r="E47" s="214"/>
      <c r="F47" s="214"/>
      <c r="G47" s="214"/>
      <c r="H47" s="214"/>
      <c r="I47" s="158"/>
    </row>
    <row r="48" spans="1:9" ht="24" thickBot="1">
      <c r="A48" s="166" t="s">
        <v>9</v>
      </c>
      <c r="B48" s="167"/>
      <c r="C48" s="180" t="s">
        <v>58</v>
      </c>
      <c r="D48" s="181"/>
      <c r="E48" s="217" t="s">
        <v>59</v>
      </c>
      <c r="F48" s="218"/>
      <c r="G48" s="218"/>
      <c r="H48" s="218"/>
      <c r="I48" s="158"/>
    </row>
    <row r="49" spans="1:9" ht="19" thickBot="1">
      <c r="A49" s="168"/>
      <c r="B49" s="169"/>
      <c r="C49" s="182" t="s">
        <v>61</v>
      </c>
      <c r="D49" s="183"/>
      <c r="E49" s="215">
        <f>SUM(B9:B12)</f>
        <v>0</v>
      </c>
      <c r="F49" s="216"/>
      <c r="G49" s="216"/>
      <c r="H49" s="216"/>
      <c r="I49" s="158"/>
    </row>
    <row r="50" spans="1:9" ht="19" thickBot="1">
      <c r="A50" s="170"/>
      <c r="B50" s="171"/>
      <c r="C50" s="182" t="s">
        <v>46</v>
      </c>
      <c r="D50" s="183"/>
      <c r="E50" s="215">
        <f>SUM(B6:B8)</f>
        <v>0</v>
      </c>
      <c r="F50" s="216"/>
      <c r="G50" s="216"/>
      <c r="H50" s="216"/>
      <c r="I50" s="158"/>
    </row>
    <row r="51" spans="1:9" ht="19" thickBot="1">
      <c r="A51" s="170"/>
      <c r="B51" s="171"/>
      <c r="C51" s="182" t="s">
        <v>62</v>
      </c>
      <c r="D51" s="183"/>
      <c r="E51" s="215">
        <f>SUM(B13:B14)</f>
        <v>0</v>
      </c>
      <c r="F51" s="216"/>
      <c r="G51" s="216"/>
      <c r="H51" s="216"/>
      <c r="I51" s="158"/>
    </row>
    <row r="52" spans="1:9" ht="19" thickBot="1">
      <c r="A52" s="170"/>
      <c r="B52" s="171"/>
      <c r="C52" s="160" t="s">
        <v>63</v>
      </c>
      <c r="D52" s="161"/>
      <c r="E52" s="219">
        <f>SUM(B17:B18)</f>
        <v>0</v>
      </c>
      <c r="F52" s="220"/>
      <c r="G52" s="220"/>
      <c r="H52" s="220"/>
      <c r="I52" s="158"/>
    </row>
    <row r="53" spans="1:9" ht="19" thickBot="1">
      <c r="A53" s="170"/>
      <c r="B53" s="171"/>
      <c r="C53" s="160" t="s">
        <v>64</v>
      </c>
      <c r="D53" s="161"/>
      <c r="E53" s="219">
        <f>SUM(B19:B20)</f>
        <v>0</v>
      </c>
      <c r="F53" s="220"/>
      <c r="G53" s="220"/>
      <c r="H53" s="220"/>
      <c r="I53" s="158"/>
    </row>
    <row r="54" spans="1:9" ht="19" thickBot="1">
      <c r="A54" s="170"/>
      <c r="B54" s="171"/>
      <c r="C54" s="160" t="s">
        <v>56</v>
      </c>
      <c r="D54" s="161"/>
      <c r="E54" s="219">
        <f>B29</f>
        <v>0</v>
      </c>
      <c r="F54" s="220"/>
      <c r="G54" s="220"/>
      <c r="H54" s="220"/>
      <c r="I54" s="158"/>
    </row>
    <row r="55" spans="1:9" ht="19" thickBot="1">
      <c r="A55" s="170"/>
      <c r="B55" s="171"/>
      <c r="C55" s="160" t="s">
        <v>56</v>
      </c>
      <c r="D55" s="161"/>
      <c r="E55" s="219">
        <f t="shared" ref="E55:E61" si="11">B30</f>
        <v>0</v>
      </c>
      <c r="F55" s="220"/>
      <c r="G55" s="220"/>
      <c r="H55" s="220"/>
      <c r="I55" s="158"/>
    </row>
    <row r="56" spans="1:9" ht="19" thickBot="1">
      <c r="A56" s="170"/>
      <c r="B56" s="171"/>
      <c r="C56" s="160" t="s">
        <v>56</v>
      </c>
      <c r="D56" s="161"/>
      <c r="E56" s="219">
        <f t="shared" si="11"/>
        <v>0</v>
      </c>
      <c r="F56" s="220"/>
      <c r="G56" s="220"/>
      <c r="H56" s="220"/>
      <c r="I56" s="158"/>
    </row>
    <row r="57" spans="1:9" ht="19" thickBot="1">
      <c r="A57" s="170"/>
      <c r="B57" s="171"/>
      <c r="C57" s="160" t="s">
        <v>56</v>
      </c>
      <c r="D57" s="161"/>
      <c r="E57" s="219">
        <f t="shared" si="11"/>
        <v>0</v>
      </c>
      <c r="F57" s="220"/>
      <c r="G57" s="220"/>
      <c r="H57" s="220"/>
      <c r="I57" s="158"/>
    </row>
    <row r="58" spans="1:9" ht="19" thickBot="1">
      <c r="A58" s="170"/>
      <c r="B58" s="171"/>
      <c r="C58" s="160" t="s">
        <v>56</v>
      </c>
      <c r="D58" s="161"/>
      <c r="E58" s="219">
        <f t="shared" si="11"/>
        <v>0</v>
      </c>
      <c r="F58" s="220"/>
      <c r="G58" s="220"/>
      <c r="H58" s="220"/>
      <c r="I58" s="158"/>
    </row>
    <row r="59" spans="1:9" ht="19" thickBot="1">
      <c r="A59" s="170"/>
      <c r="B59" s="171"/>
      <c r="C59" s="160" t="s">
        <v>56</v>
      </c>
      <c r="D59" s="161"/>
      <c r="E59" s="219">
        <f t="shared" si="11"/>
        <v>0</v>
      </c>
      <c r="F59" s="220"/>
      <c r="G59" s="220"/>
      <c r="H59" s="220"/>
      <c r="I59" s="158"/>
    </row>
    <row r="60" spans="1:9" ht="19" thickBot="1">
      <c r="A60" s="170"/>
      <c r="B60" s="171"/>
      <c r="C60" s="160" t="s">
        <v>56</v>
      </c>
      <c r="D60" s="161"/>
      <c r="E60" s="219">
        <f t="shared" si="11"/>
        <v>0</v>
      </c>
      <c r="F60" s="220"/>
      <c r="G60" s="220"/>
      <c r="H60" s="220"/>
      <c r="I60" s="158"/>
    </row>
    <row r="61" spans="1:9" ht="19" thickBot="1">
      <c r="A61" s="170"/>
      <c r="B61" s="171"/>
      <c r="C61" s="160" t="s">
        <v>56</v>
      </c>
      <c r="D61" s="161"/>
      <c r="E61" s="219">
        <f t="shared" si="11"/>
        <v>0</v>
      </c>
      <c r="F61" s="220"/>
      <c r="G61" s="220"/>
      <c r="H61" s="220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60:H60"/>
    <mergeCell ref="E61:H61"/>
    <mergeCell ref="E62:H62"/>
    <mergeCell ref="E63:H63"/>
    <mergeCell ref="C61:D61"/>
    <mergeCell ref="C62:D62"/>
    <mergeCell ref="C63:D63"/>
    <mergeCell ref="A42:B42"/>
    <mergeCell ref="E42:F42"/>
    <mergeCell ref="A46:H47"/>
    <mergeCell ref="E49:H49"/>
    <mergeCell ref="E50:H50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C60:D60"/>
    <mergeCell ref="E43:F43"/>
    <mergeCell ref="A44:B44"/>
    <mergeCell ref="E44:F44"/>
    <mergeCell ref="E45:F45"/>
    <mergeCell ref="A45:B45"/>
    <mergeCell ref="E48:H48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198" t="s">
        <v>55</v>
      </c>
      <c r="B1" s="199"/>
      <c r="C1" s="199"/>
      <c r="D1" s="199"/>
      <c r="E1" s="199"/>
      <c r="F1" s="199"/>
      <c r="G1" s="199"/>
      <c r="H1" s="199"/>
      <c r="I1" s="157"/>
    </row>
    <row r="2" spans="1:9" ht="23" customHeight="1" thickBot="1">
      <c r="A2" s="200"/>
      <c r="B2" s="201"/>
      <c r="C2" s="201"/>
      <c r="D2" s="201"/>
      <c r="E2" s="201"/>
      <c r="F2" s="201"/>
      <c r="G2" s="201"/>
      <c r="H2" s="201"/>
      <c r="I2" s="158"/>
    </row>
    <row r="3" spans="1:9" ht="14.5" customHeight="1">
      <c r="A3" s="202" t="s">
        <v>80</v>
      </c>
      <c r="B3" s="203"/>
      <c r="C3" s="203"/>
      <c r="D3" s="203"/>
      <c r="E3" s="203"/>
      <c r="F3" s="203"/>
      <c r="G3" s="203"/>
      <c r="H3" s="204"/>
      <c r="I3" s="158"/>
    </row>
    <row r="4" spans="1:9" ht="20.5" customHeight="1" thickBot="1">
      <c r="A4" s="200"/>
      <c r="B4" s="201"/>
      <c r="C4" s="201"/>
      <c r="D4" s="201"/>
      <c r="E4" s="201"/>
      <c r="F4" s="201"/>
      <c r="G4" s="201"/>
      <c r="H4" s="201"/>
      <c r="I4" s="158"/>
    </row>
    <row r="5" spans="1:9" ht="15" thickBot="1">
      <c r="A5" s="98" t="s">
        <v>38</v>
      </c>
      <c r="B5" s="30" t="s">
        <v>39</v>
      </c>
      <c r="C5" s="205" t="s">
        <v>40</v>
      </c>
      <c r="D5" s="206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07"/>
      <c r="D6" s="20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07"/>
      <c r="D7" s="20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88"/>
      <c r="D8" s="18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88"/>
      <c r="D9" s="18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88"/>
      <c r="D10" s="18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88"/>
      <c r="D11" s="18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88"/>
      <c r="D12" s="18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88"/>
      <c r="D13" s="18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88"/>
      <c r="D14" s="18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s="43" customFormat="1" ht="26.5" thickBot="1">
      <c r="A15" s="190" t="s">
        <v>49</v>
      </c>
      <c r="B15" s="191"/>
      <c r="C15" s="191"/>
      <c r="D15" s="191"/>
      <c r="E15" s="191"/>
      <c r="F15" s="191"/>
      <c r="G15" s="191"/>
      <c r="H15" s="191"/>
      <c r="I15" s="158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5" thickBot="1">
      <c r="A38" s="195" t="s">
        <v>78</v>
      </c>
      <c r="B38" s="196"/>
      <c r="C38" s="63" t="s">
        <v>72</v>
      </c>
      <c r="D38" s="54"/>
      <c r="E38" s="193" t="s">
        <v>70</v>
      </c>
      <c r="F38" s="194"/>
      <c r="G38" s="62" t="s">
        <v>71</v>
      </c>
      <c r="H38" s="107" t="s">
        <v>72</v>
      </c>
      <c r="I38" s="158"/>
    </row>
    <row r="39" spans="1:9" ht="14.5" customHeight="1" thickBot="1">
      <c r="A39" s="209" t="s">
        <v>68</v>
      </c>
      <c r="B39" s="210"/>
      <c r="C39" s="55"/>
      <c r="D39" s="58"/>
      <c r="E39" s="192"/>
      <c r="F39" s="192"/>
      <c r="G39" s="61"/>
      <c r="H39" s="108"/>
      <c r="I39" s="158"/>
    </row>
    <row r="40" spans="1:9" ht="15" customHeight="1" thickBot="1">
      <c r="A40" s="174" t="s">
        <v>69</v>
      </c>
      <c r="B40" s="175"/>
      <c r="C40" s="51"/>
      <c r="D40" s="59"/>
      <c r="E40" s="197"/>
      <c r="F40" s="197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87"/>
      <c r="F41" s="187"/>
      <c r="G41" s="60"/>
      <c r="H41" s="109"/>
      <c r="I41" s="158"/>
    </row>
    <row r="42" spans="1:9" ht="15" thickBot="1">
      <c r="A42" s="176" t="s">
        <v>74</v>
      </c>
      <c r="B42" s="177"/>
      <c r="C42" s="53"/>
      <c r="D42" s="56"/>
      <c r="E42" s="186"/>
      <c r="F42" s="187"/>
      <c r="G42" s="11"/>
      <c r="H42" s="109"/>
      <c r="I42" s="158"/>
    </row>
    <row r="43" spans="1:9" ht="15" thickBot="1">
      <c r="A43" s="178" t="s">
        <v>75</v>
      </c>
      <c r="B43" s="179"/>
      <c r="C43" s="90"/>
      <c r="D43" s="56"/>
      <c r="E43" s="186"/>
      <c r="F43" s="187"/>
      <c r="G43" s="11"/>
      <c r="H43" s="109"/>
      <c r="I43" s="158"/>
    </row>
    <row r="44" spans="1:9" ht="15" thickBot="1">
      <c r="A44" s="178" t="s">
        <v>76</v>
      </c>
      <c r="B44" s="179"/>
      <c r="C44" s="90"/>
      <c r="D44" s="57"/>
      <c r="E44" s="186"/>
      <c r="F44" s="187"/>
      <c r="G44" s="11"/>
      <c r="H44" s="109"/>
      <c r="I44" s="158"/>
    </row>
    <row r="45" spans="1:9" ht="15" thickBot="1">
      <c r="A45" s="178" t="s">
        <v>77</v>
      </c>
      <c r="B45" s="179"/>
      <c r="C45" s="91">
        <f>SUM(C39+C40+C41+C42+C43+C44)</f>
        <v>0</v>
      </c>
      <c r="D45" s="92"/>
      <c r="E45" s="184"/>
      <c r="F45" s="185"/>
      <c r="G45" s="93"/>
      <c r="H45" s="110"/>
      <c r="I45" s="158"/>
    </row>
    <row r="46" spans="1:9" ht="14.5" customHeight="1">
      <c r="A46" s="211" t="s">
        <v>57</v>
      </c>
      <c r="B46" s="212"/>
      <c r="C46" s="212"/>
      <c r="D46" s="212"/>
      <c r="E46" s="212"/>
      <c r="F46" s="212"/>
      <c r="G46" s="212"/>
      <c r="H46" s="212"/>
      <c r="I46" s="158"/>
    </row>
    <row r="47" spans="1:9" ht="15" customHeight="1" thickBot="1">
      <c r="A47" s="213"/>
      <c r="B47" s="214"/>
      <c r="C47" s="214"/>
      <c r="D47" s="214"/>
      <c r="E47" s="214"/>
      <c r="F47" s="214"/>
      <c r="G47" s="214"/>
      <c r="H47" s="214"/>
      <c r="I47" s="158"/>
    </row>
    <row r="48" spans="1:9" ht="24" thickBot="1">
      <c r="A48" s="166" t="s">
        <v>9</v>
      </c>
      <c r="B48" s="167"/>
      <c r="C48" s="180" t="s">
        <v>58</v>
      </c>
      <c r="D48" s="181"/>
      <c r="E48" s="217" t="s">
        <v>59</v>
      </c>
      <c r="F48" s="218"/>
      <c r="G48" s="218"/>
      <c r="H48" s="218"/>
      <c r="I48" s="158"/>
    </row>
    <row r="49" spans="1:9" ht="19" thickBot="1">
      <c r="A49" s="168"/>
      <c r="B49" s="169"/>
      <c r="C49" s="182" t="s">
        <v>61</v>
      </c>
      <c r="D49" s="183"/>
      <c r="E49" s="215">
        <f>SUM(B9:B12)</f>
        <v>0</v>
      </c>
      <c r="F49" s="216"/>
      <c r="G49" s="216"/>
      <c r="H49" s="216"/>
      <c r="I49" s="158"/>
    </row>
    <row r="50" spans="1:9" ht="19" thickBot="1">
      <c r="A50" s="170"/>
      <c r="B50" s="171"/>
      <c r="C50" s="182" t="s">
        <v>46</v>
      </c>
      <c r="D50" s="183"/>
      <c r="E50" s="215">
        <f>SUM(B6:B8)</f>
        <v>0</v>
      </c>
      <c r="F50" s="216"/>
      <c r="G50" s="216"/>
      <c r="H50" s="216"/>
      <c r="I50" s="158"/>
    </row>
    <row r="51" spans="1:9" ht="19" thickBot="1">
      <c r="A51" s="170"/>
      <c r="B51" s="171"/>
      <c r="C51" s="182" t="s">
        <v>62</v>
      </c>
      <c r="D51" s="183"/>
      <c r="E51" s="215">
        <f>SUM(B13:B14)</f>
        <v>0</v>
      </c>
      <c r="F51" s="216"/>
      <c r="G51" s="216"/>
      <c r="H51" s="216"/>
      <c r="I51" s="158"/>
    </row>
    <row r="52" spans="1:9" ht="19" thickBot="1">
      <c r="A52" s="170"/>
      <c r="B52" s="171"/>
      <c r="C52" s="160" t="s">
        <v>63</v>
      </c>
      <c r="D52" s="161"/>
      <c r="E52" s="219">
        <f>SUM(B17:B18)</f>
        <v>0</v>
      </c>
      <c r="F52" s="220"/>
      <c r="G52" s="220"/>
      <c r="H52" s="220"/>
      <c r="I52" s="158"/>
    </row>
    <row r="53" spans="1:9" ht="19" thickBot="1">
      <c r="A53" s="170"/>
      <c r="B53" s="171"/>
      <c r="C53" s="160" t="s">
        <v>64</v>
      </c>
      <c r="D53" s="161"/>
      <c r="E53" s="219">
        <f>SUM(B19:B20)</f>
        <v>0</v>
      </c>
      <c r="F53" s="220"/>
      <c r="G53" s="220"/>
      <c r="H53" s="220"/>
      <c r="I53" s="158"/>
    </row>
    <row r="54" spans="1:9" ht="19" thickBot="1">
      <c r="A54" s="170"/>
      <c r="B54" s="171"/>
      <c r="C54" s="160" t="s">
        <v>56</v>
      </c>
      <c r="D54" s="161"/>
      <c r="E54" s="219">
        <f>B29</f>
        <v>0</v>
      </c>
      <c r="F54" s="220"/>
      <c r="G54" s="220"/>
      <c r="H54" s="220"/>
      <c r="I54" s="158"/>
    </row>
    <row r="55" spans="1:9" ht="19" thickBot="1">
      <c r="A55" s="170"/>
      <c r="B55" s="171"/>
      <c r="C55" s="160" t="s">
        <v>56</v>
      </c>
      <c r="D55" s="161"/>
      <c r="E55" s="219">
        <f t="shared" ref="E55:E61" si="11">B30</f>
        <v>0</v>
      </c>
      <c r="F55" s="220"/>
      <c r="G55" s="220"/>
      <c r="H55" s="220"/>
      <c r="I55" s="158"/>
    </row>
    <row r="56" spans="1:9" ht="19" thickBot="1">
      <c r="A56" s="170"/>
      <c r="B56" s="171"/>
      <c r="C56" s="160" t="s">
        <v>56</v>
      </c>
      <c r="D56" s="161"/>
      <c r="E56" s="219">
        <f t="shared" si="11"/>
        <v>0</v>
      </c>
      <c r="F56" s="220"/>
      <c r="G56" s="220"/>
      <c r="H56" s="220"/>
      <c r="I56" s="158"/>
    </row>
    <row r="57" spans="1:9" ht="19" thickBot="1">
      <c r="A57" s="170"/>
      <c r="B57" s="171"/>
      <c r="C57" s="160" t="s">
        <v>56</v>
      </c>
      <c r="D57" s="161"/>
      <c r="E57" s="219">
        <f t="shared" si="11"/>
        <v>0</v>
      </c>
      <c r="F57" s="220"/>
      <c r="G57" s="220"/>
      <c r="H57" s="220"/>
      <c r="I57" s="158"/>
    </row>
    <row r="58" spans="1:9" ht="19" thickBot="1">
      <c r="A58" s="170"/>
      <c r="B58" s="171"/>
      <c r="C58" s="160" t="s">
        <v>56</v>
      </c>
      <c r="D58" s="161"/>
      <c r="E58" s="219">
        <f t="shared" si="11"/>
        <v>0</v>
      </c>
      <c r="F58" s="220"/>
      <c r="G58" s="220"/>
      <c r="H58" s="220"/>
      <c r="I58" s="158"/>
    </row>
    <row r="59" spans="1:9" ht="19" thickBot="1">
      <c r="A59" s="170"/>
      <c r="B59" s="171"/>
      <c r="C59" s="160" t="s">
        <v>56</v>
      </c>
      <c r="D59" s="161"/>
      <c r="E59" s="219">
        <f t="shared" si="11"/>
        <v>0</v>
      </c>
      <c r="F59" s="220"/>
      <c r="G59" s="220"/>
      <c r="H59" s="220"/>
      <c r="I59" s="158"/>
    </row>
    <row r="60" spans="1:9" ht="19" thickBot="1">
      <c r="A60" s="170"/>
      <c r="B60" s="171"/>
      <c r="C60" s="160" t="s">
        <v>56</v>
      </c>
      <c r="D60" s="161"/>
      <c r="E60" s="219">
        <f t="shared" si="11"/>
        <v>0</v>
      </c>
      <c r="F60" s="220"/>
      <c r="G60" s="220"/>
      <c r="H60" s="220"/>
      <c r="I60" s="158"/>
    </row>
    <row r="61" spans="1:9" ht="19" thickBot="1">
      <c r="A61" s="170"/>
      <c r="B61" s="171"/>
      <c r="C61" s="160" t="s">
        <v>56</v>
      </c>
      <c r="D61" s="161"/>
      <c r="E61" s="219">
        <f t="shared" si="11"/>
        <v>0</v>
      </c>
      <c r="F61" s="220"/>
      <c r="G61" s="220"/>
      <c r="H61" s="220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60:D60"/>
    <mergeCell ref="A42:B42"/>
    <mergeCell ref="E42:F42"/>
    <mergeCell ref="A43:B43"/>
    <mergeCell ref="E43:F43"/>
    <mergeCell ref="A44:B44"/>
    <mergeCell ref="E44:F44"/>
    <mergeCell ref="E48:H48"/>
    <mergeCell ref="E49:H49"/>
    <mergeCell ref="A46:H47"/>
    <mergeCell ref="E50:H50"/>
    <mergeCell ref="E51:H51"/>
    <mergeCell ref="E52:H52"/>
    <mergeCell ref="E53:H53"/>
    <mergeCell ref="E54:H54"/>
    <mergeCell ref="E55:H55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632812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36328125" style="43" customWidth="1"/>
    <col min="8" max="8" width="19.90625" style="43" customWidth="1"/>
    <col min="9" max="16384" width="8.7265625" style="43"/>
  </cols>
  <sheetData>
    <row r="1" spans="1:9" ht="14.5" customHeight="1">
      <c r="A1" s="198" t="s">
        <v>55</v>
      </c>
      <c r="B1" s="199"/>
      <c r="C1" s="199"/>
      <c r="D1" s="199"/>
      <c r="E1" s="199"/>
      <c r="F1" s="199"/>
      <c r="G1" s="199"/>
      <c r="H1" s="199"/>
      <c r="I1" s="225"/>
    </row>
    <row r="2" spans="1:9" ht="21" customHeight="1" thickBot="1">
      <c r="A2" s="200"/>
      <c r="B2" s="201"/>
      <c r="C2" s="201"/>
      <c r="D2" s="201"/>
      <c r="E2" s="201"/>
      <c r="F2" s="201"/>
      <c r="G2" s="201"/>
      <c r="H2" s="201"/>
      <c r="I2" s="226"/>
    </row>
    <row r="3" spans="1:9" ht="14.5" customHeight="1">
      <c r="A3" s="202" t="s">
        <v>80</v>
      </c>
      <c r="B3" s="203"/>
      <c r="C3" s="203"/>
      <c r="D3" s="203"/>
      <c r="E3" s="203"/>
      <c r="F3" s="203"/>
      <c r="G3" s="203"/>
      <c r="H3" s="204"/>
      <c r="I3" s="226"/>
    </row>
    <row r="4" spans="1:9" ht="25.5" customHeight="1" thickBot="1">
      <c r="A4" s="200"/>
      <c r="B4" s="201"/>
      <c r="C4" s="201"/>
      <c r="D4" s="201"/>
      <c r="E4" s="201"/>
      <c r="F4" s="201"/>
      <c r="G4" s="201"/>
      <c r="H4" s="201"/>
      <c r="I4" s="226"/>
    </row>
    <row r="5" spans="1:9" ht="15" thickBot="1">
      <c r="A5" s="98" t="s">
        <v>38</v>
      </c>
      <c r="B5" s="30" t="s">
        <v>39</v>
      </c>
      <c r="C5" s="205" t="s">
        <v>40</v>
      </c>
      <c r="D5" s="206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07"/>
      <c r="D6" s="20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07"/>
      <c r="D7" s="20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88"/>
      <c r="D8" s="18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88"/>
      <c r="D9" s="18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88"/>
      <c r="D10" s="18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88"/>
      <c r="D11" s="18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88"/>
      <c r="D12" s="18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88"/>
      <c r="D13" s="18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88"/>
      <c r="D14" s="18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0" t="s">
        <v>49</v>
      </c>
      <c r="B15" s="191"/>
      <c r="C15" s="191"/>
      <c r="D15" s="191"/>
      <c r="E15" s="191"/>
      <c r="F15" s="191"/>
      <c r="G15" s="191"/>
      <c r="H15" s="191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9" customHeight="1" thickBot="1">
      <c r="A38" s="195" t="s">
        <v>78</v>
      </c>
      <c r="B38" s="196"/>
      <c r="C38" s="63" t="s">
        <v>72</v>
      </c>
      <c r="D38" s="54"/>
      <c r="E38" s="193" t="s">
        <v>70</v>
      </c>
      <c r="F38" s="194"/>
      <c r="G38" s="62" t="s">
        <v>71</v>
      </c>
      <c r="H38" s="107" t="s">
        <v>72</v>
      </c>
      <c r="I38" s="226"/>
    </row>
    <row r="39" spans="1:9" ht="19" customHeight="1" thickBot="1">
      <c r="A39" s="209" t="s">
        <v>68</v>
      </c>
      <c r="B39" s="210"/>
      <c r="C39" s="55"/>
      <c r="D39" s="58"/>
      <c r="E39" s="192"/>
      <c r="F39" s="192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197"/>
      <c r="F40" s="197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87"/>
      <c r="F41" s="187"/>
      <c r="G41" s="60"/>
      <c r="H41" s="109"/>
      <c r="I41" s="226"/>
    </row>
    <row r="42" spans="1:9" ht="15" thickBot="1">
      <c r="A42" s="176" t="s">
        <v>74</v>
      </c>
      <c r="B42" s="177"/>
      <c r="C42" s="53"/>
      <c r="D42" s="56"/>
      <c r="E42" s="186"/>
      <c r="F42" s="187"/>
      <c r="G42" s="11"/>
      <c r="H42" s="109"/>
      <c r="I42" s="226"/>
    </row>
    <row r="43" spans="1:9" ht="15" thickBot="1">
      <c r="A43" s="178" t="s">
        <v>75</v>
      </c>
      <c r="B43" s="179"/>
      <c r="C43" s="90"/>
      <c r="D43" s="56"/>
      <c r="E43" s="186"/>
      <c r="F43" s="187"/>
      <c r="G43" s="11"/>
      <c r="H43" s="109"/>
      <c r="I43" s="226"/>
    </row>
    <row r="44" spans="1:9" ht="15" thickBot="1">
      <c r="A44" s="178" t="s">
        <v>76</v>
      </c>
      <c r="B44" s="179"/>
      <c r="C44" s="90"/>
      <c r="D44" s="57"/>
      <c r="E44" s="186"/>
      <c r="F44" s="187"/>
      <c r="G44" s="11"/>
      <c r="H44" s="109"/>
      <c r="I44" s="226"/>
    </row>
    <row r="45" spans="1:9" ht="15" thickBot="1">
      <c r="A45" s="178" t="s">
        <v>77</v>
      </c>
      <c r="B45" s="179"/>
      <c r="C45" s="91">
        <f>SUM(C39+C40+C41+C42+C43+C44)</f>
        <v>0</v>
      </c>
      <c r="D45" s="92"/>
      <c r="E45" s="184"/>
      <c r="F45" s="185"/>
      <c r="G45" s="93"/>
      <c r="H45" s="110"/>
      <c r="I45" s="226"/>
    </row>
    <row r="46" spans="1:9">
      <c r="A46" s="211" t="s">
        <v>57</v>
      </c>
      <c r="B46" s="212"/>
      <c r="C46" s="212"/>
      <c r="D46" s="212"/>
      <c r="E46" s="212"/>
      <c r="F46" s="212"/>
      <c r="G46" s="212"/>
      <c r="H46" s="212"/>
      <c r="I46" s="226"/>
    </row>
    <row r="47" spans="1:9" ht="15" thickBot="1">
      <c r="A47" s="213"/>
      <c r="B47" s="214"/>
      <c r="C47" s="214"/>
      <c r="D47" s="214"/>
      <c r="E47" s="214"/>
      <c r="F47" s="214"/>
      <c r="G47" s="214"/>
      <c r="H47" s="214"/>
      <c r="I47" s="226"/>
    </row>
    <row r="48" spans="1:9" ht="24" thickBot="1">
      <c r="A48" s="166" t="s">
        <v>9</v>
      </c>
      <c r="B48" s="167"/>
      <c r="C48" s="180" t="s">
        <v>58</v>
      </c>
      <c r="D48" s="181"/>
      <c r="E48" s="217" t="s">
        <v>59</v>
      </c>
      <c r="F48" s="218"/>
      <c r="G48" s="218"/>
      <c r="H48" s="218"/>
      <c r="I48" s="226"/>
    </row>
    <row r="49" spans="1:9" ht="19" thickBot="1">
      <c r="A49" s="168"/>
      <c r="B49" s="169"/>
      <c r="C49" s="182" t="s">
        <v>61</v>
      </c>
      <c r="D49" s="183"/>
      <c r="E49" s="215">
        <f>SUM(B9:B12)</f>
        <v>0</v>
      </c>
      <c r="F49" s="216"/>
      <c r="G49" s="216"/>
      <c r="H49" s="216"/>
      <c r="I49" s="226"/>
    </row>
    <row r="50" spans="1:9" ht="19" thickBot="1">
      <c r="A50" s="170"/>
      <c r="B50" s="171"/>
      <c r="C50" s="182" t="s">
        <v>46</v>
      </c>
      <c r="D50" s="183"/>
      <c r="E50" s="215">
        <f>SUM(B6:B8)</f>
        <v>0</v>
      </c>
      <c r="F50" s="216"/>
      <c r="G50" s="216"/>
      <c r="H50" s="216"/>
      <c r="I50" s="226"/>
    </row>
    <row r="51" spans="1:9" ht="19" thickBot="1">
      <c r="A51" s="170"/>
      <c r="B51" s="171"/>
      <c r="C51" s="182" t="s">
        <v>62</v>
      </c>
      <c r="D51" s="183"/>
      <c r="E51" s="215">
        <f>SUM(B13:B14)</f>
        <v>0</v>
      </c>
      <c r="F51" s="216"/>
      <c r="G51" s="216"/>
      <c r="H51" s="216"/>
      <c r="I51" s="226"/>
    </row>
    <row r="52" spans="1:9" ht="19" thickBot="1">
      <c r="A52" s="170"/>
      <c r="B52" s="171"/>
      <c r="C52" s="160" t="s">
        <v>63</v>
      </c>
      <c r="D52" s="161"/>
      <c r="E52" s="219">
        <f>SUM(B17:B18)</f>
        <v>0</v>
      </c>
      <c r="F52" s="220"/>
      <c r="G52" s="220"/>
      <c r="H52" s="220"/>
      <c r="I52" s="226"/>
    </row>
    <row r="53" spans="1:9" ht="19" thickBot="1">
      <c r="A53" s="170"/>
      <c r="B53" s="171"/>
      <c r="C53" s="160" t="s">
        <v>64</v>
      </c>
      <c r="D53" s="161"/>
      <c r="E53" s="219">
        <f>SUM(B19:B20)</f>
        <v>0</v>
      </c>
      <c r="F53" s="220"/>
      <c r="G53" s="220"/>
      <c r="H53" s="220"/>
      <c r="I53" s="226"/>
    </row>
    <row r="54" spans="1:9" ht="19" thickBot="1">
      <c r="A54" s="170"/>
      <c r="B54" s="171"/>
      <c r="C54" s="160" t="s">
        <v>56</v>
      </c>
      <c r="D54" s="161"/>
      <c r="E54" s="219">
        <f>B29</f>
        <v>0</v>
      </c>
      <c r="F54" s="220"/>
      <c r="G54" s="220"/>
      <c r="H54" s="220"/>
      <c r="I54" s="226"/>
    </row>
    <row r="55" spans="1:9" ht="19" thickBot="1">
      <c r="A55" s="170"/>
      <c r="B55" s="171"/>
      <c r="C55" s="160" t="s">
        <v>56</v>
      </c>
      <c r="D55" s="161"/>
      <c r="E55" s="219">
        <f t="shared" ref="E55:E61" si="11">B30</f>
        <v>0</v>
      </c>
      <c r="F55" s="220"/>
      <c r="G55" s="220"/>
      <c r="H55" s="220"/>
      <c r="I55" s="226"/>
    </row>
    <row r="56" spans="1:9" ht="19" thickBot="1">
      <c r="A56" s="170"/>
      <c r="B56" s="171"/>
      <c r="C56" s="160" t="s">
        <v>56</v>
      </c>
      <c r="D56" s="161"/>
      <c r="E56" s="219">
        <f t="shared" si="11"/>
        <v>0</v>
      </c>
      <c r="F56" s="220"/>
      <c r="G56" s="220"/>
      <c r="H56" s="220"/>
      <c r="I56" s="226"/>
    </row>
    <row r="57" spans="1:9" ht="19" thickBot="1">
      <c r="A57" s="170"/>
      <c r="B57" s="171"/>
      <c r="C57" s="160" t="s">
        <v>56</v>
      </c>
      <c r="D57" s="161"/>
      <c r="E57" s="219">
        <f t="shared" si="11"/>
        <v>0</v>
      </c>
      <c r="F57" s="220"/>
      <c r="G57" s="220"/>
      <c r="H57" s="220"/>
      <c r="I57" s="226"/>
    </row>
    <row r="58" spans="1:9" ht="19" thickBot="1">
      <c r="A58" s="170"/>
      <c r="B58" s="171"/>
      <c r="C58" s="160" t="s">
        <v>56</v>
      </c>
      <c r="D58" s="161"/>
      <c r="E58" s="219">
        <f t="shared" si="11"/>
        <v>0</v>
      </c>
      <c r="F58" s="220"/>
      <c r="G58" s="220"/>
      <c r="H58" s="220"/>
      <c r="I58" s="226"/>
    </row>
    <row r="59" spans="1:9" ht="19" thickBot="1">
      <c r="A59" s="170"/>
      <c r="B59" s="171"/>
      <c r="C59" s="160" t="s">
        <v>56</v>
      </c>
      <c r="D59" s="161"/>
      <c r="E59" s="219">
        <f t="shared" si="11"/>
        <v>0</v>
      </c>
      <c r="F59" s="220"/>
      <c r="G59" s="220"/>
      <c r="H59" s="220"/>
      <c r="I59" s="226"/>
    </row>
    <row r="60" spans="1:9" ht="19" thickBot="1">
      <c r="A60" s="170"/>
      <c r="B60" s="171"/>
      <c r="C60" s="160" t="s">
        <v>56</v>
      </c>
      <c r="D60" s="161"/>
      <c r="E60" s="219">
        <f t="shared" si="11"/>
        <v>0</v>
      </c>
      <c r="F60" s="220"/>
      <c r="G60" s="220"/>
      <c r="H60" s="220"/>
      <c r="I60" s="226"/>
    </row>
    <row r="61" spans="1:9" ht="19" thickBot="1">
      <c r="A61" s="170"/>
      <c r="B61" s="171"/>
      <c r="C61" s="160" t="s">
        <v>56</v>
      </c>
      <c r="D61" s="161"/>
      <c r="E61" s="219">
        <f t="shared" si="11"/>
        <v>0</v>
      </c>
      <c r="F61" s="220"/>
      <c r="G61" s="220"/>
      <c r="H61" s="220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198" t="s">
        <v>55</v>
      </c>
      <c r="B1" s="199"/>
      <c r="C1" s="199"/>
      <c r="D1" s="199"/>
      <c r="E1" s="199"/>
      <c r="F1" s="199"/>
      <c r="G1" s="199"/>
      <c r="H1" s="199"/>
      <c r="I1" s="157"/>
    </row>
    <row r="2" spans="1:9" ht="22" customHeight="1" thickBot="1">
      <c r="A2" s="200"/>
      <c r="B2" s="201"/>
      <c r="C2" s="201"/>
      <c r="D2" s="201"/>
      <c r="E2" s="201"/>
      <c r="F2" s="201"/>
      <c r="G2" s="201"/>
      <c r="H2" s="201"/>
      <c r="I2" s="158"/>
    </row>
    <row r="3" spans="1:9" ht="14.5" customHeight="1">
      <c r="A3" s="202" t="s">
        <v>80</v>
      </c>
      <c r="B3" s="203"/>
      <c r="C3" s="203"/>
      <c r="D3" s="203"/>
      <c r="E3" s="203"/>
      <c r="F3" s="203"/>
      <c r="G3" s="203"/>
      <c r="H3" s="204"/>
      <c r="I3" s="158"/>
    </row>
    <row r="4" spans="1:9" ht="22" customHeight="1" thickBot="1">
      <c r="A4" s="200"/>
      <c r="B4" s="201"/>
      <c r="C4" s="201"/>
      <c r="D4" s="201"/>
      <c r="E4" s="201"/>
      <c r="F4" s="201"/>
      <c r="G4" s="201"/>
      <c r="H4" s="201"/>
      <c r="I4" s="158"/>
    </row>
    <row r="5" spans="1:9" ht="15" thickBot="1">
      <c r="A5" s="98" t="s">
        <v>38</v>
      </c>
      <c r="B5" s="30" t="s">
        <v>39</v>
      </c>
      <c r="C5" s="205" t="s">
        <v>40</v>
      </c>
      <c r="D5" s="206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07"/>
      <c r="D6" s="20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07"/>
      <c r="D7" s="20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88"/>
      <c r="D8" s="18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88"/>
      <c r="D9" s="18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88"/>
      <c r="D10" s="18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88"/>
      <c r="D11" s="18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88"/>
      <c r="D12" s="18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88"/>
      <c r="D13" s="18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88"/>
      <c r="D14" s="18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s="43" customFormat="1" ht="26.5" thickBot="1">
      <c r="A15" s="190" t="s">
        <v>49</v>
      </c>
      <c r="B15" s="191"/>
      <c r="C15" s="191"/>
      <c r="D15" s="191"/>
      <c r="E15" s="191"/>
      <c r="F15" s="191"/>
      <c r="G15" s="191"/>
      <c r="H15" s="191"/>
      <c r="I15" s="158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5" thickBot="1">
      <c r="A38" s="195" t="s">
        <v>78</v>
      </c>
      <c r="B38" s="196"/>
      <c r="C38" s="63" t="s">
        <v>72</v>
      </c>
      <c r="D38" s="54"/>
      <c r="E38" s="193" t="s">
        <v>70</v>
      </c>
      <c r="F38" s="194"/>
      <c r="G38" s="62" t="s">
        <v>71</v>
      </c>
      <c r="H38" s="107" t="s">
        <v>72</v>
      </c>
      <c r="I38" s="158"/>
    </row>
    <row r="39" spans="1:9" ht="15" thickBot="1">
      <c r="A39" s="209" t="s">
        <v>68</v>
      </c>
      <c r="B39" s="210"/>
      <c r="C39" s="55"/>
      <c r="D39" s="58"/>
      <c r="E39" s="192"/>
      <c r="F39" s="192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197"/>
      <c r="F40" s="197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87"/>
      <c r="F41" s="187"/>
      <c r="G41" s="60"/>
      <c r="H41" s="109"/>
      <c r="I41" s="158"/>
    </row>
    <row r="42" spans="1:9" ht="15" thickBot="1">
      <c r="A42" s="176" t="s">
        <v>74</v>
      </c>
      <c r="B42" s="177"/>
      <c r="C42" s="53"/>
      <c r="D42" s="56"/>
      <c r="E42" s="186"/>
      <c r="F42" s="187"/>
      <c r="G42" s="11"/>
      <c r="H42" s="109"/>
      <c r="I42" s="158"/>
    </row>
    <row r="43" spans="1:9" ht="15" thickBot="1">
      <c r="A43" s="178" t="s">
        <v>75</v>
      </c>
      <c r="B43" s="179"/>
      <c r="C43" s="90"/>
      <c r="D43" s="56"/>
      <c r="E43" s="186"/>
      <c r="F43" s="187"/>
      <c r="G43" s="11"/>
      <c r="H43" s="109"/>
      <c r="I43" s="158"/>
    </row>
    <row r="44" spans="1:9" ht="15" thickBot="1">
      <c r="A44" s="178" t="s">
        <v>76</v>
      </c>
      <c r="B44" s="179"/>
      <c r="C44" s="90"/>
      <c r="D44" s="57"/>
      <c r="E44" s="186"/>
      <c r="F44" s="187"/>
      <c r="G44" s="11"/>
      <c r="H44" s="109"/>
      <c r="I44" s="158"/>
    </row>
    <row r="45" spans="1:9" ht="15" thickBot="1">
      <c r="A45" s="178" t="s">
        <v>77</v>
      </c>
      <c r="B45" s="179"/>
      <c r="C45" s="91">
        <f>SUM(C39+C40+C41+C42+C43+C44)</f>
        <v>0</v>
      </c>
      <c r="D45" s="92"/>
      <c r="E45" s="184"/>
      <c r="F45" s="185"/>
      <c r="G45" s="93"/>
      <c r="H45" s="110"/>
      <c r="I45" s="158"/>
    </row>
    <row r="46" spans="1:9" ht="14.5" customHeight="1">
      <c r="A46" s="211" t="s">
        <v>57</v>
      </c>
      <c r="B46" s="212"/>
      <c r="C46" s="212"/>
      <c r="D46" s="212"/>
      <c r="E46" s="212"/>
      <c r="F46" s="212"/>
      <c r="G46" s="212"/>
      <c r="H46" s="212"/>
      <c r="I46" s="158"/>
    </row>
    <row r="47" spans="1:9" ht="15" customHeight="1" thickBot="1">
      <c r="A47" s="213"/>
      <c r="B47" s="214"/>
      <c r="C47" s="214"/>
      <c r="D47" s="214"/>
      <c r="E47" s="214"/>
      <c r="F47" s="214"/>
      <c r="G47" s="214"/>
      <c r="H47" s="214"/>
      <c r="I47" s="158"/>
    </row>
    <row r="48" spans="1:9" ht="24" thickBot="1">
      <c r="A48" s="166" t="s">
        <v>9</v>
      </c>
      <c r="B48" s="167"/>
      <c r="C48" s="180" t="s">
        <v>58</v>
      </c>
      <c r="D48" s="181"/>
      <c r="E48" s="217" t="s">
        <v>59</v>
      </c>
      <c r="F48" s="218"/>
      <c r="G48" s="218"/>
      <c r="H48" s="218"/>
      <c r="I48" s="158"/>
    </row>
    <row r="49" spans="1:9" ht="19" thickBot="1">
      <c r="A49" s="168"/>
      <c r="B49" s="169"/>
      <c r="C49" s="182" t="s">
        <v>61</v>
      </c>
      <c r="D49" s="183"/>
      <c r="E49" s="215">
        <f>SUM(B9:B12)</f>
        <v>0</v>
      </c>
      <c r="F49" s="216"/>
      <c r="G49" s="216"/>
      <c r="H49" s="216"/>
      <c r="I49" s="158"/>
    </row>
    <row r="50" spans="1:9" ht="19" thickBot="1">
      <c r="A50" s="170"/>
      <c r="B50" s="171"/>
      <c r="C50" s="182" t="s">
        <v>46</v>
      </c>
      <c r="D50" s="183"/>
      <c r="E50" s="215">
        <f>SUM(B6:B8)</f>
        <v>0</v>
      </c>
      <c r="F50" s="216"/>
      <c r="G50" s="216"/>
      <c r="H50" s="216"/>
      <c r="I50" s="158"/>
    </row>
    <row r="51" spans="1:9" ht="19" thickBot="1">
      <c r="A51" s="170"/>
      <c r="B51" s="171"/>
      <c r="C51" s="182" t="s">
        <v>62</v>
      </c>
      <c r="D51" s="183"/>
      <c r="E51" s="215">
        <f>SUM(B13:B14)</f>
        <v>0</v>
      </c>
      <c r="F51" s="216"/>
      <c r="G51" s="216"/>
      <c r="H51" s="216"/>
      <c r="I51" s="158"/>
    </row>
    <row r="52" spans="1:9" ht="19" thickBot="1">
      <c r="A52" s="170"/>
      <c r="B52" s="171"/>
      <c r="C52" s="160" t="s">
        <v>63</v>
      </c>
      <c r="D52" s="161"/>
      <c r="E52" s="219">
        <f>SUM(B17:B18)</f>
        <v>0</v>
      </c>
      <c r="F52" s="220"/>
      <c r="G52" s="220"/>
      <c r="H52" s="220"/>
      <c r="I52" s="158"/>
    </row>
    <row r="53" spans="1:9" ht="19" thickBot="1">
      <c r="A53" s="170"/>
      <c r="B53" s="171"/>
      <c r="C53" s="160" t="s">
        <v>64</v>
      </c>
      <c r="D53" s="161"/>
      <c r="E53" s="219">
        <f>SUM(B19:B20)</f>
        <v>0</v>
      </c>
      <c r="F53" s="220"/>
      <c r="G53" s="220"/>
      <c r="H53" s="220"/>
      <c r="I53" s="158"/>
    </row>
    <row r="54" spans="1:9" ht="19" thickBot="1">
      <c r="A54" s="170"/>
      <c r="B54" s="171"/>
      <c r="C54" s="160" t="s">
        <v>56</v>
      </c>
      <c r="D54" s="161"/>
      <c r="E54" s="219">
        <f>B29</f>
        <v>0</v>
      </c>
      <c r="F54" s="220"/>
      <c r="G54" s="220"/>
      <c r="H54" s="220"/>
      <c r="I54" s="158"/>
    </row>
    <row r="55" spans="1:9" ht="19" thickBot="1">
      <c r="A55" s="170"/>
      <c r="B55" s="171"/>
      <c r="C55" s="160" t="s">
        <v>56</v>
      </c>
      <c r="D55" s="161"/>
      <c r="E55" s="219">
        <f t="shared" ref="E55:E61" si="11">B30</f>
        <v>0</v>
      </c>
      <c r="F55" s="220"/>
      <c r="G55" s="220"/>
      <c r="H55" s="220"/>
      <c r="I55" s="158"/>
    </row>
    <row r="56" spans="1:9" ht="19" thickBot="1">
      <c r="A56" s="170"/>
      <c r="B56" s="171"/>
      <c r="C56" s="160" t="s">
        <v>56</v>
      </c>
      <c r="D56" s="161"/>
      <c r="E56" s="219">
        <f t="shared" si="11"/>
        <v>0</v>
      </c>
      <c r="F56" s="220"/>
      <c r="G56" s="220"/>
      <c r="H56" s="220"/>
      <c r="I56" s="158"/>
    </row>
    <row r="57" spans="1:9" ht="19" thickBot="1">
      <c r="A57" s="170"/>
      <c r="B57" s="171"/>
      <c r="C57" s="160" t="s">
        <v>56</v>
      </c>
      <c r="D57" s="161"/>
      <c r="E57" s="219">
        <f t="shared" si="11"/>
        <v>0</v>
      </c>
      <c r="F57" s="220"/>
      <c r="G57" s="220"/>
      <c r="H57" s="220"/>
      <c r="I57" s="158"/>
    </row>
    <row r="58" spans="1:9" ht="19" thickBot="1">
      <c r="A58" s="170"/>
      <c r="B58" s="171"/>
      <c r="C58" s="160" t="s">
        <v>56</v>
      </c>
      <c r="D58" s="161"/>
      <c r="E58" s="219">
        <f t="shared" si="11"/>
        <v>0</v>
      </c>
      <c r="F58" s="220"/>
      <c r="G58" s="220"/>
      <c r="H58" s="220"/>
      <c r="I58" s="158"/>
    </row>
    <row r="59" spans="1:9" ht="19" thickBot="1">
      <c r="A59" s="170"/>
      <c r="B59" s="171"/>
      <c r="C59" s="160" t="s">
        <v>56</v>
      </c>
      <c r="D59" s="161"/>
      <c r="E59" s="219">
        <f t="shared" si="11"/>
        <v>0</v>
      </c>
      <c r="F59" s="220"/>
      <c r="G59" s="220"/>
      <c r="H59" s="220"/>
      <c r="I59" s="158"/>
    </row>
    <row r="60" spans="1:9" ht="19" thickBot="1">
      <c r="A60" s="170"/>
      <c r="B60" s="171"/>
      <c r="C60" s="160" t="s">
        <v>56</v>
      </c>
      <c r="D60" s="161"/>
      <c r="E60" s="219">
        <f t="shared" si="11"/>
        <v>0</v>
      </c>
      <c r="F60" s="220"/>
      <c r="G60" s="220"/>
      <c r="H60" s="220"/>
      <c r="I60" s="158"/>
    </row>
    <row r="61" spans="1:9" ht="19" thickBot="1">
      <c r="A61" s="170"/>
      <c r="B61" s="171"/>
      <c r="C61" s="160" t="s">
        <v>56</v>
      </c>
      <c r="D61" s="161"/>
      <c r="E61" s="219">
        <f t="shared" si="11"/>
        <v>0</v>
      </c>
      <c r="F61" s="220"/>
      <c r="G61" s="220"/>
      <c r="H61" s="220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60:H60"/>
    <mergeCell ref="E61:H61"/>
    <mergeCell ref="E62:H62"/>
    <mergeCell ref="E63:H63"/>
    <mergeCell ref="C61:D61"/>
    <mergeCell ref="C62:D62"/>
    <mergeCell ref="C63:D63"/>
    <mergeCell ref="A42:B42"/>
    <mergeCell ref="E42:F42"/>
    <mergeCell ref="A46:H47"/>
    <mergeCell ref="E49:H49"/>
    <mergeCell ref="E50:H50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C60:D60"/>
    <mergeCell ref="E43:F43"/>
    <mergeCell ref="A44:B44"/>
    <mergeCell ref="E44:F44"/>
    <mergeCell ref="E45:F45"/>
    <mergeCell ref="A45:B45"/>
    <mergeCell ref="E48:H48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4.6328125" style="43" customWidth="1"/>
    <col min="2" max="2" width="15.81640625" style="43" customWidth="1"/>
    <col min="3" max="3" width="21.08984375" style="43" customWidth="1"/>
    <col min="4" max="4" width="18.1796875" style="43" customWidth="1"/>
    <col min="5" max="5" width="21.08984375" style="43" customWidth="1"/>
    <col min="6" max="6" width="18.632812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198" t="s">
        <v>55</v>
      </c>
      <c r="B1" s="199"/>
      <c r="C1" s="199"/>
      <c r="D1" s="199"/>
      <c r="E1" s="199"/>
      <c r="F1" s="199"/>
      <c r="G1" s="199"/>
      <c r="H1" s="199"/>
      <c r="I1" s="225"/>
    </row>
    <row r="2" spans="1:9" ht="34.5" customHeight="1" thickBot="1">
      <c r="A2" s="200"/>
      <c r="B2" s="201"/>
      <c r="C2" s="201"/>
      <c r="D2" s="201"/>
      <c r="E2" s="201"/>
      <c r="F2" s="201"/>
      <c r="G2" s="201"/>
      <c r="H2" s="201"/>
      <c r="I2" s="226"/>
    </row>
    <row r="3" spans="1:9" ht="14.5" customHeight="1">
      <c r="A3" s="202" t="s">
        <v>80</v>
      </c>
      <c r="B3" s="203"/>
      <c r="C3" s="203"/>
      <c r="D3" s="203"/>
      <c r="E3" s="203"/>
      <c r="F3" s="203"/>
      <c r="G3" s="203"/>
      <c r="H3" s="204"/>
      <c r="I3" s="226"/>
    </row>
    <row r="4" spans="1:9" ht="27" customHeight="1" thickBot="1">
      <c r="A4" s="200"/>
      <c r="B4" s="201"/>
      <c r="C4" s="201"/>
      <c r="D4" s="201"/>
      <c r="E4" s="201"/>
      <c r="F4" s="201"/>
      <c r="G4" s="201"/>
      <c r="H4" s="201"/>
      <c r="I4" s="226"/>
    </row>
    <row r="5" spans="1:9" ht="15" thickBot="1">
      <c r="A5" s="98" t="s">
        <v>38</v>
      </c>
      <c r="B5" s="30" t="s">
        <v>39</v>
      </c>
      <c r="C5" s="205" t="s">
        <v>40</v>
      </c>
      <c r="D5" s="206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07"/>
      <c r="D6" s="20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07"/>
      <c r="D7" s="20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88"/>
      <c r="D8" s="18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88"/>
      <c r="D9" s="18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88"/>
      <c r="D10" s="18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88"/>
      <c r="D11" s="18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88"/>
      <c r="D12" s="18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88"/>
      <c r="D13" s="18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88"/>
      <c r="D14" s="18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0" t="s">
        <v>49</v>
      </c>
      <c r="B15" s="191"/>
      <c r="C15" s="191"/>
      <c r="D15" s="191"/>
      <c r="E15" s="191"/>
      <c r="F15" s="191"/>
      <c r="G15" s="191"/>
      <c r="H15" s="191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195" t="s">
        <v>78</v>
      </c>
      <c r="B38" s="196"/>
      <c r="C38" s="63" t="s">
        <v>72</v>
      </c>
      <c r="D38" s="54"/>
      <c r="E38" s="193" t="s">
        <v>70</v>
      </c>
      <c r="F38" s="194"/>
      <c r="G38" s="62" t="s">
        <v>71</v>
      </c>
      <c r="H38" s="107" t="s">
        <v>72</v>
      </c>
      <c r="I38" s="226"/>
    </row>
    <row r="39" spans="1:9" ht="14.5" customHeight="1" thickBot="1">
      <c r="A39" s="209" t="s">
        <v>68</v>
      </c>
      <c r="B39" s="210"/>
      <c r="C39" s="55"/>
      <c r="D39" s="58"/>
      <c r="E39" s="192"/>
      <c r="F39" s="192"/>
      <c r="G39" s="61"/>
      <c r="H39" s="108"/>
      <c r="I39" s="226"/>
    </row>
    <row r="40" spans="1:9" ht="15" customHeight="1" thickBot="1">
      <c r="A40" s="174" t="s">
        <v>69</v>
      </c>
      <c r="B40" s="175"/>
      <c r="C40" s="51"/>
      <c r="D40" s="59"/>
      <c r="E40" s="197"/>
      <c r="F40" s="197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87"/>
      <c r="F41" s="187"/>
      <c r="G41" s="60"/>
      <c r="H41" s="109"/>
      <c r="I41" s="226"/>
    </row>
    <row r="42" spans="1:9" ht="15" thickBot="1">
      <c r="A42" s="176" t="s">
        <v>74</v>
      </c>
      <c r="B42" s="177"/>
      <c r="C42" s="53"/>
      <c r="D42" s="56"/>
      <c r="E42" s="186"/>
      <c r="F42" s="187"/>
      <c r="G42" s="11"/>
      <c r="H42" s="109"/>
      <c r="I42" s="226"/>
    </row>
    <row r="43" spans="1:9" ht="15" thickBot="1">
      <c r="A43" s="178" t="s">
        <v>75</v>
      </c>
      <c r="B43" s="179"/>
      <c r="C43" s="90"/>
      <c r="D43" s="56"/>
      <c r="E43" s="186"/>
      <c r="F43" s="187"/>
      <c r="G43" s="11"/>
      <c r="H43" s="109"/>
      <c r="I43" s="226"/>
    </row>
    <row r="44" spans="1:9" ht="15" thickBot="1">
      <c r="A44" s="178" t="s">
        <v>76</v>
      </c>
      <c r="B44" s="179"/>
      <c r="C44" s="90"/>
      <c r="D44" s="57"/>
      <c r="E44" s="186"/>
      <c r="F44" s="187"/>
      <c r="G44" s="11"/>
      <c r="H44" s="109"/>
      <c r="I44" s="226"/>
    </row>
    <row r="45" spans="1:9" ht="15" thickBot="1">
      <c r="A45" s="178" t="s">
        <v>77</v>
      </c>
      <c r="B45" s="179"/>
      <c r="C45" s="91">
        <f>SUM(C39+C40+C41+C42+C43+C44)</f>
        <v>0</v>
      </c>
      <c r="D45" s="92"/>
      <c r="E45" s="184"/>
      <c r="F45" s="185"/>
      <c r="G45" s="93"/>
      <c r="H45" s="110"/>
      <c r="I45" s="226"/>
    </row>
    <row r="46" spans="1:9" ht="14.5" customHeight="1">
      <c r="A46" s="211" t="s">
        <v>57</v>
      </c>
      <c r="B46" s="212"/>
      <c r="C46" s="212"/>
      <c r="D46" s="212"/>
      <c r="E46" s="212"/>
      <c r="F46" s="212"/>
      <c r="G46" s="212"/>
      <c r="H46" s="212"/>
      <c r="I46" s="226"/>
    </row>
    <row r="47" spans="1:9" ht="15" customHeight="1" thickBot="1">
      <c r="A47" s="213"/>
      <c r="B47" s="214"/>
      <c r="C47" s="214"/>
      <c r="D47" s="214"/>
      <c r="E47" s="214"/>
      <c r="F47" s="214"/>
      <c r="G47" s="214"/>
      <c r="H47" s="214"/>
      <c r="I47" s="226"/>
    </row>
    <row r="48" spans="1:9" ht="29" customHeight="1" thickBot="1">
      <c r="A48" s="166" t="s">
        <v>9</v>
      </c>
      <c r="B48" s="167"/>
      <c r="C48" s="180" t="s">
        <v>58</v>
      </c>
      <c r="D48" s="181"/>
      <c r="E48" s="217" t="s">
        <v>59</v>
      </c>
      <c r="F48" s="218"/>
      <c r="G48" s="218"/>
      <c r="H48" s="218"/>
      <c r="I48" s="226"/>
    </row>
    <row r="49" spans="1:9" ht="15" customHeight="1" thickBot="1">
      <c r="A49" s="168"/>
      <c r="B49" s="169"/>
      <c r="C49" s="182" t="s">
        <v>61</v>
      </c>
      <c r="D49" s="183"/>
      <c r="E49" s="215">
        <f>SUM(B9:B12)</f>
        <v>0</v>
      </c>
      <c r="F49" s="216"/>
      <c r="G49" s="216"/>
      <c r="H49" s="216"/>
      <c r="I49" s="226"/>
    </row>
    <row r="50" spans="1:9" ht="19" customHeight="1" thickBot="1">
      <c r="A50" s="170"/>
      <c r="B50" s="171"/>
      <c r="C50" s="182" t="s">
        <v>46</v>
      </c>
      <c r="D50" s="183"/>
      <c r="E50" s="215">
        <f>SUM(B6:B8)</f>
        <v>0</v>
      </c>
      <c r="F50" s="216"/>
      <c r="G50" s="216"/>
      <c r="H50" s="216"/>
      <c r="I50" s="226"/>
    </row>
    <row r="51" spans="1:9" ht="19" customHeight="1" thickBot="1">
      <c r="A51" s="170"/>
      <c r="B51" s="171"/>
      <c r="C51" s="182" t="s">
        <v>62</v>
      </c>
      <c r="D51" s="183"/>
      <c r="E51" s="215">
        <f>SUM(B13:B14)</f>
        <v>0</v>
      </c>
      <c r="F51" s="216"/>
      <c r="G51" s="216"/>
      <c r="H51" s="216"/>
      <c r="I51" s="226"/>
    </row>
    <row r="52" spans="1:9" ht="19" customHeight="1" thickBot="1">
      <c r="A52" s="170"/>
      <c r="B52" s="171"/>
      <c r="C52" s="160" t="s">
        <v>63</v>
      </c>
      <c r="D52" s="161"/>
      <c r="E52" s="219">
        <f>SUM(B17:B18)</f>
        <v>0</v>
      </c>
      <c r="F52" s="220"/>
      <c r="G52" s="220"/>
      <c r="H52" s="220"/>
      <c r="I52" s="226"/>
    </row>
    <row r="53" spans="1:9" ht="19" customHeight="1" thickBot="1">
      <c r="A53" s="170"/>
      <c r="B53" s="171"/>
      <c r="C53" s="160" t="s">
        <v>64</v>
      </c>
      <c r="D53" s="161"/>
      <c r="E53" s="219">
        <f>SUM(B19:B20)</f>
        <v>0</v>
      </c>
      <c r="F53" s="220"/>
      <c r="G53" s="220"/>
      <c r="H53" s="220"/>
      <c r="I53" s="226"/>
    </row>
    <row r="54" spans="1:9" ht="19" customHeight="1" thickBot="1">
      <c r="A54" s="170"/>
      <c r="B54" s="171"/>
      <c r="C54" s="160" t="s">
        <v>56</v>
      </c>
      <c r="D54" s="161"/>
      <c r="E54" s="219">
        <f>B29</f>
        <v>0</v>
      </c>
      <c r="F54" s="220"/>
      <c r="G54" s="220"/>
      <c r="H54" s="220"/>
      <c r="I54" s="226"/>
    </row>
    <row r="55" spans="1:9" ht="19" customHeight="1" thickBot="1">
      <c r="A55" s="170"/>
      <c r="B55" s="171"/>
      <c r="C55" s="160" t="s">
        <v>56</v>
      </c>
      <c r="D55" s="161"/>
      <c r="E55" s="219">
        <f t="shared" ref="E55:E61" si="11">B30</f>
        <v>0</v>
      </c>
      <c r="F55" s="220"/>
      <c r="G55" s="220"/>
      <c r="H55" s="220"/>
      <c r="I55" s="226"/>
    </row>
    <row r="56" spans="1:9" ht="19" customHeight="1" thickBot="1">
      <c r="A56" s="170"/>
      <c r="B56" s="171"/>
      <c r="C56" s="160" t="s">
        <v>56</v>
      </c>
      <c r="D56" s="161"/>
      <c r="E56" s="219">
        <f t="shared" si="11"/>
        <v>0</v>
      </c>
      <c r="F56" s="220"/>
      <c r="G56" s="220"/>
      <c r="H56" s="220"/>
      <c r="I56" s="226"/>
    </row>
    <row r="57" spans="1:9" ht="19" customHeight="1" thickBot="1">
      <c r="A57" s="170"/>
      <c r="B57" s="171"/>
      <c r="C57" s="160" t="s">
        <v>56</v>
      </c>
      <c r="D57" s="161"/>
      <c r="E57" s="219">
        <f t="shared" si="11"/>
        <v>0</v>
      </c>
      <c r="F57" s="220"/>
      <c r="G57" s="220"/>
      <c r="H57" s="220"/>
      <c r="I57" s="226"/>
    </row>
    <row r="58" spans="1:9" ht="19" customHeight="1" thickBot="1">
      <c r="A58" s="170"/>
      <c r="B58" s="171"/>
      <c r="C58" s="160" t="s">
        <v>56</v>
      </c>
      <c r="D58" s="161"/>
      <c r="E58" s="219">
        <f t="shared" si="11"/>
        <v>0</v>
      </c>
      <c r="F58" s="220"/>
      <c r="G58" s="220"/>
      <c r="H58" s="220"/>
      <c r="I58" s="226"/>
    </row>
    <row r="59" spans="1:9" ht="19" customHeight="1" thickBot="1">
      <c r="A59" s="170"/>
      <c r="B59" s="171"/>
      <c r="C59" s="160" t="s">
        <v>56</v>
      </c>
      <c r="D59" s="161"/>
      <c r="E59" s="219">
        <f t="shared" si="11"/>
        <v>0</v>
      </c>
      <c r="F59" s="220"/>
      <c r="G59" s="220"/>
      <c r="H59" s="220"/>
      <c r="I59" s="226"/>
    </row>
    <row r="60" spans="1:9" ht="19" customHeight="1" thickBot="1">
      <c r="A60" s="170"/>
      <c r="B60" s="171"/>
      <c r="C60" s="160" t="s">
        <v>56</v>
      </c>
      <c r="D60" s="161"/>
      <c r="E60" s="219">
        <f t="shared" si="11"/>
        <v>0</v>
      </c>
      <c r="F60" s="220"/>
      <c r="G60" s="220"/>
      <c r="H60" s="220"/>
      <c r="I60" s="226"/>
    </row>
    <row r="61" spans="1:9" ht="19" customHeight="1" thickBot="1">
      <c r="A61" s="170"/>
      <c r="B61" s="171"/>
      <c r="C61" s="160" t="s">
        <v>56</v>
      </c>
      <c r="D61" s="161"/>
      <c r="E61" s="219">
        <f t="shared" si="11"/>
        <v>0</v>
      </c>
      <c r="F61" s="220"/>
      <c r="G61" s="220"/>
      <c r="H61" s="220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customHeight="1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4.5" customHeight="1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61:H61"/>
    <mergeCell ref="E62:H62"/>
    <mergeCell ref="E63:H63"/>
    <mergeCell ref="C61:D61"/>
    <mergeCell ref="C62:D62"/>
    <mergeCell ref="C63:D63"/>
    <mergeCell ref="E57:H57"/>
    <mergeCell ref="C57:D57"/>
    <mergeCell ref="E58:H58"/>
    <mergeCell ref="E59:H59"/>
    <mergeCell ref="E60:H60"/>
    <mergeCell ref="C58:D58"/>
    <mergeCell ref="C59:D59"/>
    <mergeCell ref="C60:D60"/>
    <mergeCell ref="E52:H52"/>
    <mergeCell ref="E53:H53"/>
    <mergeCell ref="E54:H54"/>
    <mergeCell ref="E55:H55"/>
    <mergeCell ref="E56:H56"/>
    <mergeCell ref="C52:D52"/>
    <mergeCell ref="C53:D53"/>
    <mergeCell ref="C54:D54"/>
    <mergeCell ref="C55:D55"/>
    <mergeCell ref="C56:D56"/>
    <mergeCell ref="E49:H49"/>
    <mergeCell ref="E50:H50"/>
    <mergeCell ref="E51:H51"/>
    <mergeCell ref="C50:D50"/>
    <mergeCell ref="C51:D5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7:D7"/>
    <mergeCell ref="C8:D8"/>
    <mergeCell ref="C9:D9"/>
    <mergeCell ref="C10:D10"/>
    <mergeCell ref="C11:D11"/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81640625" style="43" customWidth="1"/>
    <col min="2" max="2" width="14.36328125" style="43" customWidth="1"/>
    <col min="3" max="3" width="20" style="43" customWidth="1"/>
    <col min="4" max="4" width="14.1796875" style="43" customWidth="1"/>
    <col min="5" max="5" width="20.08984375" style="43" customWidth="1"/>
    <col min="6" max="6" width="15.26953125" style="43" customWidth="1"/>
    <col min="7" max="7" width="16.1796875" style="43" customWidth="1"/>
    <col min="8" max="8" width="19.90625" style="43" customWidth="1"/>
    <col min="9" max="16384" width="8.7265625" style="43"/>
  </cols>
  <sheetData>
    <row r="1" spans="1:9" ht="14.5" customHeight="1">
      <c r="A1" s="198" t="s">
        <v>55</v>
      </c>
      <c r="B1" s="199"/>
      <c r="C1" s="199"/>
      <c r="D1" s="199"/>
      <c r="E1" s="199"/>
      <c r="F1" s="199"/>
      <c r="G1" s="199"/>
      <c r="H1" s="199"/>
      <c r="I1" s="157"/>
    </row>
    <row r="2" spans="1:9" ht="21.5" customHeight="1" thickBot="1">
      <c r="A2" s="200"/>
      <c r="B2" s="201"/>
      <c r="C2" s="201"/>
      <c r="D2" s="201"/>
      <c r="E2" s="201"/>
      <c r="F2" s="201"/>
      <c r="G2" s="201"/>
      <c r="H2" s="201"/>
      <c r="I2" s="158"/>
    </row>
    <row r="3" spans="1:9" ht="14.5" customHeight="1">
      <c r="A3" s="202" t="s">
        <v>80</v>
      </c>
      <c r="B3" s="203"/>
      <c r="C3" s="203"/>
      <c r="D3" s="203"/>
      <c r="E3" s="203"/>
      <c r="F3" s="203"/>
      <c r="G3" s="203"/>
      <c r="H3" s="204"/>
      <c r="I3" s="158"/>
    </row>
    <row r="4" spans="1:9" ht="24" customHeight="1" thickBot="1">
      <c r="A4" s="200"/>
      <c r="B4" s="201"/>
      <c r="C4" s="201"/>
      <c r="D4" s="201"/>
      <c r="E4" s="201"/>
      <c r="F4" s="201"/>
      <c r="G4" s="201"/>
      <c r="H4" s="201"/>
      <c r="I4" s="158"/>
    </row>
    <row r="5" spans="1:9" ht="15" thickBot="1">
      <c r="A5" s="98" t="s">
        <v>38</v>
      </c>
      <c r="B5" s="30" t="s">
        <v>39</v>
      </c>
      <c r="C5" s="205" t="s">
        <v>40</v>
      </c>
      <c r="D5" s="206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07"/>
      <c r="D6" s="20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07"/>
      <c r="D7" s="20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88"/>
      <c r="D8" s="18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88"/>
      <c r="D9" s="18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88"/>
      <c r="D10" s="18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88"/>
      <c r="D11" s="18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88"/>
      <c r="D12" s="18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88"/>
      <c r="D13" s="18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88"/>
      <c r="D14" s="18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0" t="s">
        <v>49</v>
      </c>
      <c r="B15" s="191"/>
      <c r="C15" s="191"/>
      <c r="D15" s="191"/>
      <c r="E15" s="191"/>
      <c r="F15" s="191"/>
      <c r="G15" s="191"/>
      <c r="H15" s="191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5" thickBot="1">
      <c r="A38" s="195" t="s">
        <v>78</v>
      </c>
      <c r="B38" s="196"/>
      <c r="C38" s="63" t="s">
        <v>72</v>
      </c>
      <c r="D38" s="54"/>
      <c r="E38" s="193" t="s">
        <v>70</v>
      </c>
      <c r="F38" s="194"/>
      <c r="G38" s="62" t="s">
        <v>71</v>
      </c>
      <c r="H38" s="107" t="s">
        <v>72</v>
      </c>
      <c r="I38" s="158"/>
    </row>
    <row r="39" spans="1:9" ht="14.5" customHeight="1" thickBot="1">
      <c r="A39" s="209" t="s">
        <v>68</v>
      </c>
      <c r="B39" s="210"/>
      <c r="C39" s="55"/>
      <c r="D39" s="58"/>
      <c r="E39" s="192"/>
      <c r="F39" s="192"/>
      <c r="G39" s="61"/>
      <c r="H39" s="108"/>
      <c r="I39" s="158"/>
    </row>
    <row r="40" spans="1:9" ht="15" customHeight="1" thickBot="1">
      <c r="A40" s="174" t="s">
        <v>69</v>
      </c>
      <c r="B40" s="175"/>
      <c r="C40" s="51"/>
      <c r="D40" s="59"/>
      <c r="E40" s="197"/>
      <c r="F40" s="197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87"/>
      <c r="F41" s="187"/>
      <c r="G41" s="60"/>
      <c r="H41" s="109"/>
      <c r="I41" s="158"/>
    </row>
    <row r="42" spans="1:9" ht="15" thickBot="1">
      <c r="A42" s="176" t="s">
        <v>74</v>
      </c>
      <c r="B42" s="177"/>
      <c r="C42" s="53"/>
      <c r="D42" s="56"/>
      <c r="E42" s="186"/>
      <c r="F42" s="187"/>
      <c r="G42" s="11"/>
      <c r="H42" s="109"/>
      <c r="I42" s="158"/>
    </row>
    <row r="43" spans="1:9" ht="15" thickBot="1">
      <c r="A43" s="178" t="s">
        <v>75</v>
      </c>
      <c r="B43" s="179"/>
      <c r="C43" s="90"/>
      <c r="D43" s="56"/>
      <c r="E43" s="186"/>
      <c r="F43" s="187"/>
      <c r="G43" s="11"/>
      <c r="H43" s="109"/>
      <c r="I43" s="158"/>
    </row>
    <row r="44" spans="1:9" ht="15" thickBot="1">
      <c r="A44" s="178" t="s">
        <v>76</v>
      </c>
      <c r="B44" s="179"/>
      <c r="C44" s="90"/>
      <c r="D44" s="57"/>
      <c r="E44" s="186"/>
      <c r="F44" s="187"/>
      <c r="G44" s="11"/>
      <c r="H44" s="109"/>
      <c r="I44" s="158"/>
    </row>
    <row r="45" spans="1:9" ht="15" thickBot="1">
      <c r="A45" s="178" t="s">
        <v>77</v>
      </c>
      <c r="B45" s="179"/>
      <c r="C45" s="91">
        <f>SUM(C39+C40+C41+C42+C43+C44)</f>
        <v>0</v>
      </c>
      <c r="D45" s="92"/>
      <c r="E45" s="184"/>
      <c r="F45" s="185"/>
      <c r="G45" s="93"/>
      <c r="H45" s="110"/>
      <c r="I45" s="158"/>
    </row>
    <row r="46" spans="1:9" ht="14.5" customHeight="1">
      <c r="A46" s="211" t="s">
        <v>57</v>
      </c>
      <c r="B46" s="212"/>
      <c r="C46" s="212"/>
      <c r="D46" s="212"/>
      <c r="E46" s="212"/>
      <c r="F46" s="212"/>
      <c r="G46" s="212"/>
      <c r="H46" s="212"/>
      <c r="I46" s="158"/>
    </row>
    <row r="47" spans="1:9" ht="15" customHeight="1" thickBot="1">
      <c r="A47" s="213"/>
      <c r="B47" s="214"/>
      <c r="C47" s="214"/>
      <c r="D47" s="214"/>
      <c r="E47" s="214"/>
      <c r="F47" s="214"/>
      <c r="G47" s="214"/>
      <c r="H47" s="214"/>
      <c r="I47" s="158"/>
    </row>
    <row r="48" spans="1:9" ht="24" thickBot="1">
      <c r="A48" s="166" t="s">
        <v>9</v>
      </c>
      <c r="B48" s="167"/>
      <c r="C48" s="180" t="s">
        <v>58</v>
      </c>
      <c r="D48" s="181"/>
      <c r="E48" s="217" t="s">
        <v>59</v>
      </c>
      <c r="F48" s="218"/>
      <c r="G48" s="218"/>
      <c r="H48" s="218"/>
      <c r="I48" s="158"/>
    </row>
    <row r="49" spans="1:9" ht="19" thickBot="1">
      <c r="A49" s="168"/>
      <c r="B49" s="169"/>
      <c r="C49" s="182" t="s">
        <v>61</v>
      </c>
      <c r="D49" s="183"/>
      <c r="E49" s="215">
        <f>SUM(B9:B12)</f>
        <v>0</v>
      </c>
      <c r="F49" s="216"/>
      <c r="G49" s="216"/>
      <c r="H49" s="216"/>
      <c r="I49" s="158"/>
    </row>
    <row r="50" spans="1:9" ht="19" thickBot="1">
      <c r="A50" s="170"/>
      <c r="B50" s="171"/>
      <c r="C50" s="182" t="s">
        <v>46</v>
      </c>
      <c r="D50" s="183"/>
      <c r="E50" s="215">
        <f>SUM(B6:B8)</f>
        <v>0</v>
      </c>
      <c r="F50" s="216"/>
      <c r="G50" s="216"/>
      <c r="H50" s="216"/>
      <c r="I50" s="158"/>
    </row>
    <row r="51" spans="1:9" ht="19" thickBot="1">
      <c r="A51" s="170"/>
      <c r="B51" s="171"/>
      <c r="C51" s="182" t="s">
        <v>62</v>
      </c>
      <c r="D51" s="183"/>
      <c r="E51" s="215">
        <f>SUM(B13:B14)</f>
        <v>0</v>
      </c>
      <c r="F51" s="216"/>
      <c r="G51" s="216"/>
      <c r="H51" s="216"/>
      <c r="I51" s="158"/>
    </row>
    <row r="52" spans="1:9" ht="19" thickBot="1">
      <c r="A52" s="170"/>
      <c r="B52" s="171"/>
      <c r="C52" s="160" t="s">
        <v>63</v>
      </c>
      <c r="D52" s="161"/>
      <c r="E52" s="219">
        <f>SUM(B17:B18)</f>
        <v>0</v>
      </c>
      <c r="F52" s="220"/>
      <c r="G52" s="220"/>
      <c r="H52" s="220"/>
      <c r="I52" s="158"/>
    </row>
    <row r="53" spans="1:9" ht="19" thickBot="1">
      <c r="A53" s="170"/>
      <c r="B53" s="171"/>
      <c r="C53" s="160" t="s">
        <v>64</v>
      </c>
      <c r="D53" s="161"/>
      <c r="E53" s="219">
        <f>SUM(B19:B20)</f>
        <v>0</v>
      </c>
      <c r="F53" s="220"/>
      <c r="G53" s="220"/>
      <c r="H53" s="220"/>
      <c r="I53" s="158"/>
    </row>
    <row r="54" spans="1:9" ht="19" thickBot="1">
      <c r="A54" s="170"/>
      <c r="B54" s="171"/>
      <c r="C54" s="160" t="s">
        <v>56</v>
      </c>
      <c r="D54" s="161"/>
      <c r="E54" s="219">
        <f>B29</f>
        <v>0</v>
      </c>
      <c r="F54" s="220"/>
      <c r="G54" s="220"/>
      <c r="H54" s="220"/>
      <c r="I54" s="158"/>
    </row>
    <row r="55" spans="1:9" ht="19" thickBot="1">
      <c r="A55" s="170"/>
      <c r="B55" s="171"/>
      <c r="C55" s="160" t="s">
        <v>56</v>
      </c>
      <c r="D55" s="161"/>
      <c r="E55" s="219">
        <f t="shared" ref="E55:E61" si="11">B30</f>
        <v>0</v>
      </c>
      <c r="F55" s="220"/>
      <c r="G55" s="220"/>
      <c r="H55" s="220"/>
      <c r="I55" s="158"/>
    </row>
    <row r="56" spans="1:9" ht="19" thickBot="1">
      <c r="A56" s="170"/>
      <c r="B56" s="171"/>
      <c r="C56" s="160" t="s">
        <v>56</v>
      </c>
      <c r="D56" s="161"/>
      <c r="E56" s="219">
        <f t="shared" si="11"/>
        <v>0</v>
      </c>
      <c r="F56" s="220"/>
      <c r="G56" s="220"/>
      <c r="H56" s="220"/>
      <c r="I56" s="158"/>
    </row>
    <row r="57" spans="1:9" ht="19" thickBot="1">
      <c r="A57" s="170"/>
      <c r="B57" s="171"/>
      <c r="C57" s="160" t="s">
        <v>56</v>
      </c>
      <c r="D57" s="161"/>
      <c r="E57" s="219">
        <f t="shared" si="11"/>
        <v>0</v>
      </c>
      <c r="F57" s="220"/>
      <c r="G57" s="220"/>
      <c r="H57" s="220"/>
      <c r="I57" s="158"/>
    </row>
    <row r="58" spans="1:9" ht="19" thickBot="1">
      <c r="A58" s="170"/>
      <c r="B58" s="171"/>
      <c r="C58" s="160" t="s">
        <v>56</v>
      </c>
      <c r="D58" s="161"/>
      <c r="E58" s="219">
        <f t="shared" si="11"/>
        <v>0</v>
      </c>
      <c r="F58" s="220"/>
      <c r="G58" s="220"/>
      <c r="H58" s="220"/>
      <c r="I58" s="158"/>
    </row>
    <row r="59" spans="1:9" ht="19" thickBot="1">
      <c r="A59" s="170"/>
      <c r="B59" s="171"/>
      <c r="C59" s="160" t="s">
        <v>56</v>
      </c>
      <c r="D59" s="161"/>
      <c r="E59" s="219">
        <f t="shared" si="11"/>
        <v>0</v>
      </c>
      <c r="F59" s="220"/>
      <c r="G59" s="220"/>
      <c r="H59" s="220"/>
      <c r="I59" s="158"/>
    </row>
    <row r="60" spans="1:9" ht="19" thickBot="1">
      <c r="A60" s="170"/>
      <c r="B60" s="171"/>
      <c r="C60" s="160" t="s">
        <v>56</v>
      </c>
      <c r="D60" s="161"/>
      <c r="E60" s="219">
        <f t="shared" si="11"/>
        <v>0</v>
      </c>
      <c r="F60" s="220"/>
      <c r="G60" s="220"/>
      <c r="H60" s="220"/>
      <c r="I60" s="158"/>
    </row>
    <row r="61" spans="1:9" ht="19" thickBot="1">
      <c r="A61" s="170"/>
      <c r="B61" s="171"/>
      <c r="C61" s="160" t="s">
        <v>56</v>
      </c>
      <c r="D61" s="161"/>
      <c r="E61" s="219">
        <f t="shared" si="11"/>
        <v>0</v>
      </c>
      <c r="F61" s="220"/>
      <c r="G61" s="220"/>
      <c r="H61" s="220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60:H60"/>
    <mergeCell ref="E61:H61"/>
    <mergeCell ref="E62:H62"/>
    <mergeCell ref="E63:H63"/>
    <mergeCell ref="C61:D61"/>
    <mergeCell ref="C62:D62"/>
    <mergeCell ref="C63:D63"/>
    <mergeCell ref="A42:B42"/>
    <mergeCell ref="E42:F42"/>
    <mergeCell ref="A46:H47"/>
    <mergeCell ref="E49:H49"/>
    <mergeCell ref="E50:H50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C60:D60"/>
    <mergeCell ref="E43:F43"/>
    <mergeCell ref="A44:B44"/>
    <mergeCell ref="E44:F44"/>
    <mergeCell ref="E45:F45"/>
    <mergeCell ref="A45:B45"/>
    <mergeCell ref="E48:H48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08984375" style="43" customWidth="1"/>
    <col min="5" max="5" width="20.6328125" style="43" customWidth="1"/>
    <col min="6" max="6" width="22.90625" style="43" customWidth="1"/>
    <col min="7" max="7" width="21.1796875" style="43" customWidth="1"/>
    <col min="8" max="8" width="19.90625" style="43" customWidth="1"/>
    <col min="9" max="16384" width="8.7265625" style="43"/>
  </cols>
  <sheetData>
    <row r="1" spans="1:9" ht="14.5" customHeight="1">
      <c r="A1" s="198" t="s">
        <v>55</v>
      </c>
      <c r="B1" s="199"/>
      <c r="C1" s="199"/>
      <c r="D1" s="199"/>
      <c r="E1" s="199"/>
      <c r="F1" s="199"/>
      <c r="G1" s="199"/>
      <c r="H1" s="199"/>
      <c r="I1" s="225"/>
    </row>
    <row r="2" spans="1:9" ht="15" customHeight="1" thickBot="1">
      <c r="A2" s="200"/>
      <c r="B2" s="201"/>
      <c r="C2" s="201"/>
      <c r="D2" s="201"/>
      <c r="E2" s="201"/>
      <c r="F2" s="201"/>
      <c r="G2" s="201"/>
      <c r="H2" s="201"/>
      <c r="I2" s="226"/>
    </row>
    <row r="3" spans="1:9" ht="14.5" customHeight="1">
      <c r="A3" s="202" t="s">
        <v>80</v>
      </c>
      <c r="B3" s="203"/>
      <c r="C3" s="203"/>
      <c r="D3" s="203"/>
      <c r="E3" s="203"/>
      <c r="F3" s="203"/>
      <c r="G3" s="203"/>
      <c r="H3" s="204"/>
      <c r="I3" s="226"/>
    </row>
    <row r="4" spans="1:9" ht="15" customHeight="1" thickBot="1">
      <c r="A4" s="200"/>
      <c r="B4" s="201"/>
      <c r="C4" s="201"/>
      <c r="D4" s="201"/>
      <c r="E4" s="201"/>
      <c r="F4" s="201"/>
      <c r="G4" s="201"/>
      <c r="H4" s="201"/>
      <c r="I4" s="226"/>
    </row>
    <row r="5" spans="1:9" ht="15" thickBot="1">
      <c r="A5" s="98" t="s">
        <v>38</v>
      </c>
      <c r="B5" s="30" t="s">
        <v>39</v>
      </c>
      <c r="C5" s="205" t="s">
        <v>40</v>
      </c>
      <c r="D5" s="206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07"/>
      <c r="D6" s="20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07"/>
      <c r="D7" s="20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88"/>
      <c r="D8" s="18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88"/>
      <c r="D9" s="18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88"/>
      <c r="D10" s="18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88"/>
      <c r="D11" s="18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88"/>
      <c r="D12" s="18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88"/>
      <c r="D13" s="18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88"/>
      <c r="D14" s="18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0" t="s">
        <v>49</v>
      </c>
      <c r="B15" s="191"/>
      <c r="C15" s="191"/>
      <c r="D15" s="191"/>
      <c r="E15" s="191"/>
      <c r="F15" s="191"/>
      <c r="G15" s="191"/>
      <c r="H15" s="191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95" t="s">
        <v>78</v>
      </c>
      <c r="B38" s="196"/>
      <c r="C38" s="63" t="s">
        <v>72</v>
      </c>
      <c r="D38" s="54"/>
      <c r="E38" s="193" t="s">
        <v>70</v>
      </c>
      <c r="F38" s="194"/>
      <c r="G38" s="62" t="s">
        <v>71</v>
      </c>
      <c r="H38" s="107" t="s">
        <v>72</v>
      </c>
      <c r="I38" s="226"/>
    </row>
    <row r="39" spans="1:9" ht="15" customHeight="1" thickBot="1">
      <c r="A39" s="209" t="s">
        <v>68</v>
      </c>
      <c r="B39" s="210"/>
      <c r="C39" s="55"/>
      <c r="D39" s="58"/>
      <c r="E39" s="192"/>
      <c r="F39" s="192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197"/>
      <c r="F40" s="197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87"/>
      <c r="F41" s="187"/>
      <c r="G41" s="60"/>
      <c r="H41" s="109"/>
      <c r="I41" s="226"/>
    </row>
    <row r="42" spans="1:9" ht="15" thickBot="1">
      <c r="A42" s="176" t="s">
        <v>74</v>
      </c>
      <c r="B42" s="177"/>
      <c r="C42" s="53"/>
      <c r="D42" s="56"/>
      <c r="E42" s="186"/>
      <c r="F42" s="187"/>
      <c r="G42" s="11"/>
      <c r="H42" s="109"/>
      <c r="I42" s="226"/>
    </row>
    <row r="43" spans="1:9" ht="15" thickBot="1">
      <c r="A43" s="178" t="s">
        <v>75</v>
      </c>
      <c r="B43" s="179"/>
      <c r="C43" s="90"/>
      <c r="D43" s="56"/>
      <c r="E43" s="186"/>
      <c r="F43" s="187"/>
      <c r="G43" s="11"/>
      <c r="H43" s="109"/>
      <c r="I43" s="226"/>
    </row>
    <row r="44" spans="1:9" ht="15" thickBot="1">
      <c r="A44" s="178" t="s">
        <v>76</v>
      </c>
      <c r="B44" s="179"/>
      <c r="C44" s="90"/>
      <c r="D44" s="57"/>
      <c r="E44" s="186"/>
      <c r="F44" s="187"/>
      <c r="G44" s="11"/>
      <c r="H44" s="109"/>
      <c r="I44" s="226"/>
    </row>
    <row r="45" spans="1:9" ht="15" thickBot="1">
      <c r="A45" s="178" t="s">
        <v>77</v>
      </c>
      <c r="B45" s="179"/>
      <c r="C45" s="91">
        <f>SUM(C39+C40+C41+C42+C43+C44)</f>
        <v>0</v>
      </c>
      <c r="D45" s="92"/>
      <c r="E45" s="184"/>
      <c r="F45" s="185"/>
      <c r="G45" s="93"/>
      <c r="H45" s="110"/>
      <c r="I45" s="226"/>
    </row>
    <row r="46" spans="1:9">
      <c r="A46" s="211" t="s">
        <v>57</v>
      </c>
      <c r="B46" s="212"/>
      <c r="C46" s="212"/>
      <c r="D46" s="212"/>
      <c r="E46" s="212"/>
      <c r="F46" s="212"/>
      <c r="G46" s="212"/>
      <c r="H46" s="212"/>
      <c r="I46" s="226"/>
    </row>
    <row r="47" spans="1:9" ht="15" thickBot="1">
      <c r="A47" s="213"/>
      <c r="B47" s="214"/>
      <c r="C47" s="214"/>
      <c r="D47" s="214"/>
      <c r="E47" s="214"/>
      <c r="F47" s="214"/>
      <c r="G47" s="214"/>
      <c r="H47" s="214"/>
      <c r="I47" s="226"/>
    </row>
    <row r="48" spans="1:9" ht="24" thickBot="1">
      <c r="A48" s="166" t="s">
        <v>9</v>
      </c>
      <c r="B48" s="167"/>
      <c r="C48" s="180" t="s">
        <v>58</v>
      </c>
      <c r="D48" s="181"/>
      <c r="E48" s="217" t="s">
        <v>59</v>
      </c>
      <c r="F48" s="218"/>
      <c r="G48" s="218"/>
      <c r="H48" s="218"/>
      <c r="I48" s="226"/>
    </row>
    <row r="49" spans="1:9" ht="19" thickBot="1">
      <c r="A49" s="168"/>
      <c r="B49" s="169"/>
      <c r="C49" s="182" t="s">
        <v>61</v>
      </c>
      <c r="D49" s="183"/>
      <c r="E49" s="215">
        <f>SUM(B9:B12)</f>
        <v>0</v>
      </c>
      <c r="F49" s="216"/>
      <c r="G49" s="216"/>
      <c r="H49" s="216"/>
      <c r="I49" s="226"/>
    </row>
    <row r="50" spans="1:9" ht="19" thickBot="1">
      <c r="A50" s="170"/>
      <c r="B50" s="171"/>
      <c r="C50" s="182" t="s">
        <v>46</v>
      </c>
      <c r="D50" s="183"/>
      <c r="E50" s="215">
        <f>SUM(B6:B8)</f>
        <v>0</v>
      </c>
      <c r="F50" s="216"/>
      <c r="G50" s="216"/>
      <c r="H50" s="216"/>
      <c r="I50" s="226"/>
    </row>
    <row r="51" spans="1:9" ht="19" thickBot="1">
      <c r="A51" s="170"/>
      <c r="B51" s="171"/>
      <c r="C51" s="182" t="s">
        <v>62</v>
      </c>
      <c r="D51" s="183"/>
      <c r="E51" s="215">
        <f>SUM(B13:B14)</f>
        <v>0</v>
      </c>
      <c r="F51" s="216"/>
      <c r="G51" s="216"/>
      <c r="H51" s="216"/>
      <c r="I51" s="226"/>
    </row>
    <row r="52" spans="1:9" ht="19" thickBot="1">
      <c r="A52" s="170"/>
      <c r="B52" s="171"/>
      <c r="C52" s="160" t="s">
        <v>63</v>
      </c>
      <c r="D52" s="161"/>
      <c r="E52" s="219">
        <f>SUM(B17:B18)</f>
        <v>0</v>
      </c>
      <c r="F52" s="220"/>
      <c r="G52" s="220"/>
      <c r="H52" s="220"/>
      <c r="I52" s="226"/>
    </row>
    <row r="53" spans="1:9" ht="19" thickBot="1">
      <c r="A53" s="170"/>
      <c r="B53" s="171"/>
      <c r="C53" s="160" t="s">
        <v>64</v>
      </c>
      <c r="D53" s="161"/>
      <c r="E53" s="219">
        <f>SUM(B19:B20)</f>
        <v>0</v>
      </c>
      <c r="F53" s="220"/>
      <c r="G53" s="220"/>
      <c r="H53" s="220"/>
      <c r="I53" s="226"/>
    </row>
    <row r="54" spans="1:9" ht="19" thickBot="1">
      <c r="A54" s="170"/>
      <c r="B54" s="171"/>
      <c r="C54" s="160" t="s">
        <v>56</v>
      </c>
      <c r="D54" s="161"/>
      <c r="E54" s="219">
        <f>B29</f>
        <v>0</v>
      </c>
      <c r="F54" s="220"/>
      <c r="G54" s="220"/>
      <c r="H54" s="220"/>
      <c r="I54" s="226"/>
    </row>
    <row r="55" spans="1:9" ht="19" thickBot="1">
      <c r="A55" s="170"/>
      <c r="B55" s="171"/>
      <c r="C55" s="160" t="s">
        <v>56</v>
      </c>
      <c r="D55" s="161"/>
      <c r="E55" s="219">
        <f t="shared" ref="E55:E61" si="11">B30</f>
        <v>0</v>
      </c>
      <c r="F55" s="220"/>
      <c r="G55" s="220"/>
      <c r="H55" s="220"/>
      <c r="I55" s="226"/>
    </row>
    <row r="56" spans="1:9" ht="19" thickBot="1">
      <c r="A56" s="170"/>
      <c r="B56" s="171"/>
      <c r="C56" s="160" t="s">
        <v>56</v>
      </c>
      <c r="D56" s="161"/>
      <c r="E56" s="219">
        <f t="shared" si="11"/>
        <v>0</v>
      </c>
      <c r="F56" s="220"/>
      <c r="G56" s="220"/>
      <c r="H56" s="220"/>
      <c r="I56" s="226"/>
    </row>
    <row r="57" spans="1:9" ht="19" thickBot="1">
      <c r="A57" s="170"/>
      <c r="B57" s="171"/>
      <c r="C57" s="160" t="s">
        <v>56</v>
      </c>
      <c r="D57" s="161"/>
      <c r="E57" s="219">
        <f t="shared" si="11"/>
        <v>0</v>
      </c>
      <c r="F57" s="220"/>
      <c r="G57" s="220"/>
      <c r="H57" s="220"/>
      <c r="I57" s="226"/>
    </row>
    <row r="58" spans="1:9" ht="19" thickBot="1">
      <c r="A58" s="170"/>
      <c r="B58" s="171"/>
      <c r="C58" s="160" t="s">
        <v>56</v>
      </c>
      <c r="D58" s="161"/>
      <c r="E58" s="219">
        <f t="shared" si="11"/>
        <v>0</v>
      </c>
      <c r="F58" s="220"/>
      <c r="G58" s="220"/>
      <c r="H58" s="220"/>
      <c r="I58" s="226"/>
    </row>
    <row r="59" spans="1:9" ht="19" thickBot="1">
      <c r="A59" s="170"/>
      <c r="B59" s="171"/>
      <c r="C59" s="160" t="s">
        <v>56</v>
      </c>
      <c r="D59" s="161"/>
      <c r="E59" s="219">
        <f t="shared" si="11"/>
        <v>0</v>
      </c>
      <c r="F59" s="220"/>
      <c r="G59" s="220"/>
      <c r="H59" s="220"/>
      <c r="I59" s="226"/>
    </row>
    <row r="60" spans="1:9" ht="19" thickBot="1">
      <c r="A60" s="170"/>
      <c r="B60" s="171"/>
      <c r="C60" s="160" t="s">
        <v>56</v>
      </c>
      <c r="D60" s="161"/>
      <c r="E60" s="219">
        <f t="shared" si="11"/>
        <v>0</v>
      </c>
      <c r="F60" s="220"/>
      <c r="G60" s="220"/>
      <c r="H60" s="220"/>
      <c r="I60" s="226"/>
    </row>
    <row r="61" spans="1:9" ht="19" thickBot="1">
      <c r="A61" s="170"/>
      <c r="B61" s="171"/>
      <c r="C61" s="160" t="s">
        <v>56</v>
      </c>
      <c r="D61" s="161"/>
      <c r="E61" s="219">
        <f t="shared" si="11"/>
        <v>0</v>
      </c>
      <c r="F61" s="220"/>
      <c r="G61" s="220"/>
      <c r="H61" s="220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198" t="s">
        <v>55</v>
      </c>
      <c r="B1" s="199"/>
      <c r="C1" s="199"/>
      <c r="D1" s="199"/>
      <c r="E1" s="199"/>
      <c r="F1" s="199"/>
      <c r="G1" s="199"/>
      <c r="H1" s="199"/>
      <c r="I1" s="157"/>
    </row>
    <row r="2" spans="1:9" ht="19.5" customHeight="1" thickBot="1">
      <c r="A2" s="200"/>
      <c r="B2" s="201"/>
      <c r="C2" s="201"/>
      <c r="D2" s="201"/>
      <c r="E2" s="201"/>
      <c r="F2" s="201"/>
      <c r="G2" s="201"/>
      <c r="H2" s="201"/>
      <c r="I2" s="158"/>
    </row>
    <row r="3" spans="1:9" ht="14.5" customHeight="1">
      <c r="A3" s="202" t="s">
        <v>80</v>
      </c>
      <c r="B3" s="203"/>
      <c r="C3" s="203"/>
      <c r="D3" s="203"/>
      <c r="E3" s="203"/>
      <c r="F3" s="203"/>
      <c r="G3" s="203"/>
      <c r="H3" s="204"/>
      <c r="I3" s="158"/>
    </row>
    <row r="4" spans="1:9" ht="21" customHeight="1" thickBot="1">
      <c r="A4" s="200"/>
      <c r="B4" s="201"/>
      <c r="C4" s="201"/>
      <c r="D4" s="201"/>
      <c r="E4" s="201"/>
      <c r="F4" s="201"/>
      <c r="G4" s="201"/>
      <c r="H4" s="201"/>
      <c r="I4" s="158"/>
    </row>
    <row r="5" spans="1:9" ht="15" thickBot="1">
      <c r="A5" s="98" t="s">
        <v>38</v>
      </c>
      <c r="B5" s="30" t="s">
        <v>39</v>
      </c>
      <c r="C5" s="205" t="s">
        <v>40</v>
      </c>
      <c r="D5" s="206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07"/>
      <c r="D6" s="20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07"/>
      <c r="D7" s="20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88"/>
      <c r="D8" s="18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88"/>
      <c r="D9" s="18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88"/>
      <c r="D10" s="18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88"/>
      <c r="D11" s="18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88"/>
      <c r="D12" s="18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88"/>
      <c r="D13" s="18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88"/>
      <c r="D14" s="18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0" t="s">
        <v>49</v>
      </c>
      <c r="B15" s="191"/>
      <c r="C15" s="191"/>
      <c r="D15" s="191"/>
      <c r="E15" s="191"/>
      <c r="F15" s="191"/>
      <c r="G15" s="191"/>
      <c r="H15" s="191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195" t="s">
        <v>78</v>
      </c>
      <c r="B38" s="196"/>
      <c r="C38" s="63" t="s">
        <v>72</v>
      </c>
      <c r="D38" s="54"/>
      <c r="E38" s="193" t="s">
        <v>70</v>
      </c>
      <c r="F38" s="194"/>
      <c r="G38" s="62" t="s">
        <v>71</v>
      </c>
      <c r="H38" s="107" t="s">
        <v>72</v>
      </c>
      <c r="I38" s="158"/>
    </row>
    <row r="39" spans="1:9" ht="15" customHeight="1" thickBot="1">
      <c r="A39" s="209" t="s">
        <v>68</v>
      </c>
      <c r="B39" s="210"/>
      <c r="C39" s="55"/>
      <c r="D39" s="58"/>
      <c r="E39" s="192"/>
      <c r="F39" s="192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197"/>
      <c r="F40" s="197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87"/>
      <c r="F41" s="187"/>
      <c r="G41" s="60"/>
      <c r="H41" s="109"/>
      <c r="I41" s="158"/>
    </row>
    <row r="42" spans="1:9" ht="15" thickBot="1">
      <c r="A42" s="176" t="s">
        <v>74</v>
      </c>
      <c r="B42" s="177"/>
      <c r="C42" s="53"/>
      <c r="D42" s="56"/>
      <c r="E42" s="186"/>
      <c r="F42" s="187"/>
      <c r="G42" s="11"/>
      <c r="H42" s="109"/>
      <c r="I42" s="158"/>
    </row>
    <row r="43" spans="1:9" ht="15" thickBot="1">
      <c r="A43" s="178" t="s">
        <v>75</v>
      </c>
      <c r="B43" s="179"/>
      <c r="C43" s="90"/>
      <c r="D43" s="56"/>
      <c r="E43" s="186"/>
      <c r="F43" s="187"/>
      <c r="G43" s="11"/>
      <c r="H43" s="109"/>
      <c r="I43" s="158"/>
    </row>
    <row r="44" spans="1:9" ht="15" thickBot="1">
      <c r="A44" s="178" t="s">
        <v>76</v>
      </c>
      <c r="B44" s="179"/>
      <c r="C44" s="90"/>
      <c r="D44" s="57"/>
      <c r="E44" s="186"/>
      <c r="F44" s="187"/>
      <c r="G44" s="11"/>
      <c r="H44" s="109"/>
      <c r="I44" s="158"/>
    </row>
    <row r="45" spans="1:9" ht="15" thickBot="1">
      <c r="A45" s="178" t="s">
        <v>77</v>
      </c>
      <c r="B45" s="179"/>
      <c r="C45" s="91">
        <f>SUM(C39+C40+C41+C42+C43+C44)</f>
        <v>0</v>
      </c>
      <c r="D45" s="92"/>
      <c r="E45" s="184"/>
      <c r="F45" s="185"/>
      <c r="G45" s="93"/>
      <c r="H45" s="110"/>
      <c r="I45" s="158"/>
    </row>
    <row r="46" spans="1:9">
      <c r="A46" s="211" t="s">
        <v>57</v>
      </c>
      <c r="B46" s="212"/>
      <c r="C46" s="212"/>
      <c r="D46" s="212"/>
      <c r="E46" s="212"/>
      <c r="F46" s="212"/>
      <c r="G46" s="212"/>
      <c r="H46" s="212"/>
      <c r="I46" s="158"/>
    </row>
    <row r="47" spans="1:9" ht="15" thickBot="1">
      <c r="A47" s="213"/>
      <c r="B47" s="214"/>
      <c r="C47" s="214"/>
      <c r="D47" s="214"/>
      <c r="E47" s="214"/>
      <c r="F47" s="214"/>
      <c r="G47" s="214"/>
      <c r="H47" s="214"/>
      <c r="I47" s="158"/>
    </row>
    <row r="48" spans="1:9" ht="24" thickBot="1">
      <c r="A48" s="166" t="s">
        <v>9</v>
      </c>
      <c r="B48" s="167"/>
      <c r="C48" s="180" t="s">
        <v>58</v>
      </c>
      <c r="D48" s="181"/>
      <c r="E48" s="217" t="s">
        <v>59</v>
      </c>
      <c r="F48" s="218"/>
      <c r="G48" s="218"/>
      <c r="H48" s="218"/>
      <c r="I48" s="158"/>
    </row>
    <row r="49" spans="1:9" ht="19" thickBot="1">
      <c r="A49" s="168"/>
      <c r="B49" s="169"/>
      <c r="C49" s="182" t="s">
        <v>61</v>
      </c>
      <c r="D49" s="183"/>
      <c r="E49" s="215">
        <f>SUM(B9:B12)</f>
        <v>0</v>
      </c>
      <c r="F49" s="216"/>
      <c r="G49" s="216"/>
      <c r="H49" s="216"/>
      <c r="I49" s="158"/>
    </row>
    <row r="50" spans="1:9" ht="19" thickBot="1">
      <c r="A50" s="170"/>
      <c r="B50" s="171"/>
      <c r="C50" s="182" t="s">
        <v>46</v>
      </c>
      <c r="D50" s="183"/>
      <c r="E50" s="215">
        <f>SUM(B6:B8)</f>
        <v>0</v>
      </c>
      <c r="F50" s="216"/>
      <c r="G50" s="216"/>
      <c r="H50" s="216"/>
      <c r="I50" s="158"/>
    </row>
    <row r="51" spans="1:9" ht="19" thickBot="1">
      <c r="A51" s="170"/>
      <c r="B51" s="171"/>
      <c r="C51" s="182" t="s">
        <v>62</v>
      </c>
      <c r="D51" s="183"/>
      <c r="E51" s="215">
        <f>SUM(B13:B14)</f>
        <v>0</v>
      </c>
      <c r="F51" s="216"/>
      <c r="G51" s="216"/>
      <c r="H51" s="216"/>
      <c r="I51" s="158"/>
    </row>
    <row r="52" spans="1:9" ht="19" thickBot="1">
      <c r="A52" s="170"/>
      <c r="B52" s="171"/>
      <c r="C52" s="160" t="s">
        <v>63</v>
      </c>
      <c r="D52" s="161"/>
      <c r="E52" s="219">
        <f>SUM(B17:B18)</f>
        <v>0</v>
      </c>
      <c r="F52" s="220"/>
      <c r="G52" s="220"/>
      <c r="H52" s="220"/>
      <c r="I52" s="158"/>
    </row>
    <row r="53" spans="1:9" ht="19" thickBot="1">
      <c r="A53" s="170"/>
      <c r="B53" s="171"/>
      <c r="C53" s="160" t="s">
        <v>64</v>
      </c>
      <c r="D53" s="161"/>
      <c r="E53" s="219">
        <f>SUM(B19:B20)</f>
        <v>0</v>
      </c>
      <c r="F53" s="220"/>
      <c r="G53" s="220"/>
      <c r="H53" s="220"/>
      <c r="I53" s="158"/>
    </row>
    <row r="54" spans="1:9" ht="19" thickBot="1">
      <c r="A54" s="170"/>
      <c r="B54" s="171"/>
      <c r="C54" s="160" t="s">
        <v>56</v>
      </c>
      <c r="D54" s="161"/>
      <c r="E54" s="219">
        <f>B29</f>
        <v>0</v>
      </c>
      <c r="F54" s="220"/>
      <c r="G54" s="220"/>
      <c r="H54" s="220"/>
      <c r="I54" s="158"/>
    </row>
    <row r="55" spans="1:9" ht="19" thickBot="1">
      <c r="A55" s="170"/>
      <c r="B55" s="171"/>
      <c r="C55" s="160" t="s">
        <v>56</v>
      </c>
      <c r="D55" s="161"/>
      <c r="E55" s="219">
        <f t="shared" ref="E55:E61" si="11">B30</f>
        <v>0</v>
      </c>
      <c r="F55" s="220"/>
      <c r="G55" s="220"/>
      <c r="H55" s="220"/>
      <c r="I55" s="158"/>
    </row>
    <row r="56" spans="1:9" ht="19" thickBot="1">
      <c r="A56" s="170"/>
      <c r="B56" s="171"/>
      <c r="C56" s="160" t="s">
        <v>56</v>
      </c>
      <c r="D56" s="161"/>
      <c r="E56" s="219">
        <f t="shared" si="11"/>
        <v>0</v>
      </c>
      <c r="F56" s="220"/>
      <c r="G56" s="220"/>
      <c r="H56" s="220"/>
      <c r="I56" s="158"/>
    </row>
    <row r="57" spans="1:9" ht="19" thickBot="1">
      <c r="A57" s="170"/>
      <c r="B57" s="171"/>
      <c r="C57" s="160" t="s">
        <v>56</v>
      </c>
      <c r="D57" s="161"/>
      <c r="E57" s="219">
        <f t="shared" si="11"/>
        <v>0</v>
      </c>
      <c r="F57" s="220"/>
      <c r="G57" s="220"/>
      <c r="H57" s="220"/>
      <c r="I57" s="158"/>
    </row>
    <row r="58" spans="1:9" ht="19" thickBot="1">
      <c r="A58" s="170"/>
      <c r="B58" s="171"/>
      <c r="C58" s="160" t="s">
        <v>56</v>
      </c>
      <c r="D58" s="161"/>
      <c r="E58" s="219">
        <f t="shared" si="11"/>
        <v>0</v>
      </c>
      <c r="F58" s="220"/>
      <c r="G58" s="220"/>
      <c r="H58" s="220"/>
      <c r="I58" s="158"/>
    </row>
    <row r="59" spans="1:9" ht="19" thickBot="1">
      <c r="A59" s="170"/>
      <c r="B59" s="171"/>
      <c r="C59" s="160" t="s">
        <v>56</v>
      </c>
      <c r="D59" s="161"/>
      <c r="E59" s="219">
        <f t="shared" si="11"/>
        <v>0</v>
      </c>
      <c r="F59" s="220"/>
      <c r="G59" s="220"/>
      <c r="H59" s="220"/>
      <c r="I59" s="158"/>
    </row>
    <row r="60" spans="1:9" ht="19" thickBot="1">
      <c r="A60" s="170"/>
      <c r="B60" s="171"/>
      <c r="C60" s="160" t="s">
        <v>56</v>
      </c>
      <c r="D60" s="161"/>
      <c r="E60" s="219">
        <f t="shared" si="11"/>
        <v>0</v>
      </c>
      <c r="F60" s="220"/>
      <c r="G60" s="220"/>
      <c r="H60" s="220"/>
      <c r="I60" s="158"/>
    </row>
    <row r="61" spans="1:9" ht="19" thickBot="1">
      <c r="A61" s="170"/>
      <c r="B61" s="171"/>
      <c r="C61" s="160" t="s">
        <v>56</v>
      </c>
      <c r="D61" s="161"/>
      <c r="E61" s="219">
        <f t="shared" si="11"/>
        <v>0</v>
      </c>
      <c r="F61" s="220"/>
      <c r="G61" s="220"/>
      <c r="H61" s="220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228"/>
      <c r="D63" s="229"/>
      <c r="E63" s="230"/>
      <c r="F63" s="231"/>
      <c r="G63" s="231"/>
      <c r="H63" s="231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64"/>
  <sheetViews>
    <sheetView topLeftCell="A16" workbookViewId="0">
      <selection activeCell="C33" sqref="C33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198" t="s">
        <v>55</v>
      </c>
      <c r="B1" s="199"/>
      <c r="C1" s="199"/>
      <c r="D1" s="199"/>
      <c r="E1" s="199"/>
      <c r="F1" s="199"/>
      <c r="G1" s="199"/>
      <c r="H1" s="199"/>
      <c r="I1" s="157"/>
    </row>
    <row r="2" spans="1:9" ht="20.5" customHeight="1" thickBot="1">
      <c r="A2" s="200"/>
      <c r="B2" s="201"/>
      <c r="C2" s="201"/>
      <c r="D2" s="201"/>
      <c r="E2" s="201"/>
      <c r="F2" s="201"/>
      <c r="G2" s="201"/>
      <c r="H2" s="201"/>
      <c r="I2" s="158"/>
    </row>
    <row r="3" spans="1:9" ht="14.5" customHeight="1">
      <c r="A3" s="202" t="s">
        <v>80</v>
      </c>
      <c r="B3" s="203"/>
      <c r="C3" s="203"/>
      <c r="D3" s="203"/>
      <c r="E3" s="203"/>
      <c r="F3" s="203"/>
      <c r="G3" s="203"/>
      <c r="H3" s="204"/>
      <c r="I3" s="158"/>
    </row>
    <row r="4" spans="1:9" ht="20.5" customHeight="1" thickBot="1">
      <c r="A4" s="200"/>
      <c r="B4" s="201"/>
      <c r="C4" s="201"/>
      <c r="D4" s="201"/>
      <c r="E4" s="201"/>
      <c r="F4" s="201"/>
      <c r="G4" s="201"/>
      <c r="H4" s="201"/>
      <c r="I4" s="158"/>
    </row>
    <row r="5" spans="1:9" ht="15" thickBot="1">
      <c r="A5" s="98" t="s">
        <v>38</v>
      </c>
      <c r="B5" s="30" t="s">
        <v>39</v>
      </c>
      <c r="C5" s="205" t="s">
        <v>40</v>
      </c>
      <c r="D5" s="206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07"/>
      <c r="D6" s="20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07"/>
      <c r="D7" s="20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88"/>
      <c r="D8" s="18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88"/>
      <c r="D9" s="18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88"/>
      <c r="D10" s="18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88"/>
      <c r="D11" s="18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88"/>
      <c r="D12" s="18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88"/>
      <c r="D13" s="18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88"/>
      <c r="D14" s="18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0" t="s">
        <v>49</v>
      </c>
      <c r="B15" s="191"/>
      <c r="C15" s="191"/>
      <c r="D15" s="191"/>
      <c r="E15" s="191"/>
      <c r="F15" s="191"/>
      <c r="G15" s="191"/>
      <c r="H15" s="191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195" t="s">
        <v>78</v>
      </c>
      <c r="B38" s="196"/>
      <c r="C38" s="63" t="s">
        <v>72</v>
      </c>
      <c r="D38" s="54"/>
      <c r="E38" s="193" t="s">
        <v>70</v>
      </c>
      <c r="F38" s="194"/>
      <c r="G38" s="62" t="s">
        <v>71</v>
      </c>
      <c r="H38" s="107" t="s">
        <v>72</v>
      </c>
      <c r="I38" s="158"/>
    </row>
    <row r="39" spans="1:9" ht="15" customHeight="1" thickBot="1">
      <c r="A39" s="209" t="s">
        <v>68</v>
      </c>
      <c r="B39" s="210"/>
      <c r="C39" s="55"/>
      <c r="D39" s="58"/>
      <c r="E39" s="192"/>
      <c r="F39" s="192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197"/>
      <c r="F40" s="197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87"/>
      <c r="F41" s="187"/>
      <c r="G41" s="60"/>
      <c r="H41" s="109"/>
      <c r="I41" s="158"/>
    </row>
    <row r="42" spans="1:9" ht="15" thickBot="1">
      <c r="A42" s="176" t="s">
        <v>74</v>
      </c>
      <c r="B42" s="177"/>
      <c r="C42" s="53"/>
      <c r="D42" s="56"/>
      <c r="E42" s="186"/>
      <c r="F42" s="187"/>
      <c r="G42" s="11"/>
      <c r="H42" s="109"/>
      <c r="I42" s="158"/>
    </row>
    <row r="43" spans="1:9" ht="15" thickBot="1">
      <c r="A43" s="178" t="s">
        <v>75</v>
      </c>
      <c r="B43" s="179"/>
      <c r="C43" s="90"/>
      <c r="D43" s="56"/>
      <c r="E43" s="186"/>
      <c r="F43" s="187"/>
      <c r="G43" s="11"/>
      <c r="H43" s="109"/>
      <c r="I43" s="158"/>
    </row>
    <row r="44" spans="1:9" ht="15" thickBot="1">
      <c r="A44" s="178" t="s">
        <v>76</v>
      </c>
      <c r="B44" s="179"/>
      <c r="C44" s="90"/>
      <c r="D44" s="57"/>
      <c r="E44" s="186"/>
      <c r="F44" s="187"/>
      <c r="G44" s="11"/>
      <c r="H44" s="109"/>
      <c r="I44" s="158"/>
    </row>
    <row r="45" spans="1:9" ht="15" thickBot="1">
      <c r="A45" s="178" t="s">
        <v>77</v>
      </c>
      <c r="B45" s="179"/>
      <c r="C45" s="91">
        <f>SUM(C39+C40+C41+C42+C43+C44)</f>
        <v>0</v>
      </c>
      <c r="D45" s="92"/>
      <c r="E45" s="184"/>
      <c r="F45" s="185"/>
      <c r="G45" s="93"/>
      <c r="H45" s="110"/>
      <c r="I45" s="158"/>
    </row>
    <row r="46" spans="1:9">
      <c r="A46" s="211" t="s">
        <v>57</v>
      </c>
      <c r="B46" s="212"/>
      <c r="C46" s="212"/>
      <c r="D46" s="212"/>
      <c r="E46" s="212"/>
      <c r="F46" s="212"/>
      <c r="G46" s="212"/>
      <c r="H46" s="212"/>
      <c r="I46" s="158"/>
    </row>
    <row r="47" spans="1:9" ht="15" thickBot="1">
      <c r="A47" s="213"/>
      <c r="B47" s="214"/>
      <c r="C47" s="214"/>
      <c r="D47" s="214"/>
      <c r="E47" s="214"/>
      <c r="F47" s="214"/>
      <c r="G47" s="214"/>
      <c r="H47" s="214"/>
      <c r="I47" s="158"/>
    </row>
    <row r="48" spans="1:9" ht="24" thickBot="1">
      <c r="A48" s="166" t="s">
        <v>9</v>
      </c>
      <c r="B48" s="167"/>
      <c r="C48" s="180" t="s">
        <v>58</v>
      </c>
      <c r="D48" s="181"/>
      <c r="E48" s="217" t="s">
        <v>59</v>
      </c>
      <c r="F48" s="218"/>
      <c r="G48" s="218"/>
      <c r="H48" s="218"/>
      <c r="I48" s="158"/>
    </row>
    <row r="49" spans="1:9" ht="19" thickBot="1">
      <c r="A49" s="168"/>
      <c r="B49" s="169"/>
      <c r="C49" s="182" t="s">
        <v>61</v>
      </c>
      <c r="D49" s="183"/>
      <c r="E49" s="215">
        <f>SUM(B9:B12)</f>
        <v>0</v>
      </c>
      <c r="F49" s="216"/>
      <c r="G49" s="216"/>
      <c r="H49" s="216"/>
      <c r="I49" s="158"/>
    </row>
    <row r="50" spans="1:9" ht="19" thickBot="1">
      <c r="A50" s="170"/>
      <c r="B50" s="171"/>
      <c r="C50" s="182" t="s">
        <v>46</v>
      </c>
      <c r="D50" s="183"/>
      <c r="E50" s="215">
        <f>SUM(B6:B8)</f>
        <v>0</v>
      </c>
      <c r="F50" s="216"/>
      <c r="G50" s="216"/>
      <c r="H50" s="216"/>
      <c r="I50" s="158"/>
    </row>
    <row r="51" spans="1:9" ht="19" thickBot="1">
      <c r="A51" s="170"/>
      <c r="B51" s="171"/>
      <c r="C51" s="182" t="s">
        <v>62</v>
      </c>
      <c r="D51" s="183"/>
      <c r="E51" s="215">
        <f>SUM(B13:B14)</f>
        <v>0</v>
      </c>
      <c r="F51" s="216"/>
      <c r="G51" s="216"/>
      <c r="H51" s="216"/>
      <c r="I51" s="158"/>
    </row>
    <row r="52" spans="1:9" ht="19" thickBot="1">
      <c r="A52" s="170"/>
      <c r="B52" s="171"/>
      <c r="C52" s="160" t="s">
        <v>63</v>
      </c>
      <c r="D52" s="161"/>
      <c r="E52" s="219">
        <f>SUM(B17:B18)</f>
        <v>0</v>
      </c>
      <c r="F52" s="220"/>
      <c r="G52" s="220"/>
      <c r="H52" s="220"/>
      <c r="I52" s="158"/>
    </row>
    <row r="53" spans="1:9" ht="19" thickBot="1">
      <c r="A53" s="170"/>
      <c r="B53" s="171"/>
      <c r="C53" s="160" t="s">
        <v>64</v>
      </c>
      <c r="D53" s="161"/>
      <c r="E53" s="219">
        <f>SUM(B19:B20)</f>
        <v>0</v>
      </c>
      <c r="F53" s="220"/>
      <c r="G53" s="220"/>
      <c r="H53" s="220"/>
      <c r="I53" s="158"/>
    </row>
    <row r="54" spans="1:9" ht="19" thickBot="1">
      <c r="A54" s="170"/>
      <c r="B54" s="171"/>
      <c r="C54" s="160" t="s">
        <v>56</v>
      </c>
      <c r="D54" s="161"/>
      <c r="E54" s="219">
        <f>B29</f>
        <v>0</v>
      </c>
      <c r="F54" s="220"/>
      <c r="G54" s="220"/>
      <c r="H54" s="220"/>
      <c r="I54" s="158"/>
    </row>
    <row r="55" spans="1:9" ht="19" thickBot="1">
      <c r="A55" s="170"/>
      <c r="B55" s="171"/>
      <c r="C55" s="160" t="s">
        <v>56</v>
      </c>
      <c r="D55" s="161"/>
      <c r="E55" s="219">
        <f t="shared" ref="E55:E61" si="11">B30</f>
        <v>0</v>
      </c>
      <c r="F55" s="220"/>
      <c r="G55" s="220"/>
      <c r="H55" s="220"/>
      <c r="I55" s="158"/>
    </row>
    <row r="56" spans="1:9" ht="19" thickBot="1">
      <c r="A56" s="170"/>
      <c r="B56" s="171"/>
      <c r="C56" s="160" t="s">
        <v>56</v>
      </c>
      <c r="D56" s="161"/>
      <c r="E56" s="219">
        <f t="shared" si="11"/>
        <v>0</v>
      </c>
      <c r="F56" s="220"/>
      <c r="G56" s="220"/>
      <c r="H56" s="220"/>
      <c r="I56" s="158"/>
    </row>
    <row r="57" spans="1:9" ht="19" thickBot="1">
      <c r="A57" s="170"/>
      <c r="B57" s="171"/>
      <c r="C57" s="160" t="s">
        <v>56</v>
      </c>
      <c r="D57" s="161"/>
      <c r="E57" s="219">
        <f t="shared" si="11"/>
        <v>0</v>
      </c>
      <c r="F57" s="220"/>
      <c r="G57" s="220"/>
      <c r="H57" s="220"/>
      <c r="I57" s="158"/>
    </row>
    <row r="58" spans="1:9" ht="19" thickBot="1">
      <c r="A58" s="170"/>
      <c r="B58" s="171"/>
      <c r="C58" s="160" t="s">
        <v>56</v>
      </c>
      <c r="D58" s="161"/>
      <c r="E58" s="219">
        <f t="shared" si="11"/>
        <v>0</v>
      </c>
      <c r="F58" s="220"/>
      <c r="G58" s="220"/>
      <c r="H58" s="220"/>
      <c r="I58" s="158"/>
    </row>
    <row r="59" spans="1:9" ht="19" thickBot="1">
      <c r="A59" s="170"/>
      <c r="B59" s="171"/>
      <c r="C59" s="160" t="s">
        <v>56</v>
      </c>
      <c r="D59" s="161"/>
      <c r="E59" s="219">
        <f t="shared" si="11"/>
        <v>0</v>
      </c>
      <c r="F59" s="220"/>
      <c r="G59" s="220"/>
      <c r="H59" s="220"/>
      <c r="I59" s="158"/>
    </row>
    <row r="60" spans="1:9" ht="19" thickBot="1">
      <c r="A60" s="170"/>
      <c r="B60" s="171"/>
      <c r="C60" s="160" t="s">
        <v>56</v>
      </c>
      <c r="D60" s="161"/>
      <c r="E60" s="219">
        <f t="shared" si="11"/>
        <v>0</v>
      </c>
      <c r="F60" s="220"/>
      <c r="G60" s="220"/>
      <c r="H60" s="220"/>
      <c r="I60" s="158"/>
    </row>
    <row r="61" spans="1:9" ht="19" thickBot="1">
      <c r="A61" s="170"/>
      <c r="B61" s="171"/>
      <c r="C61" s="160" t="s">
        <v>56</v>
      </c>
      <c r="D61" s="161"/>
      <c r="E61" s="219">
        <f t="shared" si="11"/>
        <v>0</v>
      </c>
      <c r="F61" s="220"/>
      <c r="G61" s="220"/>
      <c r="H61" s="220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228"/>
      <c r="D63" s="229"/>
      <c r="E63" s="230"/>
      <c r="F63" s="231"/>
      <c r="G63" s="231"/>
      <c r="H63" s="231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64"/>
  <sheetViews>
    <sheetView topLeftCell="A25" workbookViewId="0">
      <selection activeCell="C33" sqref="C33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198" t="s">
        <v>55</v>
      </c>
      <c r="B1" s="199"/>
      <c r="C1" s="199"/>
      <c r="D1" s="199"/>
      <c r="E1" s="199"/>
      <c r="F1" s="199"/>
      <c r="G1" s="199"/>
      <c r="H1" s="199"/>
      <c r="I1" s="157"/>
    </row>
    <row r="2" spans="1:9" ht="24.5" customHeight="1" thickBot="1">
      <c r="A2" s="200"/>
      <c r="B2" s="201"/>
      <c r="C2" s="201"/>
      <c r="D2" s="201"/>
      <c r="E2" s="201"/>
      <c r="F2" s="201"/>
      <c r="G2" s="201"/>
      <c r="H2" s="201"/>
      <c r="I2" s="158"/>
    </row>
    <row r="3" spans="1:9" ht="14.5" customHeight="1">
      <c r="A3" s="202" t="s">
        <v>80</v>
      </c>
      <c r="B3" s="203"/>
      <c r="C3" s="203"/>
      <c r="D3" s="203"/>
      <c r="E3" s="203"/>
      <c r="F3" s="203"/>
      <c r="G3" s="203"/>
      <c r="H3" s="204"/>
      <c r="I3" s="158"/>
    </row>
    <row r="4" spans="1:9" ht="21.5" customHeight="1" thickBot="1">
      <c r="A4" s="200"/>
      <c r="B4" s="201"/>
      <c r="C4" s="201"/>
      <c r="D4" s="201"/>
      <c r="E4" s="201"/>
      <c r="F4" s="201"/>
      <c r="G4" s="201"/>
      <c r="H4" s="201"/>
      <c r="I4" s="158"/>
    </row>
    <row r="5" spans="1:9" ht="15" thickBot="1">
      <c r="A5" s="98" t="s">
        <v>38</v>
      </c>
      <c r="B5" s="30" t="s">
        <v>39</v>
      </c>
      <c r="C5" s="205" t="s">
        <v>40</v>
      </c>
      <c r="D5" s="206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07"/>
      <c r="D6" s="20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07"/>
      <c r="D7" s="20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88"/>
      <c r="D8" s="18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88"/>
      <c r="D9" s="18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88"/>
      <c r="D10" s="18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88"/>
      <c r="D11" s="18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88"/>
      <c r="D12" s="18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88"/>
      <c r="D13" s="18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88"/>
      <c r="D14" s="18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0" t="s">
        <v>49</v>
      </c>
      <c r="B15" s="191"/>
      <c r="C15" s="191"/>
      <c r="D15" s="191"/>
      <c r="E15" s="191"/>
      <c r="F15" s="191"/>
      <c r="G15" s="191"/>
      <c r="H15" s="191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195" t="s">
        <v>78</v>
      </c>
      <c r="B38" s="196"/>
      <c r="C38" s="63" t="s">
        <v>72</v>
      </c>
      <c r="D38" s="54"/>
      <c r="E38" s="193" t="s">
        <v>70</v>
      </c>
      <c r="F38" s="194"/>
      <c r="G38" s="62" t="s">
        <v>71</v>
      </c>
      <c r="H38" s="107" t="s">
        <v>72</v>
      </c>
      <c r="I38" s="158"/>
    </row>
    <row r="39" spans="1:9" ht="15" customHeight="1" thickBot="1">
      <c r="A39" s="209" t="s">
        <v>68</v>
      </c>
      <c r="B39" s="210"/>
      <c r="C39" s="55"/>
      <c r="D39" s="58"/>
      <c r="E39" s="192"/>
      <c r="F39" s="192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197"/>
      <c r="F40" s="197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87"/>
      <c r="F41" s="187"/>
      <c r="G41" s="60"/>
      <c r="H41" s="109"/>
      <c r="I41" s="158"/>
    </row>
    <row r="42" spans="1:9" ht="15" thickBot="1">
      <c r="A42" s="176" t="s">
        <v>74</v>
      </c>
      <c r="B42" s="177"/>
      <c r="C42" s="53"/>
      <c r="D42" s="56"/>
      <c r="E42" s="186"/>
      <c r="F42" s="187"/>
      <c r="G42" s="11"/>
      <c r="H42" s="109"/>
      <c r="I42" s="158"/>
    </row>
    <row r="43" spans="1:9" ht="15" thickBot="1">
      <c r="A43" s="178" t="s">
        <v>75</v>
      </c>
      <c r="B43" s="179"/>
      <c r="C43" s="90"/>
      <c r="D43" s="56"/>
      <c r="E43" s="186"/>
      <c r="F43" s="187"/>
      <c r="G43" s="11"/>
      <c r="H43" s="109"/>
      <c r="I43" s="158"/>
    </row>
    <row r="44" spans="1:9" ht="15" thickBot="1">
      <c r="A44" s="178" t="s">
        <v>76</v>
      </c>
      <c r="B44" s="179"/>
      <c r="C44" s="90"/>
      <c r="D44" s="57"/>
      <c r="E44" s="186"/>
      <c r="F44" s="187"/>
      <c r="G44" s="11"/>
      <c r="H44" s="109"/>
      <c r="I44" s="158"/>
    </row>
    <row r="45" spans="1:9" ht="15" thickBot="1">
      <c r="A45" s="178" t="s">
        <v>77</v>
      </c>
      <c r="B45" s="179"/>
      <c r="C45" s="91">
        <f>SUM(C39+C40+C41+C42+C43+C44)</f>
        <v>0</v>
      </c>
      <c r="D45" s="92"/>
      <c r="E45" s="184"/>
      <c r="F45" s="185"/>
      <c r="G45" s="93"/>
      <c r="H45" s="110"/>
      <c r="I45" s="158"/>
    </row>
    <row r="46" spans="1:9">
      <c r="A46" s="211" t="s">
        <v>57</v>
      </c>
      <c r="B46" s="212"/>
      <c r="C46" s="212"/>
      <c r="D46" s="212"/>
      <c r="E46" s="212"/>
      <c r="F46" s="212"/>
      <c r="G46" s="212"/>
      <c r="H46" s="212"/>
      <c r="I46" s="158"/>
    </row>
    <row r="47" spans="1:9" ht="15" thickBot="1">
      <c r="A47" s="213"/>
      <c r="B47" s="214"/>
      <c r="C47" s="214"/>
      <c r="D47" s="214"/>
      <c r="E47" s="214"/>
      <c r="F47" s="214"/>
      <c r="G47" s="214"/>
      <c r="H47" s="214"/>
      <c r="I47" s="158"/>
    </row>
    <row r="48" spans="1:9" ht="24" thickBot="1">
      <c r="A48" s="166" t="s">
        <v>9</v>
      </c>
      <c r="B48" s="167"/>
      <c r="C48" s="180" t="s">
        <v>58</v>
      </c>
      <c r="D48" s="181"/>
      <c r="E48" s="217" t="s">
        <v>59</v>
      </c>
      <c r="F48" s="218"/>
      <c r="G48" s="218"/>
      <c r="H48" s="218"/>
      <c r="I48" s="158"/>
    </row>
    <row r="49" spans="1:9" ht="19" thickBot="1">
      <c r="A49" s="168"/>
      <c r="B49" s="169"/>
      <c r="C49" s="182" t="s">
        <v>61</v>
      </c>
      <c r="D49" s="183"/>
      <c r="E49" s="215">
        <f>SUM(B9:B12)</f>
        <v>0</v>
      </c>
      <c r="F49" s="216"/>
      <c r="G49" s="216"/>
      <c r="H49" s="216"/>
      <c r="I49" s="158"/>
    </row>
    <row r="50" spans="1:9" ht="19" thickBot="1">
      <c r="A50" s="170"/>
      <c r="B50" s="171"/>
      <c r="C50" s="182" t="s">
        <v>46</v>
      </c>
      <c r="D50" s="183"/>
      <c r="E50" s="215">
        <f>SUM(B6:B8)</f>
        <v>0</v>
      </c>
      <c r="F50" s="216"/>
      <c r="G50" s="216"/>
      <c r="H50" s="216"/>
      <c r="I50" s="158"/>
    </row>
    <row r="51" spans="1:9" ht="19" thickBot="1">
      <c r="A51" s="170"/>
      <c r="B51" s="171"/>
      <c r="C51" s="182" t="s">
        <v>62</v>
      </c>
      <c r="D51" s="183"/>
      <c r="E51" s="215">
        <f>SUM(B13:B14)</f>
        <v>0</v>
      </c>
      <c r="F51" s="216"/>
      <c r="G51" s="216"/>
      <c r="H51" s="216"/>
      <c r="I51" s="158"/>
    </row>
    <row r="52" spans="1:9" ht="19" thickBot="1">
      <c r="A52" s="170"/>
      <c r="B52" s="171"/>
      <c r="C52" s="160" t="s">
        <v>63</v>
      </c>
      <c r="D52" s="161"/>
      <c r="E52" s="219">
        <f>SUM(B17:B18)</f>
        <v>0</v>
      </c>
      <c r="F52" s="220"/>
      <c r="G52" s="220"/>
      <c r="H52" s="220"/>
      <c r="I52" s="158"/>
    </row>
    <row r="53" spans="1:9" ht="19" thickBot="1">
      <c r="A53" s="170"/>
      <c r="B53" s="171"/>
      <c r="C53" s="160" t="s">
        <v>64</v>
      </c>
      <c r="D53" s="161"/>
      <c r="E53" s="219">
        <f>SUM(B19:B20)</f>
        <v>0</v>
      </c>
      <c r="F53" s="220"/>
      <c r="G53" s="220"/>
      <c r="H53" s="220"/>
      <c r="I53" s="158"/>
    </row>
    <row r="54" spans="1:9" ht="19" thickBot="1">
      <c r="A54" s="170"/>
      <c r="B54" s="171"/>
      <c r="C54" s="160" t="s">
        <v>56</v>
      </c>
      <c r="D54" s="161"/>
      <c r="E54" s="219">
        <f>B29</f>
        <v>0</v>
      </c>
      <c r="F54" s="220"/>
      <c r="G54" s="220"/>
      <c r="H54" s="220"/>
      <c r="I54" s="158"/>
    </row>
    <row r="55" spans="1:9" ht="19" thickBot="1">
      <c r="A55" s="170"/>
      <c r="B55" s="171"/>
      <c r="C55" s="160" t="s">
        <v>56</v>
      </c>
      <c r="D55" s="161"/>
      <c r="E55" s="219">
        <f t="shared" ref="E55:E61" si="11">B30</f>
        <v>0</v>
      </c>
      <c r="F55" s="220"/>
      <c r="G55" s="220"/>
      <c r="H55" s="220"/>
      <c r="I55" s="158"/>
    </row>
    <row r="56" spans="1:9" ht="19" thickBot="1">
      <c r="A56" s="170"/>
      <c r="B56" s="171"/>
      <c r="C56" s="160" t="s">
        <v>56</v>
      </c>
      <c r="D56" s="161"/>
      <c r="E56" s="219">
        <f t="shared" si="11"/>
        <v>0</v>
      </c>
      <c r="F56" s="220"/>
      <c r="G56" s="220"/>
      <c r="H56" s="220"/>
      <c r="I56" s="158"/>
    </row>
    <row r="57" spans="1:9" ht="19" thickBot="1">
      <c r="A57" s="170"/>
      <c r="B57" s="171"/>
      <c r="C57" s="160" t="s">
        <v>56</v>
      </c>
      <c r="D57" s="161"/>
      <c r="E57" s="219">
        <f t="shared" si="11"/>
        <v>0</v>
      </c>
      <c r="F57" s="220"/>
      <c r="G57" s="220"/>
      <c r="H57" s="220"/>
      <c r="I57" s="158"/>
    </row>
    <row r="58" spans="1:9" ht="19" thickBot="1">
      <c r="A58" s="170"/>
      <c r="B58" s="171"/>
      <c r="C58" s="160" t="s">
        <v>56</v>
      </c>
      <c r="D58" s="161"/>
      <c r="E58" s="219">
        <f t="shared" si="11"/>
        <v>0</v>
      </c>
      <c r="F58" s="220"/>
      <c r="G58" s="220"/>
      <c r="H58" s="220"/>
      <c r="I58" s="158"/>
    </row>
    <row r="59" spans="1:9" ht="19" thickBot="1">
      <c r="A59" s="170"/>
      <c r="B59" s="171"/>
      <c r="C59" s="160" t="s">
        <v>56</v>
      </c>
      <c r="D59" s="161"/>
      <c r="E59" s="219">
        <f t="shared" si="11"/>
        <v>0</v>
      </c>
      <c r="F59" s="220"/>
      <c r="G59" s="220"/>
      <c r="H59" s="220"/>
      <c r="I59" s="158"/>
    </row>
    <row r="60" spans="1:9" ht="19" thickBot="1">
      <c r="A60" s="170"/>
      <c r="B60" s="171"/>
      <c r="C60" s="160" t="s">
        <v>56</v>
      </c>
      <c r="D60" s="161"/>
      <c r="E60" s="219">
        <f t="shared" si="11"/>
        <v>0</v>
      </c>
      <c r="F60" s="220"/>
      <c r="G60" s="220"/>
      <c r="H60" s="220"/>
      <c r="I60" s="158"/>
    </row>
    <row r="61" spans="1:9" ht="19" thickBot="1">
      <c r="A61" s="170"/>
      <c r="B61" s="171"/>
      <c r="C61" s="160" t="s">
        <v>56</v>
      </c>
      <c r="D61" s="161"/>
      <c r="E61" s="219">
        <f t="shared" si="11"/>
        <v>0</v>
      </c>
      <c r="F61" s="220"/>
      <c r="G61" s="220"/>
      <c r="H61" s="220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228"/>
      <c r="D63" s="229"/>
      <c r="E63" s="230"/>
      <c r="F63" s="231"/>
      <c r="G63" s="231"/>
      <c r="H63" s="231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198" t="s">
        <v>55</v>
      </c>
      <c r="B1" s="199"/>
      <c r="C1" s="199"/>
      <c r="D1" s="199"/>
      <c r="E1" s="199"/>
      <c r="F1" s="199"/>
      <c r="G1" s="199"/>
      <c r="H1" s="199"/>
      <c r="I1" s="157"/>
    </row>
    <row r="2" spans="1:9" ht="27.5" customHeight="1" thickBot="1">
      <c r="A2" s="200"/>
      <c r="B2" s="201"/>
      <c r="C2" s="201"/>
      <c r="D2" s="201"/>
      <c r="E2" s="201"/>
      <c r="F2" s="201"/>
      <c r="G2" s="201"/>
      <c r="H2" s="201"/>
      <c r="I2" s="158"/>
    </row>
    <row r="3" spans="1:9" ht="14.5" customHeight="1">
      <c r="A3" s="202" t="s">
        <v>80</v>
      </c>
      <c r="B3" s="203"/>
      <c r="C3" s="203"/>
      <c r="D3" s="203"/>
      <c r="E3" s="203"/>
      <c r="F3" s="203"/>
      <c r="G3" s="203"/>
      <c r="H3" s="204"/>
      <c r="I3" s="158"/>
    </row>
    <row r="4" spans="1:9" ht="21.5" customHeight="1" thickBot="1">
      <c r="A4" s="200"/>
      <c r="B4" s="201"/>
      <c r="C4" s="201"/>
      <c r="D4" s="201"/>
      <c r="E4" s="201"/>
      <c r="F4" s="201"/>
      <c r="G4" s="201"/>
      <c r="H4" s="201"/>
      <c r="I4" s="158"/>
    </row>
    <row r="5" spans="1:9" ht="15" thickBot="1">
      <c r="A5" s="98" t="s">
        <v>38</v>
      </c>
      <c r="B5" s="30" t="s">
        <v>39</v>
      </c>
      <c r="C5" s="205" t="s">
        <v>40</v>
      </c>
      <c r="D5" s="206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07"/>
      <c r="D6" s="20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07"/>
      <c r="D7" s="20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88"/>
      <c r="D8" s="18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88"/>
      <c r="D9" s="18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88"/>
      <c r="D10" s="18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88"/>
      <c r="D11" s="18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88"/>
      <c r="D12" s="18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88"/>
      <c r="D13" s="18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88"/>
      <c r="D14" s="18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0" t="s">
        <v>49</v>
      </c>
      <c r="B15" s="191"/>
      <c r="C15" s="191"/>
      <c r="D15" s="191"/>
      <c r="E15" s="191"/>
      <c r="F15" s="191"/>
      <c r="G15" s="191"/>
      <c r="H15" s="191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195" t="s">
        <v>78</v>
      </c>
      <c r="B38" s="196"/>
      <c r="C38" s="63" t="s">
        <v>72</v>
      </c>
      <c r="D38" s="54"/>
      <c r="E38" s="193" t="s">
        <v>70</v>
      </c>
      <c r="F38" s="194"/>
      <c r="G38" s="62" t="s">
        <v>71</v>
      </c>
      <c r="H38" s="107" t="s">
        <v>72</v>
      </c>
      <c r="I38" s="158"/>
    </row>
    <row r="39" spans="1:9" ht="15" customHeight="1" thickBot="1">
      <c r="A39" s="209" t="s">
        <v>68</v>
      </c>
      <c r="B39" s="210"/>
      <c r="C39" s="55"/>
      <c r="D39" s="58"/>
      <c r="E39" s="192"/>
      <c r="F39" s="192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197"/>
      <c r="F40" s="197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87"/>
      <c r="F41" s="187"/>
      <c r="G41" s="60"/>
      <c r="H41" s="109"/>
      <c r="I41" s="158"/>
    </row>
    <row r="42" spans="1:9" ht="15" thickBot="1">
      <c r="A42" s="176" t="s">
        <v>74</v>
      </c>
      <c r="B42" s="177"/>
      <c r="C42" s="53"/>
      <c r="D42" s="56"/>
      <c r="E42" s="186"/>
      <c r="F42" s="187"/>
      <c r="G42" s="11"/>
      <c r="H42" s="109"/>
      <c r="I42" s="158"/>
    </row>
    <row r="43" spans="1:9" ht="15" thickBot="1">
      <c r="A43" s="178" t="s">
        <v>75</v>
      </c>
      <c r="B43" s="179"/>
      <c r="C43" s="90"/>
      <c r="D43" s="56"/>
      <c r="E43" s="186"/>
      <c r="F43" s="187"/>
      <c r="G43" s="11"/>
      <c r="H43" s="109"/>
      <c r="I43" s="158"/>
    </row>
    <row r="44" spans="1:9" ht="15" thickBot="1">
      <c r="A44" s="178" t="s">
        <v>76</v>
      </c>
      <c r="B44" s="179"/>
      <c r="C44" s="90"/>
      <c r="D44" s="57"/>
      <c r="E44" s="186"/>
      <c r="F44" s="187"/>
      <c r="G44" s="11"/>
      <c r="H44" s="109"/>
      <c r="I44" s="158"/>
    </row>
    <row r="45" spans="1:9" ht="15" thickBot="1">
      <c r="A45" s="178" t="s">
        <v>77</v>
      </c>
      <c r="B45" s="179"/>
      <c r="C45" s="91">
        <f>SUM(C39+C40+C41+C42+C43+C44)</f>
        <v>0</v>
      </c>
      <c r="D45" s="92"/>
      <c r="E45" s="184"/>
      <c r="F45" s="185"/>
      <c r="G45" s="93"/>
      <c r="H45" s="110"/>
      <c r="I45" s="158"/>
    </row>
    <row r="46" spans="1:9">
      <c r="A46" s="211" t="s">
        <v>57</v>
      </c>
      <c r="B46" s="212"/>
      <c r="C46" s="212"/>
      <c r="D46" s="212"/>
      <c r="E46" s="212"/>
      <c r="F46" s="212"/>
      <c r="G46" s="212"/>
      <c r="H46" s="212"/>
      <c r="I46" s="158"/>
    </row>
    <row r="47" spans="1:9" ht="15" thickBot="1">
      <c r="A47" s="213"/>
      <c r="B47" s="214"/>
      <c r="C47" s="214"/>
      <c r="D47" s="214"/>
      <c r="E47" s="214"/>
      <c r="F47" s="214"/>
      <c r="G47" s="214"/>
      <c r="H47" s="214"/>
      <c r="I47" s="158"/>
    </row>
    <row r="48" spans="1:9" ht="24" thickBot="1">
      <c r="A48" s="166" t="s">
        <v>9</v>
      </c>
      <c r="B48" s="167"/>
      <c r="C48" s="180" t="s">
        <v>58</v>
      </c>
      <c r="D48" s="181"/>
      <c r="E48" s="217" t="s">
        <v>59</v>
      </c>
      <c r="F48" s="218"/>
      <c r="G48" s="218"/>
      <c r="H48" s="218"/>
      <c r="I48" s="158"/>
    </row>
    <row r="49" spans="1:9" ht="19" thickBot="1">
      <c r="A49" s="168"/>
      <c r="B49" s="169"/>
      <c r="C49" s="182" t="s">
        <v>61</v>
      </c>
      <c r="D49" s="183"/>
      <c r="E49" s="215">
        <f>SUM(B9:B12)</f>
        <v>0</v>
      </c>
      <c r="F49" s="216"/>
      <c r="G49" s="216"/>
      <c r="H49" s="216"/>
      <c r="I49" s="158"/>
    </row>
    <row r="50" spans="1:9" ht="19" thickBot="1">
      <c r="A50" s="170"/>
      <c r="B50" s="171"/>
      <c r="C50" s="182" t="s">
        <v>46</v>
      </c>
      <c r="D50" s="183"/>
      <c r="E50" s="215">
        <f>SUM(B6:B8)</f>
        <v>0</v>
      </c>
      <c r="F50" s="216"/>
      <c r="G50" s="216"/>
      <c r="H50" s="216"/>
      <c r="I50" s="158"/>
    </row>
    <row r="51" spans="1:9" ht="19" thickBot="1">
      <c r="A51" s="170"/>
      <c r="B51" s="171"/>
      <c r="C51" s="182" t="s">
        <v>62</v>
      </c>
      <c r="D51" s="183"/>
      <c r="E51" s="215">
        <f>SUM(B13:B14)</f>
        <v>0</v>
      </c>
      <c r="F51" s="216"/>
      <c r="G51" s="216"/>
      <c r="H51" s="216"/>
      <c r="I51" s="158"/>
    </row>
    <row r="52" spans="1:9" ht="19" thickBot="1">
      <c r="A52" s="170"/>
      <c r="B52" s="171"/>
      <c r="C52" s="160" t="s">
        <v>63</v>
      </c>
      <c r="D52" s="161"/>
      <c r="E52" s="219">
        <f>SUM(B17:B18)</f>
        <v>0</v>
      </c>
      <c r="F52" s="220"/>
      <c r="G52" s="220"/>
      <c r="H52" s="220"/>
      <c r="I52" s="158"/>
    </row>
    <row r="53" spans="1:9" ht="19" thickBot="1">
      <c r="A53" s="170"/>
      <c r="B53" s="171"/>
      <c r="C53" s="160" t="s">
        <v>64</v>
      </c>
      <c r="D53" s="161"/>
      <c r="E53" s="219">
        <f>SUM(B19:B20)</f>
        <v>0</v>
      </c>
      <c r="F53" s="220"/>
      <c r="G53" s="220"/>
      <c r="H53" s="220"/>
      <c r="I53" s="158"/>
    </row>
    <row r="54" spans="1:9" ht="19" thickBot="1">
      <c r="A54" s="170"/>
      <c r="B54" s="171"/>
      <c r="C54" s="160" t="s">
        <v>56</v>
      </c>
      <c r="D54" s="161"/>
      <c r="E54" s="219">
        <f>B29</f>
        <v>0</v>
      </c>
      <c r="F54" s="220"/>
      <c r="G54" s="220"/>
      <c r="H54" s="220"/>
      <c r="I54" s="158"/>
    </row>
    <row r="55" spans="1:9" ht="19" thickBot="1">
      <c r="A55" s="170"/>
      <c r="B55" s="171"/>
      <c r="C55" s="160" t="s">
        <v>56</v>
      </c>
      <c r="D55" s="161"/>
      <c r="E55" s="219">
        <f t="shared" ref="E55:E61" si="11">B30</f>
        <v>0</v>
      </c>
      <c r="F55" s="220"/>
      <c r="G55" s="220"/>
      <c r="H55" s="220"/>
      <c r="I55" s="158"/>
    </row>
    <row r="56" spans="1:9" ht="19" thickBot="1">
      <c r="A56" s="170"/>
      <c r="B56" s="171"/>
      <c r="C56" s="160" t="s">
        <v>56</v>
      </c>
      <c r="D56" s="161"/>
      <c r="E56" s="219">
        <f t="shared" si="11"/>
        <v>0</v>
      </c>
      <c r="F56" s="220"/>
      <c r="G56" s="220"/>
      <c r="H56" s="220"/>
      <c r="I56" s="158"/>
    </row>
    <row r="57" spans="1:9" ht="19" thickBot="1">
      <c r="A57" s="170"/>
      <c r="B57" s="171"/>
      <c r="C57" s="160" t="s">
        <v>56</v>
      </c>
      <c r="D57" s="161"/>
      <c r="E57" s="219">
        <f t="shared" si="11"/>
        <v>0</v>
      </c>
      <c r="F57" s="220"/>
      <c r="G57" s="220"/>
      <c r="H57" s="220"/>
      <c r="I57" s="158"/>
    </row>
    <row r="58" spans="1:9" ht="19" thickBot="1">
      <c r="A58" s="170"/>
      <c r="B58" s="171"/>
      <c r="C58" s="160" t="s">
        <v>56</v>
      </c>
      <c r="D58" s="161"/>
      <c r="E58" s="219">
        <f t="shared" si="11"/>
        <v>0</v>
      </c>
      <c r="F58" s="220"/>
      <c r="G58" s="220"/>
      <c r="H58" s="220"/>
      <c r="I58" s="158"/>
    </row>
    <row r="59" spans="1:9" ht="19" thickBot="1">
      <c r="A59" s="170"/>
      <c r="B59" s="171"/>
      <c r="C59" s="160" t="s">
        <v>56</v>
      </c>
      <c r="D59" s="161"/>
      <c r="E59" s="219">
        <f t="shared" si="11"/>
        <v>0</v>
      </c>
      <c r="F59" s="220"/>
      <c r="G59" s="220"/>
      <c r="H59" s="220"/>
      <c r="I59" s="158"/>
    </row>
    <row r="60" spans="1:9" ht="19" thickBot="1">
      <c r="A60" s="170"/>
      <c r="B60" s="171"/>
      <c r="C60" s="160" t="s">
        <v>56</v>
      </c>
      <c r="D60" s="161"/>
      <c r="E60" s="219">
        <f t="shared" si="11"/>
        <v>0</v>
      </c>
      <c r="F60" s="220"/>
      <c r="G60" s="220"/>
      <c r="H60" s="220"/>
      <c r="I60" s="158"/>
    </row>
    <row r="61" spans="1:9" ht="19" thickBot="1">
      <c r="A61" s="170"/>
      <c r="B61" s="171"/>
      <c r="C61" s="160" t="s">
        <v>56</v>
      </c>
      <c r="D61" s="161"/>
      <c r="E61" s="219">
        <f t="shared" si="11"/>
        <v>0</v>
      </c>
      <c r="F61" s="220"/>
      <c r="G61" s="220"/>
      <c r="H61" s="220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228"/>
      <c r="D63" s="229"/>
      <c r="E63" s="230"/>
      <c r="F63" s="231"/>
      <c r="G63" s="231"/>
      <c r="H63" s="231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3:H53"/>
    <mergeCell ref="A15:H15"/>
    <mergeCell ref="E50:H50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E49:H49"/>
    <mergeCell ref="E51:H51"/>
    <mergeCell ref="E52:H52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2:D52"/>
    <mergeCell ref="C53:D53"/>
    <mergeCell ref="C54:D54"/>
    <mergeCell ref="C55:D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39" sqref="C39:C44"/>
    </sheetView>
  </sheetViews>
  <sheetFormatPr defaultRowHeight="14.5"/>
  <cols>
    <col min="1" max="1" width="22.81640625" style="43" customWidth="1"/>
    <col min="2" max="2" width="16.08984375" style="43" customWidth="1"/>
    <col min="3" max="3" width="23.81640625" style="43" customWidth="1"/>
    <col min="4" max="4" width="18.26953125" style="43" customWidth="1"/>
    <col min="5" max="5" width="16.90625" style="43" customWidth="1"/>
    <col min="6" max="6" width="20.54296875" style="43" customWidth="1"/>
    <col min="7" max="7" width="18.90625" style="43" customWidth="1"/>
    <col min="8" max="8" width="24.6328125" style="43" customWidth="1"/>
    <col min="9" max="16384" width="8.7265625" style="43"/>
  </cols>
  <sheetData>
    <row r="1" spans="1:9" ht="14.5" customHeight="1">
      <c r="A1" s="198" t="s">
        <v>55</v>
      </c>
      <c r="B1" s="199"/>
      <c r="C1" s="199"/>
      <c r="D1" s="199"/>
      <c r="E1" s="199"/>
      <c r="F1" s="199"/>
      <c r="G1" s="199"/>
      <c r="H1" s="199"/>
      <c r="I1" s="157"/>
    </row>
    <row r="2" spans="1:9" ht="20.5" customHeight="1" thickBot="1">
      <c r="A2" s="200"/>
      <c r="B2" s="201"/>
      <c r="C2" s="201"/>
      <c r="D2" s="201"/>
      <c r="E2" s="201"/>
      <c r="F2" s="201"/>
      <c r="G2" s="201"/>
      <c r="H2" s="201"/>
      <c r="I2" s="158"/>
    </row>
    <row r="3" spans="1:9" ht="14.5" customHeight="1">
      <c r="A3" s="202" t="s">
        <v>80</v>
      </c>
      <c r="B3" s="203"/>
      <c r="C3" s="203"/>
      <c r="D3" s="203"/>
      <c r="E3" s="203"/>
      <c r="F3" s="203"/>
      <c r="G3" s="203"/>
      <c r="H3" s="204"/>
      <c r="I3" s="158"/>
    </row>
    <row r="4" spans="1:9" ht="22" customHeight="1" thickBot="1">
      <c r="A4" s="200"/>
      <c r="B4" s="201"/>
      <c r="C4" s="201"/>
      <c r="D4" s="201"/>
      <c r="E4" s="201"/>
      <c r="F4" s="201"/>
      <c r="G4" s="201"/>
      <c r="H4" s="201"/>
      <c r="I4" s="158"/>
    </row>
    <row r="5" spans="1:9" ht="15" thickBot="1">
      <c r="A5" s="98" t="s">
        <v>38</v>
      </c>
      <c r="B5" s="30" t="s">
        <v>39</v>
      </c>
      <c r="C5" s="205" t="s">
        <v>40</v>
      </c>
      <c r="D5" s="206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07"/>
      <c r="D6" s="20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07"/>
      <c r="D7" s="20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88"/>
      <c r="D8" s="18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88"/>
      <c r="D9" s="18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88"/>
      <c r="D10" s="18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88"/>
      <c r="D11" s="18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88"/>
      <c r="D12" s="18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88"/>
      <c r="D13" s="18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88"/>
      <c r="D14" s="18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0" t="s">
        <v>49</v>
      </c>
      <c r="B15" s="191"/>
      <c r="C15" s="191"/>
      <c r="D15" s="191"/>
      <c r="E15" s="191"/>
      <c r="F15" s="191"/>
      <c r="G15" s="191"/>
      <c r="H15" s="191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195" t="s">
        <v>78</v>
      </c>
      <c r="B38" s="196"/>
      <c r="C38" s="63" t="s">
        <v>72</v>
      </c>
      <c r="D38" s="54"/>
      <c r="E38" s="193" t="s">
        <v>70</v>
      </c>
      <c r="F38" s="194"/>
      <c r="G38" s="62" t="s">
        <v>71</v>
      </c>
      <c r="H38" s="107" t="s">
        <v>72</v>
      </c>
      <c r="I38" s="158"/>
    </row>
    <row r="39" spans="1:9" ht="15" customHeight="1" thickBot="1">
      <c r="A39" s="209" t="s">
        <v>68</v>
      </c>
      <c r="B39" s="210"/>
      <c r="C39" s="55"/>
      <c r="D39" s="58"/>
      <c r="E39" s="192"/>
      <c r="F39" s="192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197"/>
      <c r="F40" s="197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87"/>
      <c r="F41" s="187"/>
      <c r="G41" s="60"/>
      <c r="H41" s="109"/>
      <c r="I41" s="158"/>
    </row>
    <row r="42" spans="1:9" ht="15" thickBot="1">
      <c r="A42" s="176" t="s">
        <v>74</v>
      </c>
      <c r="B42" s="177"/>
      <c r="C42" s="53"/>
      <c r="D42" s="56"/>
      <c r="E42" s="186"/>
      <c r="F42" s="187"/>
      <c r="G42" s="11"/>
      <c r="H42" s="109"/>
      <c r="I42" s="158"/>
    </row>
    <row r="43" spans="1:9" ht="15" thickBot="1">
      <c r="A43" s="178" t="s">
        <v>75</v>
      </c>
      <c r="B43" s="179"/>
      <c r="C43" s="90"/>
      <c r="D43" s="56"/>
      <c r="E43" s="186"/>
      <c r="F43" s="187"/>
      <c r="G43" s="11"/>
      <c r="H43" s="109"/>
      <c r="I43" s="158"/>
    </row>
    <row r="44" spans="1:9" ht="15" thickBot="1">
      <c r="A44" s="178" t="s">
        <v>76</v>
      </c>
      <c r="B44" s="179"/>
      <c r="C44" s="90"/>
      <c r="D44" s="57"/>
      <c r="E44" s="186"/>
      <c r="F44" s="187"/>
      <c r="G44" s="11"/>
      <c r="H44" s="109"/>
      <c r="I44" s="158"/>
    </row>
    <row r="45" spans="1:9" ht="15" thickBot="1">
      <c r="A45" s="178" t="s">
        <v>77</v>
      </c>
      <c r="B45" s="179"/>
      <c r="C45" s="91">
        <f>SUM(C39+C40+C41+C42+C43+C44)</f>
        <v>0</v>
      </c>
      <c r="D45" s="92"/>
      <c r="E45" s="184"/>
      <c r="F45" s="185"/>
      <c r="G45" s="93"/>
      <c r="H45" s="110"/>
      <c r="I45" s="158"/>
    </row>
    <row r="46" spans="1:9">
      <c r="A46" s="211" t="s">
        <v>57</v>
      </c>
      <c r="B46" s="212"/>
      <c r="C46" s="212"/>
      <c r="D46" s="212"/>
      <c r="E46" s="212"/>
      <c r="F46" s="212"/>
      <c r="G46" s="212"/>
      <c r="H46" s="212"/>
      <c r="I46" s="158"/>
    </row>
    <row r="47" spans="1:9" ht="15" thickBot="1">
      <c r="A47" s="213"/>
      <c r="B47" s="214"/>
      <c r="C47" s="214"/>
      <c r="D47" s="214"/>
      <c r="E47" s="214"/>
      <c r="F47" s="214"/>
      <c r="G47" s="214"/>
      <c r="H47" s="214"/>
      <c r="I47" s="158"/>
    </row>
    <row r="48" spans="1:9" ht="24" thickBot="1">
      <c r="A48" s="166" t="s">
        <v>9</v>
      </c>
      <c r="B48" s="167"/>
      <c r="C48" s="180" t="s">
        <v>58</v>
      </c>
      <c r="D48" s="181"/>
      <c r="E48" s="217" t="s">
        <v>59</v>
      </c>
      <c r="F48" s="218"/>
      <c r="G48" s="218"/>
      <c r="H48" s="218"/>
      <c r="I48" s="158"/>
    </row>
    <row r="49" spans="1:9" ht="19" thickBot="1">
      <c r="A49" s="168"/>
      <c r="B49" s="169"/>
      <c r="C49" s="182" t="s">
        <v>61</v>
      </c>
      <c r="D49" s="183"/>
      <c r="E49" s="215">
        <f>SUM(B9:B12)</f>
        <v>0</v>
      </c>
      <c r="F49" s="216"/>
      <c r="G49" s="216"/>
      <c r="H49" s="216"/>
      <c r="I49" s="158"/>
    </row>
    <row r="50" spans="1:9" ht="19" thickBot="1">
      <c r="A50" s="170"/>
      <c r="B50" s="171"/>
      <c r="C50" s="182" t="s">
        <v>46</v>
      </c>
      <c r="D50" s="183"/>
      <c r="E50" s="215">
        <f>SUM(B6:B8)</f>
        <v>0</v>
      </c>
      <c r="F50" s="216"/>
      <c r="G50" s="216"/>
      <c r="H50" s="216"/>
      <c r="I50" s="158"/>
    </row>
    <row r="51" spans="1:9" ht="19" thickBot="1">
      <c r="A51" s="170"/>
      <c r="B51" s="171"/>
      <c r="C51" s="182" t="s">
        <v>62</v>
      </c>
      <c r="D51" s="183"/>
      <c r="E51" s="215">
        <f>SUM(B13:B14)</f>
        <v>0</v>
      </c>
      <c r="F51" s="216"/>
      <c r="G51" s="216"/>
      <c r="H51" s="216"/>
      <c r="I51" s="158"/>
    </row>
    <row r="52" spans="1:9" ht="19" thickBot="1">
      <c r="A52" s="170"/>
      <c r="B52" s="171"/>
      <c r="C52" s="160" t="s">
        <v>63</v>
      </c>
      <c r="D52" s="161"/>
      <c r="E52" s="219">
        <f>SUM(B17:B18)</f>
        <v>0</v>
      </c>
      <c r="F52" s="220"/>
      <c r="G52" s="220"/>
      <c r="H52" s="220"/>
      <c r="I52" s="158"/>
    </row>
    <row r="53" spans="1:9" ht="19" thickBot="1">
      <c r="A53" s="170"/>
      <c r="B53" s="171"/>
      <c r="C53" s="160" t="s">
        <v>64</v>
      </c>
      <c r="D53" s="161"/>
      <c r="E53" s="219">
        <f>SUM(B19:B20)</f>
        <v>0</v>
      </c>
      <c r="F53" s="220"/>
      <c r="G53" s="220"/>
      <c r="H53" s="220"/>
      <c r="I53" s="158"/>
    </row>
    <row r="54" spans="1:9" ht="19" thickBot="1">
      <c r="A54" s="170"/>
      <c r="B54" s="171"/>
      <c r="C54" s="160" t="s">
        <v>56</v>
      </c>
      <c r="D54" s="161"/>
      <c r="E54" s="219">
        <f>B29</f>
        <v>0</v>
      </c>
      <c r="F54" s="220"/>
      <c r="G54" s="220"/>
      <c r="H54" s="220"/>
      <c r="I54" s="158"/>
    </row>
    <row r="55" spans="1:9" ht="19" thickBot="1">
      <c r="A55" s="170"/>
      <c r="B55" s="171"/>
      <c r="C55" s="160" t="s">
        <v>56</v>
      </c>
      <c r="D55" s="161"/>
      <c r="E55" s="219">
        <f t="shared" ref="E55:E61" si="11">B30</f>
        <v>0</v>
      </c>
      <c r="F55" s="220"/>
      <c r="G55" s="220"/>
      <c r="H55" s="220"/>
      <c r="I55" s="158"/>
    </row>
    <row r="56" spans="1:9" ht="19" thickBot="1">
      <c r="A56" s="170"/>
      <c r="B56" s="171"/>
      <c r="C56" s="160" t="s">
        <v>56</v>
      </c>
      <c r="D56" s="161"/>
      <c r="E56" s="219">
        <f t="shared" si="11"/>
        <v>0</v>
      </c>
      <c r="F56" s="220"/>
      <c r="G56" s="220"/>
      <c r="H56" s="220"/>
      <c r="I56" s="158"/>
    </row>
    <row r="57" spans="1:9" ht="19" thickBot="1">
      <c r="A57" s="170"/>
      <c r="B57" s="171"/>
      <c r="C57" s="160" t="s">
        <v>56</v>
      </c>
      <c r="D57" s="161"/>
      <c r="E57" s="219">
        <f t="shared" si="11"/>
        <v>0</v>
      </c>
      <c r="F57" s="220"/>
      <c r="G57" s="220"/>
      <c r="H57" s="220"/>
      <c r="I57" s="158"/>
    </row>
    <row r="58" spans="1:9" ht="19" thickBot="1">
      <c r="A58" s="170"/>
      <c r="B58" s="171"/>
      <c r="C58" s="160" t="s">
        <v>56</v>
      </c>
      <c r="D58" s="161"/>
      <c r="E58" s="219">
        <f t="shared" si="11"/>
        <v>0</v>
      </c>
      <c r="F58" s="220"/>
      <c r="G58" s="220"/>
      <c r="H58" s="220"/>
      <c r="I58" s="158"/>
    </row>
    <row r="59" spans="1:9" ht="19" thickBot="1">
      <c r="A59" s="170"/>
      <c r="B59" s="171"/>
      <c r="C59" s="160" t="s">
        <v>56</v>
      </c>
      <c r="D59" s="161"/>
      <c r="E59" s="219">
        <f t="shared" si="11"/>
        <v>0</v>
      </c>
      <c r="F59" s="220"/>
      <c r="G59" s="220"/>
      <c r="H59" s="220"/>
      <c r="I59" s="158"/>
    </row>
    <row r="60" spans="1:9" ht="19" thickBot="1">
      <c r="A60" s="170"/>
      <c r="B60" s="171"/>
      <c r="C60" s="160" t="s">
        <v>56</v>
      </c>
      <c r="D60" s="161"/>
      <c r="E60" s="219">
        <f t="shared" si="11"/>
        <v>0</v>
      </c>
      <c r="F60" s="220"/>
      <c r="G60" s="220"/>
      <c r="H60" s="220"/>
      <c r="I60" s="158"/>
    </row>
    <row r="61" spans="1:9" ht="19" thickBot="1">
      <c r="A61" s="170"/>
      <c r="B61" s="171"/>
      <c r="C61" s="160" t="s">
        <v>56</v>
      </c>
      <c r="D61" s="161"/>
      <c r="E61" s="219">
        <f t="shared" si="11"/>
        <v>0</v>
      </c>
      <c r="F61" s="220"/>
      <c r="G61" s="220"/>
      <c r="H61" s="220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228"/>
      <c r="D63" s="229"/>
      <c r="E63" s="230"/>
      <c r="F63" s="231"/>
      <c r="G63" s="231"/>
      <c r="H63" s="231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 formatCells="0"/>
  <mergeCells count="66"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53:H53"/>
    <mergeCell ref="E48:H48"/>
    <mergeCell ref="E49:H49"/>
    <mergeCell ref="E54:H54"/>
    <mergeCell ref="E55:H55"/>
    <mergeCell ref="E50:H50"/>
    <mergeCell ref="E51:H51"/>
    <mergeCell ref="E52:H5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E56:H56"/>
    <mergeCell ref="C57:D57"/>
    <mergeCell ref="E57:H57"/>
    <mergeCell ref="C58:D58"/>
    <mergeCell ref="E58:H58"/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64"/>
  <sheetViews>
    <sheetView topLeftCell="A43" workbookViewId="0">
      <selection activeCell="A49" sqref="A49:B63"/>
    </sheetView>
  </sheetViews>
  <sheetFormatPr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198" t="s">
        <v>55</v>
      </c>
      <c r="B1" s="199"/>
      <c r="C1" s="199"/>
      <c r="D1" s="199"/>
      <c r="E1" s="199"/>
      <c r="F1" s="199"/>
      <c r="G1" s="199"/>
      <c r="H1" s="199"/>
      <c r="I1" s="157"/>
    </row>
    <row r="2" spans="1:9" ht="29.5" customHeight="1" thickBot="1">
      <c r="A2" s="200"/>
      <c r="B2" s="201"/>
      <c r="C2" s="201"/>
      <c r="D2" s="201"/>
      <c r="E2" s="201"/>
      <c r="F2" s="201"/>
      <c r="G2" s="201"/>
      <c r="H2" s="201"/>
      <c r="I2" s="158"/>
    </row>
    <row r="3" spans="1:9">
      <c r="A3" s="202" t="s">
        <v>80</v>
      </c>
      <c r="B3" s="203"/>
      <c r="C3" s="203"/>
      <c r="D3" s="203"/>
      <c r="E3" s="203"/>
      <c r="F3" s="203"/>
      <c r="G3" s="203"/>
      <c r="H3" s="204"/>
      <c r="I3" s="158"/>
    </row>
    <row r="4" spans="1:9" ht="30" customHeight="1" thickBot="1">
      <c r="A4" s="200"/>
      <c r="B4" s="201"/>
      <c r="C4" s="201"/>
      <c r="D4" s="201"/>
      <c r="E4" s="201"/>
      <c r="F4" s="201"/>
      <c r="G4" s="201"/>
      <c r="H4" s="201"/>
      <c r="I4" s="158"/>
    </row>
    <row r="5" spans="1:9" ht="15" thickBot="1">
      <c r="A5" s="98" t="s">
        <v>38</v>
      </c>
      <c r="B5" s="30" t="s">
        <v>39</v>
      </c>
      <c r="C5" s="205" t="s">
        <v>40</v>
      </c>
      <c r="D5" s="206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07"/>
      <c r="D6" s="20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07"/>
      <c r="D7" s="20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88"/>
      <c r="D8" s="18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88"/>
      <c r="D9" s="18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88"/>
      <c r="D10" s="18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88"/>
      <c r="D11" s="18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88"/>
      <c r="D12" s="18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88"/>
      <c r="D13" s="18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88"/>
      <c r="D14" s="18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0" t="s">
        <v>49</v>
      </c>
      <c r="B15" s="191"/>
      <c r="C15" s="191"/>
      <c r="D15" s="191"/>
      <c r="E15" s="191"/>
      <c r="F15" s="191"/>
      <c r="G15" s="191"/>
      <c r="H15" s="191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5" thickBot="1">
      <c r="A38" s="195" t="s">
        <v>78</v>
      </c>
      <c r="B38" s="196"/>
      <c r="C38" s="63" t="s">
        <v>72</v>
      </c>
      <c r="D38" s="54"/>
      <c r="E38" s="193" t="s">
        <v>70</v>
      </c>
      <c r="F38" s="194"/>
      <c r="G38" s="62" t="s">
        <v>71</v>
      </c>
      <c r="H38" s="107" t="s">
        <v>72</v>
      </c>
      <c r="I38" s="158"/>
    </row>
    <row r="39" spans="1:9" ht="15" thickBot="1">
      <c r="A39" s="209" t="s">
        <v>68</v>
      </c>
      <c r="B39" s="210"/>
      <c r="C39" s="55"/>
      <c r="D39" s="58"/>
      <c r="E39" s="192"/>
      <c r="F39" s="192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197"/>
      <c r="F40" s="197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87"/>
      <c r="F41" s="187"/>
      <c r="G41" s="60"/>
      <c r="H41" s="109"/>
      <c r="I41" s="158"/>
    </row>
    <row r="42" spans="1:9" ht="15" thickBot="1">
      <c r="A42" s="176" t="s">
        <v>74</v>
      </c>
      <c r="B42" s="177"/>
      <c r="C42" s="53"/>
      <c r="D42" s="56"/>
      <c r="E42" s="186"/>
      <c r="F42" s="187"/>
      <c r="G42" s="11"/>
      <c r="H42" s="109"/>
      <c r="I42" s="158"/>
    </row>
    <row r="43" spans="1:9" ht="15" thickBot="1">
      <c r="A43" s="178" t="s">
        <v>75</v>
      </c>
      <c r="B43" s="179"/>
      <c r="C43" s="90"/>
      <c r="D43" s="56"/>
      <c r="E43" s="186"/>
      <c r="F43" s="187"/>
      <c r="G43" s="11"/>
      <c r="H43" s="109"/>
      <c r="I43" s="158"/>
    </row>
    <row r="44" spans="1:9" ht="15" thickBot="1">
      <c r="A44" s="178" t="s">
        <v>76</v>
      </c>
      <c r="B44" s="179"/>
      <c r="C44" s="90"/>
      <c r="D44" s="57"/>
      <c r="E44" s="186"/>
      <c r="F44" s="187"/>
      <c r="G44" s="11"/>
      <c r="H44" s="109"/>
      <c r="I44" s="158"/>
    </row>
    <row r="45" spans="1:9" ht="15" thickBot="1">
      <c r="A45" s="178" t="s">
        <v>77</v>
      </c>
      <c r="B45" s="179"/>
      <c r="C45" s="91">
        <f>SUM(C39+C40+C41+C42+C43+C44)</f>
        <v>0</v>
      </c>
      <c r="D45" s="92"/>
      <c r="E45" s="184"/>
      <c r="F45" s="185"/>
      <c r="G45" s="93"/>
      <c r="H45" s="110"/>
      <c r="I45" s="158"/>
    </row>
    <row r="46" spans="1:9">
      <c r="A46" s="211" t="s">
        <v>57</v>
      </c>
      <c r="B46" s="212"/>
      <c r="C46" s="212"/>
      <c r="D46" s="212"/>
      <c r="E46" s="212"/>
      <c r="F46" s="212"/>
      <c r="G46" s="212"/>
      <c r="H46" s="212"/>
      <c r="I46" s="158"/>
    </row>
    <row r="47" spans="1:9" ht="15" thickBot="1">
      <c r="A47" s="213"/>
      <c r="B47" s="214"/>
      <c r="C47" s="214"/>
      <c r="D47" s="214"/>
      <c r="E47" s="214"/>
      <c r="F47" s="214"/>
      <c r="G47" s="214"/>
      <c r="H47" s="214"/>
      <c r="I47" s="158"/>
    </row>
    <row r="48" spans="1:9" ht="24" thickBot="1">
      <c r="A48" s="166" t="s">
        <v>9</v>
      </c>
      <c r="B48" s="167"/>
      <c r="C48" s="180" t="s">
        <v>58</v>
      </c>
      <c r="D48" s="181"/>
      <c r="E48" s="217" t="s">
        <v>59</v>
      </c>
      <c r="F48" s="218"/>
      <c r="G48" s="218"/>
      <c r="H48" s="218"/>
      <c r="I48" s="158"/>
    </row>
    <row r="49" spans="1:9" ht="19" thickBot="1">
      <c r="A49" s="168"/>
      <c r="B49" s="169"/>
      <c r="C49" s="182" t="s">
        <v>61</v>
      </c>
      <c r="D49" s="183"/>
      <c r="E49" s="215">
        <f>SUM(B9:B12)</f>
        <v>0</v>
      </c>
      <c r="F49" s="216"/>
      <c r="G49" s="216"/>
      <c r="H49" s="216"/>
      <c r="I49" s="158"/>
    </row>
    <row r="50" spans="1:9" ht="19" thickBot="1">
      <c r="A50" s="170"/>
      <c r="B50" s="171"/>
      <c r="C50" s="182" t="s">
        <v>46</v>
      </c>
      <c r="D50" s="183"/>
      <c r="E50" s="215">
        <f>SUM(B6:B8)</f>
        <v>0</v>
      </c>
      <c r="F50" s="216"/>
      <c r="G50" s="216"/>
      <c r="H50" s="216"/>
      <c r="I50" s="158"/>
    </row>
    <row r="51" spans="1:9" ht="19" thickBot="1">
      <c r="A51" s="170"/>
      <c r="B51" s="171"/>
      <c r="C51" s="182" t="s">
        <v>62</v>
      </c>
      <c r="D51" s="183"/>
      <c r="E51" s="215">
        <f>SUM(B13:B14)</f>
        <v>0</v>
      </c>
      <c r="F51" s="216"/>
      <c r="G51" s="216"/>
      <c r="H51" s="216"/>
      <c r="I51" s="158"/>
    </row>
    <row r="52" spans="1:9" ht="19" thickBot="1">
      <c r="A52" s="170"/>
      <c r="B52" s="171"/>
      <c r="C52" s="160" t="s">
        <v>63</v>
      </c>
      <c r="D52" s="161"/>
      <c r="E52" s="219">
        <f>SUM(B17:B18)</f>
        <v>0</v>
      </c>
      <c r="F52" s="220"/>
      <c r="G52" s="220"/>
      <c r="H52" s="220"/>
      <c r="I52" s="158"/>
    </row>
    <row r="53" spans="1:9" ht="19" thickBot="1">
      <c r="A53" s="170"/>
      <c r="B53" s="171"/>
      <c r="C53" s="160" t="s">
        <v>64</v>
      </c>
      <c r="D53" s="161"/>
      <c r="E53" s="219">
        <f>SUM(B19:B20)</f>
        <v>0</v>
      </c>
      <c r="F53" s="220"/>
      <c r="G53" s="220"/>
      <c r="H53" s="220"/>
      <c r="I53" s="158"/>
    </row>
    <row r="54" spans="1:9" ht="19" thickBot="1">
      <c r="A54" s="170"/>
      <c r="B54" s="171"/>
      <c r="C54" s="160" t="s">
        <v>84</v>
      </c>
      <c r="D54" s="161"/>
      <c r="E54" s="219">
        <f>B29</f>
        <v>0</v>
      </c>
      <c r="F54" s="220"/>
      <c r="G54" s="220"/>
      <c r="H54" s="220"/>
      <c r="I54" s="158"/>
    </row>
    <row r="55" spans="1:9" ht="19" thickBot="1">
      <c r="A55" s="170"/>
      <c r="B55" s="171"/>
      <c r="C55" s="160" t="s">
        <v>84</v>
      </c>
      <c r="D55" s="161"/>
      <c r="E55" s="219">
        <f t="shared" ref="E55:E61" si="11">B30</f>
        <v>0</v>
      </c>
      <c r="F55" s="220"/>
      <c r="G55" s="220"/>
      <c r="H55" s="220"/>
      <c r="I55" s="158"/>
    </row>
    <row r="56" spans="1:9" ht="19" thickBot="1">
      <c r="A56" s="170"/>
      <c r="B56" s="171"/>
      <c r="C56" s="160" t="s">
        <v>84</v>
      </c>
      <c r="D56" s="161"/>
      <c r="E56" s="219">
        <f t="shared" si="11"/>
        <v>0</v>
      </c>
      <c r="F56" s="220"/>
      <c r="G56" s="220"/>
      <c r="H56" s="220"/>
      <c r="I56" s="158"/>
    </row>
    <row r="57" spans="1:9" ht="19" thickBot="1">
      <c r="A57" s="170"/>
      <c r="B57" s="171"/>
      <c r="C57" s="160" t="s">
        <v>84</v>
      </c>
      <c r="D57" s="161"/>
      <c r="E57" s="219">
        <f t="shared" si="11"/>
        <v>0</v>
      </c>
      <c r="F57" s="220"/>
      <c r="G57" s="220"/>
      <c r="H57" s="220"/>
      <c r="I57" s="158"/>
    </row>
    <row r="58" spans="1:9" ht="19" thickBot="1">
      <c r="A58" s="170"/>
      <c r="B58" s="171"/>
      <c r="C58" s="160" t="s">
        <v>84</v>
      </c>
      <c r="D58" s="161"/>
      <c r="E58" s="219">
        <f t="shared" si="11"/>
        <v>0</v>
      </c>
      <c r="F58" s="220"/>
      <c r="G58" s="220"/>
      <c r="H58" s="220"/>
      <c r="I58" s="158"/>
    </row>
    <row r="59" spans="1:9" ht="19" thickBot="1">
      <c r="A59" s="170"/>
      <c r="B59" s="171"/>
      <c r="C59" s="160" t="s">
        <v>84</v>
      </c>
      <c r="D59" s="161"/>
      <c r="E59" s="219">
        <f t="shared" si="11"/>
        <v>0</v>
      </c>
      <c r="F59" s="220"/>
      <c r="G59" s="220"/>
      <c r="H59" s="220"/>
      <c r="I59" s="158"/>
    </row>
    <row r="60" spans="1:9" ht="19" thickBot="1">
      <c r="A60" s="170"/>
      <c r="B60" s="171"/>
      <c r="C60" s="160" t="s">
        <v>84</v>
      </c>
      <c r="D60" s="161"/>
      <c r="E60" s="219">
        <f t="shared" si="11"/>
        <v>0</v>
      </c>
      <c r="F60" s="220"/>
      <c r="G60" s="220"/>
      <c r="H60" s="220"/>
      <c r="I60" s="158"/>
    </row>
    <row r="61" spans="1:9" ht="19" thickBot="1">
      <c r="A61" s="170"/>
      <c r="B61" s="171"/>
      <c r="C61" s="160" t="s">
        <v>84</v>
      </c>
      <c r="D61" s="161"/>
      <c r="E61" s="219">
        <f t="shared" si="11"/>
        <v>0</v>
      </c>
      <c r="F61" s="220"/>
      <c r="G61" s="220"/>
      <c r="H61" s="220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6:H47"/>
    <mergeCell ref="A48:B48"/>
    <mergeCell ref="C48:D48"/>
    <mergeCell ref="E48:H48"/>
    <mergeCell ref="C56:D56"/>
    <mergeCell ref="E56:H56"/>
    <mergeCell ref="A49:B63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7:D57"/>
    <mergeCell ref="E57:H57"/>
    <mergeCell ref="C58:D58"/>
    <mergeCell ref="E58:H58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selection activeCell="D11" sqref="D11:G11"/>
    </sheetView>
  </sheetViews>
  <sheetFormatPr defaultRowHeight="14.5"/>
  <cols>
    <col min="3" max="3" width="53" customWidth="1"/>
    <col min="7" max="7" width="47.6328125" customWidth="1"/>
  </cols>
  <sheetData>
    <row r="1" spans="1:7">
      <c r="A1" s="211" t="s">
        <v>57</v>
      </c>
      <c r="B1" s="212"/>
      <c r="C1" s="212"/>
      <c r="D1" s="212"/>
      <c r="E1" s="212"/>
      <c r="F1" s="212"/>
      <c r="G1" s="238"/>
    </row>
    <row r="2" spans="1:7" ht="15" thickBot="1">
      <c r="A2" s="213"/>
      <c r="B2" s="214"/>
      <c r="C2" s="214"/>
      <c r="D2" s="214"/>
      <c r="E2" s="214"/>
      <c r="F2" s="214"/>
      <c r="G2" s="239"/>
    </row>
    <row r="3" spans="1:7" ht="28.5" thickBot="1">
      <c r="A3" s="240" t="s">
        <v>58</v>
      </c>
      <c r="B3" s="241"/>
      <c r="C3" s="242"/>
      <c r="D3" s="240" t="s">
        <v>59</v>
      </c>
      <c r="E3" s="241"/>
      <c r="F3" s="241"/>
      <c r="G3" s="242"/>
    </row>
    <row r="4" spans="1:7" ht="41.5" customHeight="1" thickBot="1">
      <c r="A4" s="232" t="s">
        <v>61</v>
      </c>
      <c r="B4" s="233"/>
      <c r="C4" s="234"/>
      <c r="D4" s="235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11923</v>
      </c>
      <c r="E4" s="236"/>
      <c r="F4" s="236"/>
      <c r="G4" s="237"/>
    </row>
    <row r="5" spans="1:7" ht="37" customHeight="1" thickBot="1">
      <c r="A5" s="232" t="s">
        <v>46</v>
      </c>
      <c r="B5" s="233"/>
      <c r="C5" s="234"/>
      <c r="D5" s="235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160</v>
      </c>
      <c r="E5" s="236"/>
      <c r="F5" s="236"/>
      <c r="G5" s="237"/>
    </row>
    <row r="6" spans="1:7" ht="40" customHeight="1" thickBot="1">
      <c r="A6" s="232" t="s">
        <v>60</v>
      </c>
      <c r="B6" s="233"/>
      <c r="C6" s="234"/>
      <c r="D6" s="235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450</v>
      </c>
      <c r="E6" s="236"/>
      <c r="F6" s="236"/>
      <c r="G6" s="237"/>
    </row>
    <row r="7" spans="1:7" ht="38.5" customHeight="1" thickBot="1">
      <c r="A7" s="243" t="s">
        <v>63</v>
      </c>
      <c r="B7" s="244"/>
      <c r="C7" s="245"/>
      <c r="D7" s="235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802</v>
      </c>
      <c r="E7" s="236"/>
      <c r="F7" s="236"/>
      <c r="G7" s="237"/>
    </row>
    <row r="8" spans="1:7" ht="40" customHeight="1" thickBot="1">
      <c r="A8" s="243" t="s">
        <v>64</v>
      </c>
      <c r="B8" s="244"/>
      <c r="C8" s="245"/>
      <c r="D8" s="235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8" s="236"/>
      <c r="F8" s="236"/>
      <c r="G8" s="237"/>
    </row>
    <row r="9" spans="1:7" ht="38.5" customHeight="1" thickBot="1">
      <c r="A9" s="243" t="s">
        <v>84</v>
      </c>
      <c r="B9" s="244"/>
      <c r="C9" s="245"/>
      <c r="D9" s="235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6"/>
      <c r="F9" s="236"/>
      <c r="G9" s="237"/>
    </row>
    <row r="10" spans="1:7" ht="38" customHeight="1" thickBot="1">
      <c r="A10" s="243" t="s">
        <v>84</v>
      </c>
      <c r="B10" s="244"/>
      <c r="C10" s="245"/>
      <c r="D10" s="235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6"/>
      <c r="F10" s="236"/>
      <c r="G10" s="237"/>
    </row>
    <row r="11" spans="1:7" ht="38.5" customHeight="1" thickBot="1">
      <c r="A11" s="243" t="s">
        <v>84</v>
      </c>
      <c r="B11" s="244"/>
      <c r="C11" s="245"/>
      <c r="D11" s="235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6"/>
      <c r="F11" s="236"/>
      <c r="G11" s="237"/>
    </row>
    <row r="12" spans="1:7" ht="36.5" customHeight="1" thickBot="1">
      <c r="A12" s="243" t="s">
        <v>84</v>
      </c>
      <c r="B12" s="244"/>
      <c r="C12" s="245"/>
      <c r="D12" s="235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6"/>
      <c r="F12" s="236"/>
      <c r="G12" s="237"/>
    </row>
    <row r="13" spans="1:7" ht="38" customHeight="1" thickBot="1">
      <c r="A13" s="243" t="s">
        <v>84</v>
      </c>
      <c r="B13" s="244"/>
      <c r="C13" s="245"/>
      <c r="D13" s="235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6"/>
      <c r="F13" s="236"/>
      <c r="G13" s="237"/>
    </row>
    <row r="14" spans="1:7" ht="29" thickBot="1">
      <c r="A14" s="243" t="s">
        <v>84</v>
      </c>
      <c r="B14" s="244"/>
      <c r="C14" s="245"/>
      <c r="D14" s="235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6"/>
      <c r="F14" s="236"/>
      <c r="G14" s="237"/>
    </row>
    <row r="15" spans="1:7" ht="29" thickBot="1">
      <c r="A15" s="243" t="s">
        <v>84</v>
      </c>
      <c r="B15" s="244"/>
      <c r="C15" s="245"/>
      <c r="D15" s="235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6"/>
      <c r="F15" s="236"/>
      <c r="G15" s="237"/>
    </row>
    <row r="16" spans="1:7" ht="29" thickBot="1">
      <c r="A16" s="243" t="s">
        <v>84</v>
      </c>
      <c r="B16" s="244"/>
      <c r="C16" s="245"/>
      <c r="D16" s="235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6"/>
      <c r="F16" s="236"/>
      <c r="G16" s="237"/>
    </row>
    <row r="17" spans="1:7" ht="29" thickBot="1">
      <c r="A17" s="243" t="s">
        <v>65</v>
      </c>
      <c r="B17" s="244"/>
      <c r="C17" s="245"/>
      <c r="D17" s="246">
        <f>SUM(D4:D16)</f>
        <v>13335</v>
      </c>
      <c r="E17" s="247"/>
      <c r="F17" s="247"/>
      <c r="G17" s="248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DIGITAL AXIS</cp:lastModifiedBy>
  <dcterms:created xsi:type="dcterms:W3CDTF">2023-12-29T10:10:15Z</dcterms:created>
  <dcterms:modified xsi:type="dcterms:W3CDTF">2026-04-01T13:28:21Z</dcterms:modified>
</cp:coreProperties>
</file>