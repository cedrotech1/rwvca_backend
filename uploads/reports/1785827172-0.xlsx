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H5" i="1"/>
  <c r="G5" i="1"/>
  <c r="I29" i="1" l="1"/>
  <c r="H14" i="8"/>
  <c r="H12" i="8"/>
  <c r="G29" i="1"/>
  <c r="H7" i="8"/>
  <c r="H11" i="8"/>
  <c r="H13" i="8"/>
  <c r="H8" i="8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<sst xmlns="http://schemas.openxmlformats.org/spreadsheetml/2006/main" count="1780" uniqueCount="86">
  <si>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</si>
  <si>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</si>
  <si>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</si>
  <si>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</si>
  <si>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</si>
  <si>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</si>
  <si>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</si>
  <si>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</si>
  <si>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</si>
  <si>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</si>
  <si>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</si>
  <si>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</si>
  <si>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</si>
  <si>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</si>
  <si>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</si>
  <si>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</si>
  <si>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</si>
  <si>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</si>
  <si>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</si>
  <si>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</si>
  <si>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</si>
  <si>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</si>
  <si>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</si>
  <si>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</si>
  <si>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</si>
  <si>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</si>
  <si>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</si>
  <si>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</si>
  <si>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</si>
  <si>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</si>
  <si>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</si>
  <si>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</si>
  <si>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</si>
  <si>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</si>
  <si>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</si>
  <si>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</si>
  <si>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</si>
  <si>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</si>
  <si>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</si>
  <si>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</si>
  <si>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</si>
  <si>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</si>
  <si>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</si>
  <si>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</si>
  <si>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</si>
  <si>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</si>
  <si>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</si>
  <si>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</si>
  <si>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</si>
  <si>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</si>
  <si>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</si>
  <si>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</si>
  <si>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</si>
  <si>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</si>
  <si>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</si>
  <si>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</si>
  <si>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</si>
  <si>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</si>
  <si>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</si>
  <si>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</si>
  <si>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</si>
  <si>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</si>
  <si>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</si>
  <si>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</si>
  <si>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</si>
  <si>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</si>
  <si>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</si>
  <si>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</si>
  <si>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</si>
  <si>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</si>
  <si>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</si>
  <si>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</si>
  <si>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</si>
  <si>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</si>
  <si>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</si>
  <si>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</si>
  <si>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</si>
  <si>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</si>
  <si>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</si>
  <si>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</si>
  <si>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</si>
  <si>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</si>
  <si>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</si>
  <si>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 xml:space="preserve"> </t>
  </si>
  <si>
    <t xml:space="preserve">  MONTHS  REPORT</t>
  </si>
  <si>
    <t>KIMIRONKO Months REPORT  FROM 1TO 31 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</si>
</sst>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1"/>
      <c r="M1" s="1"/>
      <c r="N1" s="1"/>
      <c r="O1" s="1"/>
    </row>
    <row r="2" spans="1:15" ht="30.75" customHeight="1">
      <c r="A2" s="108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1"/>
      <c r="M2" s="1"/>
      <c r="N2" s="1"/>
      <c r="O2" s="1"/>
    </row>
    <row r="3" spans="1:15" ht="1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14762199.050847458</v>
      </c>
      <c r="C7" s="18">
        <f>KIMIRONKO!G37</f>
        <v>1338520</v>
      </c>
      <c r="D7" s="19"/>
      <c r="E7" s="18"/>
      <c r="F7" s="14">
        <f t="shared" si="0"/>
        <v>16100719.050847458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14762199.050847458</v>
      </c>
      <c r="C29" s="33">
        <f t="shared" si="1"/>
        <v>1338520</v>
      </c>
      <c r="D29" s="34">
        <f t="shared" si="1"/>
        <v>0</v>
      </c>
      <c r="E29" s="33">
        <f t="shared" si="1"/>
        <v>0</v>
      </c>
      <c r="F29" s="33">
        <f t="shared" si="1"/>
        <v>16100719.050847458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4"/>
      <c r="C30" s="124"/>
      <c r="D30" s="125"/>
      <c r="E30" s="127" t="s">
        <v>32</v>
      </c>
      <c r="F30" s="121"/>
      <c r="G30" s="121"/>
      <c r="H30" s="121"/>
      <c r="I30" s="115"/>
      <c r="J30" s="114"/>
      <c r="K30" s="115"/>
      <c r="L30" s="1"/>
      <c r="M30" s="1"/>
      <c r="N30" s="1"/>
      <c r="O30" s="1"/>
    </row>
    <row r="31" spans="1:15" ht="18" customHeight="1">
      <c r="A31" s="130" t="s">
        <v>33</v>
      </c>
      <c r="B31" s="124"/>
      <c r="C31" s="124"/>
      <c r="D31" s="131"/>
      <c r="E31" s="116"/>
      <c r="F31" s="128"/>
      <c r="G31" s="128"/>
      <c r="H31" s="128"/>
      <c r="I31" s="117"/>
      <c r="J31" s="116"/>
      <c r="K31" s="117"/>
      <c r="L31" s="1"/>
      <c r="M31" s="1"/>
      <c r="N31" s="1"/>
      <c r="O31" s="1"/>
    </row>
    <row r="32" spans="1:15" ht="18" customHeight="1">
      <c r="A32" s="133" t="s">
        <v>34</v>
      </c>
      <c r="B32" s="125"/>
      <c r="C32" s="129">
        <f>SUM(B29:C29)</f>
        <v>16100719.050847458</v>
      </c>
      <c r="D32" s="121"/>
      <c r="E32" s="116"/>
      <c r="F32" s="128"/>
      <c r="G32" s="128"/>
      <c r="H32" s="128"/>
      <c r="I32" s="117"/>
      <c r="J32" s="116"/>
      <c r="K32" s="117"/>
      <c r="L32" s="1"/>
      <c r="M32" s="1"/>
      <c r="N32" s="1"/>
      <c r="O32" s="1"/>
    </row>
    <row r="33" spans="1:15" ht="18" customHeight="1">
      <c r="A33" s="133" t="s">
        <v>35</v>
      </c>
      <c r="B33" s="125"/>
      <c r="C33" s="126">
        <f>SUM(F29,G29)</f>
        <v>16100719.050847458</v>
      </c>
      <c r="D33" s="124"/>
      <c r="E33" s="116"/>
      <c r="F33" s="128"/>
      <c r="G33" s="128"/>
      <c r="H33" s="128"/>
      <c r="I33" s="117"/>
      <c r="J33" s="116"/>
      <c r="K33" s="117"/>
      <c r="L33" s="1"/>
      <c r="M33" s="1"/>
      <c r="N33" s="1"/>
      <c r="O33" s="1"/>
    </row>
    <row r="34" spans="1:15" ht="18" customHeight="1">
      <c r="A34" s="133" t="s">
        <v>36</v>
      </c>
      <c r="B34" s="125"/>
      <c r="C34" s="126">
        <f>SUM(H29,J29,I29)</f>
        <v>0</v>
      </c>
      <c r="D34" s="125"/>
      <c r="E34" s="116"/>
      <c r="F34" s="128"/>
      <c r="G34" s="128"/>
      <c r="H34" s="128"/>
      <c r="I34" s="117"/>
      <c r="J34" s="116"/>
      <c r="K34" s="117"/>
      <c r="L34" s="1"/>
      <c r="M34" s="1"/>
      <c r="N34" s="1"/>
      <c r="O34" s="1"/>
    </row>
    <row r="35" spans="1:15" ht="18" customHeight="1">
      <c r="A35" s="133" t="s">
        <v>37</v>
      </c>
      <c r="B35" s="125"/>
      <c r="C35" s="126">
        <f>SUM(D29:E29)</f>
        <v>0</v>
      </c>
      <c r="D35" s="125"/>
      <c r="E35" s="118"/>
      <c r="F35" s="122"/>
      <c r="G35" s="122"/>
      <c r="H35" s="122"/>
      <c r="I35" s="119"/>
      <c r="J35" s="116"/>
      <c r="K35" s="117"/>
      <c r="L35" s="1"/>
      <c r="M35" s="1"/>
      <c r="N35" s="1"/>
      <c r="O35" s="1"/>
    </row>
    <row r="36" spans="1:15" ht="18" customHeight="1">
      <c r="A36" s="133" t="s">
        <v>38</v>
      </c>
      <c r="B36" s="125"/>
      <c r="C36" s="126">
        <f>SUM(C33,C35)</f>
        <v>16100719.050847458</v>
      </c>
      <c r="D36" s="125"/>
      <c r="E36" s="120" t="s">
        <v>39</v>
      </c>
      <c r="F36" s="121"/>
      <c r="G36" s="121"/>
      <c r="H36" s="121"/>
      <c r="I36" s="115"/>
      <c r="J36" s="116"/>
      <c r="K36" s="117"/>
      <c r="L36" s="1"/>
      <c r="M36" s="1"/>
      <c r="N36" s="1"/>
      <c r="O36" s="1"/>
    </row>
    <row r="37" spans="1:15" ht="18" customHeight="1">
      <c r="A37" s="134" t="s">
        <v>40</v>
      </c>
      <c r="B37" s="119"/>
      <c r="C37" s="126">
        <f>SUM(C34:C35)</f>
        <v>0</v>
      </c>
      <c r="D37" s="125"/>
      <c r="E37" s="118"/>
      <c r="F37" s="122"/>
      <c r="G37" s="122"/>
      <c r="H37" s="122"/>
      <c r="I37" s="119"/>
      <c r="J37" s="116"/>
      <c r="K37" s="117"/>
      <c r="L37" s="1"/>
      <c r="M37" s="1"/>
      <c r="N37" s="1"/>
      <c r="O37" s="1"/>
    </row>
    <row r="38" spans="1:15" ht="18" customHeight="1">
      <c r="A38" s="123" t="s">
        <v>41</v>
      </c>
      <c r="B38" s="124"/>
      <c r="C38" s="124"/>
      <c r="D38" s="124"/>
      <c r="E38" s="124"/>
      <c r="F38" s="124"/>
      <c r="G38" s="124"/>
      <c r="H38" s="124"/>
      <c r="I38" s="125"/>
      <c r="J38" s="118"/>
      <c r="K38" s="11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6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67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f>SUM(C39:C44)</f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22.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24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21.7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21.7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21.7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21.7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21.7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21.7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24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24.7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68" t="s">
        <v>82</v>
      </c>
      <c r="C62" s="124"/>
      <c r="D62" s="125"/>
      <c r="E62" s="169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>
        <v>7670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f>SUM(C31:C36)</f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H9" sqref="H9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57" t="s">
        <v>84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85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>
        <v>760</v>
      </c>
      <c r="C7" s="142">
        <v>3200</v>
      </c>
      <c r="D7" s="143"/>
      <c r="E7" s="44">
        <f t="shared" si="0"/>
        <v>2432000</v>
      </c>
      <c r="F7" s="44">
        <f t="shared" si="1"/>
        <v>370983.05084745761</v>
      </c>
      <c r="G7" s="44">
        <f t="shared" si="2"/>
        <v>38000</v>
      </c>
      <c r="H7" s="45">
        <f t="shared" si="3"/>
        <v>408983.05084745761</v>
      </c>
    </row>
    <row r="8" spans="1:11" ht="14.25" customHeight="1">
      <c r="A8" s="46" t="s">
        <v>52</v>
      </c>
      <c r="B8" s="47">
        <v>590</v>
      </c>
      <c r="C8" s="145">
        <v>7670</v>
      </c>
      <c r="D8" s="140"/>
      <c r="E8" s="48">
        <f t="shared" si="0"/>
        <v>4525300</v>
      </c>
      <c r="F8" s="48">
        <f t="shared" si="1"/>
        <v>690300</v>
      </c>
      <c r="G8" s="48">
        <f t="shared" si="2"/>
        <v>29500</v>
      </c>
      <c r="H8" s="49">
        <f t="shared" si="3"/>
        <v>719800</v>
      </c>
    </row>
    <row r="9" spans="1:11" ht="14.25" customHeight="1">
      <c r="A9" s="46" t="s">
        <v>53</v>
      </c>
      <c r="B9" s="47"/>
      <c r="C9" s="145">
        <v>3200</v>
      </c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>
        <v>40434</v>
      </c>
      <c r="C10" s="145">
        <v>2124</v>
      </c>
      <c r="D10" s="140"/>
      <c r="E10" s="48">
        <f t="shared" si="0"/>
        <v>85881816</v>
      </c>
      <c r="F10" s="48">
        <f t="shared" si="1"/>
        <v>13100616</v>
      </c>
      <c r="G10" s="48">
        <f t="shared" si="4"/>
        <v>1213020</v>
      </c>
      <c r="H10" s="49">
        <f t="shared" si="3"/>
        <v>14313636</v>
      </c>
    </row>
    <row r="11" spans="1:11" ht="14.25" customHeight="1">
      <c r="A11" s="46" t="s">
        <v>55</v>
      </c>
      <c r="B11" s="47"/>
      <c r="C11" s="145">
        <v>3540</v>
      </c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>
        <v>2006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2900</v>
      </c>
      <c r="C13" s="145">
        <v>1357</v>
      </c>
      <c r="D13" s="140"/>
      <c r="E13" s="48">
        <f t="shared" si="0"/>
        <v>3935300</v>
      </c>
      <c r="F13" s="48">
        <f t="shared" si="1"/>
        <v>600300</v>
      </c>
      <c r="G13" s="48">
        <f t="shared" ref="G13:G14" si="5">PRODUCT(B13*20)</f>
        <v>58000</v>
      </c>
      <c r="H13" s="49">
        <f t="shared" si="3"/>
        <v>658300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>SUM(E5:E36)</f>
        <v>96774416</v>
      </c>
      <c r="F37" s="74">
        <f>SUM(F5:F36)</f>
        <v>14762199.050847458</v>
      </c>
      <c r="G37" s="75">
        <f>SUM(G5:G36)</f>
        <v>1338520</v>
      </c>
      <c r="H37" s="76">
        <f>SUM(H5:H36)</f>
        <v>16100719.050847458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/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103"/>
      <c r="B49" s="136" t="s">
        <v>79</v>
      </c>
      <c r="C49" s="124"/>
      <c r="D49" s="125"/>
      <c r="E49" s="137">
        <f>SUM(B9:B12)</f>
        <v>40434</v>
      </c>
      <c r="F49" s="124"/>
      <c r="G49" s="124"/>
      <c r="H49" s="125"/>
    </row>
    <row r="50" spans="1:8" ht="14.25" customHeight="1">
      <c r="A50" s="98" t="s">
        <v>83</v>
      </c>
      <c r="B50" s="136" t="s">
        <v>52</v>
      </c>
      <c r="C50" s="124"/>
      <c r="D50" s="125"/>
      <c r="E50" s="137">
        <f>SUM(B6:B8)</f>
        <v>1350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2900</v>
      </c>
      <c r="F51" s="128"/>
      <c r="G51" s="128"/>
      <c r="H51" s="117"/>
    </row>
    <row r="52" spans="1:8" ht="14.25" customHeight="1">
      <c r="A52" s="98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103"/>
      <c r="B53" s="158" t="s">
        <v>62</v>
      </c>
      <c r="C53" s="124"/>
      <c r="D53" s="125"/>
      <c r="E53" s="126"/>
      <c r="F53" s="124"/>
      <c r="G53" s="124"/>
      <c r="H53" s="125"/>
    </row>
    <row r="54" spans="1:8" ht="14.25" customHeight="1">
      <c r="A54" s="98"/>
      <c r="B54" s="158" t="s">
        <v>81</v>
      </c>
      <c r="C54" s="124"/>
      <c r="D54" s="125"/>
      <c r="E54" s="126">
        <f t="shared" ref="E54:E61" si="6">B29</f>
        <v>0</v>
      </c>
      <c r="F54" s="124"/>
      <c r="G54" s="124"/>
      <c r="H54" s="125"/>
    </row>
    <row r="55" spans="1:8" ht="14.25" customHeight="1">
      <c r="A55" s="103"/>
      <c r="B55" s="158" t="s">
        <v>81</v>
      </c>
      <c r="C55" s="124"/>
      <c r="D55" s="125"/>
      <c r="E55" s="126">
        <f t="shared" si="6"/>
        <v>0</v>
      </c>
      <c r="F55" s="124"/>
      <c r="G55" s="124"/>
      <c r="H55" s="125"/>
    </row>
    <row r="56" spans="1:8" ht="14.25" customHeight="1">
      <c r="A56" s="98"/>
      <c r="B56" s="158" t="s">
        <v>81</v>
      </c>
      <c r="C56" s="124"/>
      <c r="D56" s="125"/>
      <c r="E56" s="126">
        <f t="shared" si="6"/>
        <v>0</v>
      </c>
      <c r="F56" s="124"/>
      <c r="G56" s="124"/>
      <c r="H56" s="125"/>
    </row>
    <row r="57" spans="1:8" ht="14.25" customHeight="1">
      <c r="A57" s="104"/>
      <c r="B57" s="158" t="s">
        <v>81</v>
      </c>
      <c r="C57" s="124"/>
      <c r="D57" s="125"/>
      <c r="E57" s="126">
        <f t="shared" si="6"/>
        <v>0</v>
      </c>
      <c r="F57" s="124"/>
      <c r="G57" s="124"/>
      <c r="H57" s="125"/>
    </row>
    <row r="58" spans="1:8" ht="14.25" customHeight="1">
      <c r="A58" s="98"/>
      <c r="B58" s="158" t="s">
        <v>81</v>
      </c>
      <c r="C58" s="124"/>
      <c r="D58" s="125"/>
      <c r="E58" s="126">
        <f t="shared" si="6"/>
        <v>0</v>
      </c>
      <c r="F58" s="124"/>
      <c r="G58" s="124"/>
      <c r="H58" s="125"/>
    </row>
    <row r="59" spans="1:8" ht="14.25" customHeight="1">
      <c r="A59" s="103"/>
      <c r="B59" s="158" t="s">
        <v>81</v>
      </c>
      <c r="C59" s="124"/>
      <c r="D59" s="125"/>
      <c r="E59" s="126">
        <f t="shared" si="6"/>
        <v>0</v>
      </c>
      <c r="F59" s="124"/>
      <c r="G59" s="124"/>
      <c r="H59" s="125"/>
    </row>
    <row r="60" spans="1:8" ht="14.25" customHeight="1">
      <c r="A60" s="102"/>
      <c r="B60" s="158" t="s">
        <v>81</v>
      </c>
      <c r="C60" s="124"/>
      <c r="D60" s="125"/>
      <c r="E60" s="126">
        <f t="shared" si="6"/>
        <v>0</v>
      </c>
      <c r="F60" s="124"/>
      <c r="G60" s="124"/>
      <c r="H60" s="125"/>
    </row>
    <row r="61" spans="1:8" ht="14.25" customHeight="1">
      <c r="A61" s="102"/>
      <c r="B61" s="158" t="s">
        <v>81</v>
      </c>
      <c r="C61" s="124"/>
      <c r="D61" s="125"/>
      <c r="E61" s="126">
        <f t="shared" si="6"/>
        <v>0</v>
      </c>
      <c r="F61" s="124"/>
      <c r="G61" s="124"/>
      <c r="H61" s="125"/>
    </row>
    <row r="62" spans="1:8" ht="34.5" customHeight="1">
      <c r="A62" s="102"/>
      <c r="B62" s="158" t="s">
        <v>82</v>
      </c>
      <c r="C62" s="124"/>
      <c r="D62" s="125"/>
      <c r="E62" s="170">
        <f>SUM(E49:H61)</f>
        <v>44684</v>
      </c>
      <c r="F62" s="124"/>
      <c r="G62" s="124"/>
      <c r="H62" s="125"/>
    </row>
    <row r="63" spans="1:8" ht="24.6" customHeight="1">
      <c r="A63" s="102"/>
      <c r="B63" s="158"/>
      <c r="C63" s="124"/>
      <c r="D63" s="125"/>
      <c r="E63" s="161"/>
      <c r="F63" s="124"/>
      <c r="G63" s="124"/>
      <c r="H63" s="125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>
        <v>1357</v>
      </c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>
        <v>2124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>
        <v>1357</v>
      </c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38" t="s">
        <v>72</v>
      </c>
      <c r="B42" s="125"/>
      <c r="C42" s="90"/>
      <c r="D42" s="74"/>
      <c r="E42" s="174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73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73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75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37">
        <f>SUM(B13:B14)</f>
        <v>0</v>
      </c>
      <c r="F51" s="124"/>
      <c r="G51" s="124"/>
      <c r="H51" s="125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8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8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8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8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8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8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8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8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8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8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SUM(B11:B14)</f>
        <v>0</v>
      </c>
      <c r="F49" s="124"/>
      <c r="G49" s="124"/>
      <c r="H49" s="125"/>
    </row>
    <row r="50" spans="1:8" ht="14.25" customHeight="1">
      <c r="A50" s="37"/>
      <c r="B50" s="136" t="s">
        <v>52</v>
      </c>
      <c r="C50" s="124"/>
      <c r="D50" s="125"/>
      <c r="E50" s="137">
        <f>SUM(B8:B10)</f>
        <v>0</v>
      </c>
      <c r="F50" s="124"/>
      <c r="G50" s="124"/>
      <c r="H50" s="125"/>
    </row>
    <row r="51" spans="1:8" ht="14.25" customHeight="1">
      <c r="A51" s="37"/>
      <c r="B51" s="136" t="s">
        <v>80</v>
      </c>
      <c r="C51" s="124"/>
      <c r="D51" s="125"/>
      <c r="E51" s="137">
        <f>SUM(B15:B16)</f>
        <v>0</v>
      </c>
      <c r="F51" s="124"/>
      <c r="G51" s="124"/>
      <c r="H51" s="125"/>
    </row>
    <row r="52" spans="1:8" ht="14.25" customHeight="1">
      <c r="A52" s="37"/>
      <c r="B52" s="158" t="s">
        <v>61</v>
      </c>
      <c r="C52" s="124"/>
      <c r="D52" s="125"/>
      <c r="E52" s="126">
        <f>SUM(B19:B20)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SUM(B29:B30)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0" si="7">B31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>B45</f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8.7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8.7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35" t="s">
        <v>76</v>
      </c>
      <c r="B1" s="121"/>
      <c r="C1" s="121"/>
      <c r="D1" s="121"/>
      <c r="E1" s="121"/>
      <c r="F1" s="121"/>
      <c r="G1" s="115"/>
    </row>
    <row r="2" spans="1:7" ht="14.25" customHeight="1">
      <c r="A2" s="118"/>
      <c r="B2" s="122"/>
      <c r="C2" s="122"/>
      <c r="D2" s="122"/>
      <c r="E2" s="122"/>
      <c r="F2" s="122"/>
      <c r="G2" s="119"/>
    </row>
    <row r="3" spans="1:7" ht="14.25" customHeight="1">
      <c r="A3" s="180" t="s">
        <v>77</v>
      </c>
      <c r="B3" s="124"/>
      <c r="C3" s="125"/>
      <c r="D3" s="180" t="s">
        <v>78</v>
      </c>
      <c r="E3" s="124"/>
      <c r="F3" s="124"/>
      <c r="G3" s="125"/>
    </row>
    <row r="4" spans="1:7" ht="41.25" customHeight="1">
      <c r="A4" s="178" t="s">
        <v>79</v>
      </c>
      <c r="B4" s="124"/>
      <c r="C4" s="125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40434</v>
      </c>
      <c r="E4" s="124"/>
      <c r="F4" s="124"/>
      <c r="G4" s="125"/>
    </row>
    <row r="5" spans="1:7" ht="36.75" customHeight="1">
      <c r="A5" s="178" t="s">
        <v>52</v>
      </c>
      <c r="B5" s="124"/>
      <c r="C5" s="125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1350</v>
      </c>
      <c r="E5" s="124"/>
      <c r="F5" s="124"/>
      <c r="G5" s="125"/>
    </row>
    <row r="6" spans="1:7" ht="39.75" customHeight="1">
      <c r="A6" s="178" t="s">
        <v>56</v>
      </c>
      <c r="B6" s="124"/>
      <c r="C6" s="125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2900</v>
      </c>
      <c r="E6" s="124"/>
      <c r="F6" s="124"/>
      <c r="G6" s="125"/>
    </row>
    <row r="7" spans="1:7" ht="38.25" customHeight="1">
      <c r="A7" s="181" t="s">
        <v>61</v>
      </c>
      <c r="B7" s="124"/>
      <c r="C7" s="125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4"/>
      <c r="F7" s="124"/>
      <c r="G7" s="125"/>
    </row>
    <row r="8" spans="1:7" ht="39.75" customHeight="1">
      <c r="A8" s="181" t="s">
        <v>62</v>
      </c>
      <c r="B8" s="124"/>
      <c r="C8" s="125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4"/>
      <c r="F8" s="124"/>
      <c r="G8" s="125"/>
    </row>
    <row r="9" spans="1:7" ht="38.25" customHeight="1">
      <c r="A9" s="181" t="s">
        <v>81</v>
      </c>
      <c r="B9" s="124"/>
      <c r="C9" s="125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4"/>
      <c r="F9" s="124"/>
      <c r="G9" s="125"/>
    </row>
    <row r="10" spans="1:7" ht="37.5" customHeight="1">
      <c r="A10" s="181" t="s">
        <v>81</v>
      </c>
      <c r="B10" s="124"/>
      <c r="C10" s="125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4"/>
      <c r="F10" s="124"/>
      <c r="G10" s="125"/>
    </row>
    <row r="11" spans="1:7" ht="38.25" customHeight="1">
      <c r="A11" s="181" t="s">
        <v>81</v>
      </c>
      <c r="B11" s="124"/>
      <c r="C11" s="125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4"/>
      <c r="F11" s="124"/>
      <c r="G11" s="125"/>
    </row>
    <row r="12" spans="1:7" ht="36" customHeight="1">
      <c r="A12" s="181" t="s">
        <v>81</v>
      </c>
      <c r="B12" s="124"/>
      <c r="C12" s="125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4"/>
      <c r="F12" s="124"/>
      <c r="G12" s="125"/>
    </row>
    <row r="13" spans="1:7" ht="37.5" customHeight="1">
      <c r="A13" s="181" t="s">
        <v>81</v>
      </c>
      <c r="B13" s="124"/>
      <c r="C13" s="125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4"/>
      <c r="F13" s="124"/>
      <c r="G13" s="125"/>
    </row>
    <row r="14" spans="1:7" ht="14.25" customHeight="1">
      <c r="A14" s="181" t="s">
        <v>81</v>
      </c>
      <c r="B14" s="124"/>
      <c r="C14" s="125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4"/>
      <c r="F14" s="124"/>
      <c r="G14" s="125"/>
    </row>
    <row r="15" spans="1:7" ht="14.25" customHeight="1">
      <c r="A15" s="181" t="s">
        <v>81</v>
      </c>
      <c r="B15" s="124"/>
      <c r="C15" s="125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4"/>
      <c r="F15" s="124"/>
      <c r="G15" s="125"/>
    </row>
    <row r="16" spans="1:7" ht="14.25" customHeight="1">
      <c r="A16" s="181" t="s">
        <v>81</v>
      </c>
      <c r="B16" s="124"/>
      <c r="C16" s="125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4"/>
      <c r="F16" s="124"/>
      <c r="G16" s="125"/>
    </row>
    <row r="17" spans="1:7" ht="14.25" customHeight="1">
      <c r="A17" s="181" t="s">
        <v>82</v>
      </c>
      <c r="B17" s="124"/>
      <c r="C17" s="125"/>
      <c r="D17" s="182">
        <f>SUM(D4:D16)</f>
        <v>44684</v>
      </c>
      <c r="E17" s="124"/>
      <c r="F17" s="124"/>
      <c r="G17" s="125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2026-08-04T06:56:47Z</dcterms:modified>
</cp:coreProperties>
</file>