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RWVCA-GISOZI\Downloads\"/>
    </mc:Choice>
  </mc:AlternateContent>
  <bookViews>
    <workbookView xWindow="0" yWindow="0" windowWidth="23040" windowHeight="9072" tabRatio="965" firstSheet="4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NYAMASHEKE" sheetId="27" r:id="rId25"/>
    <sheet name="FOURTH" sheetId="28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E11" i="2" l="1"/>
  <c r="F11" i="2" s="1"/>
  <c r="E74" i="2" l="1"/>
  <c r="E18" i="2"/>
  <c r="F18" i="2" s="1"/>
  <c r="G18" i="2"/>
  <c r="E19" i="2"/>
  <c r="F19" i="2" s="1"/>
  <c r="G19" i="2"/>
  <c r="E20" i="2"/>
  <c r="F20" i="2" s="1"/>
  <c r="G20" i="2"/>
  <c r="E21" i="2"/>
  <c r="F21" i="2" s="1"/>
  <c r="G21" i="2"/>
  <c r="E22" i="2"/>
  <c r="F22" i="2" s="1"/>
  <c r="G22" i="2"/>
  <c r="E23" i="2"/>
  <c r="F23" i="2" s="1"/>
  <c r="G23" i="2"/>
  <c r="E24" i="2"/>
  <c r="F24" i="2" s="1"/>
  <c r="G24" i="2"/>
  <c r="E25" i="2"/>
  <c r="F25" i="2" s="1"/>
  <c r="G25" i="2"/>
  <c r="E26" i="2"/>
  <c r="F26" i="2" s="1"/>
  <c r="G26" i="2"/>
  <c r="E27" i="2"/>
  <c r="F27" i="2" s="1"/>
  <c r="G27" i="2"/>
  <c r="E28" i="2"/>
  <c r="F28" i="2" s="1"/>
  <c r="G28" i="2"/>
  <c r="E29" i="2"/>
  <c r="F29" i="2" s="1"/>
  <c r="G29" i="2"/>
  <c r="E30" i="2"/>
  <c r="F30" i="2" s="1"/>
  <c r="G30" i="2"/>
  <c r="E31" i="2"/>
  <c r="F31" i="2" s="1"/>
  <c r="G31" i="2"/>
  <c r="E32" i="2"/>
  <c r="F32" i="2" s="1"/>
  <c r="G32" i="2"/>
  <c r="E33" i="2"/>
  <c r="F33" i="2" s="1"/>
  <c r="G33" i="2"/>
  <c r="E34" i="2"/>
  <c r="F34" i="2" s="1"/>
  <c r="G34" i="2"/>
  <c r="E35" i="2"/>
  <c r="F35" i="2" s="1"/>
  <c r="G35" i="2"/>
  <c r="E36" i="2"/>
  <c r="F36" i="2" s="1"/>
  <c r="G36" i="2"/>
  <c r="G17" i="2"/>
  <c r="E17" i="2"/>
  <c r="F17" i="2" s="1"/>
  <c r="H36" i="2" l="1"/>
  <c r="H32" i="2"/>
  <c r="H35" i="2"/>
  <c r="H34" i="2"/>
  <c r="H33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J28" i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G19" i="27"/>
  <c r="E19" i="27"/>
  <c r="F19" i="27" s="1"/>
  <c r="H19" i="27" s="1"/>
  <c r="G18" i="27"/>
  <c r="E18" i="27"/>
  <c r="F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G11" i="27"/>
  <c r="E11" i="27"/>
  <c r="F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G19" i="26"/>
  <c r="E19" i="26"/>
  <c r="F19" i="26" s="1"/>
  <c r="H19" i="26" s="1"/>
  <c r="G18" i="26"/>
  <c r="E18" i="26"/>
  <c r="F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G11" i="26"/>
  <c r="E11" i="26"/>
  <c r="F11" i="26" s="1"/>
  <c r="H11" i="26" s="1"/>
  <c r="G10" i="26"/>
  <c r="E10" i="26"/>
  <c r="F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G37" i="28" l="1"/>
  <c r="H10" i="26"/>
  <c r="H18" i="27"/>
  <c r="H18" i="26"/>
  <c r="H12" i="25"/>
  <c r="H20" i="25"/>
  <c r="H26" i="25"/>
  <c r="H32" i="25"/>
  <c r="H12" i="26"/>
  <c r="H20" i="26"/>
  <c r="H26" i="26"/>
  <c r="H32" i="26"/>
  <c r="H12" i="27"/>
  <c r="H20" i="27"/>
  <c r="H26" i="27"/>
  <c r="H32" i="27"/>
  <c r="H12" i="28"/>
  <c r="H20" i="28"/>
  <c r="H26" i="28"/>
  <c r="H32" i="28"/>
  <c r="E62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G32" i="24"/>
  <c r="E32" i="24"/>
  <c r="F32" i="24" s="1"/>
  <c r="G31" i="24"/>
  <c r="E31" i="24"/>
  <c r="F31" i="24" s="1"/>
  <c r="H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G27" i="24"/>
  <c r="E27" i="24"/>
  <c r="F27" i="24" s="1"/>
  <c r="G26" i="24"/>
  <c r="E26" i="24"/>
  <c r="F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F22" i="24"/>
  <c r="H22" i="24" s="1"/>
  <c r="E22" i="24"/>
  <c r="G21" i="24"/>
  <c r="E21" i="24"/>
  <c r="F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E14" i="24"/>
  <c r="F14" i="24" s="1"/>
  <c r="G13" i="24"/>
  <c r="E13" i="24"/>
  <c r="F13" i="24" s="1"/>
  <c r="H13" i="24" s="1"/>
  <c r="G12" i="24"/>
  <c r="E12" i="24"/>
  <c r="F12" i="24" s="1"/>
  <c r="G11" i="24"/>
  <c r="E11" i="24"/>
  <c r="F11" i="24" s="1"/>
  <c r="H11" i="24" s="1"/>
  <c r="G10" i="24"/>
  <c r="E10" i="24"/>
  <c r="F10" i="24" s="1"/>
  <c r="G9" i="24"/>
  <c r="E9" i="24"/>
  <c r="F9" i="24" s="1"/>
  <c r="H9" i="24" s="1"/>
  <c r="G8" i="24"/>
  <c r="E8" i="24"/>
  <c r="F8" i="24" s="1"/>
  <c r="G7" i="24"/>
  <c r="E7" i="24"/>
  <c r="F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G35" i="23"/>
  <c r="E35" i="23"/>
  <c r="F35" i="23" s="1"/>
  <c r="H35" i="23" s="1"/>
  <c r="G34" i="23"/>
  <c r="E34" i="23"/>
  <c r="F34" i="23" s="1"/>
  <c r="G33" i="23"/>
  <c r="E33" i="23"/>
  <c r="F33" i="23" s="1"/>
  <c r="G32" i="23"/>
  <c r="E32" i="23"/>
  <c r="F32" i="23" s="1"/>
  <c r="H32" i="23" s="1"/>
  <c r="G31" i="23"/>
  <c r="E31" i="23"/>
  <c r="F31" i="23" s="1"/>
  <c r="G30" i="23"/>
  <c r="E30" i="23"/>
  <c r="F30" i="23" s="1"/>
  <c r="G29" i="23"/>
  <c r="E29" i="23"/>
  <c r="F29" i="23" s="1"/>
  <c r="H29" i="23" s="1"/>
  <c r="G28" i="23"/>
  <c r="E28" i="23"/>
  <c r="F28" i="23" s="1"/>
  <c r="G27" i="23"/>
  <c r="E27" i="23"/>
  <c r="F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H23" i="23" s="1"/>
  <c r="G22" i="23"/>
  <c r="E22" i="23"/>
  <c r="F22" i="23" s="1"/>
  <c r="G21" i="23"/>
  <c r="E21" i="23"/>
  <c r="F21" i="23" s="1"/>
  <c r="G20" i="23"/>
  <c r="E20" i="23"/>
  <c r="F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G13" i="23"/>
  <c r="E13" i="23"/>
  <c r="F13" i="23" s="1"/>
  <c r="G12" i="23"/>
  <c r="E12" i="23"/>
  <c r="F12" i="23" s="1"/>
  <c r="G11" i="23"/>
  <c r="E11" i="23"/>
  <c r="F11" i="23" s="1"/>
  <c r="G10" i="23"/>
  <c r="E10" i="23"/>
  <c r="F10" i="23" s="1"/>
  <c r="G9" i="23"/>
  <c r="E9" i="23"/>
  <c r="F9" i="23" s="1"/>
  <c r="H9" i="23" s="1"/>
  <c r="G8" i="23"/>
  <c r="E8" i="23"/>
  <c r="F8" i="23" s="1"/>
  <c r="G7" i="23"/>
  <c r="E7" i="23"/>
  <c r="F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G35" i="18"/>
  <c r="E35" i="18"/>
  <c r="F35" i="18" s="1"/>
  <c r="H35" i="18" s="1"/>
  <c r="G34" i="18"/>
  <c r="E34" i="18"/>
  <c r="F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G13" i="18"/>
  <c r="E13" i="18"/>
  <c r="F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G9" i="18"/>
  <c r="E9" i="18"/>
  <c r="F9" i="18" s="1"/>
  <c r="H9" i="18" s="1"/>
  <c r="G8" i="18"/>
  <c r="E8" i="18"/>
  <c r="F8" i="18" s="1"/>
  <c r="G7" i="18"/>
  <c r="E7" i="18"/>
  <c r="F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G35" i="17"/>
  <c r="E35" i="17"/>
  <c r="F35" i="17" s="1"/>
  <c r="H35" i="17" s="1"/>
  <c r="G34" i="17"/>
  <c r="E34" i="17"/>
  <c r="F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G27" i="17"/>
  <c r="E27" i="17"/>
  <c r="F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G35" i="16"/>
  <c r="E35" i="16"/>
  <c r="F35" i="16" s="1"/>
  <c r="H35" i="16" s="1"/>
  <c r="G34" i="16"/>
  <c r="E34" i="16"/>
  <c r="F34" i="16" s="1"/>
  <c r="G33" i="16"/>
  <c r="E33" i="16"/>
  <c r="F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G27" i="16"/>
  <c r="E27" i="16"/>
  <c r="F27" i="16" s="1"/>
  <c r="G26" i="16"/>
  <c r="E26" i="16"/>
  <c r="F26" i="16" s="1"/>
  <c r="G25" i="16"/>
  <c r="E25" i="16"/>
  <c r="F25" i="16" s="1"/>
  <c r="G24" i="16"/>
  <c r="E24" i="16"/>
  <c r="F24" i="16" s="1"/>
  <c r="G23" i="16"/>
  <c r="E23" i="16"/>
  <c r="F23" i="16" s="1"/>
  <c r="G22" i="16"/>
  <c r="E22" i="16"/>
  <c r="F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G14" i="16"/>
  <c r="E14" i="16"/>
  <c r="F14" i="16" s="1"/>
  <c r="G13" i="16"/>
  <c r="E13" i="16"/>
  <c r="F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G35" i="14"/>
  <c r="E35" i="14"/>
  <c r="F35" i="14" s="1"/>
  <c r="H35" i="14" s="1"/>
  <c r="G34" i="14"/>
  <c r="E34" i="14"/>
  <c r="F34" i="14" s="1"/>
  <c r="G33" i="14"/>
  <c r="E33" i="14"/>
  <c r="F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G27" i="14"/>
  <c r="E27" i="14"/>
  <c r="F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G23" i="14"/>
  <c r="E23" i="14"/>
  <c r="F23" i="14" s="1"/>
  <c r="G22" i="14"/>
  <c r="E22" i="14"/>
  <c r="F22" i="14" s="1"/>
  <c r="G21" i="14"/>
  <c r="E21" i="14"/>
  <c r="F21" i="14" s="1"/>
  <c r="G20" i="14"/>
  <c r="E20" i="14"/>
  <c r="F20" i="14" s="1"/>
  <c r="G19" i="14"/>
  <c r="E19" i="14"/>
  <c r="F19" i="14" s="1"/>
  <c r="G18" i="14"/>
  <c r="E18" i="14"/>
  <c r="F18" i="14" s="1"/>
  <c r="G17" i="14"/>
  <c r="E17" i="14"/>
  <c r="F17" i="14" s="1"/>
  <c r="G14" i="14"/>
  <c r="E14" i="14"/>
  <c r="F14" i="14" s="1"/>
  <c r="G13" i="14"/>
  <c r="E13" i="14"/>
  <c r="F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G8" i="14"/>
  <c r="E8" i="14"/>
  <c r="F8" i="14" s="1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G35" i="13"/>
  <c r="E35" i="13"/>
  <c r="F35" i="13" s="1"/>
  <c r="H35" i="13" s="1"/>
  <c r="G34" i="13"/>
  <c r="E34" i="13"/>
  <c r="F34" i="13" s="1"/>
  <c r="G33" i="13"/>
  <c r="E33" i="13"/>
  <c r="F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G27" i="13"/>
  <c r="E27" i="13"/>
  <c r="F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G23" i="13"/>
  <c r="E23" i="13"/>
  <c r="F23" i="13" s="1"/>
  <c r="H23" i="13" s="1"/>
  <c r="G22" i="13"/>
  <c r="E22" i="13"/>
  <c r="F22" i="13" s="1"/>
  <c r="G21" i="13"/>
  <c r="E21" i="13"/>
  <c r="F21" i="13" s="1"/>
  <c r="G20" i="13"/>
  <c r="E20" i="13"/>
  <c r="F20" i="13" s="1"/>
  <c r="G19" i="13"/>
  <c r="E19" i="13"/>
  <c r="F19" i="13" s="1"/>
  <c r="G18" i="13"/>
  <c r="E18" i="13"/>
  <c r="F18" i="13" s="1"/>
  <c r="G17" i="13"/>
  <c r="E17" i="13"/>
  <c r="F17" i="13" s="1"/>
  <c r="G14" i="13"/>
  <c r="E14" i="13"/>
  <c r="F14" i="13" s="1"/>
  <c r="G13" i="13"/>
  <c r="E13" i="13"/>
  <c r="F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G7" i="13"/>
  <c r="E7" i="13"/>
  <c r="F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G35" i="12"/>
  <c r="E35" i="12"/>
  <c r="F35" i="12" s="1"/>
  <c r="H35" i="12" s="1"/>
  <c r="G34" i="12"/>
  <c r="E34" i="12"/>
  <c r="F34" i="12" s="1"/>
  <c r="G33" i="12"/>
  <c r="E33" i="12"/>
  <c r="F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G27" i="12"/>
  <c r="E27" i="12"/>
  <c r="F27" i="12" s="1"/>
  <c r="G26" i="12"/>
  <c r="E26" i="12"/>
  <c r="F26" i="12" s="1"/>
  <c r="G25" i="12"/>
  <c r="E25" i="12"/>
  <c r="F25" i="12" s="1"/>
  <c r="G24" i="12"/>
  <c r="E24" i="12"/>
  <c r="F24" i="12" s="1"/>
  <c r="G23" i="12"/>
  <c r="E23" i="12"/>
  <c r="F23" i="12" s="1"/>
  <c r="G22" i="12"/>
  <c r="E22" i="12"/>
  <c r="F22" i="12" s="1"/>
  <c r="G21" i="12"/>
  <c r="E21" i="12"/>
  <c r="F21" i="12" s="1"/>
  <c r="G20" i="12"/>
  <c r="E20" i="12"/>
  <c r="F20" i="12" s="1"/>
  <c r="G19" i="12"/>
  <c r="E19" i="12"/>
  <c r="F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G12" i="12"/>
  <c r="E12" i="12"/>
  <c r="F12" i="12" s="1"/>
  <c r="G11" i="12"/>
  <c r="E11" i="12"/>
  <c r="F11" i="12" s="1"/>
  <c r="H11" i="12" s="1"/>
  <c r="G10" i="12"/>
  <c r="E10" i="12"/>
  <c r="F10" i="12" s="1"/>
  <c r="G9" i="12"/>
  <c r="E9" i="12"/>
  <c r="F9" i="12" s="1"/>
  <c r="H9" i="12" s="1"/>
  <c r="G8" i="12"/>
  <c r="E8" i="12"/>
  <c r="F8" i="12" s="1"/>
  <c r="G7" i="12"/>
  <c r="E7" i="12"/>
  <c r="F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E36" i="15"/>
  <c r="G35" i="15"/>
  <c r="E35" i="15"/>
  <c r="F35" i="15" s="1"/>
  <c r="G34" i="15"/>
  <c r="E34" i="15"/>
  <c r="F34" i="15" s="1"/>
  <c r="H34" i="15" s="1"/>
  <c r="G33" i="15"/>
  <c r="E33" i="15"/>
  <c r="F33" i="15" s="1"/>
  <c r="G32" i="15"/>
  <c r="E32" i="15"/>
  <c r="F32" i="15" s="1"/>
  <c r="G31" i="15"/>
  <c r="E31" i="15"/>
  <c r="F31" i="15" s="1"/>
  <c r="G30" i="15"/>
  <c r="E30" i="15"/>
  <c r="F30" i="15" s="1"/>
  <c r="G29" i="15"/>
  <c r="E29" i="15"/>
  <c r="F29" i="15" s="1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G13" i="9"/>
  <c r="E13" i="9"/>
  <c r="F13" i="9" s="1"/>
  <c r="G12" i="9"/>
  <c r="E12" i="9"/>
  <c r="F12" i="9" s="1"/>
  <c r="H12" i="9" s="1"/>
  <c r="G11" i="9"/>
  <c r="E11" i="9"/>
  <c r="F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G19" i="22"/>
  <c r="E19" i="22"/>
  <c r="F19" i="22" s="1"/>
  <c r="H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G11" i="22"/>
  <c r="E11" i="22"/>
  <c r="F11" i="22" s="1"/>
  <c r="H11" i="22" s="1"/>
  <c r="G10" i="22"/>
  <c r="E10" i="22"/>
  <c r="F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E36" i="8"/>
  <c r="G35" i="8"/>
  <c r="E35" i="8"/>
  <c r="F35" i="8" s="1"/>
  <c r="G34" i="8"/>
  <c r="E34" i="8"/>
  <c r="F34" i="8" s="1"/>
  <c r="H34" i="8" s="1"/>
  <c r="G33" i="8"/>
  <c r="E33" i="8"/>
  <c r="F33" i="8" s="1"/>
  <c r="G32" i="8"/>
  <c r="F32" i="8"/>
  <c r="E32" i="8"/>
  <c r="G31" i="8"/>
  <c r="E31" i="8"/>
  <c r="F31" i="8" s="1"/>
  <c r="G30" i="8"/>
  <c r="E30" i="8"/>
  <c r="F30" i="8" s="1"/>
  <c r="H30" i="8" s="1"/>
  <c r="G29" i="8"/>
  <c r="E29" i="8"/>
  <c r="F29" i="8" s="1"/>
  <c r="H29" i="8" s="1"/>
  <c r="G28" i="8"/>
  <c r="F28" i="8"/>
  <c r="E28" i="8"/>
  <c r="G27" i="8"/>
  <c r="E27" i="8"/>
  <c r="F27" i="8" s="1"/>
  <c r="G26" i="8"/>
  <c r="F26" i="8"/>
  <c r="E26" i="8"/>
  <c r="G25" i="8"/>
  <c r="E25" i="8"/>
  <c r="F25" i="8" s="1"/>
  <c r="H25" i="8" s="1"/>
  <c r="G24" i="8"/>
  <c r="E24" i="8"/>
  <c r="F24" i="8" s="1"/>
  <c r="G23" i="8"/>
  <c r="E23" i="8"/>
  <c r="F23" i="8" s="1"/>
  <c r="G22" i="8"/>
  <c r="E22" i="8"/>
  <c r="F22" i="8" s="1"/>
  <c r="G21" i="8"/>
  <c r="E21" i="8"/>
  <c r="F21" i="8" s="1"/>
  <c r="G20" i="8"/>
  <c r="E20" i="8"/>
  <c r="F20" i="8" s="1"/>
  <c r="G19" i="8"/>
  <c r="E19" i="8"/>
  <c r="F19" i="8" s="1"/>
  <c r="G18" i="8"/>
  <c r="E18" i="8"/>
  <c r="F18" i="8" s="1"/>
  <c r="G17" i="8"/>
  <c r="E17" i="8"/>
  <c r="F17" i="8" s="1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G31" i="6"/>
  <c r="E31" i="6"/>
  <c r="F31" i="6" s="1"/>
  <c r="G30" i="6"/>
  <c r="E30" i="6"/>
  <c r="F30" i="6" s="1"/>
  <c r="H30" i="6" s="1"/>
  <c r="G29" i="6"/>
  <c r="E29" i="6"/>
  <c r="F29" i="6" s="1"/>
  <c r="G28" i="6"/>
  <c r="E28" i="6"/>
  <c r="F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G31" i="19"/>
  <c r="E31" i="19"/>
  <c r="F31" i="19" s="1"/>
  <c r="G30" i="19"/>
  <c r="E30" i="19"/>
  <c r="F30" i="19" s="1"/>
  <c r="H30" i="19" s="1"/>
  <c r="G29" i="19"/>
  <c r="E29" i="19"/>
  <c r="F29" i="19" s="1"/>
  <c r="G28" i="19"/>
  <c r="E28" i="19"/>
  <c r="F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G31" i="4"/>
  <c r="E31" i="4"/>
  <c r="F31" i="4" s="1"/>
  <c r="G30" i="4"/>
  <c r="E30" i="4"/>
  <c r="F30" i="4" s="1"/>
  <c r="H30" i="4" s="1"/>
  <c r="G29" i="4"/>
  <c r="E29" i="4"/>
  <c r="F29" i="4" s="1"/>
  <c r="G28" i="4"/>
  <c r="E28" i="4"/>
  <c r="F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H30" i="3" s="1"/>
  <c r="G29" i="3"/>
  <c r="E29" i="3"/>
  <c r="F29" i="3" s="1"/>
  <c r="G28" i="3"/>
  <c r="E28" i="3"/>
  <c r="F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H18" i="3" s="1"/>
  <c r="G17" i="3"/>
  <c r="E17" i="3"/>
  <c r="F17" i="3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G31" i="5"/>
  <c r="E31" i="5"/>
  <c r="F31" i="5" s="1"/>
  <c r="G30" i="5"/>
  <c r="E30" i="5"/>
  <c r="F30" i="5" s="1"/>
  <c r="H30" i="5" s="1"/>
  <c r="G29" i="5"/>
  <c r="E29" i="5"/>
  <c r="F29" i="5" s="1"/>
  <c r="G28" i="5"/>
  <c r="E28" i="5"/>
  <c r="F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G13" i="5"/>
  <c r="E13" i="5"/>
  <c r="F13" i="5" s="1"/>
  <c r="G12" i="5"/>
  <c r="E12" i="5"/>
  <c r="F12" i="5" s="1"/>
  <c r="G11" i="5"/>
  <c r="E11" i="5"/>
  <c r="F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G6" i="5"/>
  <c r="E6" i="5"/>
  <c r="F6" i="5" s="1"/>
  <c r="E81" i="2"/>
  <c r="E80" i="2"/>
  <c r="E79" i="2"/>
  <c r="E78" i="2"/>
  <c r="E77" i="2"/>
  <c r="E76" i="2"/>
  <c r="E75" i="2"/>
  <c r="E73" i="2"/>
  <c r="E72" i="2"/>
  <c r="E71" i="2"/>
  <c r="E70" i="2"/>
  <c r="E69" i="2"/>
  <c r="C65" i="2"/>
  <c r="G56" i="2"/>
  <c r="E56" i="2"/>
  <c r="F56" i="2" s="1"/>
  <c r="G55" i="2"/>
  <c r="E55" i="2"/>
  <c r="F55" i="2" s="1"/>
  <c r="G54" i="2"/>
  <c r="E54" i="2"/>
  <c r="F54" i="2" s="1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14" i="2"/>
  <c r="E14" i="2"/>
  <c r="F14" i="2" s="1"/>
  <c r="E13" i="2"/>
  <c r="F13" i="2" s="1"/>
  <c r="G12" i="2"/>
  <c r="E12" i="2"/>
  <c r="F12" i="2" s="1"/>
  <c r="G11" i="2"/>
  <c r="G10" i="2"/>
  <c r="E10" i="2"/>
  <c r="F10" i="2" s="1"/>
  <c r="G9" i="2"/>
  <c r="E9" i="2"/>
  <c r="F9" i="2" s="1"/>
  <c r="G8" i="2"/>
  <c r="E8" i="2"/>
  <c r="F8" i="2" s="1"/>
  <c r="G7" i="2"/>
  <c r="E7" i="2"/>
  <c r="F7" i="2" s="1"/>
  <c r="G6" i="2"/>
  <c r="E6" i="2"/>
  <c r="F6" i="2" s="1"/>
  <c r="H26" i="15" l="1"/>
  <c r="H32" i="15"/>
  <c r="H11" i="5"/>
  <c r="H19" i="5"/>
  <c r="H25" i="5"/>
  <c r="H31" i="5"/>
  <c r="H19" i="3"/>
  <c r="H25" i="3"/>
  <c r="H31" i="3"/>
  <c r="H11" i="4"/>
  <c r="H19" i="4"/>
  <c r="H25" i="4"/>
  <c r="H31" i="4"/>
  <c r="H11" i="19"/>
  <c r="H19" i="19"/>
  <c r="H25" i="19"/>
  <c r="H31" i="19"/>
  <c r="H11" i="6"/>
  <c r="H25" i="6"/>
  <c r="H31" i="6"/>
  <c r="H11" i="8"/>
  <c r="H33" i="15"/>
  <c r="H8" i="9"/>
  <c r="H14" i="9"/>
  <c r="H22" i="9"/>
  <c r="H28" i="9"/>
  <c r="H34" i="9"/>
  <c r="H8" i="10"/>
  <c r="H14" i="10"/>
  <c r="H22" i="10"/>
  <c r="H28" i="10"/>
  <c r="H34" i="10"/>
  <c r="H8" i="11"/>
  <c r="H8" i="15"/>
  <c r="H14" i="15"/>
  <c r="H7" i="12"/>
  <c r="H13" i="12"/>
  <c r="H33" i="12"/>
  <c r="H27" i="13"/>
  <c r="H33" i="13"/>
  <c r="H7" i="14"/>
  <c r="H27" i="14"/>
  <c r="H33" i="14"/>
  <c r="H7" i="16"/>
  <c r="H13" i="16"/>
  <c r="H27" i="16"/>
  <c r="H33" i="16"/>
  <c r="H7" i="17"/>
  <c r="H13" i="17"/>
  <c r="H21" i="17"/>
  <c r="H27" i="17"/>
  <c r="H33" i="17"/>
  <c r="H7" i="18"/>
  <c r="H13" i="18"/>
  <c r="H27" i="18"/>
  <c r="H33" i="18"/>
  <c r="H13" i="23"/>
  <c r="H21" i="23"/>
  <c r="H27" i="23"/>
  <c r="H33" i="23"/>
  <c r="H7" i="24"/>
  <c r="H26" i="24"/>
  <c r="H32" i="24"/>
  <c r="H20" i="8"/>
  <c r="H35" i="8"/>
  <c r="H17" i="22"/>
  <c r="H17" i="9"/>
  <c r="H23" i="9"/>
  <c r="H29" i="9"/>
  <c r="H35" i="9"/>
  <c r="H9" i="10"/>
  <c r="H23" i="10"/>
  <c r="H29" i="10"/>
  <c r="H35" i="10"/>
  <c r="H9" i="11"/>
  <c r="H23" i="15"/>
  <c r="H8" i="24"/>
  <c r="H33" i="24"/>
  <c r="H7" i="5"/>
  <c r="H13" i="5"/>
  <c r="H21" i="5"/>
  <c r="H27" i="5"/>
  <c r="H33" i="5"/>
  <c r="H7" i="3"/>
  <c r="H21" i="3"/>
  <c r="H27" i="3"/>
  <c r="H33" i="3"/>
  <c r="H7" i="4"/>
  <c r="H13" i="4"/>
  <c r="H21" i="4"/>
  <c r="H27" i="4"/>
  <c r="H33" i="4"/>
  <c r="H7" i="19"/>
  <c r="H13" i="19"/>
  <c r="H21" i="19"/>
  <c r="H27" i="19"/>
  <c r="H33" i="19"/>
  <c r="H7" i="6"/>
  <c r="H27" i="6"/>
  <c r="H33" i="6"/>
  <c r="H7" i="8"/>
  <c r="H13" i="8"/>
  <c r="H21" i="8"/>
  <c r="H26" i="8"/>
  <c r="H31" i="8"/>
  <c r="H35" i="15"/>
  <c r="H8" i="5"/>
  <c r="H14" i="5"/>
  <c r="H22" i="5"/>
  <c r="H28" i="5"/>
  <c r="H34" i="5"/>
  <c r="H14" i="3"/>
  <c r="H22" i="3"/>
  <c r="H28" i="3"/>
  <c r="H34" i="3"/>
  <c r="H14" i="4"/>
  <c r="H22" i="4"/>
  <c r="H28" i="4"/>
  <c r="H34" i="4"/>
  <c r="H8" i="7"/>
  <c r="H14" i="7"/>
  <c r="H22" i="7"/>
  <c r="H28" i="7"/>
  <c r="H34" i="7"/>
  <c r="H14" i="19"/>
  <c r="H22" i="19"/>
  <c r="H28" i="19"/>
  <c r="H34" i="19"/>
  <c r="H14" i="6"/>
  <c r="H28" i="6"/>
  <c r="H34" i="6"/>
  <c r="H22" i="8"/>
  <c r="H27" i="8"/>
  <c r="H30" i="15"/>
  <c r="H37" i="25"/>
  <c r="D11" i="21"/>
  <c r="H9" i="5"/>
  <c r="H17" i="5"/>
  <c r="H23" i="5"/>
  <c r="H29" i="5"/>
  <c r="H35" i="5"/>
  <c r="H17" i="3"/>
  <c r="H23" i="3"/>
  <c r="H29" i="3"/>
  <c r="H23" i="4"/>
  <c r="H29" i="4"/>
  <c r="H23" i="7"/>
  <c r="H9" i="19"/>
  <c r="H17" i="19"/>
  <c r="H23" i="19"/>
  <c r="H29" i="19"/>
  <c r="H35" i="19"/>
  <c r="H9" i="6"/>
  <c r="H17" i="6"/>
  <c r="H23" i="6"/>
  <c r="H29" i="6"/>
  <c r="H9" i="8"/>
  <c r="H17" i="8"/>
  <c r="H23" i="8"/>
  <c r="D9" i="21"/>
  <c r="D12" i="21"/>
  <c r="H33" i="8"/>
  <c r="H12" i="22"/>
  <c r="H20" i="22"/>
  <c r="H26" i="22"/>
  <c r="H32" i="22"/>
  <c r="H21" i="9"/>
  <c r="H19" i="9"/>
  <c r="H22" i="6"/>
  <c r="H11" i="15"/>
  <c r="H7" i="23"/>
  <c r="H14" i="24"/>
  <c r="H12" i="23"/>
  <c r="H12" i="14"/>
  <c r="H20" i="14"/>
  <c r="H12" i="12"/>
  <c r="H9" i="9"/>
  <c r="H11" i="9"/>
  <c r="H9" i="7"/>
  <c r="H11" i="7"/>
  <c r="H8" i="4"/>
  <c r="H17" i="10"/>
  <c r="H27" i="12"/>
  <c r="H26" i="12"/>
  <c r="H25" i="12"/>
  <c r="H23" i="12"/>
  <c r="H13" i="9"/>
  <c r="H7" i="9"/>
  <c r="H23" i="14"/>
  <c r="H13" i="11"/>
  <c r="H9" i="22"/>
  <c r="H26" i="16"/>
  <c r="H8" i="8"/>
  <c r="H14" i="8"/>
  <c r="H8" i="19"/>
  <c r="H18" i="5"/>
  <c r="H10" i="19"/>
  <c r="H21" i="6"/>
  <c r="H9" i="4"/>
  <c r="H9" i="14"/>
  <c r="H21" i="18"/>
  <c r="D10" i="21"/>
  <c r="G37" i="10"/>
  <c r="H29" i="15"/>
  <c r="H8" i="12"/>
  <c r="H14" i="12"/>
  <c r="H22" i="12"/>
  <c r="H28" i="12"/>
  <c r="H34" i="12"/>
  <c r="H8" i="13"/>
  <c r="H14" i="13"/>
  <c r="H22" i="13"/>
  <c r="H28" i="13"/>
  <c r="H34" i="13"/>
  <c r="H8" i="14"/>
  <c r="H14" i="14"/>
  <c r="H22" i="14"/>
  <c r="H28" i="14"/>
  <c r="H34" i="14"/>
  <c r="H8" i="16"/>
  <c r="H14" i="16"/>
  <c r="H28" i="16"/>
  <c r="H34" i="16"/>
  <c r="H8" i="17"/>
  <c r="H14" i="17"/>
  <c r="H28" i="17"/>
  <c r="H34" i="17"/>
  <c r="H8" i="18"/>
  <c r="H14" i="18"/>
  <c r="H22" i="18"/>
  <c r="H28" i="18"/>
  <c r="H34" i="18"/>
  <c r="H8" i="23"/>
  <c r="H14" i="23"/>
  <c r="H22" i="23"/>
  <c r="H28" i="23"/>
  <c r="H34" i="23"/>
  <c r="H20" i="24"/>
  <c r="H37" i="26"/>
  <c r="G37" i="19"/>
  <c r="C23" i="1" s="1"/>
  <c r="D13" i="21"/>
  <c r="H14" i="11"/>
  <c r="H22" i="11"/>
  <c r="H28" i="11"/>
  <c r="H34" i="11"/>
  <c r="H25" i="15"/>
  <c r="D14" i="21"/>
  <c r="H18" i="8"/>
  <c r="H20" i="15"/>
  <c r="H31" i="15"/>
  <c r="H36" i="15"/>
  <c r="H10" i="12"/>
  <c r="H24" i="12"/>
  <c r="H30" i="12"/>
  <c r="H36" i="12"/>
  <c r="H10" i="13"/>
  <c r="H24" i="13"/>
  <c r="H30" i="13"/>
  <c r="H36" i="13"/>
  <c r="H10" i="14"/>
  <c r="H24" i="14"/>
  <c r="H30" i="14"/>
  <c r="H36" i="14"/>
  <c r="H18" i="16"/>
  <c r="H30" i="16"/>
  <c r="H36" i="16"/>
  <c r="H24" i="17"/>
  <c r="H30" i="17"/>
  <c r="H36" i="17"/>
  <c r="H10" i="18"/>
  <c r="H18" i="18"/>
  <c r="H24" i="18"/>
  <c r="H30" i="18"/>
  <c r="H36" i="18"/>
  <c r="H10" i="23"/>
  <c r="H24" i="23"/>
  <c r="H30" i="23"/>
  <c r="H36" i="23"/>
  <c r="H27" i="24"/>
  <c r="G37" i="18"/>
  <c r="C22" i="1" s="1"/>
  <c r="E62" i="8"/>
  <c r="D16" i="21"/>
  <c r="H19" i="8"/>
  <c r="H11" i="23"/>
  <c r="H25" i="23"/>
  <c r="H31" i="23"/>
  <c r="H28" i="24"/>
  <c r="H37" i="28"/>
  <c r="D15" i="21"/>
  <c r="H12" i="5"/>
  <c r="H20" i="5"/>
  <c r="H26" i="5"/>
  <c r="H32" i="5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H12" i="8"/>
  <c r="H24" i="8"/>
  <c r="H28" i="8"/>
  <c r="H32" i="8"/>
  <c r="H36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7" i="15"/>
  <c r="H23" i="24"/>
  <c r="E62" i="9"/>
  <c r="H25" i="16"/>
  <c r="H24" i="16"/>
  <c r="H23" i="16"/>
  <c r="H22" i="16"/>
  <c r="H21" i="16"/>
  <c r="H20" i="16"/>
  <c r="H19" i="16"/>
  <c r="E62" i="16"/>
  <c r="G37" i="16"/>
  <c r="C20" i="1" s="1"/>
  <c r="H17" i="16"/>
  <c r="E62" i="7"/>
  <c r="H13" i="15"/>
  <c r="H7" i="15"/>
  <c r="H9" i="15"/>
  <c r="H12" i="15"/>
  <c r="H21" i="12"/>
  <c r="H20" i="12"/>
  <c r="H19" i="12"/>
  <c r="H18" i="12"/>
  <c r="H17" i="12"/>
  <c r="E62" i="12"/>
  <c r="H20" i="23"/>
  <c r="H19" i="23"/>
  <c r="H18" i="23"/>
  <c r="G37" i="23"/>
  <c r="C24" i="1" s="1"/>
  <c r="H17" i="23"/>
  <c r="H21" i="14"/>
  <c r="H19" i="14"/>
  <c r="H18" i="14"/>
  <c r="D7" i="21"/>
  <c r="H17" i="14"/>
  <c r="G37" i="14"/>
  <c r="C18" i="1" s="1"/>
  <c r="D6" i="21"/>
  <c r="H13" i="14"/>
  <c r="E62" i="14"/>
  <c r="H21" i="13"/>
  <c r="H20" i="13"/>
  <c r="D8" i="21"/>
  <c r="H19" i="13"/>
  <c r="H18" i="13"/>
  <c r="H17" i="13"/>
  <c r="H13" i="13"/>
  <c r="H7" i="13"/>
  <c r="H18" i="4"/>
  <c r="D4" i="21"/>
  <c r="H12" i="24"/>
  <c r="H19" i="24"/>
  <c r="H21" i="24"/>
  <c r="H9" i="3"/>
  <c r="H11" i="3"/>
  <c r="H10" i="3"/>
  <c r="H12" i="3"/>
  <c r="H17" i="24"/>
  <c r="H10" i="24"/>
  <c r="G37" i="24"/>
  <c r="C25" i="1" s="1"/>
  <c r="E62" i="24"/>
  <c r="H23" i="17"/>
  <c r="H22" i="17"/>
  <c r="H20" i="17"/>
  <c r="H19" i="17"/>
  <c r="H18" i="17"/>
  <c r="H17" i="17"/>
  <c r="G37" i="17"/>
  <c r="C21" i="1" s="1"/>
  <c r="H21" i="7"/>
  <c r="H19" i="7"/>
  <c r="H18" i="7"/>
  <c r="H17" i="7"/>
  <c r="H13" i="7"/>
  <c r="H7" i="7"/>
  <c r="H22" i="15"/>
  <c r="H21" i="15"/>
  <c r="H19" i="15"/>
  <c r="H18" i="15"/>
  <c r="H17" i="15"/>
  <c r="H10" i="15"/>
  <c r="D5" i="21"/>
  <c r="H19" i="6"/>
  <c r="H18" i="6"/>
  <c r="H35" i="6"/>
  <c r="H13" i="6"/>
  <c r="E62" i="6"/>
  <c r="G37" i="6"/>
  <c r="C9" i="1" s="1"/>
  <c r="H8" i="6"/>
  <c r="H56" i="2"/>
  <c r="H55" i="2"/>
  <c r="H13" i="2"/>
  <c r="H7" i="2"/>
  <c r="H9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14" i="2"/>
  <c r="H38" i="2"/>
  <c r="H37" i="2"/>
  <c r="H12" i="2"/>
  <c r="H11" i="2"/>
  <c r="H8" i="2"/>
  <c r="H37" i="27"/>
  <c r="H13" i="3"/>
  <c r="H8" i="3"/>
  <c r="E62" i="3"/>
  <c r="H10" i="2"/>
  <c r="C37" i="1"/>
  <c r="G37" i="3"/>
  <c r="G57" i="2"/>
  <c r="E8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57" i="2"/>
  <c r="H6" i="2"/>
  <c r="E57" i="2"/>
  <c r="H37" i="19" l="1"/>
  <c r="H37" i="9"/>
  <c r="H37" i="13"/>
  <c r="H37" i="10"/>
  <c r="H37" i="11"/>
  <c r="H37" i="18"/>
  <c r="H37" i="8"/>
  <c r="H37" i="16"/>
  <c r="H37" i="12"/>
  <c r="H37" i="23"/>
  <c r="H37" i="14"/>
  <c r="H37" i="4"/>
  <c r="H37" i="5"/>
  <c r="H37" i="24"/>
  <c r="H37" i="7"/>
  <c r="H37" i="15"/>
  <c r="H37" i="6"/>
  <c r="H57" i="2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<sst xmlns="http://schemas.openxmlformats.org/spreadsheetml/2006/main" count="2033" uniqueCount="127">
  <si>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</si>
  <si>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</si>
  <si>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</si>
  <si>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</si>
  <si>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</si>
  <si>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</si>
  <si>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</si>
  <si>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</si>
  <si>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</si>
  <si>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</si>
  <si>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</si>
  <si>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</si>
  <si>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</si>
  <si>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</si>
  <si>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</si>
  <si>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</si>
  <si>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</si>
  <si>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</si>
  <si>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</si>
  <si>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</si>
  <si>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</si>
  <si>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</si>
  <si>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</si>
  <si>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</si>
  <si>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</si>
  <si>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</si>
  <si>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</si>
  <si>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</si>
  <si>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</si>
  <si>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</si>
  <si>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</si>
  <si>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</si>
  <si>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</si>
  <si>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</si>
  <si>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</si>
  <si>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</si>
  <si>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</si>
  <si>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</si>
  <si>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</si>
  <si>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</si>
  <si>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</si>
  <si>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</si>
  <si>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</si>
  <si>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</si>
  <si>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</si>
  <si>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</si>
  <si>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</si>
  <si>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</si>
  <si>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</si>
  <si>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</si>
  <si>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</si>
  <si>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</si>
  <si>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</si>
  <si>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</si>
  <si>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</si>
  <si>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</si>
  <si>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</si>
  <si>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</si>
  <si>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</si>
  <si>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</si>
  <si>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</si>
  <si>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</si>
  <si>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</si>
  <si>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</si>
  <si>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</si>
  <si>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</si>
  <si>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</si>
  <si>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</si>
  <si>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</si>
  <si>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</si>
  <si>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</si>
  <si>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</si>
  <si>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</si>
  <si>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</si>
  <si>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</si>
  <si>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</si>
  <si>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</si>
  <si>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</si>
  <si>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</si>
  <si>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</si>
  <si>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</si>
  <si>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</si>
  <si>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</si>
  <si>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</si>
  <si>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</si>
  <si>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</si>
  <si>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</si>
  <si>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</si>
  <si>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MUNYONGORO</t>
  </si>
  <si>
    <t>IBIPANDE BYA PINUS</t>
  </si>
  <si>
    <t>SIPURI</t>
  </si>
  <si>
    <t>DECHET</t>
  </si>
  <si>
    <t>PINUS NINI,</t>
  </si>
  <si>
    <t>INTURUSU NTOYA</t>
  </si>
  <si>
    <t xml:space="preserve">PINUS </t>
  </si>
  <si>
    <t xml:space="preserve">SIPURE </t>
  </si>
  <si>
    <t>MADRIENNINI</t>
  </si>
  <si>
    <t>MADRIEN NTOYA</t>
  </si>
  <si>
    <t>Madrien zidasanzwe</t>
  </si>
  <si>
    <t>GEREVERIYA</t>
  </si>
  <si>
    <t>IBIPANDE BYA SIPURE</t>
  </si>
  <si>
    <t>INTURUSU NINI</t>
  </si>
  <si>
    <t>MONTHLY REPORT OF MAY 2026</t>
  </si>
  <si>
    <t>PLANCHE Z'IBIPANDE</t>
  </si>
  <si>
    <t xml:space="preserve">IBIPANDE </t>
  </si>
  <si>
    <t>IBIPANDE BITOYA</t>
  </si>
  <si>
    <t>DECHETS</t>
  </si>
  <si>
    <t>INGIGA</t>
  </si>
  <si>
    <t>PLANCHE ZA GEREVERIYA</t>
  </si>
  <si>
    <t>PALCNHE ZA PINUS</t>
  </si>
  <si>
    <t>IBIPANDE BYA CEDERERA</t>
  </si>
  <si>
    <t>DECHET Z'INTURUSU</t>
  </si>
  <si>
    <t xml:space="preserve">INTURUSU  </t>
  </si>
  <si>
    <t>NYAMASHEKE</t>
  </si>
  <si>
    <t>IBIPANDE BY'INTURUSU</t>
  </si>
  <si>
    <t>MONTHLY REPORT OF JUNE 2026</t>
  </si>
  <si>
    <t>Pinus</t>
  </si>
  <si>
    <t>MADRIEN NINI</t>
  </si>
  <si>
    <t>SIPURE</t>
  </si>
  <si>
    <t>SEDERERA</t>
  </si>
  <si>
    <t>PLANCHE ZA PINUS</t>
  </si>
  <si>
    <t>IMBABARI</t>
  </si>
  <si>
    <t>PLANCHET ZA PINUS</t>
  </si>
  <si>
    <t>IBIPANDE BYA GEREVERIYA</t>
  </si>
  <si>
    <t>INTURUSU</t>
  </si>
  <si>
    <t>PLANCHE NINI</t>
  </si>
  <si>
    <t>CADELAMA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</si>
</sst>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5" fillId="0" borderId="26" xfId="1" applyNumberFormat="1" applyFont="1" applyBorder="1" applyAlignment="1" applyProtection="1">
      <alignment horizontal="center"/>
      <protection locked="0"/>
    </xf>
    <xf numFmtId="165" fontId="15" fillId="0" borderId="28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Alignment="1" applyProtection="1">
      <alignment horizontal="center"/>
      <protection locked="0"/>
    </xf>
    <xf numFmtId="165" fontId="15" fillId="0" borderId="31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Protection="1">
      <protection locked="0"/>
    </xf>
    <xf numFmtId="165" fontId="15" fillId="0" borderId="31" xfId="1" applyNumberFormat="1" applyFont="1" applyBorder="1" applyProtection="1">
      <protection locked="0"/>
    </xf>
    <xf numFmtId="165" fontId="15" fillId="0" borderId="41" xfId="1" applyNumberFormat="1" applyFont="1" applyBorder="1" applyProtection="1">
      <protection locked="0"/>
    </xf>
    <xf numFmtId="165" fontId="15" fillId="0" borderId="42" xfId="1" applyNumberFormat="1" applyFont="1" applyBorder="1" applyProtection="1">
      <protection locked="0"/>
    </xf>
    <xf numFmtId="165" fontId="15" fillId="0" borderId="26" xfId="1" applyNumberFormat="1" applyFont="1" applyBorder="1" applyProtection="1">
      <protection locked="0"/>
    </xf>
    <xf numFmtId="165" fontId="15" fillId="0" borderId="30" xfId="1" applyNumberFormat="1" applyFont="1" applyBorder="1" applyAlignment="1" applyProtection="1">
      <protection locked="0"/>
    </xf>
    <xf numFmtId="165" fontId="15" fillId="0" borderId="29" xfId="1" applyNumberFormat="1" applyFont="1" applyBorder="1" applyAlignment="1" applyProtection="1">
      <protection locked="0"/>
    </xf>
    <xf numFmtId="165" fontId="15" fillId="0" borderId="47" xfId="1" applyNumberFormat="1" applyFont="1" applyBorder="1" applyAlignment="1" applyProtection="1">
      <protection locked="0"/>
    </xf>
    <xf numFmtId="165" fontId="15" fillId="0" borderId="41" xfId="1" applyNumberFormat="1" applyFont="1" applyBorder="1" applyAlignment="1" applyProtection="1">
      <protection locked="0"/>
    </xf>
    <xf numFmtId="165" fontId="11" fillId="4" borderId="25" xfId="1" applyNumberFormat="1" applyFont="1" applyFill="1" applyBorder="1" applyAlignment="1" applyProtection="1">
      <alignment horizontal="left"/>
      <protection locked="0"/>
    </xf>
    <xf numFmtId="165" fontId="11" fillId="4" borderId="7" xfId="1" applyNumberFormat="1" applyFont="1" applyFill="1" applyBorder="1" applyAlignment="1" applyProtection="1">
      <alignment horizontal="left"/>
      <protection locked="0"/>
    </xf>
    <xf numFmtId="165" fontId="11" fillId="4" borderId="8" xfId="1" applyNumberFormat="1" applyFont="1" applyFill="1" applyBorder="1" applyProtection="1">
      <protection locked="0"/>
    </xf>
    <xf numFmtId="165" fontId="11" fillId="0" borderId="29" xfId="1" applyNumberFormat="1" applyFont="1" applyBorder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16" sqref="B16"/>
    </sheetView>
  </sheetViews>
  <sheetFormatPr defaultColWidth="8.88671875" defaultRowHeight="18"/>
  <cols>
    <col min="1" max="1" width="22.77734375" style="73" customWidth="1"/>
    <col min="2" max="2" width="28.21875" style="77" customWidth="1"/>
    <col min="3" max="3" width="24.44140625" style="78" customWidth="1"/>
    <col min="4" max="4" width="16.109375" style="73" customWidth="1"/>
    <col min="5" max="5" width="21.77734375" style="73" customWidth="1"/>
    <col min="6" max="6" width="20.6640625" style="75" customWidth="1"/>
    <col min="7" max="7" width="20.109375" style="75" customWidth="1"/>
    <col min="8" max="8" width="17" style="73" customWidth="1"/>
    <col min="9" max="9" width="16.77734375" style="73" customWidth="1"/>
    <col min="10" max="10" width="14.664062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27" t="s">
        <v>36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72"/>
      <c r="M1" s="72"/>
      <c r="N1" s="72"/>
    </row>
    <row r="2" spans="1:15" ht="31.05" customHeight="1">
      <c r="A2" s="129" t="s">
        <v>35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72"/>
      <c r="M2" s="72"/>
      <c r="N2" s="72"/>
    </row>
    <row r="3" spans="1:15" ht="15" customHeight="1" thickBot="1">
      <c r="A3" s="129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GISOZI!F57</f>
        <v>133378167.05084747</v>
      </c>
      <c r="C5" s="37">
        <f>GISOZI!G57</f>
        <v>11062265</v>
      </c>
      <c r="D5" s="37">
        <f>GISOZI!C63</f>
        <v>0</v>
      </c>
      <c r="E5" s="37">
        <f>GISOZI!C64</f>
        <v>0</v>
      </c>
      <c r="F5" s="41">
        <f>SUM(B5:C5)</f>
        <v>144440432.05084747</v>
      </c>
      <c r="G5" s="37">
        <f>GISOZI!C61</f>
        <v>0</v>
      </c>
      <c r="H5" s="37">
        <f>GISOZI!C59</f>
        <v>144418433</v>
      </c>
      <c r="I5" s="37">
        <f>GISOZI!C62</f>
        <v>0</v>
      </c>
      <c r="J5" s="37">
        <f>GISOZI!C60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32429105.694915254</v>
      </c>
      <c r="C6" s="39">
        <f>GAHANGA!G37</f>
        <v>2790530</v>
      </c>
      <c r="D6" s="39">
        <f>GAHANGA!C43</f>
        <v>0</v>
      </c>
      <c r="E6" s="39">
        <f>GAHANGA!C44</f>
        <v>0</v>
      </c>
      <c r="F6" s="41">
        <f t="shared" ref="F6:F28" si="0">SUM(B6:C6)</f>
        <v>35219635.69491525</v>
      </c>
      <c r="G6" s="39">
        <f>GAHANGA!C41</f>
        <v>0</v>
      </c>
      <c r="H6" s="39">
        <f>GAHANGA!C39</f>
        <v>35219636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43961917.576271184</v>
      </c>
      <c r="C7" s="39">
        <f>KIMIRONKO!G37</f>
        <v>3989250</v>
      </c>
      <c r="D7" s="39">
        <f>KIMIRONKO!C43</f>
        <v>0</v>
      </c>
      <c r="E7" s="39">
        <f>KIMIRONKO!C44</f>
        <v>0</v>
      </c>
      <c r="F7" s="41">
        <f t="shared" si="0"/>
        <v>47951167.576271184</v>
      </c>
      <c r="G7" s="39">
        <f>KIMIRONKO!C41</f>
        <v>0</v>
      </c>
      <c r="H7" s="39">
        <f>KIMIRONKO!C39</f>
        <v>0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36607739.491525427</v>
      </c>
      <c r="C8" s="39">
        <f>BISHENYI!G37</f>
        <v>3043280</v>
      </c>
      <c r="D8" s="39">
        <f>BISHENYI!C43</f>
        <v>0</v>
      </c>
      <c r="E8" s="39">
        <f>BISHENYI!C44</f>
        <v>0</v>
      </c>
      <c r="F8" s="41">
        <f t="shared" si="0"/>
        <v>39651019.491525427</v>
      </c>
      <c r="G8" s="38">
        <f>BISHENYI!C41</f>
        <v>0</v>
      </c>
      <c r="H8" s="39">
        <f>BISHENYI!C39</f>
        <v>39653064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13006127.898305085</v>
      </c>
      <c r="C9" s="39">
        <f>RWAMAGANA!G37</f>
        <v>1486781</v>
      </c>
      <c r="D9" s="39">
        <f>RWAMAGANA!C43</f>
        <v>0</v>
      </c>
      <c r="E9" s="39">
        <f>RWAMAGANA!C44</f>
        <v>800000</v>
      </c>
      <c r="F9" s="41">
        <f t="shared" si="0"/>
        <v>14492908.898305085</v>
      </c>
      <c r="G9" s="38">
        <f>RWAMAGANA!C41</f>
        <v>0</v>
      </c>
      <c r="H9" s="39">
        <f>RWAMAGANA!C39</f>
        <v>14492909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44061174</v>
      </c>
      <c r="C10" s="39">
        <f>BUGESERA!G37</f>
        <v>4067790</v>
      </c>
      <c r="D10" s="39">
        <f>BUGESERA!C43</f>
        <v>0</v>
      </c>
      <c r="E10" s="39">
        <f>BUGESERA!C44</f>
        <v>0</v>
      </c>
      <c r="F10" s="41">
        <f t="shared" si="0"/>
        <v>48128964</v>
      </c>
      <c r="G10" s="38">
        <f>BUGESERA!C41</f>
        <v>0</v>
      </c>
      <c r="H10" s="39">
        <f>BUGESERA!C39</f>
        <v>45442312</v>
      </c>
      <c r="I10" s="39">
        <f>BUGESERA!C42</f>
        <v>0</v>
      </c>
      <c r="J10" s="39">
        <f>BUGESERA!C40</f>
        <v>2686652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16087242.813559324</v>
      </c>
      <c r="C11" s="39">
        <f>MUHANGA!G37</f>
        <v>1381030</v>
      </c>
      <c r="D11" s="39">
        <f>MUHANGA!C43</f>
        <v>0</v>
      </c>
      <c r="E11" s="39">
        <f>MUHANGA!C44</f>
        <v>0</v>
      </c>
      <c r="F11" s="41">
        <f t="shared" si="0"/>
        <v>17468272.813559324</v>
      </c>
      <c r="G11" s="38">
        <f>MUHANGA!C41</f>
        <v>0</v>
      </c>
      <c r="H11" s="39">
        <f>MUHANGA!C39</f>
        <v>0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1849728.8135593219</v>
      </c>
      <c r="C12" s="39">
        <f>RUHANGO!G37</f>
        <v>594800</v>
      </c>
      <c r="D12" s="39">
        <f>RUHANGO!C43</f>
        <v>0</v>
      </c>
      <c r="E12" s="39">
        <f>RUHANGO!C44</f>
        <v>0</v>
      </c>
      <c r="F12" s="41">
        <f t="shared" si="0"/>
        <v>2444528.8135593217</v>
      </c>
      <c r="G12" s="38">
        <f>RUHANGO!C41</f>
        <v>0</v>
      </c>
      <c r="H12" s="39">
        <f>RUHANGO!C39</f>
        <v>2444529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14103727.627118645</v>
      </c>
      <c r="C13" s="39">
        <f>HUYE!G37</f>
        <v>1453620</v>
      </c>
      <c r="D13" s="39">
        <f>HUYE!C43</f>
        <v>0</v>
      </c>
      <c r="E13" s="39">
        <f>HUYE!C44</f>
        <v>0</v>
      </c>
      <c r="F13" s="41">
        <f t="shared" si="0"/>
        <v>15557347.627118645</v>
      </c>
      <c r="G13" s="38">
        <f>HUYE!C41</f>
        <v>0</v>
      </c>
      <c r="H13" s="39">
        <f>HUYE!C39</f>
        <v>0</v>
      </c>
      <c r="I13" s="39">
        <f>HUYE!C42</f>
        <v>0</v>
      </c>
      <c r="J13" s="39">
        <f>HUYE!C40</f>
        <v>0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4761958.881355932</v>
      </c>
      <c r="C14" s="39">
        <f>RUSIZI!G37</f>
        <v>1040410</v>
      </c>
      <c r="D14" s="39">
        <f>RUSIZI!C43</f>
        <v>0</v>
      </c>
      <c r="E14" s="39">
        <f>RUSIZI!C44</f>
        <v>0</v>
      </c>
      <c r="F14" s="41">
        <f t="shared" si="0"/>
        <v>5802368.881355932</v>
      </c>
      <c r="G14" s="38">
        <f>RUSIZI!C41</f>
        <v>0</v>
      </c>
      <c r="H14" s="39">
        <f>RUSIZI!C39</f>
        <v>5802369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0</v>
      </c>
      <c r="C15" s="39">
        <f>NYAMAGABE!G37</f>
        <v>0</v>
      </c>
      <c r="D15" s="39">
        <f>NYAMAGABE!C43</f>
        <v>0</v>
      </c>
      <c r="E15" s="39">
        <f>NYAMAGABE!C44</f>
        <v>0</v>
      </c>
      <c r="F15" s="41">
        <f t="shared" si="0"/>
        <v>0</v>
      </c>
      <c r="G15" s="38">
        <f>NYAMAGABE!C41</f>
        <v>0</v>
      </c>
      <c r="H15" s="39">
        <f>NYAMAGABE!C39</f>
        <v>316500</v>
      </c>
      <c r="I15" s="39">
        <f>NYAMAGABE!C42</f>
        <v>0</v>
      </c>
      <c r="J15" s="39">
        <f>NYAMAGABE!C40</f>
        <v>0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5212535.7966101691</v>
      </c>
      <c r="C16" s="39">
        <f>KARONGI!G37</f>
        <v>884978</v>
      </c>
      <c r="D16" s="39">
        <f>KARONGI!C43</f>
        <v>0</v>
      </c>
      <c r="E16" s="39">
        <f>KARONGI!C44</f>
        <v>0</v>
      </c>
      <c r="F16" s="41">
        <f t="shared" si="0"/>
        <v>6097513.7966101691</v>
      </c>
      <c r="G16" s="38">
        <f>KARONGI!C41</f>
        <v>0</v>
      </c>
      <c r="H16" s="39">
        <f>KARONGI!C39</f>
        <v>6097514</v>
      </c>
      <c r="I16" s="39">
        <f>KARONGI!C42</f>
        <v>645430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13910148</v>
      </c>
      <c r="C17" s="39">
        <f>RUBAVU!G37</f>
        <v>1437418</v>
      </c>
      <c r="D17" s="39">
        <f>RUBAVU!C43</f>
        <v>0</v>
      </c>
      <c r="E17" s="39">
        <f>RUBAVU!C44</f>
        <v>0</v>
      </c>
      <c r="F17" s="41">
        <f t="shared" si="0"/>
        <v>15347566</v>
      </c>
      <c r="G17" s="38">
        <f>RUBAVU!C41</f>
        <v>0</v>
      </c>
      <c r="H17" s="39">
        <f>RUBAVU!C39</f>
        <v>14347566</v>
      </c>
      <c r="I17" s="39">
        <f>RUBAVU!C42</f>
        <v>1000000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10958316.101694914</v>
      </c>
      <c r="C18" s="39">
        <f>MUSANZE!G37</f>
        <v>1300046</v>
      </c>
      <c r="D18" s="39">
        <f>MUSANZE!C43</f>
        <v>0</v>
      </c>
      <c r="E18" s="39">
        <f>MUSANZE!C44</f>
        <v>0</v>
      </c>
      <c r="F18" s="41">
        <f t="shared" si="0"/>
        <v>12258362.101694914</v>
      </c>
      <c r="G18" s="38">
        <f>MUSANZE!C41</f>
        <v>0</v>
      </c>
      <c r="H18" s="39">
        <f>MUSANZE!C39</f>
        <v>8700743</v>
      </c>
      <c r="I18" s="39">
        <f>MUSANZE!C42</f>
        <v>0</v>
      </c>
      <c r="J18" s="39">
        <f>MUSANZE!C40</f>
        <v>3557619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7891110</v>
      </c>
      <c r="C19" s="39">
        <f>KAYONZA!G37</f>
        <v>721970</v>
      </c>
      <c r="D19" s="39">
        <f>KAYONZA!C43</f>
        <v>0</v>
      </c>
      <c r="E19" s="39">
        <f>KAYONZA!C44</f>
        <v>0</v>
      </c>
      <c r="F19" s="41">
        <f t="shared" si="0"/>
        <v>8613080</v>
      </c>
      <c r="G19" s="38">
        <f>KAYONZA!C41</f>
        <v>0</v>
      </c>
      <c r="H19" s="39">
        <f>KAYONZA!C39</f>
        <v>8926280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5024402.2372881351</v>
      </c>
      <c r="C20" s="39">
        <f>NYAGATARE!G37</f>
        <v>1076750</v>
      </c>
      <c r="D20" s="39">
        <f>NYAGATARE!C43</f>
        <v>0</v>
      </c>
      <c r="E20" s="39">
        <f>NYAGATARE!C44</f>
        <v>0</v>
      </c>
      <c r="F20" s="41">
        <f t="shared" si="0"/>
        <v>6101152.2372881351</v>
      </c>
      <c r="G20" s="38">
        <f>NYAGATARE!C41</f>
        <v>0</v>
      </c>
      <c r="H20" s="39">
        <f>NYAGATARE!C39</f>
        <v>0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5213268.762711864</v>
      </c>
      <c r="C21" s="39">
        <f>KIREHE!G37</f>
        <v>1208916</v>
      </c>
      <c r="D21" s="39">
        <f>KIREHE!C43</f>
        <v>0</v>
      </c>
      <c r="E21" s="39">
        <f>KIREHE!C44</f>
        <v>0</v>
      </c>
      <c r="F21" s="41">
        <f t="shared" si="0"/>
        <v>6422184.762711864</v>
      </c>
      <c r="G21" s="38">
        <f>KIREHE!C41</f>
        <v>0</v>
      </c>
      <c r="H21" s="39">
        <f>KIREHE!C39</f>
        <v>6422184.7630000003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1970847.4576271186</v>
      </c>
      <c r="C22" s="39">
        <f>NYANZA!G37</f>
        <v>616200</v>
      </c>
      <c r="D22" s="39">
        <f>NYANZA!C43</f>
        <v>0</v>
      </c>
      <c r="E22" s="39">
        <f>NYANZA!C44</f>
        <v>0</v>
      </c>
      <c r="F22" s="41">
        <f t="shared" si="0"/>
        <v>2587047.4576271186</v>
      </c>
      <c r="G22" s="38">
        <f>NYANZA!C41</f>
        <v>0</v>
      </c>
      <c r="H22" s="39">
        <f>NYANZA!C39</f>
        <v>2587047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16261470</v>
      </c>
      <c r="C23" s="39">
        <f>NYARUGENGE!G37</f>
        <v>1488400</v>
      </c>
      <c r="D23" s="39">
        <f>NYARUGENGE!C43</f>
        <v>0</v>
      </c>
      <c r="E23" s="39">
        <f>NYARUGENGE!C44</f>
        <v>0</v>
      </c>
      <c r="F23" s="41">
        <f t="shared" si="0"/>
        <v>17749870</v>
      </c>
      <c r="G23" s="38">
        <f>NYARUGENGE!C41</f>
        <v>0</v>
      </c>
      <c r="H23" s="39">
        <f>NYARUGENGE!C39</f>
        <v>17749870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2731644.9152542371</v>
      </c>
      <c r="C24" s="39">
        <f>GATSIBO!G37</f>
        <v>657787</v>
      </c>
      <c r="D24" s="39">
        <f>GATSIBO!C43</f>
        <v>0</v>
      </c>
      <c r="E24" s="39">
        <f>GATSIBO!C44</f>
        <v>0</v>
      </c>
      <c r="F24" s="41">
        <f t="shared" si="0"/>
        <v>3389431.9152542371</v>
      </c>
      <c r="G24" s="38">
        <f>GATSIBO!C41</f>
        <v>0</v>
      </c>
      <c r="H24" s="40">
        <f>GATSIBO!C39</f>
        <v>3389432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9455958.762711864</v>
      </c>
      <c r="C25" s="39">
        <f>GASHYUSHYA!G37</f>
        <v>936870</v>
      </c>
      <c r="D25" s="39">
        <f>GASHYUSHYA!C43</f>
        <v>0</v>
      </c>
      <c r="E25" s="39">
        <f>GASHYUSHYA!C44</f>
        <v>0</v>
      </c>
      <c r="F25" s="41">
        <f t="shared" si="0"/>
        <v>10392828.762711864</v>
      </c>
      <c r="G25" s="39">
        <f>GASHYUSHYA!C41</f>
        <v>0</v>
      </c>
      <c r="H25" s="40">
        <f>GASHYUSHYA!C39</f>
        <v>10582828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98420.338983050839</v>
      </c>
      <c r="C27" s="39">
        <f>NGORORERO!G37</f>
        <v>13100</v>
      </c>
      <c r="D27" s="39">
        <f>NGORORERO!C43</f>
        <v>0</v>
      </c>
      <c r="E27" s="39">
        <f>NGORORERO!C44</f>
        <v>0</v>
      </c>
      <c r="F27" s="41">
        <f t="shared" si="0"/>
        <v>111520.33898305084</v>
      </c>
      <c r="G27" s="39">
        <f>NGORORERO!C41</f>
        <v>0</v>
      </c>
      <c r="H27" s="40">
        <f>NGORORERO!C39</f>
        <v>0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 t="s">
        <v>113</v>
      </c>
      <c r="B28" s="38">
        <f>NYAMASHEKE!F37</f>
        <v>0</v>
      </c>
      <c r="C28" s="39">
        <f>NYAMASHEKE!G37</f>
        <v>0</v>
      </c>
      <c r="D28" s="39">
        <f>NYAMASHEKE!C43</f>
        <v>0</v>
      </c>
      <c r="E28" s="39">
        <f>NYAMASHEKE!C44</f>
        <v>0</v>
      </c>
      <c r="F28" s="41">
        <f t="shared" si="0"/>
        <v>0</v>
      </c>
      <c r="G28" s="39">
        <f>NYAMASHEKE!C41</f>
        <v>0</v>
      </c>
      <c r="H28" s="40">
        <f>NYAMASHEKE!C39</f>
        <v>0</v>
      </c>
      <c r="I28" s="101">
        <f>NYAMASHEKE!C42</f>
        <v>0</v>
      </c>
      <c r="J28" s="102">
        <f>NYAMASHEKE!C40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418975012.22033906</v>
      </c>
      <c r="C29" s="60">
        <f t="shared" si="1"/>
        <v>41252191</v>
      </c>
      <c r="D29" s="61">
        <f t="shared" si="1"/>
        <v>0</v>
      </c>
      <c r="E29" s="60">
        <f t="shared" si="1"/>
        <v>800000</v>
      </c>
      <c r="F29" s="60">
        <f>SUM(F5:F28)</f>
        <v>460227203.22033894</v>
      </c>
      <c r="G29" s="61">
        <f>SUM(G5:G28)</f>
        <v>0</v>
      </c>
      <c r="H29" s="61">
        <f>SUM(H5:H28)</f>
        <v>366593216.76300001</v>
      </c>
      <c r="I29" s="61">
        <f>SUM(I5:I28)</f>
        <v>1645430</v>
      </c>
      <c r="J29" s="69">
        <f>SUM(J5:J28)</f>
        <v>6244271</v>
      </c>
      <c r="K29" s="71"/>
      <c r="M29" s="76"/>
    </row>
    <row r="30" spans="1:15" ht="15" thickBot="1">
      <c r="A30" s="121"/>
      <c r="B30" s="121"/>
      <c r="C30" s="121"/>
      <c r="D30" s="122"/>
      <c r="E30" s="155" t="s">
        <v>11</v>
      </c>
      <c r="F30" s="156"/>
      <c r="G30" s="156"/>
      <c r="H30" s="156"/>
      <c r="I30" s="157"/>
      <c r="J30" s="131"/>
      <c r="K30" s="132"/>
      <c r="L30" s="72"/>
    </row>
    <row r="31" spans="1:15" ht="18.600000000000001" thickBot="1">
      <c r="A31" s="152" t="s">
        <v>9</v>
      </c>
      <c r="B31" s="153"/>
      <c r="C31" s="153"/>
      <c r="D31" s="153"/>
      <c r="E31" s="158"/>
      <c r="F31" s="159"/>
      <c r="G31" s="159"/>
      <c r="H31" s="159"/>
      <c r="I31" s="160"/>
      <c r="J31" s="133"/>
      <c r="K31" s="134"/>
      <c r="L31" s="72"/>
    </row>
    <row r="32" spans="1:15" ht="15" thickBot="1">
      <c r="A32" s="123" t="s">
        <v>12</v>
      </c>
      <c r="B32" s="124"/>
      <c r="C32" s="125">
        <f>SUM(B29+C29)</f>
        <v>460227203.22033906</v>
      </c>
      <c r="D32" s="126"/>
      <c r="E32" s="158"/>
      <c r="F32" s="159"/>
      <c r="G32" s="159"/>
      <c r="H32" s="159"/>
      <c r="I32" s="160"/>
      <c r="J32" s="133"/>
      <c r="K32" s="134"/>
      <c r="L32" s="72"/>
    </row>
    <row r="33" spans="1:12" ht="15" thickBot="1">
      <c r="A33" s="123" t="s">
        <v>13</v>
      </c>
      <c r="B33" s="124"/>
      <c r="C33" s="146">
        <f>SUM(F29,G29)</f>
        <v>460227203.22033894</v>
      </c>
      <c r="D33" s="154"/>
      <c r="E33" s="158"/>
      <c r="F33" s="159"/>
      <c r="G33" s="159"/>
      <c r="H33" s="159"/>
      <c r="I33" s="160"/>
      <c r="J33" s="133"/>
      <c r="K33" s="134"/>
      <c r="L33" s="72"/>
    </row>
    <row r="34" spans="1:12" ht="15" thickBot="1">
      <c r="A34" s="148" t="s">
        <v>80</v>
      </c>
      <c r="B34" s="149"/>
      <c r="C34" s="146">
        <f>SUM(H29,J29,I29+G29)</f>
        <v>374482917.76300001</v>
      </c>
      <c r="D34" s="147"/>
      <c r="E34" s="158"/>
      <c r="F34" s="159"/>
      <c r="G34" s="159"/>
      <c r="H34" s="159"/>
      <c r="I34" s="160"/>
      <c r="J34" s="133"/>
      <c r="K34" s="134"/>
      <c r="L34" s="72"/>
    </row>
    <row r="35" spans="1:12" ht="15" thickBot="1">
      <c r="A35" s="123" t="s">
        <v>10</v>
      </c>
      <c r="B35" s="124"/>
      <c r="C35" s="146">
        <f>SUM(D29:E29)</f>
        <v>800000</v>
      </c>
      <c r="D35" s="147"/>
      <c r="E35" s="161"/>
      <c r="F35" s="162"/>
      <c r="G35" s="162"/>
      <c r="H35" s="162"/>
      <c r="I35" s="163"/>
      <c r="J35" s="133"/>
      <c r="K35" s="134"/>
      <c r="L35" s="72"/>
    </row>
    <row r="36" spans="1:12" ht="15" thickBot="1">
      <c r="A36" s="123" t="s">
        <v>82</v>
      </c>
      <c r="B36" s="124"/>
      <c r="C36" s="146">
        <f>SUM(H29+I29+J29+C35)</f>
        <v>375282917.76300001</v>
      </c>
      <c r="D36" s="147"/>
      <c r="E36" s="137" t="s">
        <v>34</v>
      </c>
      <c r="F36" s="138"/>
      <c r="G36" s="138"/>
      <c r="H36" s="138"/>
      <c r="I36" s="139"/>
      <c r="J36" s="133"/>
      <c r="K36" s="134"/>
      <c r="L36" s="72"/>
    </row>
    <row r="37" spans="1:12" ht="15" thickBot="1">
      <c r="A37" s="150" t="s">
        <v>14</v>
      </c>
      <c r="B37" s="151"/>
      <c r="C37" s="146">
        <f>NYANZA!C45+KIREHE!C45+NYAGATARE!C45+KAYONZA!C45+MUSANZE!C45+MUSANZE!C45+RUBAVU!C45+KARONGI!C45+NYAMAGABE!C45+RUSIZI!C45+HUYE!C45+RUHANGO!C45+MUHANGA!C45+BUGESERA!C45+RWAMAGANA!C45+NYARUGENGE!C45+BISHENYI!C45+GAHANGA!C45+KIMIRONKO!C45+GISOZI!C65+GATSIBO!C45+GASHYUSHYA!C45</f>
        <v>387541279.76300001</v>
      </c>
      <c r="D37" s="147"/>
      <c r="E37" s="140"/>
      <c r="F37" s="141"/>
      <c r="G37" s="141"/>
      <c r="H37" s="141"/>
      <c r="I37" s="142"/>
      <c r="J37" s="133"/>
      <c r="K37" s="134"/>
      <c r="L37" s="72"/>
    </row>
    <row r="38" spans="1:12" ht="26.4" thickBot="1">
      <c r="A38" s="143" t="s">
        <v>15</v>
      </c>
      <c r="B38" s="144"/>
      <c r="C38" s="144"/>
      <c r="D38" s="144"/>
      <c r="E38" s="144"/>
      <c r="F38" s="144"/>
      <c r="G38" s="144"/>
      <c r="H38" s="144"/>
      <c r="I38" s="145"/>
      <c r="J38" s="135"/>
      <c r="K38" s="136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3" zoomScale="90" zoomScaleNormal="90" workbookViewId="0">
      <selection activeCell="C60" sqref="C60"/>
    </sheetView>
  </sheetViews>
  <sheetFormatPr defaultColWidth="8.777343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33203125" style="34" customWidth="1"/>
    <col min="5" max="5" width="25.33203125" style="34" customWidth="1"/>
    <col min="6" max="6" width="25.44140625" style="34" customWidth="1"/>
    <col min="7" max="7" width="16.5546875" style="34" customWidth="1"/>
    <col min="8" max="8" width="34.2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6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115</v>
      </c>
      <c r="B3" s="177"/>
      <c r="C3" s="177"/>
      <c r="D3" s="177"/>
      <c r="E3" s="177"/>
      <c r="F3" s="177"/>
      <c r="G3" s="177"/>
      <c r="H3" s="178"/>
      <c r="I3" s="218"/>
    </row>
    <row r="4" spans="1:9" ht="28.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500</v>
      </c>
      <c r="C6" s="181">
        <v>12000</v>
      </c>
      <c r="D6" s="182"/>
      <c r="E6" s="2">
        <f t="shared" ref="E6:E14" si="0">PRODUCT(B6*C6)</f>
        <v>6000000</v>
      </c>
      <c r="F6" s="2">
        <f t="shared" ref="F6:F14" si="1">PRODUCT(E6*18)/118</f>
        <v>915254.23728813557</v>
      </c>
      <c r="G6" s="2">
        <f>PRODUCT(B6*50)</f>
        <v>25000</v>
      </c>
      <c r="H6" s="89">
        <f t="shared" ref="H6:H14" si="2">SUM(F6:G6)</f>
        <v>940254.23728813557</v>
      </c>
      <c r="I6" s="218"/>
    </row>
    <row r="7" spans="1:9">
      <c r="A7" s="30" t="s">
        <v>94</v>
      </c>
      <c r="B7" s="1">
        <v>614</v>
      </c>
      <c r="C7" s="181">
        <v>10620</v>
      </c>
      <c r="D7" s="182"/>
      <c r="E7" s="2">
        <f t="shared" si="0"/>
        <v>6520680</v>
      </c>
      <c r="F7" s="2">
        <f t="shared" si="1"/>
        <v>994680</v>
      </c>
      <c r="G7" s="2">
        <f>PRODUCT(B7*50)</f>
        <v>30700</v>
      </c>
      <c r="H7" s="89">
        <f t="shared" si="2"/>
        <v>1025380</v>
      </c>
      <c r="I7" s="218"/>
    </row>
    <row r="8" spans="1:9">
      <c r="A8" s="31" t="s">
        <v>44</v>
      </c>
      <c r="B8" s="3">
        <v>14938</v>
      </c>
      <c r="C8" s="170">
        <v>8000</v>
      </c>
      <c r="D8" s="171"/>
      <c r="E8" s="4">
        <f t="shared" si="0"/>
        <v>119504000</v>
      </c>
      <c r="F8" s="4">
        <f t="shared" si="1"/>
        <v>18229423.728813559</v>
      </c>
      <c r="G8" s="4">
        <f>PRODUCT(B8*50)</f>
        <v>746900</v>
      </c>
      <c r="H8" s="90">
        <f t="shared" si="2"/>
        <v>18976323.728813559</v>
      </c>
      <c r="I8" s="218"/>
    </row>
    <row r="9" spans="1:9">
      <c r="A9" s="31" t="s">
        <v>46</v>
      </c>
      <c r="B9" s="3">
        <v>5038</v>
      </c>
      <c r="C9" s="170">
        <v>3776</v>
      </c>
      <c r="D9" s="171"/>
      <c r="E9" s="4">
        <f t="shared" si="0"/>
        <v>19023488</v>
      </c>
      <c r="F9" s="4">
        <f t="shared" si="1"/>
        <v>2901888</v>
      </c>
      <c r="G9" s="4">
        <f>PRODUCT(B9*30)</f>
        <v>151140</v>
      </c>
      <c r="H9" s="90">
        <f t="shared" si="2"/>
        <v>3053028</v>
      </c>
      <c r="I9" s="218"/>
    </row>
    <row r="10" spans="1:9">
      <c r="A10" s="31" t="s">
        <v>47</v>
      </c>
      <c r="B10" s="3">
        <v>62831</v>
      </c>
      <c r="C10" s="170">
        <v>2000</v>
      </c>
      <c r="D10" s="171"/>
      <c r="E10" s="4">
        <f t="shared" si="0"/>
        <v>125662000</v>
      </c>
      <c r="F10" s="4">
        <f t="shared" si="1"/>
        <v>19168779.661016949</v>
      </c>
      <c r="G10" s="4">
        <f>PRODUCT(B10*30)</f>
        <v>1884930</v>
      </c>
      <c r="H10" s="90">
        <f t="shared" si="2"/>
        <v>21053709.661016949</v>
      </c>
      <c r="I10" s="218"/>
    </row>
    <row r="11" spans="1:9">
      <c r="A11" s="32" t="s">
        <v>65</v>
      </c>
      <c r="B11" s="3">
        <v>250499</v>
      </c>
      <c r="C11" s="170">
        <v>2124</v>
      </c>
      <c r="D11" s="171"/>
      <c r="E11" s="4">
        <f t="shared" si="0"/>
        <v>532059876</v>
      </c>
      <c r="F11" s="4">
        <f t="shared" si="1"/>
        <v>81161676</v>
      </c>
      <c r="G11" s="4">
        <f>PRODUCT(B11*30)</f>
        <v>7514970</v>
      </c>
      <c r="H11" s="90">
        <f t="shared" si="2"/>
        <v>88676646</v>
      </c>
      <c r="I11" s="218"/>
    </row>
    <row r="12" spans="1:9">
      <c r="A12" s="32" t="s">
        <v>65</v>
      </c>
      <c r="B12" s="3">
        <v>3720</v>
      </c>
      <c r="C12" s="170">
        <v>3000</v>
      </c>
      <c r="D12" s="171"/>
      <c r="E12" s="4">
        <f t="shared" si="0"/>
        <v>11160000</v>
      </c>
      <c r="F12" s="4">
        <f>PRODUCT(E12*18)/118</f>
        <v>1702372.8813559322</v>
      </c>
      <c r="G12" s="4">
        <f>PRODUCT(B12*30)</f>
        <v>111600</v>
      </c>
      <c r="H12" s="90">
        <f t="shared" si="2"/>
        <v>1813972.8813559322</v>
      </c>
      <c r="I12" s="218"/>
    </row>
    <row r="13" spans="1:9">
      <c r="A13" s="32" t="s">
        <v>59</v>
      </c>
      <c r="B13" s="3">
        <v>7300</v>
      </c>
      <c r="C13" s="170">
        <v>1357</v>
      </c>
      <c r="D13" s="171"/>
      <c r="E13" s="4">
        <f t="shared" si="0"/>
        <v>9906100</v>
      </c>
      <c r="F13" s="4">
        <f t="shared" si="1"/>
        <v>1511100</v>
      </c>
      <c r="G13" s="4">
        <f>PRODUCT(B13*20)</f>
        <v>146000</v>
      </c>
      <c r="H13" s="90">
        <f t="shared" si="2"/>
        <v>1657100</v>
      </c>
      <c r="I13" s="218"/>
    </row>
    <row r="14" spans="1:9" ht="15" thickBot="1">
      <c r="A14" s="33" t="s">
        <v>88</v>
      </c>
      <c r="B14" s="3">
        <v>2971</v>
      </c>
      <c r="C14" s="170">
        <v>3000</v>
      </c>
      <c r="D14" s="171"/>
      <c r="E14" s="4">
        <f t="shared" si="0"/>
        <v>8913000</v>
      </c>
      <c r="F14" s="4">
        <f t="shared" si="1"/>
        <v>1359610.1694915255</v>
      </c>
      <c r="G14" s="4">
        <f>PRODUCT(B14*20)</f>
        <v>59420</v>
      </c>
      <c r="H14" s="90">
        <f t="shared" si="2"/>
        <v>1419030.1694915255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112</v>
      </c>
      <c r="B17" s="18">
        <v>720</v>
      </c>
      <c r="C17" s="18">
        <v>2600</v>
      </c>
      <c r="D17" s="18">
        <v>30</v>
      </c>
      <c r="E17" s="11">
        <f>PRODUCT(B17*C17)</f>
        <v>1872000</v>
      </c>
      <c r="F17" s="8">
        <f t="shared" ref="F17" si="3">PRODUCT(E17*18)/118</f>
        <v>285559.32203389832</v>
      </c>
      <c r="G17" s="84">
        <f>PRODUCT(B17*D17)</f>
        <v>21600</v>
      </c>
      <c r="H17" s="92">
        <f>SUM(F17:G17)</f>
        <v>307159.32203389832</v>
      </c>
      <c r="I17" s="218"/>
    </row>
    <row r="18" spans="1:9" ht="15" thickBot="1">
      <c r="A18" s="26" t="s">
        <v>89</v>
      </c>
      <c r="B18" s="18">
        <v>2007</v>
      </c>
      <c r="C18" s="18">
        <v>2000</v>
      </c>
      <c r="D18" s="18">
        <v>25</v>
      </c>
      <c r="E18" s="11">
        <f t="shared" ref="E18:E36" si="4">PRODUCT(B18*C18)</f>
        <v>4014000</v>
      </c>
      <c r="F18" s="8">
        <f t="shared" ref="F18:F36" si="5">PRODUCT(E18*18)/118</f>
        <v>612305.08474576275</v>
      </c>
      <c r="G18" s="84">
        <f t="shared" ref="G18:G36" si="6">PRODUCT(B18*D18)</f>
        <v>50175</v>
      </c>
      <c r="H18" s="92">
        <f t="shared" ref="H18:H36" si="7">SUM(F18:G18)</f>
        <v>662480.08474576275</v>
      </c>
      <c r="I18" s="218"/>
    </row>
    <row r="19" spans="1:9" ht="15" thickBot="1">
      <c r="A19" s="27" t="s">
        <v>45</v>
      </c>
      <c r="B19" s="18">
        <v>1797</v>
      </c>
      <c r="C19" s="18">
        <v>5000</v>
      </c>
      <c r="D19" s="18">
        <v>50</v>
      </c>
      <c r="E19" s="11">
        <f t="shared" si="4"/>
        <v>8985000</v>
      </c>
      <c r="F19" s="8">
        <f t="shared" si="5"/>
        <v>1370593.220338983</v>
      </c>
      <c r="G19" s="84">
        <f t="shared" si="6"/>
        <v>89850</v>
      </c>
      <c r="H19" s="92">
        <f t="shared" si="7"/>
        <v>1460443.220338983</v>
      </c>
      <c r="I19" s="218"/>
    </row>
    <row r="20" spans="1:9" ht="15" thickBot="1">
      <c r="A20" s="27" t="s">
        <v>114</v>
      </c>
      <c r="B20" s="18">
        <v>840</v>
      </c>
      <c r="C20" s="18">
        <v>1500</v>
      </c>
      <c r="D20" s="18">
        <v>20</v>
      </c>
      <c r="E20" s="11">
        <f t="shared" si="4"/>
        <v>1260000</v>
      </c>
      <c r="F20" s="8">
        <f t="shared" si="5"/>
        <v>192203.38983050847</v>
      </c>
      <c r="G20" s="84">
        <f t="shared" si="6"/>
        <v>16800</v>
      </c>
      <c r="H20" s="92">
        <f t="shared" si="7"/>
        <v>209003.38983050847</v>
      </c>
      <c r="I20" s="218"/>
    </row>
    <row r="21" spans="1:9" ht="15" thickBot="1">
      <c r="A21" s="28" t="s">
        <v>90</v>
      </c>
      <c r="B21" s="18">
        <v>40</v>
      </c>
      <c r="C21" s="18">
        <v>8000</v>
      </c>
      <c r="D21" s="18">
        <v>50</v>
      </c>
      <c r="E21" s="11">
        <f t="shared" si="4"/>
        <v>320000</v>
      </c>
      <c r="F21" s="8">
        <f t="shared" si="5"/>
        <v>48813.5593220339</v>
      </c>
      <c r="G21" s="84">
        <f t="shared" si="6"/>
        <v>2000</v>
      </c>
      <c r="H21" s="92">
        <f t="shared" si="7"/>
        <v>50813.5593220339</v>
      </c>
      <c r="I21" s="218"/>
    </row>
    <row r="22" spans="1:9" ht="15" thickBot="1">
      <c r="A22" s="28" t="s">
        <v>88</v>
      </c>
      <c r="B22" s="18"/>
      <c r="C22" s="18"/>
      <c r="D22" s="18"/>
      <c r="E22" s="11">
        <f t="shared" si="4"/>
        <v>0</v>
      </c>
      <c r="F22" s="8">
        <f t="shared" si="5"/>
        <v>0</v>
      </c>
      <c r="G22" s="84">
        <f t="shared" si="6"/>
        <v>0</v>
      </c>
      <c r="H22" s="92">
        <f t="shared" si="7"/>
        <v>0</v>
      </c>
      <c r="I22" s="218"/>
    </row>
    <row r="23" spans="1:9" ht="15" thickBot="1">
      <c r="A23" s="28" t="s">
        <v>92</v>
      </c>
      <c r="B23" s="18"/>
      <c r="C23" s="18"/>
      <c r="D23" s="18"/>
      <c r="E23" s="11">
        <f t="shared" si="4"/>
        <v>0</v>
      </c>
      <c r="F23" s="8">
        <f t="shared" si="5"/>
        <v>0</v>
      </c>
      <c r="G23" s="84">
        <f t="shared" si="6"/>
        <v>0</v>
      </c>
      <c r="H23" s="92">
        <f t="shared" si="7"/>
        <v>0</v>
      </c>
      <c r="I23" s="218"/>
    </row>
    <row r="24" spans="1:9" ht="15" thickBot="1">
      <c r="A24" s="28" t="s">
        <v>45</v>
      </c>
      <c r="B24" s="18">
        <v>1307</v>
      </c>
      <c r="C24" s="18">
        <v>6000</v>
      </c>
      <c r="D24" s="18">
        <v>50</v>
      </c>
      <c r="E24" s="11">
        <f t="shared" si="4"/>
        <v>7842000</v>
      </c>
      <c r="F24" s="8">
        <f t="shared" si="5"/>
        <v>1196237.2881355933</v>
      </c>
      <c r="G24" s="84">
        <f t="shared" si="6"/>
        <v>65350</v>
      </c>
      <c r="H24" s="92">
        <f t="shared" si="7"/>
        <v>1261587.2881355933</v>
      </c>
      <c r="I24" s="218"/>
    </row>
    <row r="25" spans="1:9" ht="15" thickBot="1">
      <c r="A25" s="28" t="s">
        <v>65</v>
      </c>
      <c r="B25" s="18">
        <v>400</v>
      </c>
      <c r="C25" s="18">
        <v>2500</v>
      </c>
      <c r="D25" s="18">
        <v>30</v>
      </c>
      <c r="E25" s="11">
        <f t="shared" si="4"/>
        <v>1000000</v>
      </c>
      <c r="F25" s="8">
        <f t="shared" si="5"/>
        <v>152542.37288135593</v>
      </c>
      <c r="G25" s="84">
        <f t="shared" si="6"/>
        <v>12000</v>
      </c>
      <c r="H25" s="92">
        <f t="shared" si="7"/>
        <v>164542.37288135593</v>
      </c>
      <c r="I25" s="218"/>
    </row>
    <row r="26" spans="1:9" ht="15" thickBot="1">
      <c r="A26" s="28" t="s">
        <v>44</v>
      </c>
      <c r="B26" s="18">
        <v>230</v>
      </c>
      <c r="C26" s="18">
        <v>4000</v>
      </c>
      <c r="D26" s="18">
        <v>50</v>
      </c>
      <c r="E26" s="11">
        <f t="shared" si="4"/>
        <v>920000</v>
      </c>
      <c r="F26" s="8">
        <f t="shared" si="5"/>
        <v>140338.98305084746</v>
      </c>
      <c r="G26" s="84">
        <f t="shared" si="6"/>
        <v>11500</v>
      </c>
      <c r="H26" s="92">
        <f t="shared" si="7"/>
        <v>151838.98305084746</v>
      </c>
      <c r="I26" s="218"/>
    </row>
    <row r="27" spans="1:9" ht="15" thickBot="1">
      <c r="A27" s="28" t="s">
        <v>122</v>
      </c>
      <c r="B27" s="18">
        <v>300</v>
      </c>
      <c r="C27" s="18">
        <v>1770</v>
      </c>
      <c r="D27" s="18">
        <v>20</v>
      </c>
      <c r="E27" s="11">
        <f t="shared" si="4"/>
        <v>531000</v>
      </c>
      <c r="F27" s="8">
        <f t="shared" si="5"/>
        <v>81000</v>
      </c>
      <c r="G27" s="84">
        <f t="shared" si="6"/>
        <v>6000</v>
      </c>
      <c r="H27" s="92">
        <f t="shared" si="7"/>
        <v>87000</v>
      </c>
      <c r="I27" s="218"/>
    </row>
    <row r="28" spans="1:9" ht="15" thickBot="1">
      <c r="A28" s="29" t="s">
        <v>65</v>
      </c>
      <c r="B28" s="18">
        <v>450</v>
      </c>
      <c r="C28" s="18">
        <v>2596</v>
      </c>
      <c r="D28" s="18">
        <v>30</v>
      </c>
      <c r="E28" s="11">
        <f t="shared" si="4"/>
        <v>1168200</v>
      </c>
      <c r="F28" s="8">
        <f t="shared" si="5"/>
        <v>178200</v>
      </c>
      <c r="G28" s="84">
        <f t="shared" si="6"/>
        <v>13500</v>
      </c>
      <c r="H28" s="92">
        <f t="shared" si="7"/>
        <v>191700</v>
      </c>
      <c r="I28" s="218"/>
    </row>
    <row r="29" spans="1:9" ht="15" thickBot="1">
      <c r="A29" s="28" t="s">
        <v>65</v>
      </c>
      <c r="B29" s="18">
        <v>616</v>
      </c>
      <c r="C29" s="18">
        <v>3500</v>
      </c>
      <c r="D29" s="18">
        <v>30</v>
      </c>
      <c r="E29" s="11">
        <f t="shared" si="4"/>
        <v>2156000</v>
      </c>
      <c r="F29" s="8">
        <f t="shared" si="5"/>
        <v>328881.35593220341</v>
      </c>
      <c r="G29" s="84">
        <f t="shared" si="6"/>
        <v>18480</v>
      </c>
      <c r="H29" s="92">
        <f t="shared" si="7"/>
        <v>347361.35593220341</v>
      </c>
      <c r="I29" s="218"/>
    </row>
    <row r="30" spans="1:9" ht="15" thickBot="1">
      <c r="A30" s="28" t="s">
        <v>93</v>
      </c>
      <c r="B30" s="18"/>
      <c r="C30" s="18"/>
      <c r="D30" s="18"/>
      <c r="E30" s="11">
        <f t="shared" si="4"/>
        <v>0</v>
      </c>
      <c r="F30" s="8">
        <f t="shared" si="5"/>
        <v>0</v>
      </c>
      <c r="G30" s="84">
        <f t="shared" si="6"/>
        <v>0</v>
      </c>
      <c r="H30" s="92">
        <f t="shared" si="7"/>
        <v>0</v>
      </c>
      <c r="I30" s="218"/>
    </row>
    <row r="31" spans="1:9" ht="15" thickBot="1">
      <c r="A31" s="28" t="s">
        <v>91</v>
      </c>
      <c r="B31" s="18">
        <v>42</v>
      </c>
      <c r="C31" s="18">
        <v>10000</v>
      </c>
      <c r="D31" s="18"/>
      <c r="E31" s="11">
        <f t="shared" si="4"/>
        <v>420000</v>
      </c>
      <c r="F31" s="8">
        <f t="shared" si="5"/>
        <v>64067.796610169491</v>
      </c>
      <c r="G31" s="84">
        <f t="shared" si="6"/>
        <v>0</v>
      </c>
      <c r="H31" s="92">
        <f t="shared" si="7"/>
        <v>64067.796610169491</v>
      </c>
      <c r="I31" s="218"/>
    </row>
    <row r="32" spans="1:9" ht="15" thickBot="1">
      <c r="A32" s="28" t="s">
        <v>91</v>
      </c>
      <c r="B32" s="18">
        <v>6</v>
      </c>
      <c r="C32" s="18"/>
      <c r="D32" s="18">
        <v>5000</v>
      </c>
      <c r="E32" s="11">
        <f t="shared" si="4"/>
        <v>0</v>
      </c>
      <c r="F32" s="8">
        <f t="shared" si="5"/>
        <v>0</v>
      </c>
      <c r="G32" s="84">
        <f t="shared" si="6"/>
        <v>30000</v>
      </c>
      <c r="H32" s="92">
        <f t="shared" si="7"/>
        <v>30000</v>
      </c>
      <c r="I32" s="218"/>
    </row>
    <row r="33" spans="1:9" ht="15" thickBot="1">
      <c r="A33" s="28" t="s">
        <v>88</v>
      </c>
      <c r="B33" s="18"/>
      <c r="C33" s="18"/>
      <c r="D33" s="18"/>
      <c r="E33" s="11">
        <f t="shared" si="4"/>
        <v>0</v>
      </c>
      <c r="F33" s="8">
        <f t="shared" si="5"/>
        <v>0</v>
      </c>
      <c r="G33" s="84">
        <f t="shared" si="6"/>
        <v>0</v>
      </c>
      <c r="H33" s="92">
        <f t="shared" si="7"/>
        <v>0</v>
      </c>
      <c r="I33" s="218"/>
    </row>
    <row r="34" spans="1:9" ht="15" thickBot="1">
      <c r="A34" s="28" t="s">
        <v>88</v>
      </c>
      <c r="B34" s="18"/>
      <c r="C34" s="18"/>
      <c r="D34" s="18"/>
      <c r="E34" s="11">
        <f t="shared" si="4"/>
        <v>0</v>
      </c>
      <c r="F34" s="8">
        <f t="shared" si="5"/>
        <v>0</v>
      </c>
      <c r="G34" s="84">
        <f t="shared" si="6"/>
        <v>0</v>
      </c>
      <c r="H34" s="92">
        <f t="shared" si="7"/>
        <v>0</v>
      </c>
      <c r="I34" s="218"/>
    </row>
    <row r="35" spans="1:9" ht="15" thickBot="1">
      <c r="A35" s="28" t="s">
        <v>52</v>
      </c>
      <c r="B35" s="18"/>
      <c r="C35" s="18"/>
      <c r="D35" s="18"/>
      <c r="E35" s="11">
        <f t="shared" si="4"/>
        <v>0</v>
      </c>
      <c r="F35" s="8">
        <f t="shared" si="5"/>
        <v>0</v>
      </c>
      <c r="G35" s="84">
        <f t="shared" si="6"/>
        <v>0</v>
      </c>
      <c r="H35" s="92">
        <f t="shared" si="7"/>
        <v>0</v>
      </c>
      <c r="I35" s="218"/>
    </row>
    <row r="36" spans="1:9" ht="15.45" customHeight="1" thickBot="1">
      <c r="A36" s="117" t="s">
        <v>45</v>
      </c>
      <c r="B36" s="104">
        <v>1087</v>
      </c>
      <c r="C36" s="105">
        <v>4720</v>
      </c>
      <c r="D36" s="105">
        <v>50</v>
      </c>
      <c r="E36" s="11">
        <f t="shared" si="4"/>
        <v>5130640</v>
      </c>
      <c r="F36" s="8">
        <f t="shared" si="5"/>
        <v>782640</v>
      </c>
      <c r="G36" s="84">
        <f t="shared" si="6"/>
        <v>54350</v>
      </c>
      <c r="H36" s="92">
        <f t="shared" si="7"/>
        <v>836990</v>
      </c>
      <c r="I36" s="218"/>
    </row>
    <row r="37" spans="1:9" ht="15" thickBot="1">
      <c r="A37" s="118" t="s">
        <v>88</v>
      </c>
      <c r="B37" s="106"/>
      <c r="C37" s="107"/>
      <c r="D37" s="107"/>
      <c r="E37" s="11">
        <f>PRODUCT(B37*C37)</f>
        <v>0</v>
      </c>
      <c r="F37" s="8">
        <f t="shared" ref="F37:F56" si="8">PRODUCT(E37*18)/118</f>
        <v>0</v>
      </c>
      <c r="G37" s="84">
        <f>PRODUCT(B37*D37)</f>
        <v>0</v>
      </c>
      <c r="H37" s="92">
        <f>SUM(F37:G37)</f>
        <v>0</v>
      </c>
      <c r="I37" s="218"/>
    </row>
    <row r="38" spans="1:9" ht="15" thickBot="1">
      <c r="A38" s="32" t="s">
        <v>65</v>
      </c>
      <c r="B38" s="108"/>
      <c r="C38" s="109"/>
      <c r="D38" s="109"/>
      <c r="E38" s="12">
        <f t="shared" ref="E38:E42" si="9">PRODUCT(B38*C38)</f>
        <v>0</v>
      </c>
      <c r="F38" s="9">
        <f t="shared" si="8"/>
        <v>0</v>
      </c>
      <c r="G38" s="7">
        <f t="shared" ref="G38:G42" si="10">PRODUCT(B38*D38)</f>
        <v>0</v>
      </c>
      <c r="H38" s="93">
        <f t="shared" ref="H38:H42" si="11">SUM(F38:G38)</f>
        <v>0</v>
      </c>
      <c r="I38" s="218"/>
    </row>
    <row r="39" spans="1:9" ht="15" thickBot="1">
      <c r="A39" s="119" t="s">
        <v>89</v>
      </c>
      <c r="B39" s="110"/>
      <c r="C39" s="111"/>
      <c r="D39" s="111"/>
      <c r="E39" s="12">
        <f t="shared" si="9"/>
        <v>0</v>
      </c>
      <c r="F39" s="9">
        <f t="shared" si="8"/>
        <v>0</v>
      </c>
      <c r="G39" s="7">
        <f t="shared" si="10"/>
        <v>0</v>
      </c>
      <c r="H39" s="93">
        <f t="shared" si="11"/>
        <v>0</v>
      </c>
      <c r="I39" s="218"/>
    </row>
    <row r="40" spans="1:9" ht="15" thickBot="1">
      <c r="A40" s="117" t="s">
        <v>94</v>
      </c>
      <c r="B40" s="104"/>
      <c r="C40" s="105"/>
      <c r="D40" s="105"/>
      <c r="E40" s="12">
        <f t="shared" si="9"/>
        <v>0</v>
      </c>
      <c r="F40" s="9">
        <f t="shared" si="8"/>
        <v>0</v>
      </c>
      <c r="G40" s="85">
        <f t="shared" si="10"/>
        <v>0</v>
      </c>
      <c r="H40" s="94">
        <f t="shared" si="11"/>
        <v>0</v>
      </c>
      <c r="I40" s="218"/>
    </row>
    <row r="41" spans="1:9" ht="15" thickBot="1">
      <c r="A41" s="32" t="s">
        <v>95</v>
      </c>
      <c r="B41" s="108"/>
      <c r="C41" s="109"/>
      <c r="D41" s="109"/>
      <c r="E41" s="12">
        <f t="shared" si="9"/>
        <v>0</v>
      </c>
      <c r="F41" s="9">
        <f t="shared" si="8"/>
        <v>0</v>
      </c>
      <c r="G41" s="7">
        <f t="shared" si="10"/>
        <v>0</v>
      </c>
      <c r="H41" s="93">
        <f t="shared" si="11"/>
        <v>0</v>
      </c>
      <c r="I41" s="218"/>
    </row>
    <row r="42" spans="1:9" ht="15" thickBot="1">
      <c r="A42" s="32" t="s">
        <v>93</v>
      </c>
      <c r="B42" s="108"/>
      <c r="C42" s="109"/>
      <c r="D42" s="109"/>
      <c r="E42" s="12">
        <f t="shared" si="9"/>
        <v>0</v>
      </c>
      <c r="F42" s="9">
        <f t="shared" si="8"/>
        <v>0</v>
      </c>
      <c r="G42" s="85">
        <f t="shared" si="10"/>
        <v>0</v>
      </c>
      <c r="H42" s="94">
        <f t="shared" si="11"/>
        <v>0</v>
      </c>
      <c r="I42" s="218"/>
    </row>
    <row r="43" spans="1:9" ht="15" thickBot="1">
      <c r="A43" s="119" t="s">
        <v>91</v>
      </c>
      <c r="B43" s="110"/>
      <c r="C43" s="111"/>
      <c r="D43" s="111"/>
      <c r="E43" s="12">
        <f>PRODUCT(B43*C43)</f>
        <v>0</v>
      </c>
      <c r="F43" s="9">
        <f t="shared" si="8"/>
        <v>0</v>
      </c>
      <c r="G43" s="7">
        <f>PRODUCT(B43*D43)</f>
        <v>0</v>
      </c>
      <c r="H43" s="93">
        <f>SUM(F43:G43)</f>
        <v>0</v>
      </c>
      <c r="I43" s="218"/>
    </row>
    <row r="44" spans="1:9" ht="15" thickBot="1">
      <c r="A44" s="117" t="s">
        <v>91</v>
      </c>
      <c r="B44" s="104"/>
      <c r="C44" s="105"/>
      <c r="D44" s="105"/>
      <c r="E44" s="12">
        <f t="shared" ref="E44:E56" si="12">PRODUCT(B44*C44)</f>
        <v>0</v>
      </c>
      <c r="F44" s="9">
        <f t="shared" si="8"/>
        <v>0</v>
      </c>
      <c r="G44" s="85">
        <f t="shared" ref="G44:G56" si="13">PRODUCT(B44*D44)</f>
        <v>0</v>
      </c>
      <c r="H44" s="94">
        <f t="shared" ref="H44:H56" si="14">SUM(F44:G44)</f>
        <v>0</v>
      </c>
      <c r="I44" s="218"/>
    </row>
    <row r="45" spans="1:9" ht="15" thickBot="1">
      <c r="A45" s="118" t="s">
        <v>88</v>
      </c>
      <c r="B45" s="106"/>
      <c r="C45" s="107"/>
      <c r="D45" s="107"/>
      <c r="E45" s="12">
        <f t="shared" si="12"/>
        <v>0</v>
      </c>
      <c r="F45" s="9">
        <f t="shared" si="8"/>
        <v>0</v>
      </c>
      <c r="G45" s="7">
        <f t="shared" si="13"/>
        <v>0</v>
      </c>
      <c r="H45" s="93">
        <f t="shared" si="14"/>
        <v>0</v>
      </c>
      <c r="I45" s="218"/>
    </row>
    <row r="46" spans="1:9" ht="15" thickBot="1">
      <c r="A46" s="32" t="s">
        <v>98</v>
      </c>
      <c r="B46" s="108"/>
      <c r="C46" s="109"/>
      <c r="D46" s="109"/>
      <c r="E46" s="12">
        <f t="shared" si="12"/>
        <v>0</v>
      </c>
      <c r="F46" s="9">
        <f t="shared" si="8"/>
        <v>0</v>
      </c>
      <c r="G46" s="84">
        <f t="shared" si="13"/>
        <v>0</v>
      </c>
      <c r="H46" s="92">
        <f t="shared" si="14"/>
        <v>0</v>
      </c>
      <c r="I46" s="218"/>
    </row>
    <row r="47" spans="1:9" ht="15" thickBot="1">
      <c r="A47" s="32" t="s">
        <v>65</v>
      </c>
      <c r="B47" s="108"/>
      <c r="C47" s="109"/>
      <c r="D47" s="109"/>
      <c r="E47" s="12">
        <f t="shared" si="12"/>
        <v>0</v>
      </c>
      <c r="F47" s="9">
        <f t="shared" si="8"/>
        <v>0</v>
      </c>
      <c r="G47" s="7">
        <f t="shared" si="13"/>
        <v>0</v>
      </c>
      <c r="H47" s="93">
        <f t="shared" si="14"/>
        <v>0</v>
      </c>
      <c r="I47" s="218"/>
    </row>
    <row r="48" spans="1:9" ht="15" thickBot="1">
      <c r="A48" s="32" t="s">
        <v>95</v>
      </c>
      <c r="B48" s="108"/>
      <c r="C48" s="109"/>
      <c r="D48" s="109"/>
      <c r="E48" s="17">
        <f t="shared" si="12"/>
        <v>0</v>
      </c>
      <c r="F48" s="13">
        <f t="shared" si="8"/>
        <v>0</v>
      </c>
      <c r="G48" s="86">
        <f t="shared" si="13"/>
        <v>0</v>
      </c>
      <c r="H48" s="95">
        <f t="shared" si="14"/>
        <v>0</v>
      </c>
      <c r="I48" s="218"/>
    </row>
    <row r="49" spans="1:9" ht="15" thickBot="1">
      <c r="A49" s="48" t="s">
        <v>43</v>
      </c>
      <c r="B49" s="112"/>
      <c r="C49" s="113"/>
      <c r="D49" s="114"/>
      <c r="E49" s="17">
        <f t="shared" si="12"/>
        <v>0</v>
      </c>
      <c r="F49" s="13">
        <f t="shared" si="8"/>
        <v>0</v>
      </c>
      <c r="G49" s="10">
        <f t="shared" si="13"/>
        <v>0</v>
      </c>
      <c r="H49" s="96">
        <f t="shared" si="14"/>
        <v>0</v>
      </c>
      <c r="I49" s="218"/>
    </row>
    <row r="50" spans="1:9" ht="15" thickBot="1">
      <c r="A50" s="48" t="s">
        <v>94</v>
      </c>
      <c r="B50" s="112"/>
      <c r="C50" s="113"/>
      <c r="D50" s="114"/>
      <c r="E50" s="17">
        <f t="shared" si="12"/>
        <v>0</v>
      </c>
      <c r="F50" s="13">
        <f t="shared" si="8"/>
        <v>0</v>
      </c>
      <c r="G50" s="10">
        <f t="shared" si="13"/>
        <v>0</v>
      </c>
      <c r="H50" s="96">
        <f t="shared" si="14"/>
        <v>0</v>
      </c>
      <c r="I50" s="218"/>
    </row>
    <row r="51" spans="1:9" ht="15" thickBot="1">
      <c r="A51" s="32" t="s">
        <v>44</v>
      </c>
      <c r="B51" s="108"/>
      <c r="C51" s="113"/>
      <c r="D51" s="114"/>
      <c r="E51" s="17">
        <f t="shared" si="12"/>
        <v>0</v>
      </c>
      <c r="F51" s="13">
        <f t="shared" si="8"/>
        <v>0</v>
      </c>
      <c r="G51" s="10">
        <f t="shared" si="13"/>
        <v>0</v>
      </c>
      <c r="H51" s="96">
        <f t="shared" si="14"/>
        <v>0</v>
      </c>
      <c r="I51" s="218"/>
    </row>
    <row r="52" spans="1:9" ht="15" thickBot="1">
      <c r="A52" s="32" t="s">
        <v>96</v>
      </c>
      <c r="B52" s="108"/>
      <c r="C52" s="113"/>
      <c r="D52" s="114"/>
      <c r="E52" s="17">
        <f t="shared" si="12"/>
        <v>0</v>
      </c>
      <c r="F52" s="13">
        <f t="shared" si="8"/>
        <v>0</v>
      </c>
      <c r="G52" s="10">
        <f t="shared" si="13"/>
        <v>0</v>
      </c>
      <c r="H52" s="96">
        <f t="shared" si="14"/>
        <v>0</v>
      </c>
      <c r="I52" s="218"/>
    </row>
    <row r="53" spans="1:9" ht="15" thickBot="1">
      <c r="A53" s="32" t="s">
        <v>97</v>
      </c>
      <c r="B53" s="108"/>
      <c r="C53" s="113"/>
      <c r="D53" s="114"/>
      <c r="E53" s="17">
        <f t="shared" si="12"/>
        <v>0</v>
      </c>
      <c r="F53" s="13">
        <f t="shared" si="8"/>
        <v>0</v>
      </c>
      <c r="G53" s="10">
        <f t="shared" si="13"/>
        <v>0</v>
      </c>
      <c r="H53" s="96">
        <f t="shared" si="14"/>
        <v>0</v>
      </c>
      <c r="I53" s="218"/>
    </row>
    <row r="54" spans="1:9" ht="15" thickBot="1">
      <c r="A54" s="32" t="s">
        <v>59</v>
      </c>
      <c r="B54" s="108"/>
      <c r="C54" s="113"/>
      <c r="D54" s="114"/>
      <c r="E54" s="17">
        <f t="shared" si="12"/>
        <v>0</v>
      </c>
      <c r="F54" s="13">
        <f t="shared" si="8"/>
        <v>0</v>
      </c>
      <c r="G54" s="10">
        <f t="shared" si="13"/>
        <v>0</v>
      </c>
      <c r="H54" s="96">
        <f t="shared" si="14"/>
        <v>0</v>
      </c>
      <c r="I54" s="218"/>
    </row>
    <row r="55" spans="1:9" ht="15" thickBot="1">
      <c r="A55" s="32" t="s">
        <v>65</v>
      </c>
      <c r="B55" s="108"/>
      <c r="C55" s="113"/>
      <c r="D55" s="114"/>
      <c r="E55" s="17">
        <f t="shared" si="12"/>
        <v>0</v>
      </c>
      <c r="F55" s="13">
        <f t="shared" si="8"/>
        <v>0</v>
      </c>
      <c r="G55" s="10">
        <f t="shared" si="13"/>
        <v>0</v>
      </c>
      <c r="H55" s="96">
        <f t="shared" si="14"/>
        <v>0</v>
      </c>
      <c r="I55" s="218"/>
    </row>
    <row r="56" spans="1:9" ht="15" thickBot="1">
      <c r="A56" s="33" t="s">
        <v>65</v>
      </c>
      <c r="B56" s="108"/>
      <c r="C56" s="115"/>
      <c r="D56" s="116"/>
      <c r="E56" s="17">
        <f t="shared" si="12"/>
        <v>0</v>
      </c>
      <c r="F56" s="13">
        <f t="shared" si="8"/>
        <v>0</v>
      </c>
      <c r="G56" s="10">
        <f t="shared" si="13"/>
        <v>0</v>
      </c>
      <c r="H56" s="96">
        <f t="shared" si="14"/>
        <v>0</v>
      </c>
      <c r="I56" s="218"/>
    </row>
    <row r="57" spans="1:9" ht="15" thickBot="1">
      <c r="A57" s="14" t="s">
        <v>53</v>
      </c>
      <c r="B57" s="15"/>
      <c r="C57" s="15"/>
      <c r="D57" s="15"/>
      <c r="E57" s="16">
        <f>SUM(E5:E56)</f>
        <v>874367984</v>
      </c>
      <c r="F57" s="16">
        <f>SUM(F5:F56)</f>
        <v>133378167.05084747</v>
      </c>
      <c r="G57" s="16">
        <f t="shared" ref="G57" si="15">SUM(G5:G56)</f>
        <v>11062265</v>
      </c>
      <c r="H57" s="16">
        <f>SUM(F57:G57)</f>
        <v>144440432.05084747</v>
      </c>
      <c r="I57" s="218"/>
    </row>
    <row r="58" spans="1:9" s="79" customFormat="1" ht="14.55" customHeight="1" thickBot="1">
      <c r="A58" s="190" t="s">
        <v>77</v>
      </c>
      <c r="B58" s="191"/>
      <c r="C58" s="54" t="s">
        <v>71</v>
      </c>
      <c r="D58" s="45"/>
      <c r="E58" s="188" t="s">
        <v>69</v>
      </c>
      <c r="F58" s="189"/>
      <c r="G58" s="53" t="s">
        <v>70</v>
      </c>
      <c r="H58" s="97" t="s">
        <v>71</v>
      </c>
      <c r="I58" s="218"/>
    </row>
    <row r="59" spans="1:9" ht="15" customHeight="1" thickBot="1">
      <c r="A59" s="195" t="s">
        <v>67</v>
      </c>
      <c r="B59" s="196"/>
      <c r="C59" s="46">
        <v>144418433</v>
      </c>
      <c r="D59" s="49"/>
      <c r="E59" s="187"/>
      <c r="F59" s="187"/>
      <c r="G59" s="52"/>
      <c r="H59" s="98"/>
      <c r="I59" s="218"/>
    </row>
    <row r="60" spans="1:9" ht="15" thickBot="1">
      <c r="A60" s="192" t="s">
        <v>68</v>
      </c>
      <c r="B60" s="193"/>
      <c r="C60" s="42"/>
      <c r="D60" s="50"/>
      <c r="E60" s="194"/>
      <c r="F60" s="194"/>
      <c r="G60" s="51"/>
      <c r="H60" s="99"/>
      <c r="I60" s="218"/>
    </row>
    <row r="61" spans="1:9" ht="15" thickBot="1">
      <c r="A61" s="192" t="s">
        <v>72</v>
      </c>
      <c r="B61" s="193"/>
      <c r="C61" s="43"/>
      <c r="D61" s="49"/>
      <c r="E61" s="184"/>
      <c r="F61" s="184"/>
      <c r="G61" s="51"/>
      <c r="H61" s="99"/>
      <c r="I61" s="218"/>
    </row>
    <row r="62" spans="1:9" ht="15" thickBot="1">
      <c r="A62" s="197" t="s">
        <v>73</v>
      </c>
      <c r="B62" s="198"/>
      <c r="C62" s="44"/>
      <c r="D62" s="47"/>
      <c r="E62" s="183"/>
      <c r="F62" s="184"/>
      <c r="G62" s="3"/>
      <c r="H62" s="99"/>
      <c r="I62" s="218"/>
    </row>
    <row r="63" spans="1:9" ht="15" thickBot="1">
      <c r="A63" s="199" t="s">
        <v>74</v>
      </c>
      <c r="B63" s="200"/>
      <c r="C63" s="80"/>
      <c r="D63" s="47"/>
      <c r="E63" s="183"/>
      <c r="F63" s="184"/>
      <c r="G63" s="3"/>
      <c r="H63" s="99"/>
      <c r="I63" s="218"/>
    </row>
    <row r="64" spans="1:9" ht="15" thickBot="1">
      <c r="A64" s="199" t="s">
        <v>75</v>
      </c>
      <c r="B64" s="200"/>
      <c r="C64" s="80"/>
      <c r="D64" s="48"/>
      <c r="E64" s="183"/>
      <c r="F64" s="184"/>
      <c r="G64" s="3"/>
      <c r="H64" s="99"/>
      <c r="I64" s="218"/>
    </row>
    <row r="65" spans="1:9" ht="15" thickBot="1">
      <c r="A65" s="199" t="s">
        <v>76</v>
      </c>
      <c r="B65" s="200"/>
      <c r="C65" s="81">
        <f>SUM(C59+C60+C61+C62+C63+C64)</f>
        <v>144418433</v>
      </c>
      <c r="D65" s="82"/>
      <c r="E65" s="205"/>
      <c r="F65" s="206"/>
      <c r="G65" s="83"/>
      <c r="H65" s="100"/>
      <c r="I65" s="218"/>
    </row>
    <row r="66" spans="1:9" ht="19.5" customHeight="1">
      <c r="A66" s="207" t="s">
        <v>56</v>
      </c>
      <c r="B66" s="208"/>
      <c r="C66" s="208"/>
      <c r="D66" s="208"/>
      <c r="E66" s="208"/>
      <c r="F66" s="208"/>
      <c r="G66" s="208"/>
      <c r="H66" s="208"/>
      <c r="I66" s="218"/>
    </row>
    <row r="67" spans="1:9" ht="20.55" customHeight="1" thickBot="1">
      <c r="A67" s="209"/>
      <c r="B67" s="210"/>
      <c r="C67" s="210"/>
      <c r="D67" s="210"/>
      <c r="E67" s="210"/>
      <c r="F67" s="210"/>
      <c r="G67" s="210"/>
      <c r="H67" s="210"/>
      <c r="I67" s="218"/>
    </row>
    <row r="68" spans="1:9" ht="22.95" customHeight="1" thickBot="1">
      <c r="A68" s="224" t="s">
        <v>9</v>
      </c>
      <c r="B68" s="225"/>
      <c r="C68" s="215" t="s">
        <v>57</v>
      </c>
      <c r="D68" s="216"/>
      <c r="E68" s="213" t="s">
        <v>58</v>
      </c>
      <c r="F68" s="214"/>
      <c r="G68" s="214"/>
      <c r="H68" s="214"/>
      <c r="I68" s="218"/>
    </row>
    <row r="69" spans="1:9" ht="22.05" customHeight="1" thickBot="1">
      <c r="A69" s="226"/>
      <c r="B69" s="227"/>
      <c r="C69" s="201" t="s">
        <v>60</v>
      </c>
      <c r="D69" s="202"/>
      <c r="E69" s="211">
        <f>SUM(B9:B12)</f>
        <v>322088</v>
      </c>
      <c r="F69" s="212"/>
      <c r="G69" s="212"/>
      <c r="H69" s="212"/>
      <c r="I69" s="218"/>
    </row>
    <row r="70" spans="1:9" ht="22.5" customHeight="1" thickBot="1">
      <c r="A70" s="228"/>
      <c r="B70" s="229"/>
      <c r="C70" s="201" t="s">
        <v>45</v>
      </c>
      <c r="D70" s="202"/>
      <c r="E70" s="211">
        <f>SUM(B6:B8)</f>
        <v>16052</v>
      </c>
      <c r="F70" s="212"/>
      <c r="G70" s="212"/>
      <c r="H70" s="212"/>
      <c r="I70" s="218"/>
    </row>
    <row r="71" spans="1:9" ht="24.45" customHeight="1" thickBot="1">
      <c r="A71" s="228"/>
      <c r="B71" s="229"/>
      <c r="C71" s="201" t="s">
        <v>61</v>
      </c>
      <c r="D71" s="202"/>
      <c r="E71" s="211">
        <f>SUM(B13:B14)</f>
        <v>10271</v>
      </c>
      <c r="F71" s="212"/>
      <c r="G71" s="212"/>
      <c r="H71" s="212"/>
      <c r="I71" s="218"/>
    </row>
    <row r="72" spans="1:9" ht="22.05" customHeight="1" thickBot="1">
      <c r="A72" s="228"/>
      <c r="B72" s="229"/>
      <c r="C72" s="203" t="s">
        <v>62</v>
      </c>
      <c r="D72" s="204"/>
      <c r="E72" s="164">
        <f>SUM(B37:B38)</f>
        <v>0</v>
      </c>
      <c r="F72" s="165"/>
      <c r="G72" s="165"/>
      <c r="H72" s="165"/>
      <c r="I72" s="218"/>
    </row>
    <row r="73" spans="1:9" ht="22.05" customHeight="1" thickBot="1">
      <c r="A73" s="228"/>
      <c r="B73" s="229"/>
      <c r="C73" s="203" t="s">
        <v>63</v>
      </c>
      <c r="D73" s="204"/>
      <c r="E73" s="164">
        <f>SUM(B39:B40)</f>
        <v>0</v>
      </c>
      <c r="F73" s="165"/>
      <c r="G73" s="165"/>
      <c r="H73" s="165"/>
      <c r="I73" s="218"/>
    </row>
    <row r="74" spans="1:9" ht="22.05" customHeight="1" thickBot="1">
      <c r="A74" s="228"/>
      <c r="B74" s="229"/>
      <c r="C74" s="203" t="s">
        <v>55</v>
      </c>
      <c r="D74" s="204"/>
      <c r="E74" s="164">
        <f>SUM(B17:B49)</f>
        <v>9842</v>
      </c>
      <c r="F74" s="165"/>
      <c r="G74" s="165"/>
      <c r="H74" s="165"/>
      <c r="I74" s="218"/>
    </row>
    <row r="75" spans="1:9" ht="22.05" customHeight="1" thickBot="1">
      <c r="A75" s="228"/>
      <c r="B75" s="229"/>
      <c r="C75" s="203" t="s">
        <v>55</v>
      </c>
      <c r="D75" s="204"/>
      <c r="E75" s="164">
        <f t="shared" ref="E75:E81" si="16">B50</f>
        <v>0</v>
      </c>
      <c r="F75" s="165"/>
      <c r="G75" s="165"/>
      <c r="H75" s="165"/>
      <c r="I75" s="218"/>
    </row>
    <row r="76" spans="1:9" ht="18.600000000000001" thickBot="1">
      <c r="A76" s="228"/>
      <c r="B76" s="229"/>
      <c r="C76" s="203" t="s">
        <v>55</v>
      </c>
      <c r="D76" s="204"/>
      <c r="E76" s="164">
        <f t="shared" si="16"/>
        <v>0</v>
      </c>
      <c r="F76" s="165"/>
      <c r="G76" s="165"/>
      <c r="H76" s="165"/>
      <c r="I76" s="218"/>
    </row>
    <row r="77" spans="1:9" ht="18.600000000000001" thickBot="1">
      <c r="A77" s="228"/>
      <c r="B77" s="229"/>
      <c r="C77" s="203" t="s">
        <v>55</v>
      </c>
      <c r="D77" s="204"/>
      <c r="E77" s="164">
        <f t="shared" si="16"/>
        <v>0</v>
      </c>
      <c r="F77" s="165"/>
      <c r="G77" s="165"/>
      <c r="H77" s="165"/>
      <c r="I77" s="218"/>
    </row>
    <row r="78" spans="1:9" ht="18.600000000000001" thickBot="1">
      <c r="A78" s="228"/>
      <c r="B78" s="229"/>
      <c r="C78" s="203" t="s">
        <v>55</v>
      </c>
      <c r="D78" s="204"/>
      <c r="E78" s="164">
        <f t="shared" si="16"/>
        <v>0</v>
      </c>
      <c r="F78" s="165"/>
      <c r="G78" s="165"/>
      <c r="H78" s="165"/>
      <c r="I78" s="218"/>
    </row>
    <row r="79" spans="1:9" ht="18.600000000000001" thickBot="1">
      <c r="A79" s="228"/>
      <c r="B79" s="229"/>
      <c r="C79" s="203" t="s">
        <v>55</v>
      </c>
      <c r="D79" s="204"/>
      <c r="E79" s="164">
        <f t="shared" si="16"/>
        <v>0</v>
      </c>
      <c r="F79" s="165"/>
      <c r="G79" s="165"/>
      <c r="H79" s="165"/>
      <c r="I79" s="218"/>
    </row>
    <row r="80" spans="1:9" ht="18.600000000000001" thickBot="1">
      <c r="A80" s="228"/>
      <c r="B80" s="229"/>
      <c r="C80" s="203" t="s">
        <v>55</v>
      </c>
      <c r="D80" s="204"/>
      <c r="E80" s="164">
        <f t="shared" si="16"/>
        <v>0</v>
      </c>
      <c r="F80" s="165"/>
      <c r="G80" s="165"/>
      <c r="H80" s="165"/>
      <c r="I80" s="218"/>
    </row>
    <row r="81" spans="1:9" ht="18.600000000000001" thickBot="1">
      <c r="A81" s="228"/>
      <c r="B81" s="229"/>
      <c r="C81" s="203" t="s">
        <v>55</v>
      </c>
      <c r="D81" s="204"/>
      <c r="E81" s="164">
        <f t="shared" si="16"/>
        <v>0</v>
      </c>
      <c r="F81" s="165"/>
      <c r="G81" s="165"/>
      <c r="H81" s="165"/>
      <c r="I81" s="218"/>
    </row>
    <row r="82" spans="1:9" ht="32.4" thickBot="1">
      <c r="A82" s="228"/>
      <c r="B82" s="229"/>
      <c r="C82" s="203" t="s">
        <v>64</v>
      </c>
      <c r="D82" s="204"/>
      <c r="E82" s="168">
        <f>SUM(E69:H81)</f>
        <v>358253</v>
      </c>
      <c r="F82" s="169"/>
      <c r="G82" s="169"/>
      <c r="H82" s="169"/>
      <c r="I82" s="218"/>
    </row>
    <row r="83" spans="1:9" ht="18.600000000000001" thickBot="1">
      <c r="A83" s="230"/>
      <c r="B83" s="231"/>
      <c r="C83" s="220"/>
      <c r="D83" s="221"/>
      <c r="E83" s="166"/>
      <c r="F83" s="167"/>
      <c r="G83" s="167"/>
      <c r="H83" s="167"/>
      <c r="I83" s="218"/>
    </row>
    <row r="84" spans="1:9" ht="15" thickBot="1">
      <c r="A84" s="222"/>
      <c r="B84" s="223"/>
      <c r="C84" s="223"/>
      <c r="D84" s="223"/>
      <c r="E84" s="223"/>
      <c r="F84" s="223"/>
      <c r="G84" s="223"/>
      <c r="H84" s="223"/>
      <c r="I84" s="219"/>
    </row>
  </sheetData>
  <mergeCells count="66">
    <mergeCell ref="I1:I84"/>
    <mergeCell ref="C76:D76"/>
    <mergeCell ref="C77:D77"/>
    <mergeCell ref="C78:D78"/>
    <mergeCell ref="C79:D79"/>
    <mergeCell ref="C80:D80"/>
    <mergeCell ref="C81:D81"/>
    <mergeCell ref="C82:D82"/>
    <mergeCell ref="C83:D83"/>
    <mergeCell ref="A84:H84"/>
    <mergeCell ref="A68:B68"/>
    <mergeCell ref="A69:B83"/>
    <mergeCell ref="C73:D73"/>
    <mergeCell ref="C74:D74"/>
    <mergeCell ref="C75:D75"/>
    <mergeCell ref="A61:B61"/>
    <mergeCell ref="C69:D69"/>
    <mergeCell ref="C70:D70"/>
    <mergeCell ref="C71:D71"/>
    <mergeCell ref="C72:D72"/>
    <mergeCell ref="E65:F65"/>
    <mergeCell ref="A66:H67"/>
    <mergeCell ref="E71:H71"/>
    <mergeCell ref="E68:H68"/>
    <mergeCell ref="E69:H69"/>
    <mergeCell ref="E70:H70"/>
    <mergeCell ref="E72:H72"/>
    <mergeCell ref="A65:B65"/>
    <mergeCell ref="C68:D68"/>
    <mergeCell ref="E62:F62"/>
    <mergeCell ref="E63:F63"/>
    <mergeCell ref="E64:F64"/>
    <mergeCell ref="C14:D14"/>
    <mergeCell ref="A15:H15"/>
    <mergeCell ref="E59:F59"/>
    <mergeCell ref="E58:F58"/>
    <mergeCell ref="A58:B58"/>
    <mergeCell ref="A60:B60"/>
    <mergeCell ref="E60:F60"/>
    <mergeCell ref="A59:B59"/>
    <mergeCell ref="E61:F61"/>
    <mergeCell ref="A62:B62"/>
    <mergeCell ref="A63:B63"/>
    <mergeCell ref="A64:B6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73:H73"/>
    <mergeCell ref="E83:H83"/>
    <mergeCell ref="E80:H80"/>
    <mergeCell ref="E81:H81"/>
    <mergeCell ref="E82:H82"/>
    <mergeCell ref="E78:H78"/>
    <mergeCell ref="E79:H79"/>
    <mergeCell ref="E74:H74"/>
    <mergeCell ref="E75:H75"/>
    <mergeCell ref="E76:H76"/>
    <mergeCell ref="E77:H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7" workbookViewId="0">
      <selection activeCell="C41" sqref="C41"/>
    </sheetView>
  </sheetViews>
  <sheetFormatPr defaultColWidth="8.77734375" defaultRowHeight="14.4"/>
  <cols>
    <col min="1" max="1" width="27.21875" style="34" customWidth="1"/>
    <col min="2" max="2" width="19.33203125" style="34" customWidth="1"/>
    <col min="3" max="3" width="13.5546875" style="34" customWidth="1"/>
    <col min="4" max="4" width="11.77734375" style="34" customWidth="1"/>
    <col min="5" max="5" width="21" style="34" customWidth="1"/>
    <col min="6" max="6" width="21.77734375" style="34" customWidth="1"/>
    <col min="7" max="7" width="20.6640625" style="34" customWidth="1"/>
    <col min="8" max="8" width="21.777343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4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2.9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945</v>
      </c>
      <c r="C6" s="181">
        <v>7670</v>
      </c>
      <c r="D6" s="182"/>
      <c r="E6" s="2">
        <f t="shared" ref="E6:E14" si="0">PRODUCT(B6*C6)</f>
        <v>7248150</v>
      </c>
      <c r="F6" s="2">
        <f t="shared" ref="F6:F14" si="1">PRODUCT(E6*18)/118</f>
        <v>1105650</v>
      </c>
      <c r="G6" s="2">
        <f>PRODUCT(B6*50)</f>
        <v>47250</v>
      </c>
      <c r="H6" s="89">
        <f t="shared" ref="H6:H14" si="2">SUM(F6:G6)</f>
        <v>1152900</v>
      </c>
      <c r="I6" s="233"/>
    </row>
    <row r="7" spans="1:9">
      <c r="A7" s="30" t="s">
        <v>44</v>
      </c>
      <c r="B7" s="1"/>
      <c r="C7" s="181">
        <v>7670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>
        <v>185</v>
      </c>
      <c r="C9" s="170">
        <v>3776</v>
      </c>
      <c r="D9" s="171"/>
      <c r="E9" s="4">
        <f t="shared" si="0"/>
        <v>698560</v>
      </c>
      <c r="F9" s="4">
        <f t="shared" si="1"/>
        <v>106560</v>
      </c>
      <c r="G9" s="4">
        <f>PRODUCT(B9*30)</f>
        <v>5550</v>
      </c>
      <c r="H9" s="90">
        <f t="shared" si="2"/>
        <v>112110</v>
      </c>
      <c r="I9" s="233"/>
    </row>
    <row r="10" spans="1:9">
      <c r="A10" s="31" t="s">
        <v>47</v>
      </c>
      <c r="B10" s="3">
        <v>92166</v>
      </c>
      <c r="C10" s="170">
        <v>2360</v>
      </c>
      <c r="D10" s="171"/>
      <c r="E10" s="4">
        <f t="shared" si="0"/>
        <v>217511760</v>
      </c>
      <c r="F10" s="4">
        <f t="shared" si="1"/>
        <v>33179760</v>
      </c>
      <c r="G10" s="4">
        <f>PRODUCT(B10*30)</f>
        <v>2764980</v>
      </c>
      <c r="H10" s="90">
        <f t="shared" si="2"/>
        <v>35944740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8400</v>
      </c>
      <c r="C13" s="170">
        <v>1534</v>
      </c>
      <c r="D13" s="171"/>
      <c r="E13" s="4">
        <f t="shared" si="0"/>
        <v>12885600</v>
      </c>
      <c r="F13" s="4">
        <f t="shared" si="1"/>
        <v>1965600</v>
      </c>
      <c r="G13" s="4">
        <f>PRODUCT(B13*20)</f>
        <v>168000</v>
      </c>
      <c r="H13" s="90">
        <f t="shared" si="2"/>
        <v>2133600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750</v>
      </c>
      <c r="C17" s="18">
        <v>2000</v>
      </c>
      <c r="D17" s="18">
        <v>50</v>
      </c>
      <c r="E17" s="11">
        <f>PRODUCT(B17*C17)</f>
        <v>1500000</v>
      </c>
      <c r="F17" s="8">
        <f t="shared" ref="F17:F36" si="3">PRODUCT(E17*18)/118</f>
        <v>228813.55932203389</v>
      </c>
      <c r="G17" s="84">
        <f>PRODUCT(B17*D17)</f>
        <v>37500</v>
      </c>
      <c r="H17" s="92">
        <f>SUM(F17:G17)</f>
        <v>266313.55932203389</v>
      </c>
      <c r="I17" s="233"/>
    </row>
    <row r="18" spans="1:9" ht="15" thickBot="1">
      <c r="A18" s="26" t="s">
        <v>91</v>
      </c>
      <c r="B18" s="19">
        <v>14</v>
      </c>
      <c r="C18" s="19">
        <v>10000</v>
      </c>
      <c r="D18" s="19"/>
      <c r="E18" s="12">
        <f t="shared" ref="E18:E22" si="4">PRODUCT(B18*C18)</f>
        <v>140000</v>
      </c>
      <c r="F18" s="9">
        <f t="shared" si="3"/>
        <v>21355.932203389832</v>
      </c>
      <c r="G18" s="7">
        <f t="shared" ref="G18:G22" si="5">PRODUCT(B18*D18)</f>
        <v>0</v>
      </c>
      <c r="H18" s="93">
        <f t="shared" ref="H18:H22" si="6">SUM(F18:G18)</f>
        <v>21355.932203389832</v>
      </c>
      <c r="I18" s="233"/>
    </row>
    <row r="19" spans="1:9" ht="15" thickBot="1">
      <c r="A19" s="27" t="s">
        <v>91</v>
      </c>
      <c r="B19" s="5">
        <v>2</v>
      </c>
      <c r="C19" s="5"/>
      <c r="D19" s="5">
        <v>10000</v>
      </c>
      <c r="E19" s="12">
        <f t="shared" si="4"/>
        <v>0</v>
      </c>
      <c r="F19" s="9">
        <f t="shared" si="3"/>
        <v>0</v>
      </c>
      <c r="G19" s="7">
        <f t="shared" si="5"/>
        <v>20000</v>
      </c>
      <c r="H19" s="93">
        <f t="shared" si="6"/>
        <v>20000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239984070</v>
      </c>
      <c r="F37" s="16">
        <f>SUM(F5:F36)</f>
        <v>36607739.491525427</v>
      </c>
      <c r="G37" s="16">
        <f t="shared" ref="G37:H37" si="10">SUM(G5:G36)</f>
        <v>3043280</v>
      </c>
      <c r="H37" s="16">
        <f t="shared" si="10"/>
        <v>39651019.491525427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39653064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39653064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92351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945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8400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764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2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102462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workbookViewId="0">
      <selection activeCell="C43" sqref="C43"/>
    </sheetView>
  </sheetViews>
  <sheetFormatPr defaultColWidth="8.77734375" defaultRowHeight="14.4"/>
  <cols>
    <col min="1" max="1" width="22.6640625" style="34" customWidth="1"/>
    <col min="2" max="2" width="26.33203125" style="34" customWidth="1"/>
    <col min="3" max="3" width="18.88671875" style="34" customWidth="1"/>
    <col min="4" max="4" width="12.77734375" style="34" customWidth="1"/>
    <col min="5" max="5" width="20.44140625" style="34" customWidth="1"/>
    <col min="6" max="6" width="21.5546875" style="34" customWidth="1"/>
    <col min="7" max="7" width="14.33203125" style="34" customWidth="1"/>
    <col min="8" max="8" width="24.2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4.4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970</v>
      </c>
      <c r="C7" s="181">
        <v>5900</v>
      </c>
      <c r="D7" s="182"/>
      <c r="E7" s="2">
        <f t="shared" si="0"/>
        <v>5723000</v>
      </c>
      <c r="F7" s="2">
        <f t="shared" si="1"/>
        <v>873000</v>
      </c>
      <c r="G7" s="2">
        <f>PRODUCT(B7*50)</f>
        <v>48500</v>
      </c>
      <c r="H7" s="89">
        <f t="shared" si="2"/>
        <v>921500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36147</v>
      </c>
      <c r="C11" s="170">
        <v>2124</v>
      </c>
      <c r="D11" s="171"/>
      <c r="E11" s="4">
        <f t="shared" si="0"/>
        <v>76776228</v>
      </c>
      <c r="F11" s="4">
        <f t="shared" si="1"/>
        <v>11711628</v>
      </c>
      <c r="G11" s="4">
        <f>PRODUCT(B11*30)</f>
        <v>1084410</v>
      </c>
      <c r="H11" s="90">
        <f t="shared" si="2"/>
        <v>12796038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1838</v>
      </c>
      <c r="C13" s="170">
        <v>1357</v>
      </c>
      <c r="D13" s="171"/>
      <c r="E13" s="4">
        <f t="shared" si="0"/>
        <v>2494166</v>
      </c>
      <c r="F13" s="4">
        <f t="shared" si="1"/>
        <v>380466</v>
      </c>
      <c r="G13" s="4">
        <f>PRODUCT(B13*20)</f>
        <v>36760</v>
      </c>
      <c r="H13" s="90">
        <f t="shared" si="2"/>
        <v>417226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106</v>
      </c>
      <c r="B17" s="18">
        <v>21</v>
      </c>
      <c r="C17" s="18">
        <v>10000</v>
      </c>
      <c r="D17" s="18">
        <v>1331</v>
      </c>
      <c r="E17" s="11">
        <f>PRODUCT(B17*C17)</f>
        <v>210000</v>
      </c>
      <c r="F17" s="8">
        <f t="shared" ref="F17:F36" si="3">PRODUCT(E17*18)/118</f>
        <v>32033.898305084746</v>
      </c>
      <c r="G17" s="84">
        <f>PRODUCT(B17*D17)</f>
        <v>27951</v>
      </c>
      <c r="H17" s="92">
        <f>SUM(F17:G17)</f>
        <v>59984.898305084746</v>
      </c>
      <c r="I17" s="233"/>
    </row>
    <row r="18" spans="1:9" ht="15" thickBot="1">
      <c r="A18" s="26" t="s">
        <v>62</v>
      </c>
      <c r="B18" s="19"/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99</v>
      </c>
      <c r="B21" s="5">
        <v>1181</v>
      </c>
      <c r="C21" s="5"/>
      <c r="D21" s="5">
        <v>210</v>
      </c>
      <c r="E21" s="12">
        <f t="shared" si="4"/>
        <v>0</v>
      </c>
      <c r="F21" s="9">
        <f t="shared" si="3"/>
        <v>0</v>
      </c>
      <c r="G21" s="7">
        <f t="shared" si="5"/>
        <v>248010</v>
      </c>
      <c r="H21" s="93">
        <f t="shared" si="6"/>
        <v>248010</v>
      </c>
      <c r="I21" s="233"/>
    </row>
    <row r="22" spans="1:9" ht="15" thickBot="1">
      <c r="A22" s="28" t="s">
        <v>99</v>
      </c>
      <c r="B22" s="5">
        <v>50</v>
      </c>
      <c r="C22" s="5">
        <v>1180</v>
      </c>
      <c r="D22" s="5">
        <v>30</v>
      </c>
      <c r="E22" s="12">
        <f t="shared" si="4"/>
        <v>59000</v>
      </c>
      <c r="F22" s="9">
        <f t="shared" si="3"/>
        <v>9000</v>
      </c>
      <c r="G22" s="85">
        <f t="shared" si="5"/>
        <v>1500</v>
      </c>
      <c r="H22" s="94">
        <f t="shared" si="6"/>
        <v>10500</v>
      </c>
      <c r="I22" s="233"/>
    </row>
    <row r="23" spans="1:9" ht="15" thickBot="1">
      <c r="A23" s="28" t="s">
        <v>45</v>
      </c>
      <c r="B23" s="20">
        <v>793</v>
      </c>
      <c r="C23" s="20"/>
      <c r="D23" s="20">
        <v>50</v>
      </c>
      <c r="E23" s="12">
        <f>PRODUCT(B23*C23)</f>
        <v>0</v>
      </c>
      <c r="F23" s="9">
        <f t="shared" si="3"/>
        <v>0</v>
      </c>
      <c r="G23" s="7">
        <f>PRODUCT(B23*D23)</f>
        <v>39650</v>
      </c>
      <c r="H23" s="93">
        <f>SUM(F23:G23)</f>
        <v>39650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85262394</v>
      </c>
      <c r="F37" s="16">
        <f>SUM(F5:F36)</f>
        <v>13006127.898305085</v>
      </c>
      <c r="G37" s="16">
        <f t="shared" ref="G37:H37" si="10">SUM(G5:G36)</f>
        <v>1486781</v>
      </c>
      <c r="H37" s="16">
        <f t="shared" si="10"/>
        <v>14492908.898305085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14492909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>
        <v>800000</v>
      </c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15292909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36147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970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1838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21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38976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4" zoomScale="85" zoomScaleNormal="85" workbookViewId="0">
      <selection activeCell="B16" sqref="B16"/>
    </sheetView>
  </sheetViews>
  <sheetFormatPr defaultColWidth="8.77734375" defaultRowHeight="14.4"/>
  <cols>
    <col min="1" max="1" width="21.109375" style="34" customWidth="1"/>
    <col min="2" max="2" width="17.44140625" style="34" customWidth="1"/>
    <col min="3" max="3" width="20.21875" style="34" customWidth="1"/>
    <col min="4" max="4" width="14.88671875" style="34" customWidth="1"/>
    <col min="5" max="5" width="28.33203125" style="34" customWidth="1"/>
    <col min="6" max="6" width="22.109375" style="34" customWidth="1"/>
    <col min="7" max="7" width="16.6640625" style="34" customWidth="1"/>
    <col min="8" max="8" width="26.5546875" style="34" customWidth="1"/>
    <col min="9" max="16384" width="8.77734375" style="34"/>
  </cols>
  <sheetData>
    <row r="1" spans="1:9" ht="14.55" customHeight="1">
      <c r="A1" s="172" t="s">
        <v>84</v>
      </c>
      <c r="B1" s="173"/>
      <c r="C1" s="173"/>
      <c r="D1" s="173"/>
      <c r="E1" s="173"/>
      <c r="F1" s="173"/>
      <c r="G1" s="173"/>
      <c r="H1" s="173"/>
      <c r="I1" s="232"/>
    </row>
    <row r="2" spans="1:9" ht="24.4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8.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150</v>
      </c>
      <c r="C6" s="181">
        <v>12500</v>
      </c>
      <c r="D6" s="182"/>
      <c r="E6" s="2">
        <f t="shared" ref="E6:E14" si="0">PRODUCT(B6*C6)</f>
        <v>1875000</v>
      </c>
      <c r="F6" s="2">
        <f t="shared" ref="F6:F14" si="1">PRODUCT(E6*18)/118</f>
        <v>286016.94915254239</v>
      </c>
      <c r="G6" s="2">
        <f>PRODUCT(B6*50)</f>
        <v>7500</v>
      </c>
      <c r="H6" s="89">
        <f t="shared" ref="H6:H14" si="2">SUM(F6:G6)</f>
        <v>293516.94915254239</v>
      </c>
      <c r="I6" s="233"/>
    </row>
    <row r="7" spans="1:9">
      <c r="A7" s="30" t="s">
        <v>44</v>
      </c>
      <c r="B7" s="1">
        <v>2892</v>
      </c>
      <c r="C7" s="181">
        <v>3000</v>
      </c>
      <c r="D7" s="182"/>
      <c r="E7" s="2">
        <f t="shared" si="0"/>
        <v>8676000</v>
      </c>
      <c r="F7" s="2">
        <f t="shared" si="1"/>
        <v>1323457.6271186441</v>
      </c>
      <c r="G7" s="2">
        <f>PRODUCT(B7*50)</f>
        <v>144600</v>
      </c>
      <c r="H7" s="89">
        <f t="shared" si="2"/>
        <v>1468057.6271186441</v>
      </c>
      <c r="I7" s="233"/>
    </row>
    <row r="8" spans="1:9">
      <c r="A8" s="31" t="s">
        <v>45</v>
      </c>
      <c r="B8" s="3">
        <v>1545</v>
      </c>
      <c r="C8" s="170">
        <v>7670</v>
      </c>
      <c r="D8" s="171"/>
      <c r="E8" s="4">
        <f t="shared" si="0"/>
        <v>11850150</v>
      </c>
      <c r="F8" s="4">
        <f t="shared" si="1"/>
        <v>1807650</v>
      </c>
      <c r="G8" s="4">
        <f>PRODUCT(B8*50)</f>
        <v>77250</v>
      </c>
      <c r="H8" s="90">
        <f t="shared" si="2"/>
        <v>1884900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120728</v>
      </c>
      <c r="C10" s="170">
        <v>2124</v>
      </c>
      <c r="D10" s="171"/>
      <c r="E10" s="4">
        <f t="shared" si="0"/>
        <v>256426272</v>
      </c>
      <c r="F10" s="4">
        <f t="shared" si="1"/>
        <v>39115872</v>
      </c>
      <c r="G10" s="4">
        <f>PRODUCT(B10*30)</f>
        <v>3621840</v>
      </c>
      <c r="H10" s="90">
        <f t="shared" si="2"/>
        <v>42737712</v>
      </c>
      <c r="I10" s="233"/>
    </row>
    <row r="11" spans="1:9">
      <c r="A11" s="32" t="s">
        <v>65</v>
      </c>
      <c r="B11" s="120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6903</v>
      </c>
      <c r="C13" s="170">
        <v>1357</v>
      </c>
      <c r="D13" s="171"/>
      <c r="E13" s="4">
        <f t="shared" si="0"/>
        <v>9367371</v>
      </c>
      <c r="F13" s="4">
        <f t="shared" si="1"/>
        <v>1428921</v>
      </c>
      <c r="G13" s="4">
        <f>PRODUCT(B13*20)</f>
        <v>138060</v>
      </c>
      <c r="H13" s="90">
        <f t="shared" si="2"/>
        <v>1566981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288194793</v>
      </c>
      <c r="F37" s="16">
        <f>SUM(F5:F36)</f>
        <v>43961917.576271184</v>
      </c>
      <c r="G37" s="16">
        <f t="shared" ref="G37:H37" si="10">SUM(G5:G36)</f>
        <v>3989250</v>
      </c>
      <c r="H37" s="16">
        <f t="shared" si="10"/>
        <v>47951167.576271184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120728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4587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6903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132218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3" workbookViewId="0">
      <selection activeCell="C40" sqref="C40"/>
    </sheetView>
  </sheetViews>
  <sheetFormatPr defaultColWidth="8.77734375" defaultRowHeight="14.4"/>
  <cols>
    <col min="1" max="1" width="23.5546875" style="34" customWidth="1"/>
    <col min="2" max="2" width="19.44140625" style="34" customWidth="1"/>
    <col min="3" max="3" width="14.77734375" style="34" customWidth="1"/>
    <col min="4" max="4" width="9.77734375" style="34" customWidth="1"/>
    <col min="5" max="5" width="22.21875" style="34" customWidth="1"/>
    <col min="6" max="6" width="23.5546875" style="34" customWidth="1"/>
    <col min="7" max="7" width="17.21875" style="34" customWidth="1"/>
    <col min="8" max="8" width="22.664062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1905</v>
      </c>
      <c r="C7" s="181">
        <v>7670</v>
      </c>
      <c r="D7" s="182"/>
      <c r="E7" s="2">
        <f t="shared" si="0"/>
        <v>14611350</v>
      </c>
      <c r="F7" s="2">
        <f t="shared" si="1"/>
        <v>2228850</v>
      </c>
      <c r="G7" s="2">
        <f>PRODUCT(B7*50)</f>
        <v>95250</v>
      </c>
      <c r="H7" s="89">
        <f t="shared" si="2"/>
        <v>2324100</v>
      </c>
      <c r="I7" s="233"/>
    </row>
    <row r="8" spans="1:9">
      <c r="A8" s="31" t="s">
        <v>45</v>
      </c>
      <c r="B8" s="3">
        <v>264</v>
      </c>
      <c r="C8" s="170">
        <v>8000</v>
      </c>
      <c r="D8" s="171"/>
      <c r="E8" s="4">
        <f t="shared" si="0"/>
        <v>2112000</v>
      </c>
      <c r="F8" s="4">
        <f t="shared" si="1"/>
        <v>322169.49152542371</v>
      </c>
      <c r="G8" s="4">
        <f>PRODUCT(B8*50)</f>
        <v>13200</v>
      </c>
      <c r="H8" s="90">
        <f t="shared" si="2"/>
        <v>335369.49152542371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84966</v>
      </c>
      <c r="C10" s="170">
        <v>2124</v>
      </c>
      <c r="D10" s="171"/>
      <c r="E10" s="4">
        <f t="shared" si="0"/>
        <v>180467784</v>
      </c>
      <c r="F10" s="4">
        <f t="shared" si="1"/>
        <v>27528984</v>
      </c>
      <c r="G10" s="4">
        <f>PRODUCT(B10*30)</f>
        <v>2548980</v>
      </c>
      <c r="H10" s="90">
        <f t="shared" si="2"/>
        <v>30077964</v>
      </c>
      <c r="I10" s="233"/>
    </row>
    <row r="11" spans="1:9">
      <c r="A11" s="32" t="s">
        <v>65</v>
      </c>
      <c r="B11" s="3">
        <v>200</v>
      </c>
      <c r="C11" s="170">
        <v>3500</v>
      </c>
      <c r="D11" s="171"/>
      <c r="E11" s="4">
        <f t="shared" si="0"/>
        <v>700000</v>
      </c>
      <c r="F11" s="4">
        <f t="shared" si="1"/>
        <v>106779.66101694915</v>
      </c>
      <c r="G11" s="4">
        <f>PRODUCT(B11*30)</f>
        <v>6000</v>
      </c>
      <c r="H11" s="90">
        <f t="shared" si="2"/>
        <v>112779.66101694915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3400</v>
      </c>
      <c r="C13" s="170">
        <v>1357</v>
      </c>
      <c r="D13" s="171"/>
      <c r="E13" s="4">
        <f t="shared" si="0"/>
        <v>4613800</v>
      </c>
      <c r="F13" s="4">
        <f t="shared" si="1"/>
        <v>703800</v>
      </c>
      <c r="G13" s="4">
        <f>PRODUCT(B13*20)</f>
        <v>68000</v>
      </c>
      <c r="H13" s="90">
        <f t="shared" si="2"/>
        <v>771800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300</v>
      </c>
      <c r="C17" s="18">
        <v>4000</v>
      </c>
      <c r="D17" s="18">
        <v>50</v>
      </c>
      <c r="E17" s="11">
        <f>PRODUCT(B17*C17)</f>
        <v>1200000</v>
      </c>
      <c r="F17" s="8">
        <f t="shared" ref="F17:F36" si="3">PRODUCT(E17*18)/118</f>
        <v>183050.84745762713</v>
      </c>
      <c r="G17" s="84">
        <f>PRODUCT(B17*D17)</f>
        <v>15000</v>
      </c>
      <c r="H17" s="92">
        <f>SUM(F17:G17)</f>
        <v>198050.84745762713</v>
      </c>
      <c r="I17" s="233"/>
    </row>
    <row r="18" spans="1:9" ht="15" thickBot="1">
      <c r="A18" s="26" t="s">
        <v>62</v>
      </c>
      <c r="B18" s="19">
        <v>400</v>
      </c>
      <c r="C18" s="19">
        <v>2000</v>
      </c>
      <c r="D18" s="19">
        <v>50</v>
      </c>
      <c r="E18" s="12">
        <f t="shared" ref="E18:E22" si="4">PRODUCT(B18*C18)</f>
        <v>800000</v>
      </c>
      <c r="F18" s="9">
        <f t="shared" si="3"/>
        <v>122033.89830508475</v>
      </c>
      <c r="G18" s="7">
        <f t="shared" ref="G18:G22" si="5">PRODUCT(B18*D18)</f>
        <v>20000</v>
      </c>
      <c r="H18" s="93">
        <f t="shared" ref="H18:H22" si="6">SUM(F18:G18)</f>
        <v>142033.89830508473</v>
      </c>
      <c r="I18" s="233"/>
    </row>
    <row r="19" spans="1:9" ht="15" thickBot="1">
      <c r="A19" s="27" t="s">
        <v>63</v>
      </c>
      <c r="B19" s="5">
        <v>371</v>
      </c>
      <c r="C19" s="5">
        <v>19500</v>
      </c>
      <c r="D19" s="5">
        <v>50</v>
      </c>
      <c r="E19" s="12">
        <f t="shared" si="4"/>
        <v>7234500</v>
      </c>
      <c r="F19" s="9">
        <f t="shared" si="3"/>
        <v>1103567.7966101696</v>
      </c>
      <c r="G19" s="7">
        <f t="shared" si="5"/>
        <v>18550</v>
      </c>
      <c r="H19" s="93">
        <f t="shared" si="6"/>
        <v>1122117.7966101696</v>
      </c>
      <c r="I19" s="233"/>
    </row>
    <row r="20" spans="1:9" ht="15" thickBot="1">
      <c r="A20" s="27" t="s">
        <v>63</v>
      </c>
      <c r="B20" s="5">
        <v>111</v>
      </c>
      <c r="C20" s="5">
        <v>7670</v>
      </c>
      <c r="D20" s="5">
        <v>50</v>
      </c>
      <c r="E20" s="12">
        <f t="shared" si="4"/>
        <v>851370</v>
      </c>
      <c r="F20" s="9">
        <f t="shared" si="3"/>
        <v>129870</v>
      </c>
      <c r="G20" s="85">
        <f t="shared" si="5"/>
        <v>5550</v>
      </c>
      <c r="H20" s="94">
        <f t="shared" si="6"/>
        <v>135420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212590804</v>
      </c>
      <c r="F37" s="16">
        <f>SUM(F5:F36)</f>
        <v>32429105.694915254</v>
      </c>
      <c r="G37" s="16">
        <f t="shared" ref="G37:H37" si="10">SUM(G5:G36)</f>
        <v>2790530</v>
      </c>
      <c r="H37" s="16">
        <f t="shared" si="10"/>
        <v>35219635.69491525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35219636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35219636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85166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2169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3400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700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482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91917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1" workbookViewId="0">
      <selection activeCell="C41" sqref="C41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>
        <v>1490</v>
      </c>
      <c r="C7" s="181">
        <v>4720</v>
      </c>
      <c r="D7" s="182"/>
      <c r="E7" s="2">
        <f t="shared" si="0"/>
        <v>7032800</v>
      </c>
      <c r="F7" s="2">
        <f t="shared" si="1"/>
        <v>1072800</v>
      </c>
      <c r="G7" s="2">
        <f>PRODUCT(B7*50)</f>
        <v>74500</v>
      </c>
      <c r="H7" s="89">
        <f t="shared" si="2"/>
        <v>1147300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115795</v>
      </c>
      <c r="C10" s="170">
        <v>2124</v>
      </c>
      <c r="D10" s="171"/>
      <c r="E10" s="4">
        <f t="shared" si="0"/>
        <v>245948580</v>
      </c>
      <c r="F10" s="4">
        <f t="shared" si="1"/>
        <v>37517580</v>
      </c>
      <c r="G10" s="4">
        <f>PRODUCT(B10*30)</f>
        <v>3473850</v>
      </c>
      <c r="H10" s="90">
        <f t="shared" si="2"/>
        <v>40991430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23254</v>
      </c>
      <c r="C13" s="170">
        <v>1357</v>
      </c>
      <c r="D13" s="171"/>
      <c r="E13" s="4">
        <f t="shared" si="0"/>
        <v>31555678</v>
      </c>
      <c r="F13" s="4">
        <f t="shared" si="1"/>
        <v>4813578</v>
      </c>
      <c r="G13" s="4">
        <f>PRODUCT(B13*20)</f>
        <v>465080</v>
      </c>
      <c r="H13" s="90">
        <f t="shared" si="2"/>
        <v>5278658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89</v>
      </c>
      <c r="B17" s="18">
        <v>90</v>
      </c>
      <c r="C17" s="18">
        <v>2006</v>
      </c>
      <c r="D17" s="18">
        <v>30</v>
      </c>
      <c r="E17" s="11">
        <f>PRODUCT(B17*C17)</f>
        <v>180540</v>
      </c>
      <c r="F17" s="8">
        <f t="shared" ref="F17:F36" si="3">PRODUCT(E17*18)/118</f>
        <v>27540</v>
      </c>
      <c r="G17" s="84">
        <f>PRODUCT(B17*D17)</f>
        <v>2700</v>
      </c>
      <c r="H17" s="92">
        <f>SUM(F17:G17)</f>
        <v>30240</v>
      </c>
      <c r="I17" s="218"/>
    </row>
    <row r="18" spans="1:9" ht="15" thickBot="1">
      <c r="A18" s="26" t="s">
        <v>110</v>
      </c>
      <c r="B18" s="19">
        <v>118</v>
      </c>
      <c r="C18" s="19">
        <v>1298</v>
      </c>
      <c r="D18" s="19">
        <v>30</v>
      </c>
      <c r="E18" s="12">
        <f t="shared" ref="E18:E22" si="4">PRODUCT(B18*C18)</f>
        <v>153164</v>
      </c>
      <c r="F18" s="9">
        <f t="shared" si="3"/>
        <v>23364</v>
      </c>
      <c r="G18" s="7">
        <f t="shared" ref="G18:G22" si="5">PRODUCT(B18*D18)</f>
        <v>3540</v>
      </c>
      <c r="H18" s="93">
        <f t="shared" ref="H18:H22" si="6">SUM(F18:G18)</f>
        <v>26904</v>
      </c>
      <c r="I18" s="218"/>
    </row>
    <row r="19" spans="1:9" ht="15" thickBot="1">
      <c r="A19" s="27" t="s">
        <v>101</v>
      </c>
      <c r="B19" s="5">
        <v>1203</v>
      </c>
      <c r="C19" s="5">
        <v>3304</v>
      </c>
      <c r="D19" s="5">
        <v>40</v>
      </c>
      <c r="E19" s="12">
        <f t="shared" si="4"/>
        <v>3974712</v>
      </c>
      <c r="F19" s="9">
        <f t="shared" si="3"/>
        <v>606312</v>
      </c>
      <c r="G19" s="7">
        <f t="shared" si="5"/>
        <v>48120</v>
      </c>
      <c r="H19" s="93">
        <f t="shared" si="6"/>
        <v>654432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>
        <v>10000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288845474</v>
      </c>
      <c r="F37" s="16">
        <f>SUM(F5:F36)</f>
        <v>44061174</v>
      </c>
      <c r="G37" s="16">
        <f t="shared" ref="G37:H37" si="10">SUM(G5:G36)</f>
        <v>4067790</v>
      </c>
      <c r="H37" s="16">
        <f t="shared" si="10"/>
        <v>48128964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45442312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2686652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48128964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115795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1490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23254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208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1203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141950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3" sqref="C33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115</v>
      </c>
      <c r="B3" s="177"/>
      <c r="C3" s="177"/>
      <c r="D3" s="177"/>
      <c r="E3" s="177"/>
      <c r="F3" s="177"/>
      <c r="G3" s="177"/>
      <c r="H3" s="178"/>
      <c r="I3" s="218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>
        <v>350</v>
      </c>
      <c r="C8" s="170">
        <v>7670</v>
      </c>
      <c r="D8" s="171"/>
      <c r="E8" s="4">
        <f t="shared" si="0"/>
        <v>2684500</v>
      </c>
      <c r="F8" s="4">
        <f t="shared" si="1"/>
        <v>409500</v>
      </c>
      <c r="G8" s="4">
        <f>PRODUCT(B8*50)</f>
        <v>17500</v>
      </c>
      <c r="H8" s="90">
        <f t="shared" si="2"/>
        <v>427000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46530</v>
      </c>
      <c r="C10" s="170">
        <v>2124</v>
      </c>
      <c r="D10" s="171"/>
      <c r="E10" s="4">
        <f t="shared" si="0"/>
        <v>98829720</v>
      </c>
      <c r="F10" s="4">
        <f t="shared" si="1"/>
        <v>15075720</v>
      </c>
      <c r="G10" s="4">
        <f>PRODUCT(B10*30)</f>
        <v>1395900</v>
      </c>
      <c r="H10" s="90">
        <f t="shared" si="2"/>
        <v>16471620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3750</v>
      </c>
      <c r="C13" s="170">
        <v>1357</v>
      </c>
      <c r="D13" s="171"/>
      <c r="E13" s="4">
        <f t="shared" si="0"/>
        <v>5088750</v>
      </c>
      <c r="F13" s="4">
        <f t="shared" si="1"/>
        <v>776250</v>
      </c>
      <c r="G13" s="4">
        <f>PRODUCT(B13*20)</f>
        <v>75000</v>
      </c>
      <c r="H13" s="90">
        <f t="shared" si="2"/>
        <v>851250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106602970</v>
      </c>
      <c r="F37" s="16">
        <f>SUM(F5:F36)</f>
        <v>16261470</v>
      </c>
      <c r="G37" s="16">
        <f t="shared" ref="G37:H37" si="10">SUM(G5:G36)</f>
        <v>1488400</v>
      </c>
      <c r="H37" s="16">
        <f t="shared" si="10"/>
        <v>17749870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17749870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17749870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46530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350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3750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50630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B12" sqref="B12"/>
    </sheetView>
  </sheetViews>
  <sheetFormatPr defaultColWidth="8.777343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77734375" style="34" customWidth="1"/>
    <col min="5" max="5" width="24.109375" style="34" customWidth="1"/>
    <col min="6" max="6" width="18.44140625" style="34" customWidth="1"/>
    <col min="7" max="8" width="15.777343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2.9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5.9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253</v>
      </c>
      <c r="C7" s="181">
        <v>7670</v>
      </c>
      <c r="D7" s="182"/>
      <c r="E7" s="2">
        <f t="shared" si="0"/>
        <v>1940510</v>
      </c>
      <c r="F7" s="2">
        <f t="shared" si="1"/>
        <v>296010</v>
      </c>
      <c r="G7" s="2">
        <f>PRODUCT(B7*50)</f>
        <v>12650</v>
      </c>
      <c r="H7" s="89">
        <f t="shared" si="2"/>
        <v>308660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6067</v>
      </c>
      <c r="C10" s="170">
        <v>2200</v>
      </c>
      <c r="D10" s="171"/>
      <c r="E10" s="4">
        <f t="shared" si="0"/>
        <v>13347400</v>
      </c>
      <c r="F10" s="4">
        <f t="shared" si="1"/>
        <v>2036044.0677966101</v>
      </c>
      <c r="G10" s="4">
        <f>PRODUCT(B10*30)</f>
        <v>182010</v>
      </c>
      <c r="H10" s="90">
        <f t="shared" si="2"/>
        <v>2218054.0677966103</v>
      </c>
      <c r="I10" s="233"/>
    </row>
    <row r="11" spans="1:9">
      <c r="A11" s="32" t="s">
        <v>65</v>
      </c>
      <c r="B11" s="3">
        <v>22736</v>
      </c>
      <c r="C11" s="170">
        <v>2596</v>
      </c>
      <c r="D11" s="171"/>
      <c r="E11" s="4">
        <f t="shared" si="0"/>
        <v>59022656</v>
      </c>
      <c r="F11" s="4">
        <f t="shared" si="1"/>
        <v>9003456</v>
      </c>
      <c r="G11" s="4">
        <f>PRODUCT(B11*30)</f>
        <v>682080</v>
      </c>
      <c r="H11" s="90">
        <f t="shared" si="2"/>
        <v>9685536</v>
      </c>
      <c r="I11" s="233"/>
    </row>
    <row r="12" spans="1:9">
      <c r="A12" s="32" t="s">
        <v>65</v>
      </c>
      <c r="B12" s="3">
        <v>1350</v>
      </c>
      <c r="C12" s="170">
        <v>2500</v>
      </c>
      <c r="D12" s="171"/>
      <c r="E12" s="4">
        <f t="shared" si="0"/>
        <v>3375000</v>
      </c>
      <c r="F12" s="4">
        <f>PRODUCT(E12*18)/118</f>
        <v>514830.50847457629</v>
      </c>
      <c r="G12" s="4">
        <f>PRODUCT(B12*30)</f>
        <v>40500</v>
      </c>
      <c r="H12" s="90">
        <f t="shared" si="2"/>
        <v>555330.50847457629</v>
      </c>
      <c r="I12" s="233"/>
    </row>
    <row r="13" spans="1:9">
      <c r="A13" s="32" t="s">
        <v>59</v>
      </c>
      <c r="B13" s="3">
        <v>1608</v>
      </c>
      <c r="C13" s="170">
        <v>1416</v>
      </c>
      <c r="D13" s="171"/>
      <c r="E13" s="4">
        <f t="shared" si="0"/>
        <v>2276928</v>
      </c>
      <c r="F13" s="4">
        <f t="shared" si="1"/>
        <v>347328</v>
      </c>
      <c r="G13" s="4">
        <f>PRODUCT(B13*20)</f>
        <v>32160</v>
      </c>
      <c r="H13" s="90">
        <f t="shared" si="2"/>
        <v>379488</v>
      </c>
      <c r="I13" s="233"/>
    </row>
    <row r="14" spans="1:9" ht="15" thickBot="1">
      <c r="A14" s="33" t="s">
        <v>59</v>
      </c>
      <c r="B14" s="3">
        <v>400</v>
      </c>
      <c r="C14" s="170">
        <v>1200</v>
      </c>
      <c r="D14" s="171"/>
      <c r="E14" s="4">
        <f t="shared" si="0"/>
        <v>480000</v>
      </c>
      <c r="F14" s="4">
        <f t="shared" si="1"/>
        <v>73220.338983050853</v>
      </c>
      <c r="G14" s="4">
        <f>PRODUCT(B14*20)</f>
        <v>8000</v>
      </c>
      <c r="H14" s="90">
        <f t="shared" si="2"/>
        <v>81220.338983050853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19894</v>
      </c>
      <c r="C17" s="18">
        <v>1180</v>
      </c>
      <c r="D17" s="18">
        <v>20</v>
      </c>
      <c r="E17" s="11">
        <f>PRODUCT(B17*C17)</f>
        <v>23474920</v>
      </c>
      <c r="F17" s="8">
        <f t="shared" ref="F17:F36" si="3">PRODUCT(E17*18)/118</f>
        <v>3580920</v>
      </c>
      <c r="G17" s="84">
        <f>PRODUCT(B17*D17)</f>
        <v>397880</v>
      </c>
      <c r="H17" s="92">
        <f>SUM(F17:G17)</f>
        <v>3978800</v>
      </c>
      <c r="I17" s="233"/>
    </row>
    <row r="18" spans="1:9" ht="15" thickBot="1">
      <c r="A18" s="26" t="s">
        <v>117</v>
      </c>
      <c r="B18" s="19">
        <v>200</v>
      </c>
      <c r="C18" s="19">
        <v>4000</v>
      </c>
      <c r="D18" s="19">
        <v>50</v>
      </c>
      <c r="E18" s="12">
        <f t="shared" ref="E18:E22" si="4">PRODUCT(B18*C18)</f>
        <v>800000</v>
      </c>
      <c r="F18" s="9">
        <f t="shared" si="3"/>
        <v>122033.89830508475</v>
      </c>
      <c r="G18" s="7">
        <f t="shared" ref="G18:G22" si="5">PRODUCT(B18*D18)</f>
        <v>10000</v>
      </c>
      <c r="H18" s="93">
        <f t="shared" ref="H18:H22" si="6">SUM(F18:G18)</f>
        <v>132033.89830508473</v>
      </c>
      <c r="I18" s="233"/>
    </row>
    <row r="19" spans="1:9" ht="15" thickBot="1">
      <c r="A19" s="27" t="s">
        <v>89</v>
      </c>
      <c r="B19" s="5">
        <v>315</v>
      </c>
      <c r="C19" s="5">
        <v>2360</v>
      </c>
      <c r="D19" s="5">
        <v>50</v>
      </c>
      <c r="E19" s="12">
        <f t="shared" si="4"/>
        <v>743400</v>
      </c>
      <c r="F19" s="9">
        <f t="shared" si="3"/>
        <v>113400</v>
      </c>
      <c r="G19" s="7">
        <f t="shared" si="5"/>
        <v>15750</v>
      </c>
      <c r="H19" s="93">
        <f t="shared" si="6"/>
        <v>129150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105460814</v>
      </c>
      <c r="F37" s="16">
        <f>SUM(F5:F36)</f>
        <v>16087242.813559324</v>
      </c>
      <c r="G37" s="16">
        <f t="shared" ref="G37:H37" si="10">SUM(G5:G36)</f>
        <v>1381030</v>
      </c>
      <c r="H37" s="16">
        <f t="shared" si="10"/>
        <v>17468272.813559324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30153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253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2008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20094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315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52823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C39" sqref="C39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4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232</v>
      </c>
      <c r="C6" s="181">
        <v>8260</v>
      </c>
      <c r="D6" s="182"/>
      <c r="E6" s="2">
        <f t="shared" ref="E6:E14" si="0">PRODUCT(B6*C6)</f>
        <v>1916320</v>
      </c>
      <c r="F6" s="2">
        <f t="shared" ref="F6:F14" si="1">PRODUCT(E6*18)/118</f>
        <v>292320</v>
      </c>
      <c r="G6" s="2">
        <f>PRODUCT(B6*50)</f>
        <v>11600</v>
      </c>
      <c r="H6" s="89">
        <f t="shared" ref="H6:H14" si="2">SUM(F6:G6)</f>
        <v>303920</v>
      </c>
      <c r="I6" s="218"/>
    </row>
    <row r="7" spans="1:9">
      <c r="A7" s="30" t="s">
        <v>116</v>
      </c>
      <c r="B7" s="1">
        <v>572</v>
      </c>
      <c r="C7" s="181">
        <v>9440</v>
      </c>
      <c r="D7" s="182"/>
      <c r="E7" s="2">
        <f t="shared" si="0"/>
        <v>5399680</v>
      </c>
      <c r="F7" s="2">
        <f t="shared" si="1"/>
        <v>823680</v>
      </c>
      <c r="G7" s="2">
        <f>PRODUCT(B7*50)</f>
        <v>28600</v>
      </c>
      <c r="H7" s="89">
        <f t="shared" si="2"/>
        <v>852280</v>
      </c>
      <c r="I7" s="218"/>
    </row>
    <row r="8" spans="1:9">
      <c r="A8" s="31" t="s">
        <v>45</v>
      </c>
      <c r="B8" s="3">
        <v>175</v>
      </c>
      <c r="C8" s="170">
        <v>7000</v>
      </c>
      <c r="D8" s="171"/>
      <c r="E8" s="4">
        <f t="shared" si="0"/>
        <v>1225000</v>
      </c>
      <c r="F8" s="4">
        <f t="shared" si="1"/>
        <v>186864.40677966102</v>
      </c>
      <c r="G8" s="4">
        <f>PRODUCT(B8*50)</f>
        <v>8750</v>
      </c>
      <c r="H8" s="90">
        <f t="shared" si="2"/>
        <v>195614.40677966102</v>
      </c>
      <c r="I8" s="218"/>
    </row>
    <row r="9" spans="1:9">
      <c r="A9" s="31" t="s">
        <v>46</v>
      </c>
      <c r="B9" s="3">
        <v>53</v>
      </c>
      <c r="C9" s="170">
        <v>3540</v>
      </c>
      <c r="D9" s="171"/>
      <c r="E9" s="4">
        <f t="shared" si="0"/>
        <v>187620</v>
      </c>
      <c r="F9" s="4">
        <f t="shared" si="1"/>
        <v>28620</v>
      </c>
      <c r="G9" s="4">
        <f>PRODUCT(B9*30)</f>
        <v>1590</v>
      </c>
      <c r="H9" s="90">
        <f t="shared" si="2"/>
        <v>30210</v>
      </c>
      <c r="I9" s="218"/>
    </row>
    <row r="10" spans="1:9">
      <c r="A10" s="31" t="s">
        <v>47</v>
      </c>
      <c r="B10" s="3">
        <v>22285</v>
      </c>
      <c r="C10" s="170">
        <v>2360</v>
      </c>
      <c r="D10" s="171"/>
      <c r="E10" s="4">
        <f t="shared" si="0"/>
        <v>52592600</v>
      </c>
      <c r="F10" s="4">
        <f t="shared" si="1"/>
        <v>8022600</v>
      </c>
      <c r="G10" s="4">
        <f>PRODUCT(B10*30)</f>
        <v>668550</v>
      </c>
      <c r="H10" s="90">
        <f t="shared" si="2"/>
        <v>8691150</v>
      </c>
      <c r="I10" s="218"/>
    </row>
    <row r="11" spans="1:9">
      <c r="A11" s="32" t="s">
        <v>99</v>
      </c>
      <c r="B11" s="3"/>
      <c r="C11" s="170">
        <v>1180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>
        <v>2782</v>
      </c>
      <c r="C12" s="170">
        <v>4130</v>
      </c>
      <c r="D12" s="171"/>
      <c r="E12" s="4">
        <f t="shared" si="0"/>
        <v>11489660</v>
      </c>
      <c r="F12" s="4">
        <f>PRODUCT(E12*18)/118</f>
        <v>1752660</v>
      </c>
      <c r="G12" s="4">
        <f>PRODUCT(B12*30)</f>
        <v>83460</v>
      </c>
      <c r="H12" s="90">
        <f t="shared" si="2"/>
        <v>1836120</v>
      </c>
      <c r="I12" s="218"/>
    </row>
    <row r="13" spans="1:9">
      <c r="A13" s="32" t="s">
        <v>59</v>
      </c>
      <c r="B13" s="3">
        <v>3381</v>
      </c>
      <c r="C13" s="170">
        <v>1180</v>
      </c>
      <c r="D13" s="171"/>
      <c r="E13" s="4">
        <f t="shared" si="0"/>
        <v>3989580</v>
      </c>
      <c r="F13" s="4">
        <f t="shared" si="1"/>
        <v>608580</v>
      </c>
      <c r="G13" s="4">
        <f>PRODUCT(B13*20)</f>
        <v>67620</v>
      </c>
      <c r="H13" s="90">
        <f t="shared" si="2"/>
        <v>676200</v>
      </c>
      <c r="I13" s="218"/>
    </row>
    <row r="14" spans="1:9" ht="15" thickBot="1">
      <c r="A14" s="33" t="s">
        <v>99</v>
      </c>
      <c r="B14" s="3"/>
      <c r="C14" s="170">
        <v>1180</v>
      </c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>
        <v>1681</v>
      </c>
      <c r="C17" s="18">
        <v>2950</v>
      </c>
      <c r="D17" s="18">
        <v>50</v>
      </c>
      <c r="E17" s="11">
        <f>PRODUCT(B17*C17)</f>
        <v>4958950</v>
      </c>
      <c r="F17" s="8">
        <f t="shared" ref="F17:F36" si="3">PRODUCT(E17*18)/118</f>
        <v>756450</v>
      </c>
      <c r="G17" s="84">
        <f>PRODUCT(B17*D17)</f>
        <v>84050</v>
      </c>
      <c r="H17" s="92">
        <f>SUM(F17:G17)</f>
        <v>840500</v>
      </c>
      <c r="I17" s="218"/>
    </row>
    <row r="18" spans="1:9" ht="15" thickBot="1">
      <c r="A18" s="26" t="s">
        <v>89</v>
      </c>
      <c r="B18" s="19">
        <v>2536</v>
      </c>
      <c r="C18" s="19">
        <v>2360</v>
      </c>
      <c r="D18" s="19">
        <v>50</v>
      </c>
      <c r="E18" s="12">
        <f t="shared" ref="E18:E22" si="4">PRODUCT(B18*C18)</f>
        <v>5984960</v>
      </c>
      <c r="F18" s="9">
        <f t="shared" si="3"/>
        <v>912960</v>
      </c>
      <c r="G18" s="7">
        <f t="shared" ref="G18:G22" si="5">PRODUCT(B18*D18)</f>
        <v>126800</v>
      </c>
      <c r="H18" s="93">
        <f t="shared" ref="H18:H22" si="6">SUM(F18:G18)</f>
        <v>1039760</v>
      </c>
      <c r="I18" s="218"/>
    </row>
    <row r="19" spans="1:9" ht="15" thickBot="1">
      <c r="A19" s="27" t="s">
        <v>118</v>
      </c>
      <c r="B19" s="5">
        <v>2000</v>
      </c>
      <c r="C19" s="5">
        <v>1180</v>
      </c>
      <c r="D19" s="5">
        <v>20</v>
      </c>
      <c r="E19" s="12">
        <f t="shared" si="4"/>
        <v>2360000</v>
      </c>
      <c r="F19" s="9">
        <f t="shared" si="3"/>
        <v>360000</v>
      </c>
      <c r="G19" s="7">
        <f t="shared" si="5"/>
        <v>40000</v>
      </c>
      <c r="H19" s="93">
        <f t="shared" si="6"/>
        <v>400000</v>
      </c>
      <c r="I19" s="218"/>
    </row>
    <row r="20" spans="1:9" ht="15" thickBot="1">
      <c r="A20" s="27" t="s">
        <v>119</v>
      </c>
      <c r="B20" s="5">
        <v>130</v>
      </c>
      <c r="C20" s="5">
        <v>1180</v>
      </c>
      <c r="D20" s="5">
        <v>20</v>
      </c>
      <c r="E20" s="12">
        <f t="shared" si="4"/>
        <v>153400</v>
      </c>
      <c r="F20" s="9">
        <f t="shared" si="3"/>
        <v>23400</v>
      </c>
      <c r="G20" s="85">
        <f t="shared" si="5"/>
        <v>2600</v>
      </c>
      <c r="H20" s="94">
        <f t="shared" si="6"/>
        <v>26000</v>
      </c>
      <c r="I20" s="218"/>
    </row>
    <row r="21" spans="1:9" ht="15" thickBot="1">
      <c r="A21" s="28" t="s">
        <v>106</v>
      </c>
      <c r="B21" s="5">
        <v>220</v>
      </c>
      <c r="C21" s="5">
        <v>10000</v>
      </c>
      <c r="D21" s="5">
        <v>1500</v>
      </c>
      <c r="E21" s="12">
        <f t="shared" si="4"/>
        <v>2200000</v>
      </c>
      <c r="F21" s="9">
        <f t="shared" si="3"/>
        <v>335593.22033898305</v>
      </c>
      <c r="G21" s="7">
        <f t="shared" si="5"/>
        <v>330000</v>
      </c>
      <c r="H21" s="93">
        <f t="shared" si="6"/>
        <v>665593.220338983</v>
      </c>
      <c r="I21" s="218"/>
    </row>
    <row r="22" spans="1:9" ht="15" thickBot="1">
      <c r="A22" s="28" t="s">
        <v>106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92457770</v>
      </c>
      <c r="F37" s="16">
        <f>SUM(F5:F36)</f>
        <v>14103727.627118645</v>
      </c>
      <c r="G37" s="16">
        <f t="shared" ref="G37:H37" si="10">SUM(G5:G36)</f>
        <v>1453620</v>
      </c>
      <c r="H37" s="16">
        <f t="shared" si="10"/>
        <v>15557347.627118645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25120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979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3381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4217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2130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35827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2.9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0.5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>
        <v>7000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>
        <v>8260</v>
      </c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>
        <v>2360</v>
      </c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>
        <v>1180</v>
      </c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s="34" customFormat="1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s="34" customFormat="1" ht="15" thickBot="1">
      <c r="A17" s="25" t="s">
        <v>89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s="34" customFormat="1" ht="15" thickBot="1">
      <c r="A18" s="26" t="s">
        <v>89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s="34" customFormat="1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4.55" customHeight="1" thickBot="1">
      <c r="A39" s="195" t="s">
        <v>67</v>
      </c>
      <c r="B39" s="196"/>
      <c r="C39" s="46">
        <v>316500</v>
      </c>
      <c r="D39" s="49"/>
      <c r="E39" s="187"/>
      <c r="F39" s="187"/>
      <c r="G39" s="52"/>
      <c r="H39" s="98"/>
      <c r="I39" s="218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316500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" workbookViewId="0">
      <selection activeCell="B7" sqref="B7"/>
    </sheetView>
  </sheetViews>
  <sheetFormatPr defaultColWidth="8.77734375" defaultRowHeight="14.4"/>
  <cols>
    <col min="1" max="1" width="19.6640625" style="34" customWidth="1"/>
    <col min="2" max="2" width="19.21875" style="34" customWidth="1"/>
    <col min="3" max="3" width="21" style="34" customWidth="1"/>
    <col min="4" max="4" width="15" style="34" customWidth="1"/>
    <col min="5" max="5" width="19.21875" style="34" customWidth="1"/>
    <col min="6" max="6" width="15.77734375" style="34" customWidth="1"/>
    <col min="7" max="7" width="17.33203125" style="34" customWidth="1"/>
    <col min="8" max="8" width="19.8867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1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5.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580</v>
      </c>
      <c r="C7" s="181">
        <v>5900</v>
      </c>
      <c r="D7" s="182"/>
      <c r="E7" s="2">
        <f t="shared" si="0"/>
        <v>3422000</v>
      </c>
      <c r="F7" s="2">
        <f t="shared" si="1"/>
        <v>522000</v>
      </c>
      <c r="G7" s="2">
        <f>PRODUCT(B7*50)</f>
        <v>29000</v>
      </c>
      <c r="H7" s="89">
        <f t="shared" si="2"/>
        <v>551000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19315</v>
      </c>
      <c r="C11" s="170">
        <v>2124</v>
      </c>
      <c r="D11" s="171"/>
      <c r="E11" s="4">
        <f t="shared" si="0"/>
        <v>41025060</v>
      </c>
      <c r="F11" s="4">
        <f t="shared" si="1"/>
        <v>6258060</v>
      </c>
      <c r="G11" s="4">
        <f>PRODUCT(B11*30)</f>
        <v>579450</v>
      </c>
      <c r="H11" s="90">
        <f t="shared" si="2"/>
        <v>6837510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3310</v>
      </c>
      <c r="C13" s="170">
        <v>1357</v>
      </c>
      <c r="D13" s="171"/>
      <c r="E13" s="4">
        <f t="shared" si="0"/>
        <v>4491670</v>
      </c>
      <c r="F13" s="4">
        <f t="shared" si="1"/>
        <v>685170</v>
      </c>
      <c r="G13" s="4">
        <f>PRODUCT(B13*20)</f>
        <v>66200</v>
      </c>
      <c r="H13" s="90">
        <f t="shared" si="2"/>
        <v>751370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2366</v>
      </c>
      <c r="C17" s="18">
        <v>1180</v>
      </c>
      <c r="D17" s="18">
        <v>20</v>
      </c>
      <c r="E17" s="11">
        <f>PRODUCT(B17*C17)</f>
        <v>2791880</v>
      </c>
      <c r="F17" s="8">
        <f t="shared" ref="F17:F36" si="3">PRODUCT(E17*18)/118</f>
        <v>425880</v>
      </c>
      <c r="G17" s="84">
        <f>PRODUCT(B17*D17)</f>
        <v>47320</v>
      </c>
      <c r="H17" s="92">
        <f>SUM(F17:G17)</f>
        <v>473200</v>
      </c>
      <c r="I17" s="233"/>
    </row>
    <row r="18" spans="1:9" ht="15" thickBot="1">
      <c r="A18" s="26" t="s">
        <v>99</v>
      </c>
      <c r="B18" s="19"/>
      <c r="C18" s="19"/>
      <c r="D18" s="19">
        <v>20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100</v>
      </c>
      <c r="B20" s="5"/>
      <c r="C20" s="5"/>
      <c r="D20" s="5">
        <v>354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51730610</v>
      </c>
      <c r="F37" s="16">
        <f>SUM(F5:F36)</f>
        <v>7891110</v>
      </c>
      <c r="G37" s="16">
        <f t="shared" ref="G37:H37" si="10">SUM(G5:G36)</f>
        <v>721970</v>
      </c>
      <c r="H37" s="16">
        <f t="shared" si="10"/>
        <v>8613080</v>
      </c>
      <c r="I37" s="233"/>
    </row>
    <row r="38" spans="1:9" ht="19.0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9.05" customHeight="1" thickBot="1">
      <c r="A39" s="195" t="s">
        <v>67</v>
      </c>
      <c r="B39" s="196"/>
      <c r="C39" s="46">
        <v>8926280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8926280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19315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580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3310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2366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25571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2" zoomScaleNormal="100" workbookViewId="0">
      <selection activeCell="C56" sqref="C56:D56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2.0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2.0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>
        <v>700</v>
      </c>
      <c r="C9" s="170">
        <v>2300</v>
      </c>
      <c r="D9" s="171"/>
      <c r="E9" s="4">
        <f t="shared" si="0"/>
        <v>1610000</v>
      </c>
      <c r="F9" s="4">
        <f t="shared" si="1"/>
        <v>245593.22033898305</v>
      </c>
      <c r="G9" s="4">
        <f>PRODUCT(B9*30)</f>
        <v>21000</v>
      </c>
      <c r="H9" s="90">
        <f t="shared" si="2"/>
        <v>266593.22033898305</v>
      </c>
      <c r="I9" s="218"/>
    </row>
    <row r="10" spans="1:9">
      <c r="A10" s="31" t="s">
        <v>47</v>
      </c>
      <c r="B10" s="3">
        <v>5320</v>
      </c>
      <c r="C10" s="170">
        <v>1800</v>
      </c>
      <c r="D10" s="171"/>
      <c r="E10" s="4">
        <f t="shared" si="0"/>
        <v>9576000</v>
      </c>
      <c r="F10" s="4">
        <f t="shared" si="1"/>
        <v>1460745.7627118644</v>
      </c>
      <c r="G10" s="4">
        <f>PRODUCT(B10*30)</f>
        <v>159600</v>
      </c>
      <c r="H10" s="90">
        <f t="shared" si="2"/>
        <v>1620345.7627118644</v>
      </c>
      <c r="I10" s="218"/>
    </row>
    <row r="11" spans="1:9">
      <c r="A11" s="32" t="s">
        <v>65</v>
      </c>
      <c r="B11" s="3">
        <v>200</v>
      </c>
      <c r="C11" s="170">
        <v>2500</v>
      </c>
      <c r="D11" s="171"/>
      <c r="E11" s="4">
        <f t="shared" si="0"/>
        <v>500000</v>
      </c>
      <c r="F11" s="4">
        <f t="shared" si="1"/>
        <v>76271.186440677964</v>
      </c>
      <c r="G11" s="4">
        <f>PRODUCT(B11*30)</f>
        <v>6000</v>
      </c>
      <c r="H11" s="90">
        <f t="shared" si="2"/>
        <v>82271.186440677964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100</v>
      </c>
      <c r="C13" s="170">
        <v>1200</v>
      </c>
      <c r="D13" s="171"/>
      <c r="E13" s="4">
        <f t="shared" si="0"/>
        <v>120000</v>
      </c>
      <c r="F13" s="4">
        <f t="shared" si="1"/>
        <v>18305.084745762713</v>
      </c>
      <c r="G13" s="4">
        <f>PRODUCT(B13*20)</f>
        <v>2000</v>
      </c>
      <c r="H13" s="90">
        <f t="shared" si="2"/>
        <v>20305.084745762713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s="34" customFormat="1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s="34" customFormat="1" ht="15" thickBot="1">
      <c r="A17" s="25" t="s">
        <v>62</v>
      </c>
      <c r="B17" s="18">
        <v>400</v>
      </c>
      <c r="C17" s="18">
        <v>800</v>
      </c>
      <c r="D17" s="18">
        <v>20</v>
      </c>
      <c r="E17" s="11">
        <f>PRODUCT(B17*C17)</f>
        <v>320000</v>
      </c>
      <c r="F17" s="8">
        <f t="shared" ref="F17:F36" si="3">PRODUCT(E17*18)/118</f>
        <v>48813.5593220339</v>
      </c>
      <c r="G17" s="84">
        <f>PRODUCT(B17*D17)</f>
        <v>8000</v>
      </c>
      <c r="H17" s="92">
        <f>SUM(F17:G17)</f>
        <v>56813.5593220339</v>
      </c>
      <c r="I17" s="218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s="34" customFormat="1" ht="15" thickBot="1">
      <c r="A21" s="28" t="s">
        <v>52</v>
      </c>
      <c r="B21" s="5">
        <v>7964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398200</v>
      </c>
      <c r="H21" s="93">
        <f t="shared" si="6"/>
        <v>398200</v>
      </c>
      <c r="I21" s="218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12126000</v>
      </c>
      <c r="F37" s="16">
        <f>SUM(F5:F36)</f>
        <v>1849728.8135593219</v>
      </c>
      <c r="G37" s="16">
        <f t="shared" ref="G37:H37" si="10">SUM(G5:G36)</f>
        <v>594800</v>
      </c>
      <c r="H37" s="16">
        <f t="shared" si="10"/>
        <v>2444528.8135593217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2444529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2444529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6220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100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400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6720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zoomScaleNormal="100" workbookViewId="0">
      <selection activeCell="C43" sqref="C43"/>
    </sheetView>
  </sheetViews>
  <sheetFormatPr defaultColWidth="8.77734375" defaultRowHeight="14.4"/>
  <cols>
    <col min="1" max="1" width="24.6640625" style="34" customWidth="1"/>
    <col min="2" max="2" width="15.77734375" style="34" customWidth="1"/>
    <col min="3" max="3" width="21.109375" style="34" customWidth="1"/>
    <col min="4" max="4" width="18.21875" style="34" customWidth="1"/>
    <col min="5" max="5" width="21.109375" style="34" customWidth="1"/>
    <col min="6" max="6" width="18.6640625" style="34" customWidth="1"/>
    <col min="7" max="7" width="20.21875" style="34" customWidth="1"/>
    <col min="8" max="8" width="17.4414062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34.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7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130</v>
      </c>
      <c r="C6" s="181">
        <v>7080</v>
      </c>
      <c r="D6" s="182"/>
      <c r="E6" s="2">
        <f t="shared" ref="E6:E14" si="0">PRODUCT(B6*C6)</f>
        <v>920400</v>
      </c>
      <c r="F6" s="2">
        <f t="shared" ref="F6:F14" si="1">PRODUCT(E6*18)/118</f>
        <v>140400</v>
      </c>
      <c r="G6" s="2">
        <f>PRODUCT(B6*50)</f>
        <v>6500</v>
      </c>
      <c r="H6" s="89">
        <f t="shared" ref="H6:H14" si="2">SUM(F6:G6)</f>
        <v>146900</v>
      </c>
      <c r="I6" s="233"/>
    </row>
    <row r="7" spans="1:9">
      <c r="A7" s="30" t="s">
        <v>44</v>
      </c>
      <c r="B7" s="1">
        <v>250</v>
      </c>
      <c r="C7" s="181">
        <v>7000</v>
      </c>
      <c r="D7" s="182"/>
      <c r="E7" s="2">
        <f t="shared" si="0"/>
        <v>1750000</v>
      </c>
      <c r="F7" s="2">
        <f t="shared" si="1"/>
        <v>266949.15254237287</v>
      </c>
      <c r="G7" s="2">
        <f>PRODUCT(B7*50)</f>
        <v>12500</v>
      </c>
      <c r="H7" s="89">
        <f t="shared" si="2"/>
        <v>279449.15254237287</v>
      </c>
      <c r="I7" s="233"/>
    </row>
    <row r="8" spans="1:9">
      <c r="A8" s="31" t="s">
        <v>45</v>
      </c>
      <c r="B8" s="3">
        <v>300</v>
      </c>
      <c r="C8" s="170">
        <v>6000</v>
      </c>
      <c r="D8" s="171"/>
      <c r="E8" s="4">
        <f t="shared" si="0"/>
        <v>1800000</v>
      </c>
      <c r="F8" s="4">
        <f t="shared" si="1"/>
        <v>274576.27118644066</v>
      </c>
      <c r="G8" s="4">
        <f>PRODUCT(B8*50)</f>
        <v>15000</v>
      </c>
      <c r="H8" s="90">
        <f t="shared" si="2"/>
        <v>289576.27118644066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8057</v>
      </c>
      <c r="C10" s="170">
        <v>2124</v>
      </c>
      <c r="D10" s="171"/>
      <c r="E10" s="4">
        <f t="shared" si="0"/>
        <v>17113068</v>
      </c>
      <c r="F10" s="4">
        <f t="shared" si="1"/>
        <v>2610468</v>
      </c>
      <c r="G10" s="4">
        <f>PRODUCT(B10*30)</f>
        <v>241710</v>
      </c>
      <c r="H10" s="90">
        <f t="shared" si="2"/>
        <v>2852178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595</v>
      </c>
      <c r="C13" s="170">
        <v>1200</v>
      </c>
      <c r="D13" s="171"/>
      <c r="E13" s="4">
        <f t="shared" si="0"/>
        <v>714000</v>
      </c>
      <c r="F13" s="4">
        <f t="shared" si="1"/>
        <v>108915.25423728813</v>
      </c>
      <c r="G13" s="4">
        <f>PRODUCT(B13*20)</f>
        <v>11900</v>
      </c>
      <c r="H13" s="90">
        <f t="shared" si="2"/>
        <v>120815.25423728813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45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63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108</v>
      </c>
      <c r="B19" s="5"/>
      <c r="C19" s="5"/>
      <c r="D19" s="5">
        <v>20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109</v>
      </c>
      <c r="B20" s="5"/>
      <c r="C20" s="5"/>
      <c r="D20" s="5">
        <v>266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65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>
        <v>145</v>
      </c>
      <c r="C22" s="5">
        <v>2000</v>
      </c>
      <c r="D22" s="5">
        <v>50</v>
      </c>
      <c r="E22" s="12">
        <f t="shared" si="4"/>
        <v>290000</v>
      </c>
      <c r="F22" s="9">
        <f t="shared" si="3"/>
        <v>44237.288135593219</v>
      </c>
      <c r="G22" s="85">
        <f t="shared" si="5"/>
        <v>7250</v>
      </c>
      <c r="H22" s="94">
        <f t="shared" si="6"/>
        <v>51487.288135593219</v>
      </c>
      <c r="I22" s="233"/>
    </row>
    <row r="23" spans="1:9" ht="15" thickBot="1">
      <c r="A23" s="28" t="s">
        <v>52</v>
      </c>
      <c r="B23" s="20">
        <v>150</v>
      </c>
      <c r="C23" s="20">
        <v>2500</v>
      </c>
      <c r="D23" s="20">
        <v>50</v>
      </c>
      <c r="E23" s="12">
        <f>PRODUCT(B23*C23)</f>
        <v>375000</v>
      </c>
      <c r="F23" s="9">
        <f t="shared" si="3"/>
        <v>57203.389830508473</v>
      </c>
      <c r="G23" s="7">
        <f>PRODUCT(B23*D23)</f>
        <v>7500</v>
      </c>
      <c r="H23" s="93">
        <f>SUM(F23:G23)</f>
        <v>64703.389830508473</v>
      </c>
      <c r="I23" s="233"/>
    </row>
    <row r="24" spans="1:9" ht="15" thickBot="1">
      <c r="A24" s="28" t="s">
        <v>52</v>
      </c>
      <c r="B24" s="19">
        <v>300</v>
      </c>
      <c r="C24" s="19">
        <v>900</v>
      </c>
      <c r="D24" s="19">
        <v>50</v>
      </c>
      <c r="E24" s="12">
        <f t="shared" ref="E24:E36" si="7">PRODUCT(B24*C24)</f>
        <v>270000</v>
      </c>
      <c r="F24" s="9">
        <f t="shared" si="3"/>
        <v>41186.4406779661</v>
      </c>
      <c r="G24" s="85">
        <f t="shared" ref="G24:G36" si="8">PRODUCT(B24*D24)</f>
        <v>15000</v>
      </c>
      <c r="H24" s="94">
        <f t="shared" ref="H24:H36" si="9">SUM(F24:G24)</f>
        <v>56186.4406779661</v>
      </c>
      <c r="I24" s="233"/>
    </row>
    <row r="25" spans="1:9" ht="15" thickBot="1">
      <c r="A25" s="28" t="s">
        <v>52</v>
      </c>
      <c r="B25" s="5">
        <v>456</v>
      </c>
      <c r="C25" s="5"/>
      <c r="D25" s="5">
        <v>266</v>
      </c>
      <c r="E25" s="12">
        <f t="shared" si="7"/>
        <v>0</v>
      </c>
      <c r="F25" s="9">
        <f t="shared" si="3"/>
        <v>0</v>
      </c>
      <c r="G25" s="7">
        <f t="shared" si="8"/>
        <v>121296</v>
      </c>
      <c r="H25" s="93">
        <f t="shared" si="9"/>
        <v>121296</v>
      </c>
      <c r="I25" s="233"/>
    </row>
    <row r="26" spans="1:9" ht="15" thickBot="1">
      <c r="A26" s="28" t="s">
        <v>52</v>
      </c>
      <c r="B26" s="5">
        <v>3</v>
      </c>
      <c r="C26" s="5"/>
      <c r="D26" s="5">
        <v>200</v>
      </c>
      <c r="E26" s="12">
        <f t="shared" si="7"/>
        <v>0</v>
      </c>
      <c r="F26" s="9">
        <f t="shared" si="3"/>
        <v>0</v>
      </c>
      <c r="G26" s="84">
        <f t="shared" si="8"/>
        <v>600</v>
      </c>
      <c r="H26" s="92">
        <f t="shared" si="9"/>
        <v>600</v>
      </c>
      <c r="I26" s="233"/>
    </row>
    <row r="27" spans="1:9" ht="15" thickBot="1">
      <c r="A27" s="28" t="s">
        <v>52</v>
      </c>
      <c r="B27" s="5">
        <v>168</v>
      </c>
      <c r="C27" s="5"/>
      <c r="D27" s="5">
        <v>354</v>
      </c>
      <c r="E27" s="12">
        <f t="shared" si="7"/>
        <v>0</v>
      </c>
      <c r="F27" s="9">
        <f t="shared" si="3"/>
        <v>0</v>
      </c>
      <c r="G27" s="7">
        <f t="shared" si="8"/>
        <v>59472</v>
      </c>
      <c r="H27" s="93">
        <f t="shared" si="9"/>
        <v>59472</v>
      </c>
      <c r="I27" s="233"/>
    </row>
    <row r="28" spans="1:9" ht="15" thickBot="1">
      <c r="A28" s="29" t="s">
        <v>52</v>
      </c>
      <c r="B28" s="87">
        <v>7725</v>
      </c>
      <c r="C28" s="87">
        <v>1416</v>
      </c>
      <c r="D28" s="87">
        <v>50</v>
      </c>
      <c r="E28" s="17">
        <f t="shared" si="7"/>
        <v>10938600</v>
      </c>
      <c r="F28" s="13">
        <f t="shared" si="3"/>
        <v>1668600</v>
      </c>
      <c r="G28" s="86">
        <f t="shared" si="8"/>
        <v>386250</v>
      </c>
      <c r="H28" s="95">
        <f t="shared" si="9"/>
        <v>2054850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34171068</v>
      </c>
      <c r="F37" s="16">
        <f>SUM(F5:F36)</f>
        <v>5212535.7966101691</v>
      </c>
      <c r="G37" s="16">
        <f t="shared" ref="G37:H37" si="10">SUM(G5:G36)</f>
        <v>884978</v>
      </c>
      <c r="H37" s="16">
        <f t="shared" si="10"/>
        <v>6097513.7966101691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4.55" customHeight="1" thickBot="1">
      <c r="A39" s="195" t="s">
        <v>67</v>
      </c>
      <c r="B39" s="196"/>
      <c r="C39" s="46">
        <v>6097514</v>
      </c>
      <c r="D39" s="49"/>
      <c r="E39" s="187"/>
      <c r="F39" s="187"/>
      <c r="G39" s="52"/>
      <c r="H39" s="98"/>
      <c r="I39" s="233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>
        <v>645430</v>
      </c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6742944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8.95" customHeight="1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5" customHeight="1" thickBot="1">
      <c r="A49" s="226"/>
      <c r="B49" s="227"/>
      <c r="C49" s="201" t="s">
        <v>60</v>
      </c>
      <c r="D49" s="202"/>
      <c r="E49" s="211">
        <f>SUM(B9:B12)</f>
        <v>8057</v>
      </c>
      <c r="F49" s="212"/>
      <c r="G49" s="212"/>
      <c r="H49" s="212"/>
      <c r="I49" s="233"/>
    </row>
    <row r="50" spans="1:9" ht="19.05" customHeight="1" thickBot="1">
      <c r="A50" s="228"/>
      <c r="B50" s="229"/>
      <c r="C50" s="201" t="s">
        <v>45</v>
      </c>
      <c r="D50" s="202"/>
      <c r="E50" s="211">
        <f>SUM(B6:B8)</f>
        <v>680</v>
      </c>
      <c r="F50" s="212"/>
      <c r="G50" s="212"/>
      <c r="H50" s="212"/>
      <c r="I50" s="233"/>
    </row>
    <row r="51" spans="1:9" ht="19.05" customHeight="1" thickBot="1">
      <c r="A51" s="228"/>
      <c r="B51" s="229"/>
      <c r="C51" s="201" t="s">
        <v>61</v>
      </c>
      <c r="D51" s="202"/>
      <c r="E51" s="211">
        <f>SUM(B13:B14)</f>
        <v>595</v>
      </c>
      <c r="F51" s="212"/>
      <c r="G51" s="212"/>
      <c r="H51" s="212"/>
      <c r="I51" s="233"/>
    </row>
    <row r="52" spans="1:9" ht="19.05" customHeight="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9.05" customHeight="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9.05" customHeight="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9.05" customHeight="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9.05" customHeight="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9.05" customHeight="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9.05" customHeight="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9.05" customHeight="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9.05" customHeight="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9.05" customHeight="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9332</v>
      </c>
      <c r="F62" s="169"/>
      <c r="G62" s="169"/>
      <c r="H62" s="169"/>
      <c r="I62" s="233"/>
    </row>
    <row r="63" spans="1:9" ht="19.05" customHeight="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4.55" customHeight="1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C48" sqref="C48:D48"/>
    </sheetView>
  </sheetViews>
  <sheetFormatPr defaultColWidth="8.77734375" defaultRowHeight="14.4"/>
  <cols>
    <col min="1" max="1" width="19.77734375" style="34" customWidth="1"/>
    <col min="2" max="2" width="14.33203125" style="34" customWidth="1"/>
    <col min="3" max="3" width="20" style="34" customWidth="1"/>
    <col min="4" max="4" width="14.21875" style="34" customWidth="1"/>
    <col min="5" max="5" width="20.109375" style="34" customWidth="1"/>
    <col min="6" max="6" width="15.21875" style="34" customWidth="1"/>
    <col min="7" max="7" width="16.21875" style="34" customWidth="1"/>
    <col min="8" max="8" width="19.8867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1.4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4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70</v>
      </c>
      <c r="C6" s="181">
        <v>8000</v>
      </c>
      <c r="D6" s="182"/>
      <c r="E6" s="2">
        <f t="shared" ref="E6:E14" si="0">PRODUCT(B6*C6)</f>
        <v>560000</v>
      </c>
      <c r="F6" s="2">
        <f t="shared" ref="F6:F14" si="1">PRODUCT(E6*18)/118</f>
        <v>85423.728813559326</v>
      </c>
      <c r="G6" s="2">
        <f>PRODUCT(B6*50)</f>
        <v>3500</v>
      </c>
      <c r="H6" s="89">
        <f t="shared" ref="H6:H14" si="2">SUM(F6:G6)</f>
        <v>88923.728813559326</v>
      </c>
      <c r="I6" s="218"/>
    </row>
    <row r="7" spans="1:9">
      <c r="A7" s="30" t="s">
        <v>89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>
        <v>500</v>
      </c>
      <c r="C11" s="170">
        <v>2500</v>
      </c>
      <c r="D11" s="171"/>
      <c r="E11" s="4">
        <f t="shared" si="0"/>
        <v>1250000</v>
      </c>
      <c r="F11" s="4">
        <f t="shared" si="1"/>
        <v>190677.96610169491</v>
      </c>
      <c r="G11" s="4">
        <f>PRODUCT(B11*30)</f>
        <v>15000</v>
      </c>
      <c r="H11" s="90">
        <f t="shared" si="2"/>
        <v>205677.96610169491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45</v>
      </c>
      <c r="B17" s="18"/>
      <c r="C17" s="18">
        <v>8000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45</v>
      </c>
      <c r="B18" s="19">
        <v>90</v>
      </c>
      <c r="C18" s="19">
        <v>2300</v>
      </c>
      <c r="D18" s="19">
        <v>30</v>
      </c>
      <c r="E18" s="12">
        <f t="shared" ref="E18:E22" si="4">PRODUCT(B18*C18)</f>
        <v>207000</v>
      </c>
      <c r="F18" s="9">
        <f t="shared" si="3"/>
        <v>31576.271186440677</v>
      </c>
      <c r="G18" s="7">
        <f t="shared" ref="G18:G22" si="5">PRODUCT(B18*D18)</f>
        <v>2700</v>
      </c>
      <c r="H18" s="93">
        <f t="shared" ref="H18:H22" si="6">SUM(F18:G18)</f>
        <v>34276.271186440674</v>
      </c>
      <c r="I18" s="218"/>
    </row>
    <row r="19" spans="1:9" ht="15" thickBot="1">
      <c r="A19" s="27" t="s">
        <v>124</v>
      </c>
      <c r="B19" s="5"/>
      <c r="C19" s="5">
        <v>2124</v>
      </c>
      <c r="D19" s="5">
        <v>30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65</v>
      </c>
      <c r="B20" s="5">
        <v>9579</v>
      </c>
      <c r="C20" s="5">
        <v>2124</v>
      </c>
      <c r="D20" s="5">
        <v>40</v>
      </c>
      <c r="E20" s="12">
        <f t="shared" si="4"/>
        <v>20345796</v>
      </c>
      <c r="F20" s="9">
        <f t="shared" si="3"/>
        <v>3103596</v>
      </c>
      <c r="G20" s="85">
        <f t="shared" si="5"/>
        <v>383160</v>
      </c>
      <c r="H20" s="94">
        <f t="shared" si="6"/>
        <v>3486756</v>
      </c>
      <c r="I20" s="218"/>
    </row>
    <row r="21" spans="1:9" ht="15" thickBot="1">
      <c r="A21" s="28" t="s">
        <v>125</v>
      </c>
      <c r="B21" s="5">
        <v>2795</v>
      </c>
      <c r="C21" s="5">
        <v>1357</v>
      </c>
      <c r="D21" s="5">
        <v>30</v>
      </c>
      <c r="E21" s="12">
        <f t="shared" si="4"/>
        <v>3792815</v>
      </c>
      <c r="F21" s="9">
        <f t="shared" si="3"/>
        <v>578565</v>
      </c>
      <c r="G21" s="7">
        <f t="shared" si="5"/>
        <v>83850</v>
      </c>
      <c r="H21" s="93">
        <f t="shared" si="6"/>
        <v>662415</v>
      </c>
      <c r="I21" s="218"/>
    </row>
    <row r="22" spans="1:9" ht="15" thickBot="1">
      <c r="A22" s="28" t="s">
        <v>59</v>
      </c>
      <c r="B22" s="5">
        <v>2775</v>
      </c>
      <c r="C22" s="5">
        <v>1357</v>
      </c>
      <c r="D22" s="5">
        <v>20</v>
      </c>
      <c r="E22" s="12">
        <f t="shared" si="4"/>
        <v>3765675</v>
      </c>
      <c r="F22" s="9">
        <f t="shared" si="3"/>
        <v>574425</v>
      </c>
      <c r="G22" s="85">
        <f t="shared" si="5"/>
        <v>55500</v>
      </c>
      <c r="H22" s="94">
        <f t="shared" si="6"/>
        <v>629925</v>
      </c>
      <c r="I22" s="218"/>
    </row>
    <row r="23" spans="1:9" ht="15" thickBot="1">
      <c r="A23" s="28" t="s">
        <v>118</v>
      </c>
      <c r="B23" s="20">
        <v>285</v>
      </c>
      <c r="C23" s="20">
        <v>1000</v>
      </c>
      <c r="D23" s="20">
        <v>40</v>
      </c>
      <c r="E23" s="12">
        <f>PRODUCT(B23*C23)</f>
        <v>285000</v>
      </c>
      <c r="F23" s="9">
        <f t="shared" si="3"/>
        <v>43474.576271186437</v>
      </c>
      <c r="G23" s="7">
        <f>PRODUCT(B23*D23)</f>
        <v>11400</v>
      </c>
      <c r="H23" s="93">
        <f>SUM(F23:G23)</f>
        <v>54874.576271186437</v>
      </c>
      <c r="I23" s="218"/>
    </row>
    <row r="24" spans="1:9" ht="15" thickBot="1">
      <c r="A24" s="28" t="s">
        <v>126</v>
      </c>
      <c r="B24" s="19">
        <v>80</v>
      </c>
      <c r="C24" s="19">
        <v>2500</v>
      </c>
      <c r="D24" s="19">
        <v>40</v>
      </c>
      <c r="E24" s="12">
        <f t="shared" ref="E24:E36" si="7">PRODUCT(B24*C24)</f>
        <v>200000</v>
      </c>
      <c r="F24" s="9">
        <f t="shared" si="3"/>
        <v>30508.474576271186</v>
      </c>
      <c r="G24" s="85">
        <f t="shared" ref="G24:G36" si="8">PRODUCT(B24*D24)</f>
        <v>3200</v>
      </c>
      <c r="H24" s="94">
        <f t="shared" ref="H24:H36" si="9">SUM(F24:G24)</f>
        <v>33708.474576271183</v>
      </c>
      <c r="I24" s="218"/>
    </row>
    <row r="25" spans="1:9" ht="15" thickBot="1">
      <c r="A25" s="28" t="s">
        <v>59</v>
      </c>
      <c r="B25" s="5">
        <v>80</v>
      </c>
      <c r="C25" s="5">
        <v>1700</v>
      </c>
      <c r="D25" s="5">
        <v>30</v>
      </c>
      <c r="E25" s="12">
        <f t="shared" si="7"/>
        <v>136000</v>
      </c>
      <c r="F25" s="9">
        <f t="shared" si="3"/>
        <v>20745.762711864405</v>
      </c>
      <c r="G25" s="7">
        <f t="shared" si="8"/>
        <v>2400</v>
      </c>
      <c r="H25" s="93">
        <f t="shared" si="9"/>
        <v>23145.762711864405</v>
      </c>
      <c r="I25" s="218"/>
    </row>
    <row r="26" spans="1:9" ht="15" thickBot="1">
      <c r="A26" s="28" t="s">
        <v>63</v>
      </c>
      <c r="B26" s="5">
        <v>450</v>
      </c>
      <c r="C26" s="5">
        <v>1500</v>
      </c>
      <c r="D26" s="5">
        <v>40</v>
      </c>
      <c r="E26" s="12">
        <f t="shared" si="7"/>
        <v>675000</v>
      </c>
      <c r="F26" s="9">
        <f t="shared" si="3"/>
        <v>102966.10169491525</v>
      </c>
      <c r="G26" s="84">
        <f t="shared" si="8"/>
        <v>18000</v>
      </c>
      <c r="H26" s="92">
        <f t="shared" si="9"/>
        <v>120966.10169491525</v>
      </c>
      <c r="I26" s="218"/>
    </row>
    <row r="27" spans="1:9" ht="15" thickBot="1">
      <c r="A27" s="28" t="s">
        <v>52</v>
      </c>
      <c r="B27" s="5">
        <v>4617</v>
      </c>
      <c r="C27" s="5"/>
      <c r="D27" s="5">
        <v>100</v>
      </c>
      <c r="E27" s="12">
        <f t="shared" si="7"/>
        <v>0</v>
      </c>
      <c r="F27" s="9">
        <f t="shared" si="3"/>
        <v>0</v>
      </c>
      <c r="G27" s="7">
        <f t="shared" si="8"/>
        <v>461700</v>
      </c>
      <c r="H27" s="93">
        <f t="shared" si="9"/>
        <v>461700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31217286</v>
      </c>
      <c r="F37" s="16">
        <f>SUM(F5:F36)</f>
        <v>4761958.881355932</v>
      </c>
      <c r="G37" s="16">
        <f t="shared" ref="G37:H37" si="10">SUM(G5:G36)</f>
        <v>1040410</v>
      </c>
      <c r="H37" s="16">
        <f t="shared" si="10"/>
        <v>5802368.881355932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4.55" customHeight="1" thickBot="1">
      <c r="A39" s="195" t="s">
        <v>67</v>
      </c>
      <c r="B39" s="196"/>
      <c r="C39" s="46">
        <v>5802369</v>
      </c>
      <c r="D39" s="49"/>
      <c r="E39" s="187"/>
      <c r="F39" s="187"/>
      <c r="G39" s="52"/>
      <c r="H39" s="98"/>
      <c r="I39" s="218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5802369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500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70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90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9579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10239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F4" workbookViewId="0">
      <selection activeCell="C41" sqref="C41"/>
    </sheetView>
  </sheetViews>
  <sheetFormatPr defaultColWidth="8.77734375" defaultRowHeight="14.4"/>
  <cols>
    <col min="1" max="1" width="19.77734375" style="34" customWidth="1"/>
    <col min="2" max="2" width="14.44140625" style="34" customWidth="1"/>
    <col min="3" max="3" width="24" style="34" customWidth="1"/>
    <col min="4" max="4" width="18.109375" style="34" customWidth="1"/>
    <col min="5" max="5" width="20.6640625" style="34" customWidth="1"/>
    <col min="6" max="6" width="22.88671875" style="34" customWidth="1"/>
    <col min="7" max="7" width="21.21875" style="34" customWidth="1"/>
    <col min="8" max="8" width="19.8867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1002</v>
      </c>
      <c r="C6" s="181">
        <v>8850</v>
      </c>
      <c r="D6" s="182"/>
      <c r="E6" s="2">
        <f t="shared" ref="E6:E14" si="0">PRODUCT(B6*C6)</f>
        <v>8867700</v>
      </c>
      <c r="F6" s="2">
        <f t="shared" ref="F6:F14" si="1">PRODUCT(E6*18)/118</f>
        <v>1352700</v>
      </c>
      <c r="G6" s="2">
        <f>PRODUCT(B6*50)</f>
        <v>50100</v>
      </c>
      <c r="H6" s="89">
        <f t="shared" ref="H6:H14" si="2">SUM(F6:G6)</f>
        <v>1402800</v>
      </c>
      <c r="I6" s="233"/>
    </row>
    <row r="7" spans="1:9">
      <c r="A7" s="30" t="s">
        <v>45</v>
      </c>
      <c r="B7" s="1"/>
      <c r="C7" s="181">
        <v>2360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29357</v>
      </c>
      <c r="C10" s="170">
        <v>2360</v>
      </c>
      <c r="D10" s="171"/>
      <c r="E10" s="4">
        <f t="shared" si="0"/>
        <v>69282520</v>
      </c>
      <c r="F10" s="4">
        <f t="shared" si="1"/>
        <v>10568520</v>
      </c>
      <c r="G10" s="4">
        <f>PRODUCT(B10*30)</f>
        <v>880710</v>
      </c>
      <c r="H10" s="90">
        <f t="shared" si="2"/>
        <v>11449230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3257</v>
      </c>
      <c r="C13" s="170">
        <v>1534</v>
      </c>
      <c r="D13" s="171"/>
      <c r="E13" s="4">
        <f t="shared" si="0"/>
        <v>4996238</v>
      </c>
      <c r="F13" s="4">
        <f t="shared" si="1"/>
        <v>762138</v>
      </c>
      <c r="G13" s="4">
        <f>PRODUCT(B13*20)</f>
        <v>65140</v>
      </c>
      <c r="H13" s="90">
        <f t="shared" si="2"/>
        <v>827278</v>
      </c>
      <c r="I13" s="233"/>
    </row>
    <row r="14" spans="1:9" ht="15" thickBot="1">
      <c r="A14" s="33" t="s">
        <v>120</v>
      </c>
      <c r="B14" s="3">
        <v>300</v>
      </c>
      <c r="C14" s="170">
        <v>1770</v>
      </c>
      <c r="D14" s="171"/>
      <c r="E14" s="4">
        <f t="shared" si="0"/>
        <v>531000</v>
      </c>
      <c r="F14" s="4">
        <f t="shared" si="1"/>
        <v>81000</v>
      </c>
      <c r="G14" s="4">
        <f>PRODUCT(B14*20)</f>
        <v>6000</v>
      </c>
      <c r="H14" s="90">
        <f t="shared" si="2"/>
        <v>87000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1877</v>
      </c>
      <c r="C17" s="18">
        <v>1770</v>
      </c>
      <c r="D17" s="18">
        <v>50</v>
      </c>
      <c r="E17" s="11">
        <f>PRODUCT(B17*C17)</f>
        <v>3322290</v>
      </c>
      <c r="F17" s="8">
        <f t="shared" ref="F17:F36" si="3">PRODUCT(E17*18)/118</f>
        <v>506790</v>
      </c>
      <c r="G17" s="84">
        <f>PRODUCT(B17*D17)</f>
        <v>93850</v>
      </c>
      <c r="H17" s="92">
        <f>SUM(F17:G17)</f>
        <v>600640</v>
      </c>
      <c r="I17" s="233"/>
    </row>
    <row r="18" spans="1:9" ht="15" thickBot="1">
      <c r="A18" s="26" t="s">
        <v>65</v>
      </c>
      <c r="B18" s="19">
        <v>513</v>
      </c>
      <c r="C18" s="19"/>
      <c r="D18" s="19">
        <v>390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200070</v>
      </c>
      <c r="H18" s="93">
        <f t="shared" ref="H18:H22" si="6">SUM(F18:G18)</f>
        <v>200070</v>
      </c>
      <c r="I18" s="233"/>
    </row>
    <row r="19" spans="1:9" ht="15" thickBot="1">
      <c r="A19" s="27" t="s">
        <v>89</v>
      </c>
      <c r="B19" s="5">
        <v>1500</v>
      </c>
      <c r="C19" s="5">
        <v>2360</v>
      </c>
      <c r="D19" s="5">
        <v>50</v>
      </c>
      <c r="E19" s="12">
        <f t="shared" si="4"/>
        <v>3540000</v>
      </c>
      <c r="F19" s="9">
        <f t="shared" si="3"/>
        <v>540000</v>
      </c>
      <c r="G19" s="7">
        <f t="shared" si="5"/>
        <v>75000</v>
      </c>
      <c r="H19" s="93">
        <f t="shared" si="6"/>
        <v>615000</v>
      </c>
      <c r="I19" s="233"/>
    </row>
    <row r="20" spans="1:9" ht="15" thickBot="1">
      <c r="A20" s="27" t="s">
        <v>103</v>
      </c>
      <c r="B20" s="5">
        <v>450</v>
      </c>
      <c r="C20" s="5">
        <v>1180</v>
      </c>
      <c r="D20" s="5">
        <v>20</v>
      </c>
      <c r="E20" s="12">
        <f t="shared" si="4"/>
        <v>531000</v>
      </c>
      <c r="F20" s="9">
        <f t="shared" si="3"/>
        <v>81000</v>
      </c>
      <c r="G20" s="85">
        <f t="shared" si="5"/>
        <v>9000</v>
      </c>
      <c r="H20" s="94">
        <f t="shared" si="6"/>
        <v>90000</v>
      </c>
      <c r="I20" s="233"/>
    </row>
    <row r="21" spans="1:9" ht="15" thickBot="1">
      <c r="A21" s="28" t="s">
        <v>59</v>
      </c>
      <c r="B21" s="5">
        <v>2</v>
      </c>
      <c r="C21" s="5"/>
      <c r="D21" s="5">
        <v>254</v>
      </c>
      <c r="E21" s="12">
        <f t="shared" si="4"/>
        <v>0</v>
      </c>
      <c r="F21" s="9">
        <f t="shared" si="3"/>
        <v>0</v>
      </c>
      <c r="G21" s="7">
        <f t="shared" si="5"/>
        <v>508</v>
      </c>
      <c r="H21" s="93">
        <f t="shared" si="6"/>
        <v>508</v>
      </c>
      <c r="I21" s="233"/>
    </row>
    <row r="22" spans="1:9" ht="15" thickBot="1">
      <c r="A22" s="28" t="s">
        <v>121</v>
      </c>
      <c r="B22" s="5">
        <v>10</v>
      </c>
      <c r="C22" s="5">
        <v>11800</v>
      </c>
      <c r="D22" s="5">
        <v>1000</v>
      </c>
      <c r="E22" s="12">
        <f t="shared" si="4"/>
        <v>118000</v>
      </c>
      <c r="F22" s="9">
        <f t="shared" si="3"/>
        <v>18000</v>
      </c>
      <c r="G22" s="85">
        <f t="shared" si="5"/>
        <v>10000</v>
      </c>
      <c r="H22" s="94">
        <f t="shared" si="6"/>
        <v>28000</v>
      </c>
      <c r="I22" s="233"/>
    </row>
    <row r="23" spans="1:9" ht="15" thickBot="1">
      <c r="A23" s="28" t="s">
        <v>89</v>
      </c>
      <c r="B23" s="20">
        <v>147</v>
      </c>
      <c r="C23" s="20"/>
      <c r="D23" s="20">
        <v>320</v>
      </c>
      <c r="E23" s="12">
        <f>PRODUCT(B23*C23)</f>
        <v>0</v>
      </c>
      <c r="F23" s="9">
        <f t="shared" si="3"/>
        <v>0</v>
      </c>
      <c r="G23" s="7">
        <f>PRODUCT(B23*D23)</f>
        <v>47040</v>
      </c>
      <c r="H23" s="93">
        <f>SUM(F23:G23)</f>
        <v>47040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91188748</v>
      </c>
      <c r="F37" s="16">
        <f>SUM(F5:F36)</f>
        <v>13910148</v>
      </c>
      <c r="G37" s="16">
        <f t="shared" ref="G37:H37" si="10">SUM(G5:G36)</f>
        <v>1437418</v>
      </c>
      <c r="H37" s="16">
        <f t="shared" si="10"/>
        <v>15347566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14347566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>
        <v>1000000</v>
      </c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15347566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29357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1002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3557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2390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1950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38256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zoomScaleNormal="100" workbookViewId="0">
      <selection activeCell="C41" sqref="C41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9.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815</v>
      </c>
      <c r="C6" s="181">
        <v>8850</v>
      </c>
      <c r="D6" s="182"/>
      <c r="E6" s="2">
        <f t="shared" ref="E6:E14" si="0">PRODUCT(B6*C6)</f>
        <v>7212750</v>
      </c>
      <c r="F6" s="2">
        <f t="shared" ref="F6:F14" si="1">PRODUCT(E6*18)/118</f>
        <v>1100250</v>
      </c>
      <c r="G6" s="2">
        <f>PRODUCT(B6*50)</f>
        <v>40750</v>
      </c>
      <c r="H6" s="89">
        <f t="shared" ref="H6:H14" si="2">SUM(F6:G6)</f>
        <v>1141000</v>
      </c>
      <c r="I6" s="218"/>
    </row>
    <row r="7" spans="1:9">
      <c r="A7" s="30" t="s">
        <v>44</v>
      </c>
      <c r="B7" s="1">
        <v>6000</v>
      </c>
      <c r="C7" s="181">
        <v>1300</v>
      </c>
      <c r="D7" s="182"/>
      <c r="E7" s="2">
        <f t="shared" si="0"/>
        <v>7800000</v>
      </c>
      <c r="F7" s="2">
        <f t="shared" si="1"/>
        <v>1189830.5084745763</v>
      </c>
      <c r="G7" s="2">
        <f>PRODUCT(B7*50)</f>
        <v>300000</v>
      </c>
      <c r="H7" s="89">
        <f t="shared" si="2"/>
        <v>1489830.5084745763</v>
      </c>
      <c r="I7" s="218"/>
    </row>
    <row r="8" spans="1:9">
      <c r="A8" s="31" t="s">
        <v>89</v>
      </c>
      <c r="B8" s="3">
        <v>6</v>
      </c>
      <c r="C8" s="170">
        <v>60000</v>
      </c>
      <c r="D8" s="171"/>
      <c r="E8" s="4">
        <f t="shared" si="0"/>
        <v>360000</v>
      </c>
      <c r="F8" s="4">
        <f t="shared" si="1"/>
        <v>54915.254237288136</v>
      </c>
      <c r="G8" s="4">
        <f>PRODUCT(B8*50)</f>
        <v>300</v>
      </c>
      <c r="H8" s="90">
        <f t="shared" si="2"/>
        <v>55215.254237288136</v>
      </c>
      <c r="I8" s="218"/>
    </row>
    <row r="9" spans="1:9">
      <c r="A9" s="31" t="s">
        <v>46</v>
      </c>
      <c r="B9" s="3">
        <v>40</v>
      </c>
      <c r="C9" s="170">
        <v>4700</v>
      </c>
      <c r="D9" s="171"/>
      <c r="E9" s="4">
        <f t="shared" si="0"/>
        <v>188000</v>
      </c>
      <c r="F9" s="4">
        <f t="shared" si="1"/>
        <v>28677.966101694914</v>
      </c>
      <c r="G9" s="4">
        <f>PRODUCT(B9*30)</f>
        <v>1200</v>
      </c>
      <c r="H9" s="90">
        <f t="shared" si="2"/>
        <v>29877.966101694914</v>
      </c>
      <c r="I9" s="218"/>
    </row>
    <row r="10" spans="1:9">
      <c r="A10" s="31" t="s">
        <v>47</v>
      </c>
      <c r="B10" s="3">
        <v>18130</v>
      </c>
      <c r="C10" s="170">
        <v>2124</v>
      </c>
      <c r="D10" s="171"/>
      <c r="E10" s="4">
        <f t="shared" si="0"/>
        <v>38508120</v>
      </c>
      <c r="F10" s="4">
        <f t="shared" si="1"/>
        <v>5874120</v>
      </c>
      <c r="G10" s="4">
        <f>PRODUCT(B10*30)</f>
        <v>543900</v>
      </c>
      <c r="H10" s="90">
        <f t="shared" si="2"/>
        <v>6418020</v>
      </c>
      <c r="I10" s="218"/>
    </row>
    <row r="11" spans="1:9">
      <c r="A11" s="32" t="s">
        <v>65</v>
      </c>
      <c r="B11" s="3">
        <v>20</v>
      </c>
      <c r="C11" s="170">
        <v>4500</v>
      </c>
      <c r="D11" s="171"/>
      <c r="E11" s="4">
        <f t="shared" si="0"/>
        <v>90000</v>
      </c>
      <c r="F11" s="4">
        <f t="shared" si="1"/>
        <v>13728.813559322034</v>
      </c>
      <c r="G11" s="4">
        <f>PRODUCT(B11*30)</f>
        <v>600</v>
      </c>
      <c r="H11" s="90">
        <f t="shared" si="2"/>
        <v>14328.813559322034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3090</v>
      </c>
      <c r="C13" s="170">
        <v>944</v>
      </c>
      <c r="D13" s="171"/>
      <c r="E13" s="4">
        <f t="shared" si="0"/>
        <v>2916960</v>
      </c>
      <c r="F13" s="4">
        <f t="shared" si="1"/>
        <v>444960</v>
      </c>
      <c r="G13" s="4">
        <f>PRODUCT(B13*20)</f>
        <v>61800</v>
      </c>
      <c r="H13" s="90">
        <f t="shared" si="2"/>
        <v>506760</v>
      </c>
      <c r="I13" s="218"/>
    </row>
    <row r="14" spans="1:9" ht="15" thickBot="1">
      <c r="A14" s="33" t="s">
        <v>99</v>
      </c>
      <c r="B14" s="3">
        <v>3114</v>
      </c>
      <c r="C14" s="170">
        <v>1180</v>
      </c>
      <c r="D14" s="171"/>
      <c r="E14" s="4">
        <f t="shared" si="0"/>
        <v>3674520</v>
      </c>
      <c r="F14" s="4">
        <f t="shared" si="1"/>
        <v>560520</v>
      </c>
      <c r="G14" s="4">
        <f>PRODUCT(B14*20)</f>
        <v>62280</v>
      </c>
      <c r="H14" s="90">
        <f t="shared" si="2"/>
        <v>622800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104</v>
      </c>
      <c r="B17" s="18">
        <v>1120</v>
      </c>
      <c r="C17" s="18">
        <v>2360</v>
      </c>
      <c r="D17" s="18">
        <v>25</v>
      </c>
      <c r="E17" s="11">
        <f>PRODUCT(B17*C17)</f>
        <v>2643200</v>
      </c>
      <c r="F17" s="8">
        <f t="shared" ref="F17:F36" si="3">PRODUCT(E17*18)/118</f>
        <v>403200</v>
      </c>
      <c r="G17" s="84">
        <f>PRODUCT(B17*D17)</f>
        <v>28000</v>
      </c>
      <c r="H17" s="92">
        <f>SUM(F17:G17)</f>
        <v>431200</v>
      </c>
      <c r="I17" s="218"/>
    </row>
    <row r="18" spans="1:9" ht="15" thickBot="1">
      <c r="A18" s="26" t="s">
        <v>105</v>
      </c>
      <c r="B18" s="19">
        <v>2510</v>
      </c>
      <c r="C18" s="19">
        <v>1770</v>
      </c>
      <c r="D18" s="19">
        <v>25</v>
      </c>
      <c r="E18" s="12">
        <f t="shared" ref="E18:E22" si="4">PRODUCT(B18*C18)</f>
        <v>4442700</v>
      </c>
      <c r="F18" s="9">
        <f t="shared" si="3"/>
        <v>677700</v>
      </c>
      <c r="G18" s="7">
        <f t="shared" ref="G18:G22" si="5">PRODUCT(B18*D18)</f>
        <v>62750</v>
      </c>
      <c r="H18" s="93">
        <f t="shared" ref="H18:H22" si="6">SUM(F18:G18)</f>
        <v>740450</v>
      </c>
      <c r="I18" s="218"/>
    </row>
    <row r="19" spans="1:9" ht="15" thickBot="1">
      <c r="A19" s="27" t="s">
        <v>59</v>
      </c>
      <c r="B19" s="5">
        <v>10</v>
      </c>
      <c r="C19" s="5">
        <v>2500</v>
      </c>
      <c r="D19" s="5">
        <v>20</v>
      </c>
      <c r="E19" s="12">
        <f t="shared" si="4"/>
        <v>25000</v>
      </c>
      <c r="F19" s="9">
        <f t="shared" si="3"/>
        <v>3813.5593220338983</v>
      </c>
      <c r="G19" s="7">
        <f t="shared" si="5"/>
        <v>200</v>
      </c>
      <c r="H19" s="93">
        <f t="shared" si="6"/>
        <v>4013.5593220338983</v>
      </c>
      <c r="I19" s="218"/>
    </row>
    <row r="20" spans="1:9" ht="15" thickBot="1">
      <c r="A20" s="27" t="s">
        <v>63</v>
      </c>
      <c r="B20" s="5"/>
      <c r="C20" s="5">
        <v>60000</v>
      </c>
      <c r="D20" s="5">
        <v>50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99</v>
      </c>
      <c r="B21" s="5"/>
      <c r="C21" s="5">
        <v>1180</v>
      </c>
      <c r="D21" s="5">
        <v>20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97</v>
      </c>
      <c r="B22" s="5">
        <v>230</v>
      </c>
      <c r="C22" s="5">
        <v>1180</v>
      </c>
      <c r="D22" s="5">
        <v>20</v>
      </c>
      <c r="E22" s="12">
        <f t="shared" si="4"/>
        <v>271400</v>
      </c>
      <c r="F22" s="9">
        <f t="shared" si="3"/>
        <v>41400</v>
      </c>
      <c r="G22" s="85">
        <f t="shared" si="5"/>
        <v>4600</v>
      </c>
      <c r="H22" s="94">
        <f t="shared" si="6"/>
        <v>46000</v>
      </c>
      <c r="I22" s="218"/>
    </row>
    <row r="23" spans="1:9" ht="15" thickBot="1">
      <c r="A23" s="28" t="s">
        <v>62</v>
      </c>
      <c r="B23" s="20">
        <v>2360</v>
      </c>
      <c r="C23" s="20">
        <v>1000</v>
      </c>
      <c r="D23" s="20">
        <v>25</v>
      </c>
      <c r="E23" s="12">
        <f>PRODUCT(B23*C23)</f>
        <v>2360000</v>
      </c>
      <c r="F23" s="9">
        <f t="shared" si="3"/>
        <v>360000</v>
      </c>
      <c r="G23" s="7">
        <f>PRODUCT(B23*D23)</f>
        <v>59000</v>
      </c>
      <c r="H23" s="93">
        <f>SUM(F23:G23)</f>
        <v>419000</v>
      </c>
      <c r="I23" s="218"/>
    </row>
    <row r="24" spans="1:9" ht="15" thickBot="1">
      <c r="A24" s="28" t="s">
        <v>62</v>
      </c>
      <c r="B24" s="19">
        <v>2360</v>
      </c>
      <c r="C24" s="19">
        <v>570</v>
      </c>
      <c r="D24" s="19">
        <v>25</v>
      </c>
      <c r="E24" s="12">
        <f t="shared" ref="E24:E36" si="7">PRODUCT(B24*C24)</f>
        <v>1345200</v>
      </c>
      <c r="F24" s="9">
        <f t="shared" si="3"/>
        <v>205200</v>
      </c>
      <c r="G24" s="85">
        <f t="shared" ref="G24:G36" si="8">PRODUCT(B24*D24)</f>
        <v>59000</v>
      </c>
      <c r="H24" s="94">
        <f t="shared" ref="H24:H36" si="9">SUM(F24:G24)</f>
        <v>264200</v>
      </c>
      <c r="I24" s="218"/>
    </row>
    <row r="25" spans="1:9" ht="15" thickBot="1">
      <c r="A25" s="28" t="s">
        <v>52</v>
      </c>
      <c r="B25" s="5">
        <v>1</v>
      </c>
      <c r="C25" s="5"/>
      <c r="D25" s="5">
        <v>16800</v>
      </c>
      <c r="E25" s="12">
        <f t="shared" si="7"/>
        <v>0</v>
      </c>
      <c r="F25" s="9">
        <f t="shared" si="3"/>
        <v>0</v>
      </c>
      <c r="G25" s="7">
        <f t="shared" si="8"/>
        <v>16800</v>
      </c>
      <c r="H25" s="93">
        <f t="shared" si="9"/>
        <v>16800</v>
      </c>
      <c r="I25" s="218"/>
    </row>
    <row r="26" spans="1:9" ht="15" thickBot="1">
      <c r="A26" s="28" t="s">
        <v>52</v>
      </c>
      <c r="B26" s="5">
        <v>1</v>
      </c>
      <c r="C26" s="5"/>
      <c r="D26" s="5">
        <v>44466</v>
      </c>
      <c r="E26" s="12">
        <f t="shared" si="7"/>
        <v>0</v>
      </c>
      <c r="F26" s="9">
        <f t="shared" si="3"/>
        <v>0</v>
      </c>
      <c r="G26" s="84">
        <f t="shared" si="8"/>
        <v>44466</v>
      </c>
      <c r="H26" s="92">
        <f t="shared" si="9"/>
        <v>44466</v>
      </c>
      <c r="I26" s="218"/>
    </row>
    <row r="27" spans="1:9" ht="15" thickBot="1">
      <c r="A27" s="28" t="s">
        <v>52</v>
      </c>
      <c r="B27" s="5">
        <v>1</v>
      </c>
      <c r="C27" s="5"/>
      <c r="D27" s="5">
        <v>14400</v>
      </c>
      <c r="E27" s="12">
        <f t="shared" si="7"/>
        <v>0</v>
      </c>
      <c r="F27" s="9">
        <f t="shared" si="3"/>
        <v>0</v>
      </c>
      <c r="G27" s="7">
        <f t="shared" si="8"/>
        <v>14400</v>
      </c>
      <c r="H27" s="93">
        <f t="shared" si="9"/>
        <v>14400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71837850</v>
      </c>
      <c r="F37" s="16">
        <f>SUM(F5:F36)</f>
        <v>10958316.101694914</v>
      </c>
      <c r="G37" s="16">
        <f t="shared" ref="G37:H37" si="10">SUM(G5:G36)</f>
        <v>1300046</v>
      </c>
      <c r="H37" s="16">
        <f t="shared" si="10"/>
        <v>12258362.101694914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8700743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3557619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12258362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18190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6821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6204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3630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34855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8" workbookViewId="0">
      <selection activeCell="C32" sqref="C32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0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0.5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65</v>
      </c>
      <c r="B17" s="18">
        <v>500</v>
      </c>
      <c r="C17" s="18">
        <v>4800</v>
      </c>
      <c r="D17" s="18">
        <v>50</v>
      </c>
      <c r="E17" s="11">
        <f>PRODUCT(B17*C17)</f>
        <v>2400000</v>
      </c>
      <c r="F17" s="8">
        <f t="shared" ref="F17:F36" si="3">PRODUCT(E17*18)/118</f>
        <v>366101.69491525425</v>
      </c>
      <c r="G17" s="84">
        <f>PRODUCT(B17*D17)</f>
        <v>25000</v>
      </c>
      <c r="H17" s="92">
        <f>SUM(F17:G17)</f>
        <v>391101.69491525425</v>
      </c>
      <c r="I17" s="218"/>
    </row>
    <row r="18" spans="1:9" ht="15" thickBot="1">
      <c r="A18" s="26" t="s">
        <v>65</v>
      </c>
      <c r="B18" s="19">
        <v>850</v>
      </c>
      <c r="C18" s="19">
        <v>4000</v>
      </c>
      <c r="D18" s="19">
        <v>50</v>
      </c>
      <c r="E18" s="12">
        <f t="shared" ref="E18:E22" si="4">PRODUCT(B18*C18)</f>
        <v>3400000</v>
      </c>
      <c r="F18" s="9">
        <f t="shared" si="3"/>
        <v>518644.06779661018</v>
      </c>
      <c r="G18" s="7">
        <f t="shared" ref="G18:G22" si="5">PRODUCT(B18*D18)</f>
        <v>42500</v>
      </c>
      <c r="H18" s="93">
        <f t="shared" ref="H18:H22" si="6">SUM(F18:G18)</f>
        <v>561144.06779661018</v>
      </c>
      <c r="I18" s="218"/>
    </row>
    <row r="19" spans="1:9" ht="15" thickBot="1">
      <c r="A19" s="27" t="s">
        <v>65</v>
      </c>
      <c r="B19" s="5">
        <v>2990</v>
      </c>
      <c r="C19" s="5">
        <v>3000</v>
      </c>
      <c r="D19" s="5">
        <v>50</v>
      </c>
      <c r="E19" s="12">
        <f t="shared" si="4"/>
        <v>8970000</v>
      </c>
      <c r="F19" s="9">
        <f t="shared" si="3"/>
        <v>1368305.0847457626</v>
      </c>
      <c r="G19" s="7">
        <f t="shared" si="5"/>
        <v>149500</v>
      </c>
      <c r="H19" s="93">
        <f t="shared" si="6"/>
        <v>1517805.0847457626</v>
      </c>
      <c r="I19" s="218"/>
    </row>
    <row r="20" spans="1:9" ht="15" thickBot="1">
      <c r="A20" s="27" t="s">
        <v>65</v>
      </c>
      <c r="B20" s="5">
        <v>1350</v>
      </c>
      <c r="C20" s="5">
        <v>2500</v>
      </c>
      <c r="D20" s="5">
        <v>50</v>
      </c>
      <c r="E20" s="12">
        <f t="shared" si="4"/>
        <v>3375000</v>
      </c>
      <c r="F20" s="9">
        <f t="shared" si="3"/>
        <v>514830.50847457629</v>
      </c>
      <c r="G20" s="85">
        <f t="shared" si="5"/>
        <v>67500</v>
      </c>
      <c r="H20" s="94">
        <f t="shared" si="6"/>
        <v>582330.50847457629</v>
      </c>
      <c r="I20" s="218"/>
    </row>
    <row r="21" spans="1:9" ht="15" thickBot="1">
      <c r="A21" s="28" t="s">
        <v>65</v>
      </c>
      <c r="B21" s="5">
        <v>5502</v>
      </c>
      <c r="C21" s="5">
        <v>2124</v>
      </c>
      <c r="D21" s="5">
        <v>50</v>
      </c>
      <c r="E21" s="12">
        <f t="shared" si="4"/>
        <v>11686248</v>
      </c>
      <c r="F21" s="9">
        <f t="shared" si="3"/>
        <v>1782648</v>
      </c>
      <c r="G21" s="7">
        <f t="shared" si="5"/>
        <v>275100</v>
      </c>
      <c r="H21" s="93">
        <f t="shared" si="6"/>
        <v>2057748</v>
      </c>
      <c r="I21" s="218"/>
    </row>
    <row r="22" spans="1:9" ht="15" thickBot="1">
      <c r="A22" s="28" t="s">
        <v>65</v>
      </c>
      <c r="B22" s="5">
        <v>410</v>
      </c>
      <c r="C22" s="5">
        <v>2000</v>
      </c>
      <c r="D22" s="5">
        <v>50</v>
      </c>
      <c r="E22" s="12">
        <f t="shared" si="4"/>
        <v>820000</v>
      </c>
      <c r="F22" s="9">
        <f t="shared" si="3"/>
        <v>125084.74576271187</v>
      </c>
      <c r="G22" s="85">
        <f t="shared" si="5"/>
        <v>20500</v>
      </c>
      <c r="H22" s="94">
        <f t="shared" si="6"/>
        <v>145584.74576271186</v>
      </c>
      <c r="I22" s="218"/>
    </row>
    <row r="23" spans="1:9" ht="15" thickBot="1">
      <c r="A23" s="28" t="s">
        <v>65</v>
      </c>
      <c r="B23" s="20">
        <v>180</v>
      </c>
      <c r="C23" s="20">
        <v>2200</v>
      </c>
      <c r="D23" s="20">
        <v>50</v>
      </c>
      <c r="E23" s="12">
        <f>PRODUCT(B23*C23)</f>
        <v>396000</v>
      </c>
      <c r="F23" s="9">
        <f t="shared" si="3"/>
        <v>60406.779661016946</v>
      </c>
      <c r="G23" s="7">
        <f>PRODUCT(B23*D23)</f>
        <v>9000</v>
      </c>
      <c r="H23" s="93">
        <f>SUM(F23:G23)</f>
        <v>69406.779661016946</v>
      </c>
      <c r="I23" s="218"/>
    </row>
    <row r="24" spans="1:9" ht="15" thickBot="1">
      <c r="A24" s="28" t="s">
        <v>59</v>
      </c>
      <c r="B24" s="19">
        <v>300</v>
      </c>
      <c r="C24" s="19">
        <v>1357</v>
      </c>
      <c r="D24" s="19">
        <v>50</v>
      </c>
      <c r="E24" s="12">
        <f t="shared" ref="E24:E36" si="7">PRODUCT(B24*C24)</f>
        <v>407100</v>
      </c>
      <c r="F24" s="9">
        <f t="shared" si="3"/>
        <v>62100</v>
      </c>
      <c r="G24" s="85">
        <f t="shared" ref="G24:G36" si="8">PRODUCT(B24*D24)</f>
        <v>15000</v>
      </c>
      <c r="H24" s="94">
        <f t="shared" ref="H24:H36" si="9">SUM(F24:G24)</f>
        <v>77100</v>
      </c>
      <c r="I24" s="218"/>
    </row>
    <row r="25" spans="1:9" ht="15" thickBot="1">
      <c r="A25" s="28" t="s">
        <v>99</v>
      </c>
      <c r="B25" s="5">
        <v>510</v>
      </c>
      <c r="C25" s="5">
        <v>1180</v>
      </c>
      <c r="D25" s="5">
        <v>50</v>
      </c>
      <c r="E25" s="12">
        <f t="shared" si="7"/>
        <v>601800</v>
      </c>
      <c r="F25" s="9">
        <f t="shared" si="3"/>
        <v>91800</v>
      </c>
      <c r="G25" s="7">
        <f t="shared" si="8"/>
        <v>25500</v>
      </c>
      <c r="H25" s="93">
        <f t="shared" si="9"/>
        <v>117300</v>
      </c>
      <c r="I25" s="218"/>
    </row>
    <row r="26" spans="1:9" ht="15" thickBot="1">
      <c r="A26" s="28" t="s">
        <v>89</v>
      </c>
      <c r="B26" s="5">
        <v>120</v>
      </c>
      <c r="C26" s="5">
        <v>4500</v>
      </c>
      <c r="D26" s="5">
        <v>50</v>
      </c>
      <c r="E26" s="12">
        <f t="shared" si="7"/>
        <v>540000</v>
      </c>
      <c r="F26" s="9">
        <f t="shared" si="3"/>
        <v>82372.881355932201</v>
      </c>
      <c r="G26" s="84">
        <f t="shared" si="8"/>
        <v>6000</v>
      </c>
      <c r="H26" s="92">
        <f t="shared" si="9"/>
        <v>88372.881355932201</v>
      </c>
      <c r="I26" s="218"/>
    </row>
    <row r="27" spans="1:9" ht="15" thickBot="1">
      <c r="A27" s="28" t="s">
        <v>59</v>
      </c>
      <c r="B27" s="5">
        <v>70</v>
      </c>
      <c r="C27" s="5">
        <v>1180</v>
      </c>
      <c r="D27" s="5">
        <v>50</v>
      </c>
      <c r="E27" s="12">
        <f t="shared" si="7"/>
        <v>82600</v>
      </c>
      <c r="F27" s="9">
        <f t="shared" si="3"/>
        <v>12600</v>
      </c>
      <c r="G27" s="7">
        <f t="shared" si="8"/>
        <v>3500</v>
      </c>
      <c r="H27" s="93">
        <f t="shared" si="9"/>
        <v>16100</v>
      </c>
      <c r="I27" s="218"/>
    </row>
    <row r="28" spans="1:9" ht="15" thickBot="1">
      <c r="A28" s="29" t="s">
        <v>59</v>
      </c>
      <c r="B28" s="87">
        <v>21</v>
      </c>
      <c r="C28" s="87">
        <v>1000</v>
      </c>
      <c r="D28" s="87">
        <v>50</v>
      </c>
      <c r="E28" s="17">
        <f t="shared" si="7"/>
        <v>21000</v>
      </c>
      <c r="F28" s="13">
        <f t="shared" si="3"/>
        <v>3203.3898305084745</v>
      </c>
      <c r="G28" s="86">
        <f t="shared" si="8"/>
        <v>1050</v>
      </c>
      <c r="H28" s="95">
        <f t="shared" si="9"/>
        <v>4253.3898305084749</v>
      </c>
      <c r="I28" s="218"/>
    </row>
    <row r="29" spans="1:9" ht="15" thickBot="1">
      <c r="A29" s="28" t="s">
        <v>123</v>
      </c>
      <c r="B29" s="5">
        <v>40</v>
      </c>
      <c r="C29" s="5">
        <v>3000</v>
      </c>
      <c r="D29" s="5">
        <v>50</v>
      </c>
      <c r="E29" s="17">
        <f t="shared" si="7"/>
        <v>120000</v>
      </c>
      <c r="F29" s="13">
        <f t="shared" si="3"/>
        <v>18305.084745762713</v>
      </c>
      <c r="G29" s="10">
        <f t="shared" si="8"/>
        <v>2000</v>
      </c>
      <c r="H29" s="96">
        <f t="shared" si="9"/>
        <v>20305.084745762713</v>
      </c>
      <c r="I29" s="218"/>
    </row>
    <row r="30" spans="1:9" ht="15" thickBot="1">
      <c r="A30" s="28" t="s">
        <v>104</v>
      </c>
      <c r="B30" s="5">
        <v>100</v>
      </c>
      <c r="C30" s="5">
        <v>1180</v>
      </c>
      <c r="D30" s="5">
        <v>50</v>
      </c>
      <c r="E30" s="17">
        <f t="shared" si="7"/>
        <v>118000</v>
      </c>
      <c r="F30" s="13">
        <f t="shared" si="3"/>
        <v>18000</v>
      </c>
      <c r="G30" s="10">
        <f t="shared" si="8"/>
        <v>5000</v>
      </c>
      <c r="H30" s="96">
        <f t="shared" si="9"/>
        <v>23000</v>
      </c>
      <c r="I30" s="218"/>
    </row>
    <row r="31" spans="1:9" ht="14.55" customHeight="1" thickBot="1">
      <c r="A31" s="28" t="s">
        <v>65</v>
      </c>
      <c r="B31" s="20">
        <v>8592</v>
      </c>
      <c r="C31" s="20"/>
      <c r="D31" s="20">
        <v>50</v>
      </c>
      <c r="E31" s="17">
        <f t="shared" si="7"/>
        <v>0</v>
      </c>
      <c r="F31" s="13">
        <f t="shared" si="3"/>
        <v>0</v>
      </c>
      <c r="G31" s="10">
        <f t="shared" si="8"/>
        <v>429600</v>
      </c>
      <c r="H31" s="96">
        <f t="shared" si="9"/>
        <v>429600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32937748</v>
      </c>
      <c r="F37" s="16">
        <f>SUM(F5:F36)</f>
        <v>5024402.2372881351</v>
      </c>
      <c r="G37" s="16">
        <f t="shared" ref="G37:H37" si="10">SUM(G5:G36)</f>
        <v>1076750</v>
      </c>
      <c r="H37" s="16">
        <f t="shared" si="10"/>
        <v>6101152.2372881351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1350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4340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40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100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8592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14422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workbookViewId="0">
      <selection activeCell="A46" sqref="A46:H47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4.4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1.4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>
        <v>2600</v>
      </c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45</v>
      </c>
      <c r="B7" s="1"/>
      <c r="C7" s="181">
        <v>3500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>
        <v>235</v>
      </c>
      <c r="C8" s="170">
        <v>7670</v>
      </c>
      <c r="D8" s="171"/>
      <c r="E8" s="4">
        <f t="shared" si="0"/>
        <v>1802450</v>
      </c>
      <c r="F8" s="4">
        <f t="shared" si="1"/>
        <v>274950</v>
      </c>
      <c r="G8" s="4">
        <f>PRODUCT(B8*50)</f>
        <v>11750</v>
      </c>
      <c r="H8" s="90">
        <f t="shared" si="2"/>
        <v>286700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9470</v>
      </c>
      <c r="C10" s="170">
        <v>2124</v>
      </c>
      <c r="D10" s="171"/>
      <c r="E10" s="4">
        <f t="shared" si="0"/>
        <v>20114280</v>
      </c>
      <c r="F10" s="4">
        <f t="shared" si="1"/>
        <v>3068280</v>
      </c>
      <c r="G10" s="4">
        <f>PRODUCT(B10*30)</f>
        <v>284100</v>
      </c>
      <c r="H10" s="90">
        <f t="shared" si="2"/>
        <v>3352380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62</v>
      </c>
      <c r="B17" s="18">
        <v>1890</v>
      </c>
      <c r="C17" s="18">
        <v>1000</v>
      </c>
      <c r="D17" s="18">
        <v>30</v>
      </c>
      <c r="E17" s="11">
        <f>PRODUCT(B17*C17)</f>
        <v>1890000</v>
      </c>
      <c r="F17" s="8">
        <f t="shared" ref="F17:F36" si="3">PRODUCT(E17*18)/118</f>
        <v>288305.0847457627</v>
      </c>
      <c r="G17" s="84">
        <f>PRODUCT(B17*D17)</f>
        <v>56700</v>
      </c>
      <c r="H17" s="92">
        <f>SUM(F17:G17)</f>
        <v>345005.0847457627</v>
      </c>
      <c r="I17" s="218"/>
    </row>
    <row r="18" spans="1:9" ht="15" thickBot="1">
      <c r="A18" s="26" t="s">
        <v>62</v>
      </c>
      <c r="B18" s="19">
        <v>789</v>
      </c>
      <c r="C18" s="19">
        <v>3500</v>
      </c>
      <c r="D18" s="19">
        <v>30</v>
      </c>
      <c r="E18" s="12">
        <f t="shared" ref="E18:E22" si="4">PRODUCT(B18*C18)</f>
        <v>2761500</v>
      </c>
      <c r="F18" s="9">
        <f t="shared" si="3"/>
        <v>421245.76271186443</v>
      </c>
      <c r="G18" s="7">
        <f t="shared" ref="G18:G22" si="5">PRODUCT(B18*D18)</f>
        <v>23670</v>
      </c>
      <c r="H18" s="93">
        <f t="shared" ref="H18:H22" si="6">SUM(F18:G18)</f>
        <v>444915.76271186443</v>
      </c>
      <c r="I18" s="218"/>
    </row>
    <row r="19" spans="1:9" ht="15" thickBot="1">
      <c r="A19" s="27" t="s">
        <v>59</v>
      </c>
      <c r="B19" s="5">
        <v>1983</v>
      </c>
      <c r="C19" s="5">
        <v>1534</v>
      </c>
      <c r="D19" s="5">
        <v>30</v>
      </c>
      <c r="E19" s="12">
        <f t="shared" si="4"/>
        <v>3041922</v>
      </c>
      <c r="F19" s="9">
        <f t="shared" si="3"/>
        <v>464022</v>
      </c>
      <c r="G19" s="7">
        <f t="shared" si="5"/>
        <v>59490</v>
      </c>
      <c r="H19" s="93">
        <f t="shared" si="6"/>
        <v>523512</v>
      </c>
      <c r="I19" s="218"/>
    </row>
    <row r="20" spans="1:9" ht="15" thickBot="1">
      <c r="A20" s="27" t="s">
        <v>63</v>
      </c>
      <c r="B20" s="5">
        <v>10</v>
      </c>
      <c r="C20" s="5">
        <v>1200</v>
      </c>
      <c r="D20" s="5">
        <v>30</v>
      </c>
      <c r="E20" s="12">
        <f t="shared" si="4"/>
        <v>12000</v>
      </c>
      <c r="F20" s="9">
        <f t="shared" si="3"/>
        <v>1830.5084745762713</v>
      </c>
      <c r="G20" s="85">
        <f t="shared" si="5"/>
        <v>300</v>
      </c>
      <c r="H20" s="94">
        <f t="shared" si="6"/>
        <v>2130.5084745762715</v>
      </c>
      <c r="I20" s="218"/>
    </row>
    <row r="21" spans="1:9" ht="15" thickBot="1">
      <c r="A21" s="28" t="s">
        <v>111</v>
      </c>
      <c r="B21" s="5">
        <v>200</v>
      </c>
      <c r="C21" s="5">
        <v>1800</v>
      </c>
      <c r="D21" s="5">
        <v>30</v>
      </c>
      <c r="E21" s="12">
        <f t="shared" si="4"/>
        <v>360000</v>
      </c>
      <c r="F21" s="9">
        <f t="shared" si="3"/>
        <v>54915.254237288136</v>
      </c>
      <c r="G21" s="7">
        <f t="shared" si="5"/>
        <v>6000</v>
      </c>
      <c r="H21" s="93">
        <f t="shared" si="6"/>
        <v>60915.254237288136</v>
      </c>
      <c r="I21" s="218"/>
    </row>
    <row r="22" spans="1:9" ht="15" thickBot="1">
      <c r="A22" s="28" t="s">
        <v>62</v>
      </c>
      <c r="B22" s="5">
        <v>1854</v>
      </c>
      <c r="C22" s="5">
        <v>1180</v>
      </c>
      <c r="D22" s="5">
        <v>30</v>
      </c>
      <c r="E22" s="12">
        <f t="shared" si="4"/>
        <v>2187720</v>
      </c>
      <c r="F22" s="9">
        <f t="shared" si="3"/>
        <v>333720</v>
      </c>
      <c r="G22" s="85">
        <f t="shared" si="5"/>
        <v>55620</v>
      </c>
      <c r="H22" s="94">
        <f t="shared" si="6"/>
        <v>389340</v>
      </c>
      <c r="I22" s="218"/>
    </row>
    <row r="23" spans="1:9" ht="15" thickBot="1">
      <c r="A23" s="28" t="s">
        <v>63</v>
      </c>
      <c r="B23" s="20">
        <v>104</v>
      </c>
      <c r="C23" s="20">
        <v>1500</v>
      </c>
      <c r="D23" s="20">
        <v>30</v>
      </c>
      <c r="E23" s="12">
        <f>PRODUCT(B23*C23)</f>
        <v>156000</v>
      </c>
      <c r="F23" s="9">
        <f t="shared" si="3"/>
        <v>23796.610169491527</v>
      </c>
      <c r="G23" s="7">
        <f>PRODUCT(B23*D23)</f>
        <v>3120</v>
      </c>
      <c r="H23" s="93">
        <f>SUM(F23:G23)</f>
        <v>26916.610169491527</v>
      </c>
      <c r="I23" s="218"/>
    </row>
    <row r="24" spans="1:9" ht="15" thickBot="1">
      <c r="A24" s="28" t="s">
        <v>62</v>
      </c>
      <c r="B24" s="19">
        <v>530</v>
      </c>
      <c r="C24" s="19">
        <v>2600</v>
      </c>
      <c r="D24" s="19">
        <v>50</v>
      </c>
      <c r="E24" s="12">
        <f t="shared" ref="E24:E36" si="7">PRODUCT(B24*C24)</f>
        <v>1378000</v>
      </c>
      <c r="F24" s="9">
        <f t="shared" si="3"/>
        <v>210203.38983050847</v>
      </c>
      <c r="G24" s="85">
        <f t="shared" ref="G24:G36" si="8">PRODUCT(B24*D24)</f>
        <v>26500</v>
      </c>
      <c r="H24" s="94">
        <f t="shared" ref="H24:H36" si="9">SUM(F24:G24)</f>
        <v>236703.38983050847</v>
      </c>
      <c r="I24" s="218"/>
    </row>
    <row r="25" spans="1:9" ht="15" thickBot="1">
      <c r="A25" s="28" t="s">
        <v>65</v>
      </c>
      <c r="B25" s="5">
        <v>200</v>
      </c>
      <c r="C25" s="5">
        <v>2360</v>
      </c>
      <c r="D25" s="5">
        <v>30</v>
      </c>
      <c r="E25" s="12">
        <f t="shared" si="7"/>
        <v>472000</v>
      </c>
      <c r="F25" s="9">
        <f t="shared" si="3"/>
        <v>72000</v>
      </c>
      <c r="G25" s="7">
        <f t="shared" si="8"/>
        <v>6000</v>
      </c>
      <c r="H25" s="93">
        <f t="shared" si="9"/>
        <v>78000</v>
      </c>
      <c r="I25" s="218"/>
    </row>
    <row r="26" spans="1:9" ht="15" thickBot="1">
      <c r="A26" s="28" t="s">
        <v>52</v>
      </c>
      <c r="B26" s="5">
        <v>1</v>
      </c>
      <c r="C26" s="5">
        <v>1</v>
      </c>
      <c r="D26" s="5">
        <v>675666</v>
      </c>
      <c r="E26" s="12">
        <f t="shared" si="7"/>
        <v>1</v>
      </c>
      <c r="F26" s="9">
        <f t="shared" si="3"/>
        <v>0.15254237288135594</v>
      </c>
      <c r="G26" s="84">
        <f t="shared" si="8"/>
        <v>675666</v>
      </c>
      <c r="H26" s="92">
        <f t="shared" si="9"/>
        <v>675666.15254237293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34175873</v>
      </c>
      <c r="F37" s="16">
        <f>SUM(F5:F36)</f>
        <v>5213268.762711864</v>
      </c>
      <c r="G37" s="16">
        <f t="shared" ref="G37:H37" si="10">SUM(G5:G36)</f>
        <v>1208916</v>
      </c>
      <c r="H37" s="16">
        <f t="shared" si="10"/>
        <v>6422184.762711864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6422184.7630000003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6422184.7630000003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9470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235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2679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1993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14377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1" workbookViewId="0">
      <selection activeCell="C40" sqref="C40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7.4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1.4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>
        <v>400</v>
      </c>
      <c r="C7" s="181">
        <v>2000</v>
      </c>
      <c r="D7" s="182"/>
      <c r="E7" s="2">
        <f t="shared" si="0"/>
        <v>800000</v>
      </c>
      <c r="F7" s="2">
        <f t="shared" si="1"/>
        <v>122033.89830508475</v>
      </c>
      <c r="G7" s="2">
        <f>PRODUCT(B7*50)</f>
        <v>20000</v>
      </c>
      <c r="H7" s="89">
        <f t="shared" si="2"/>
        <v>142033.89830508473</v>
      </c>
      <c r="I7" s="218"/>
    </row>
    <row r="8" spans="1:9">
      <c r="A8" s="31" t="s">
        <v>104</v>
      </c>
      <c r="B8" s="3"/>
      <c r="C8" s="170">
        <v>2000</v>
      </c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>
        <v>600</v>
      </c>
      <c r="C9" s="170">
        <v>2200</v>
      </c>
      <c r="D9" s="171"/>
      <c r="E9" s="4">
        <f t="shared" si="0"/>
        <v>1320000</v>
      </c>
      <c r="F9" s="4">
        <f t="shared" si="1"/>
        <v>201355.93220338982</v>
      </c>
      <c r="G9" s="4">
        <f>PRODUCT(B9*30)</f>
        <v>18000</v>
      </c>
      <c r="H9" s="90">
        <f t="shared" si="2"/>
        <v>219355.93220338982</v>
      </c>
      <c r="I9" s="218"/>
    </row>
    <row r="10" spans="1:9">
      <c r="A10" s="31" t="s">
        <v>47</v>
      </c>
      <c r="B10" s="3">
        <v>5800</v>
      </c>
      <c r="C10" s="170">
        <v>1800</v>
      </c>
      <c r="D10" s="171"/>
      <c r="E10" s="4">
        <f t="shared" si="0"/>
        <v>10440000</v>
      </c>
      <c r="F10" s="4">
        <f t="shared" si="1"/>
        <v>1592542.3728813559</v>
      </c>
      <c r="G10" s="4">
        <f>PRODUCT(B10*30)</f>
        <v>174000</v>
      </c>
      <c r="H10" s="90">
        <f t="shared" si="2"/>
        <v>1766542.3728813559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300</v>
      </c>
      <c r="C13" s="170">
        <v>1200</v>
      </c>
      <c r="D13" s="171"/>
      <c r="E13" s="4">
        <f t="shared" si="0"/>
        <v>360000</v>
      </c>
      <c r="F13" s="4">
        <f t="shared" si="1"/>
        <v>54915.254237288136</v>
      </c>
      <c r="G13" s="4">
        <f>PRODUCT(B13*20)</f>
        <v>6000</v>
      </c>
      <c r="H13" s="90">
        <f t="shared" si="2"/>
        <v>60915.254237288136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>
        <v>7964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398200</v>
      </c>
      <c r="H21" s="93">
        <f t="shared" si="6"/>
        <v>398200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12920000</v>
      </c>
      <c r="F37" s="16">
        <f>SUM(F5:F36)</f>
        <v>1970847.4576271186</v>
      </c>
      <c r="G37" s="16">
        <f t="shared" ref="G37:H37" si="10">SUM(G5:G36)</f>
        <v>616200</v>
      </c>
      <c r="H37" s="16">
        <f t="shared" si="10"/>
        <v>2587047.4576271186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2587047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2587047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6400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400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300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7100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C41" sqref="C41"/>
    </sheetView>
  </sheetViews>
  <sheetFormatPr defaultColWidth="8.77734375" defaultRowHeight="14.4"/>
  <cols>
    <col min="1" max="1" width="22.77734375" style="34" customWidth="1"/>
    <col min="2" max="2" width="16.109375" style="34" customWidth="1"/>
    <col min="3" max="3" width="23.77734375" style="34" customWidth="1"/>
    <col min="4" max="4" width="18.218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664062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0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2.0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>
        <v>5900</v>
      </c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>
        <v>665</v>
      </c>
      <c r="C7" s="181">
        <v>5900</v>
      </c>
      <c r="D7" s="182"/>
      <c r="E7" s="2">
        <f t="shared" si="0"/>
        <v>3923500</v>
      </c>
      <c r="F7" s="2">
        <f t="shared" si="1"/>
        <v>598500</v>
      </c>
      <c r="G7" s="2">
        <f>PRODUCT(B7*50)</f>
        <v>33250</v>
      </c>
      <c r="H7" s="89">
        <f t="shared" si="2"/>
        <v>631750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6350</v>
      </c>
      <c r="C10" s="170">
        <v>2124</v>
      </c>
      <c r="D10" s="171"/>
      <c r="E10" s="4">
        <f t="shared" si="0"/>
        <v>13487400</v>
      </c>
      <c r="F10" s="4">
        <f t="shared" si="1"/>
        <v>2057400</v>
      </c>
      <c r="G10" s="4">
        <f>PRODUCT(B10*30)</f>
        <v>190500</v>
      </c>
      <c r="H10" s="90">
        <f t="shared" si="2"/>
        <v>2247900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45</v>
      </c>
      <c r="B12" s="3">
        <v>35</v>
      </c>
      <c r="C12" s="170">
        <v>5000</v>
      </c>
      <c r="D12" s="171"/>
      <c r="E12" s="4">
        <f t="shared" si="0"/>
        <v>175000</v>
      </c>
      <c r="F12" s="4">
        <f>PRODUCT(E12*18)/118</f>
        <v>26694.915254237287</v>
      </c>
      <c r="G12" s="4">
        <f>PRODUCT(B12*30)</f>
        <v>1050</v>
      </c>
      <c r="H12" s="90">
        <f t="shared" si="2"/>
        <v>27744.915254237287</v>
      </c>
      <c r="I12" s="218"/>
    </row>
    <row r="13" spans="1:9">
      <c r="A13" s="32" t="s">
        <v>59</v>
      </c>
      <c r="B13" s="3">
        <v>150</v>
      </c>
      <c r="C13" s="170">
        <v>1357</v>
      </c>
      <c r="D13" s="171"/>
      <c r="E13" s="4">
        <f t="shared" si="0"/>
        <v>203550</v>
      </c>
      <c r="F13" s="4">
        <f t="shared" si="1"/>
        <v>31050</v>
      </c>
      <c r="G13" s="4">
        <f>PRODUCT(B13*20)</f>
        <v>3000</v>
      </c>
      <c r="H13" s="90">
        <f t="shared" si="2"/>
        <v>34050</v>
      </c>
      <c r="I13" s="218"/>
    </row>
    <row r="14" spans="1:9" ht="15" thickBot="1">
      <c r="A14" s="33" t="s">
        <v>99</v>
      </c>
      <c r="B14" s="3">
        <v>100</v>
      </c>
      <c r="C14" s="170">
        <v>1180</v>
      </c>
      <c r="D14" s="171"/>
      <c r="E14" s="4">
        <f t="shared" si="0"/>
        <v>118000</v>
      </c>
      <c r="F14" s="4">
        <f t="shared" si="1"/>
        <v>18000</v>
      </c>
      <c r="G14" s="4">
        <f>PRODUCT(B14*20)</f>
        <v>2000</v>
      </c>
      <c r="H14" s="90">
        <f t="shared" si="2"/>
        <v>20000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97</v>
      </c>
      <c r="B17" s="18">
        <v>100</v>
      </c>
      <c r="C17" s="18"/>
      <c r="D17" s="18">
        <v>354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35400</v>
      </c>
      <c r="H17" s="92">
        <f>SUM(F17:G17)</f>
        <v>35400</v>
      </c>
      <c r="I17" s="218"/>
    </row>
    <row r="18" spans="1:9" ht="15" thickBot="1">
      <c r="A18" s="26" t="s">
        <v>45</v>
      </c>
      <c r="B18" s="19"/>
      <c r="C18" s="19">
        <v>5000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99</v>
      </c>
      <c r="B19" s="5">
        <v>906</v>
      </c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181200</v>
      </c>
      <c r="H19" s="93">
        <f t="shared" si="6"/>
        <v>181200</v>
      </c>
      <c r="I19" s="218"/>
    </row>
    <row r="20" spans="1:9" ht="15" thickBot="1">
      <c r="A20" s="27" t="s">
        <v>107</v>
      </c>
      <c r="B20" s="5">
        <v>418</v>
      </c>
      <c r="C20" s="5"/>
      <c r="D20" s="5">
        <v>500</v>
      </c>
      <c r="E20" s="12">
        <f t="shared" si="4"/>
        <v>0</v>
      </c>
      <c r="F20" s="9">
        <f t="shared" si="3"/>
        <v>0</v>
      </c>
      <c r="G20" s="85">
        <f t="shared" si="5"/>
        <v>209000</v>
      </c>
      <c r="H20" s="94">
        <f t="shared" si="6"/>
        <v>209000</v>
      </c>
      <c r="I20" s="218"/>
    </row>
    <row r="21" spans="1:9" ht="15" thickBot="1">
      <c r="A21" s="28" t="s">
        <v>59</v>
      </c>
      <c r="B21" s="5">
        <v>11</v>
      </c>
      <c r="C21" s="5"/>
      <c r="D21" s="5">
        <v>217</v>
      </c>
      <c r="E21" s="12">
        <f t="shared" si="4"/>
        <v>0</v>
      </c>
      <c r="F21" s="9">
        <f t="shared" si="3"/>
        <v>0</v>
      </c>
      <c r="G21" s="7">
        <f t="shared" si="5"/>
        <v>2387</v>
      </c>
      <c r="H21" s="93">
        <f t="shared" si="6"/>
        <v>2387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17907450</v>
      </c>
      <c r="F37" s="16">
        <f>SUM(F5:F36)</f>
        <v>2731644.9152542371</v>
      </c>
      <c r="G37" s="16">
        <f t="shared" ref="G37:H37" si="10">SUM(G5:G36)</f>
        <v>657787</v>
      </c>
      <c r="H37" s="16">
        <f t="shared" si="10"/>
        <v>3389431.9152542371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3389432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3389432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6385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665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250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100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1324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8724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40" sqref="C40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9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30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24334</v>
      </c>
      <c r="C10" s="170">
        <v>2124</v>
      </c>
      <c r="D10" s="171"/>
      <c r="E10" s="4">
        <f t="shared" si="0"/>
        <v>51685416</v>
      </c>
      <c r="F10" s="4">
        <f t="shared" si="1"/>
        <v>7884216</v>
      </c>
      <c r="G10" s="4">
        <f>PRODUCT(B10*30)</f>
        <v>730020</v>
      </c>
      <c r="H10" s="90">
        <f t="shared" si="2"/>
        <v>8614236</v>
      </c>
      <c r="I10" s="218"/>
    </row>
    <row r="11" spans="1:9">
      <c r="A11" s="32" t="s">
        <v>65</v>
      </c>
      <c r="B11" s="3">
        <v>835</v>
      </c>
      <c r="C11" s="170">
        <v>2000</v>
      </c>
      <c r="D11" s="171"/>
      <c r="E11" s="4">
        <f t="shared" si="0"/>
        <v>1670000</v>
      </c>
      <c r="F11" s="4">
        <f t="shared" si="1"/>
        <v>254745.7627118644</v>
      </c>
      <c r="G11" s="4">
        <f>PRODUCT(B11*30)</f>
        <v>25050</v>
      </c>
      <c r="H11" s="90">
        <f t="shared" si="2"/>
        <v>279795.76271186443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1795</v>
      </c>
      <c r="C13" s="170">
        <v>1357</v>
      </c>
      <c r="D13" s="171"/>
      <c r="E13" s="4">
        <f t="shared" si="0"/>
        <v>2435815</v>
      </c>
      <c r="F13" s="4">
        <f t="shared" si="1"/>
        <v>371565</v>
      </c>
      <c r="G13" s="4">
        <f>PRODUCT(B13*20)</f>
        <v>35900</v>
      </c>
      <c r="H13" s="90">
        <f t="shared" si="2"/>
        <v>407465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89</v>
      </c>
      <c r="B17" s="18">
        <v>2918</v>
      </c>
      <c r="C17" s="18">
        <v>2124</v>
      </c>
      <c r="D17" s="18">
        <v>50</v>
      </c>
      <c r="E17" s="11">
        <f>PRODUCT(B17*C17)</f>
        <v>6197832</v>
      </c>
      <c r="F17" s="8">
        <f t="shared" ref="F17:F36" si="3">PRODUCT(E17*18)/118</f>
        <v>945432</v>
      </c>
      <c r="G17" s="84">
        <f>PRODUCT(B17*D17)</f>
        <v>145900</v>
      </c>
      <c r="H17" s="92">
        <f>SUM(F17:G17)</f>
        <v>1091332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61989063</v>
      </c>
      <c r="F37" s="16">
        <f>SUM(F5:F36)</f>
        <v>9455958.762711864</v>
      </c>
      <c r="G37" s="16">
        <f t="shared" ref="G37:H37" si="10">SUM(G5:G36)</f>
        <v>936870</v>
      </c>
      <c r="H37" s="16">
        <f t="shared" si="10"/>
        <v>10392828.762711864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10582828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10582828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25169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1795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2918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29882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10" sqref="B10"/>
    </sheetView>
  </sheetViews>
  <sheetFormatPr defaultRowHeight="14.4"/>
  <cols>
    <col min="1" max="1" width="20.88671875" customWidth="1"/>
    <col min="2" max="2" width="17.5546875" customWidth="1"/>
    <col min="3" max="3" width="21.33203125" customWidth="1"/>
    <col min="4" max="4" width="21" customWidth="1"/>
    <col min="5" max="5" width="23.33203125" customWidth="1"/>
    <col min="6" max="6" width="26" customWidth="1"/>
    <col min="7" max="7" width="19.33203125" customWidth="1"/>
    <col min="8" max="8" width="16.777343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>
        <v>2124</v>
      </c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B7" sqref="B7"/>
    </sheetView>
  </sheetViews>
  <sheetFormatPr defaultRowHeight="14.4"/>
  <cols>
    <col min="1" max="1" width="22.21875" customWidth="1"/>
    <col min="2" max="2" width="17.5546875" customWidth="1"/>
    <col min="3" max="3" width="24.109375" customWidth="1"/>
    <col min="4" max="4" width="17.77734375" customWidth="1"/>
    <col min="5" max="6" width="23.21875" customWidth="1"/>
    <col min="7" max="7" width="17.88671875" customWidth="1"/>
    <col min="8" max="8" width="22.21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200</v>
      </c>
      <c r="C10" s="170">
        <v>1806</v>
      </c>
      <c r="D10" s="171"/>
      <c r="E10" s="4">
        <f t="shared" si="0"/>
        <v>361200</v>
      </c>
      <c r="F10" s="4">
        <f t="shared" si="1"/>
        <v>55098.305084745763</v>
      </c>
      <c r="G10" s="4">
        <f>PRODUCT(B10*30)</f>
        <v>6000</v>
      </c>
      <c r="H10" s="90">
        <f t="shared" si="2"/>
        <v>61098.305084745763</v>
      </c>
      <c r="I10" s="218"/>
    </row>
    <row r="11" spans="1:9">
      <c r="A11" s="32" t="s">
        <v>65</v>
      </c>
      <c r="B11" s="3"/>
      <c r="C11" s="170">
        <v>2124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239" t="s">
        <v>48</v>
      </c>
      <c r="B15" s="240"/>
      <c r="C15" s="240"/>
      <c r="D15" s="240"/>
      <c r="E15" s="240"/>
      <c r="F15" s="240"/>
      <c r="G15" s="240"/>
      <c r="H15" s="240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>
        <v>355</v>
      </c>
      <c r="C18" s="19">
        <v>800</v>
      </c>
      <c r="D18" s="19">
        <v>20</v>
      </c>
      <c r="E18" s="12">
        <f t="shared" ref="E18:E22" si="4">PRODUCT(B18*C18)</f>
        <v>284000</v>
      </c>
      <c r="F18" s="9">
        <f t="shared" si="3"/>
        <v>43322.033898305082</v>
      </c>
      <c r="G18" s="7">
        <f t="shared" ref="G18:G22" si="5">PRODUCT(B18*D18)</f>
        <v>7100</v>
      </c>
      <c r="H18" s="93">
        <f t="shared" ref="H18:H22" si="6">SUM(F18:G18)</f>
        <v>50422.033898305082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65</v>
      </c>
      <c r="B21" s="5"/>
      <c r="C21" s="5">
        <v>1806</v>
      </c>
      <c r="D21" s="5">
        <v>30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645200</v>
      </c>
      <c r="F37" s="16">
        <f>SUM(F5:F36)</f>
        <v>98420.338983050839</v>
      </c>
      <c r="G37" s="16">
        <f t="shared" ref="G37:H37" si="10">SUM(G5:G36)</f>
        <v>13100</v>
      </c>
      <c r="H37" s="16">
        <f t="shared" si="10"/>
        <v>111520.33898305084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200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355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555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2" sqref="C32"/>
    </sheetView>
  </sheetViews>
  <sheetFormatPr defaultColWidth="8.77734375" defaultRowHeight="14.4"/>
  <cols>
    <col min="1" max="1" width="25" style="34" customWidth="1"/>
    <col min="2" max="2" width="19.21875" style="34" customWidth="1"/>
    <col min="3" max="3" width="24.21875" style="34" customWidth="1"/>
    <col min="4" max="4" width="18.77734375" style="34" customWidth="1"/>
    <col min="5" max="5" width="16.44140625" style="34" customWidth="1"/>
    <col min="6" max="6" width="18.77734375" style="34" customWidth="1"/>
    <col min="7" max="8" width="20.21875" style="34" customWidth="1"/>
    <col min="9" max="16384" width="8.77734375" style="34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170">
        <v>2124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59</v>
      </c>
      <c r="B18" s="19"/>
      <c r="C18" s="19">
        <v>2360</v>
      </c>
      <c r="D18" s="19">
        <v>30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71" sqref="B71"/>
    </sheetView>
  </sheetViews>
  <sheetFormatPr defaultRowHeight="14.4"/>
  <cols>
    <col min="1" max="1" width="29.109375" customWidth="1"/>
    <col min="2" max="2" width="17.88671875" customWidth="1"/>
    <col min="3" max="3" width="20.77734375" customWidth="1"/>
    <col min="4" max="4" width="24.77734375" customWidth="1"/>
    <col min="5" max="5" width="18.5546875" customWidth="1"/>
    <col min="6" max="6" width="19.77734375" customWidth="1"/>
    <col min="7" max="7" width="16.21875" customWidth="1"/>
    <col min="8" max="8" width="18.5546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79</v>
      </c>
      <c r="B3" s="177"/>
      <c r="C3" s="177"/>
      <c r="D3" s="177"/>
      <c r="E3" s="177"/>
      <c r="F3" s="177"/>
      <c r="G3" s="177"/>
      <c r="H3" s="178"/>
      <c r="I3" s="218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6640625" customWidth="1"/>
  </cols>
  <sheetData>
    <row r="1" spans="1:7">
      <c r="A1" s="207" t="s">
        <v>56</v>
      </c>
      <c r="B1" s="208"/>
      <c r="C1" s="208"/>
      <c r="D1" s="208"/>
      <c r="E1" s="208"/>
      <c r="F1" s="208"/>
      <c r="G1" s="253"/>
    </row>
    <row r="2" spans="1:7" ht="15" thickBot="1">
      <c r="A2" s="209"/>
      <c r="B2" s="210"/>
      <c r="C2" s="210"/>
      <c r="D2" s="210"/>
      <c r="E2" s="210"/>
      <c r="F2" s="210"/>
      <c r="G2" s="254"/>
    </row>
    <row r="3" spans="1:7" ht="28.8" thickBot="1">
      <c r="A3" s="255" t="s">
        <v>57</v>
      </c>
      <c r="B3" s="256"/>
      <c r="C3" s="257"/>
      <c r="D3" s="255" t="s">
        <v>58</v>
      </c>
      <c r="E3" s="256"/>
      <c r="F3" s="256"/>
      <c r="G3" s="257"/>
    </row>
    <row r="4" spans="1:7" ht="41.55" customHeight="1" thickBot="1">
      <c r="A4" s="250" t="s">
        <v>60</v>
      </c>
      <c r="B4" s="251"/>
      <c r="C4" s="252"/>
      <c r="D4" s="241">
        <f>NYANZA!E49+KIREHE!E49+NYAGATARE!E49+KAYONZA!E49+MUSANZE!E49+MUSANZE!E49+RUBAVU!E49+KARONGI!E49+NYAMAGABE!E49+RUSIZI!E49+HUYE!E49+RUHANGO!E49+MUHANGA!E49+BUGESERA!E49+RWAMAGANA!E49+NYARUGENGE!E49+BISHENYI!E49+GAHANGA!E49+KIMIRONKO!E49+GISOZI!E69+GATSIBO!E49+GASHYUSHYA!E49+RUTSIRO!E49+NGORORERO!E49+NYAMASHEKE!E49+FOURTH!E49</f>
        <v>1021531</v>
      </c>
      <c r="E4" s="242"/>
      <c r="F4" s="242"/>
      <c r="G4" s="243"/>
    </row>
    <row r="5" spans="1:7" ht="37.049999999999997" customHeight="1" thickBot="1">
      <c r="A5" s="250" t="s">
        <v>45</v>
      </c>
      <c r="B5" s="251"/>
      <c r="C5" s="252"/>
      <c r="D5" s="241">
        <f>NYANZA!E50+KIREHE!E50+NYAGATARE!E50+KAYONZA!E50+MUSANZE!E50+MUSANZE!E50+RUBAVU!E50+KARONGI!E50+NYAMAGABE!E50+RUSIZI!E50+HUYE!E50+RUHANGO!E50+MUHANGA!E50+BUGESERA!E50+RWAMAGANA!E50+NYARUGENGE!E50+BISHENYI!E50+GAHANGA!E50+KIMIRONKO!E50+GISOZI!E70+GATSIBO!E50+GASHYUSHYA!E50+RUTSIRO!E50+NGORORERO!E50+NYAMASHEKE!E50+FOURTH!E50</f>
        <v>45069</v>
      </c>
      <c r="E5" s="242"/>
      <c r="F5" s="242"/>
      <c r="G5" s="243"/>
    </row>
    <row r="6" spans="1:7" ht="40.049999999999997" customHeight="1" thickBot="1">
      <c r="A6" s="250" t="s">
        <v>59</v>
      </c>
      <c r="B6" s="251"/>
      <c r="C6" s="252"/>
      <c r="D6" s="241">
        <f>NYANZA!E51+KIREHE!E51+NYAGATARE!E51+KAYONZA!E51+MUSANZE!E51+MUSANZE!E51+RUBAVU!E51+KARONGI!E51+NYAMAGABE!E51+RUSIZI!E51+HUYE!E51+RUHANGO!E51+MUHANGA!E51+BUGESERA!E51+RWAMAGANA!E51+NYARUGENGE!E51+BISHENYI!E51+GAHANGA!E51+KIMIRONKO!E51+GISOZI!E71+GATSIBO!E51+GASHYUSHYA!E51+RUTSIRO!E51+NGORORERO!E51+NYAMASHEKE!E51+FOURTH!E51</f>
        <v>85520</v>
      </c>
      <c r="E6" s="242"/>
      <c r="F6" s="242"/>
      <c r="G6" s="243"/>
    </row>
    <row r="7" spans="1:7" ht="38.549999999999997" customHeight="1" thickBot="1">
      <c r="A7" s="244" t="s">
        <v>62</v>
      </c>
      <c r="B7" s="245"/>
      <c r="C7" s="246"/>
      <c r="D7" s="241">
        <f>NYANZA!E52+KIREHE!E52+NYAGATARE!E52+KAYONZA!E52+MUSANZE!E52+MUSANZE!E52+RUBAVU!E52+KARONGI!E52+NYAMAGABE!E52+RUSIZI!E52+HUYE!E52+RUHANGO!E52+MUHANGA!E52+BUGESERA!E52+RWAMAGANA!E52+NYARUGENGE!E52+BISHENYI!E52+GAHANGA!E52+KIMIRONKO!E52+GISOZI!E72+GATSIBO!E52+GASHYUSHYA!E52+RUTSIRO!E52+NGORORERO!E52+NYAMASHEKE!E52+FOURTH!E52</f>
        <v>45912</v>
      </c>
      <c r="E7" s="242"/>
      <c r="F7" s="242"/>
      <c r="G7" s="243"/>
    </row>
    <row r="8" spans="1:7" ht="40.049999999999997" customHeight="1" thickBot="1">
      <c r="A8" s="244" t="s">
        <v>63</v>
      </c>
      <c r="B8" s="245"/>
      <c r="C8" s="246"/>
      <c r="D8" s="241">
        <f>NYANZA!E53+KIREHE!E53+NYAGATARE!E53+KAYONZA!E53+MUSANZE!E53+MUSANZE!E53+RUBAVU!E53+KARONGI!E53+NYAMAGABE!E53+RUSIZI!E53+HUYE!E53+RUHANGO!E53+MUHANGA!E53+BUGESERA!E53+RWAMAGANA!E53+NYARUGENGE!E53+BISHENYI!E53+GAHANGA!E53+KIMIRONKO!E53+GISOZI!E73+GATSIBO!E53+GASHYUSHYA!E53+RUTSIRO!E53+NGORORERO!E53+NYAMASHEKE!E53+FOURTH!E53</f>
        <v>23338</v>
      </c>
      <c r="E8" s="242"/>
      <c r="F8" s="242"/>
      <c r="G8" s="243"/>
    </row>
    <row r="9" spans="1:7" ht="38.549999999999997" customHeight="1" thickBot="1">
      <c r="A9" s="244" t="s">
        <v>83</v>
      </c>
      <c r="B9" s="245"/>
      <c r="C9" s="246"/>
      <c r="D9" s="241">
        <f>NYANZA!E54+KIREHE!E54+NYAGATARE!E54+KAYONZA!E54+MUSANZE!E54+MUSANZE!E54+RUBAVU!E54+KARONGI!E54+NYAMAGABE!E54+RUSIZI!E54+HUYE!E54+RUHANGO!E54+MUHANGA!E54+BUGESERA!E54+RWAMAGANA!E54+NYARUGENGE!E54+BISHENYI!E54+GAHANGA!E54+KIMIRONKO!E54+GISOZI!E74+GATSIBO!E54+GASHYUSHYA!E54+RUTSIRO!E54+NGORORERO!E54+NYAMASHEKE!E54+FOURTH!E54</f>
        <v>9882</v>
      </c>
      <c r="E9" s="242"/>
      <c r="F9" s="242"/>
      <c r="G9" s="243"/>
    </row>
    <row r="10" spans="1:7" ht="37.950000000000003" customHeight="1" thickBot="1">
      <c r="A10" s="244" t="s">
        <v>83</v>
      </c>
      <c r="B10" s="245"/>
      <c r="C10" s="246"/>
      <c r="D10" s="241">
        <f>NYANZA!E55+KIREHE!E55+NYAGATARE!E55+KAYONZA!E55+MUSANZE!E55+MUSANZE!E55+RUBAVU!E55+KARONGI!E55+NYAMAGABE!E55+RUSIZI!E55+HUYE!E55+RUHANGO!E55+MUHANGA!E55+BUGESERA!E55+RWAMAGANA!E55+NYARUGENGE!E55+BISHENYI!E55+GAHANGA!E55+KIMIRONKO!E55+GISOZI!E75+GATSIBO!E55+GASHYUSHYA!E55+RUTSIRO!E55+NGORORERO!E55+NYAMASHEKE!E55+FOURTH!E55</f>
        <v>100</v>
      </c>
      <c r="E10" s="242"/>
      <c r="F10" s="242"/>
      <c r="G10" s="243"/>
    </row>
    <row r="11" spans="1:7" ht="38.549999999999997" customHeight="1" thickBot="1">
      <c r="A11" s="244" t="s">
        <v>83</v>
      </c>
      <c r="B11" s="245"/>
      <c r="C11" s="246"/>
      <c r="D11" s="241">
        <f>NYANZA!E56+KIREHE!E56+NYAGATARE!E56+KAYONZA!E56+MUSANZE!E56+MUSANZE!E56+RUBAVU!E56+KARONGI!E56+NYAMAGABE!E56+RUSIZI!E56+HUYE!E56+RUHANGO!E56+MUHANGA!E56+BUGESERA!E56+RWAMAGANA!E56+NYARUGENGE!E56+BISHENYI!E56+GAHANGA!E56+KIMIRONKO!E56+GISOZI!E76+GATSIBO!E56+GASHYUSHYA!E56+RUTSIRO!E56+NGORORERO!E56+NYAMASHEKE!E56+FOURTH!E56</f>
        <v>8592</v>
      </c>
      <c r="E11" s="242"/>
      <c r="F11" s="242"/>
      <c r="G11" s="243"/>
    </row>
    <row r="12" spans="1:7" ht="36.450000000000003" customHeight="1" thickBot="1">
      <c r="A12" s="244" t="s">
        <v>83</v>
      </c>
      <c r="B12" s="245"/>
      <c r="C12" s="246"/>
      <c r="D12" s="241">
        <f>NYANZA!E57+KIREHE!E57+NYAGATARE!E57+KAYONZA!E57+MUSANZE!E57+MUSANZE!E57+RUBAVU!E57+KARONGI!E57+NYAMAGABE!E57+RUSIZI!E57+HUYE!E57+RUHANGO!E57+MUHANGA!E57+BUGESERA!E57+RWAMAGANA!E57+NYARUGENGE!E57+BISHENYI!E57+GAHANGA!E57+KIMIRONKO!E57+GISOZI!E77+GATSIBO!E57+GASHYUSHYA!E57+RUTSIRO!E57+NGORORERO!E57+NYAMASHEKE!E57+FOURTH!E57</f>
        <v>0</v>
      </c>
      <c r="E12" s="242"/>
      <c r="F12" s="242"/>
      <c r="G12" s="243"/>
    </row>
    <row r="13" spans="1:7" ht="37.950000000000003" customHeight="1" thickBot="1">
      <c r="A13" s="244" t="s">
        <v>83</v>
      </c>
      <c r="B13" s="245"/>
      <c r="C13" s="246"/>
      <c r="D13" s="241">
        <f>NYANZA!E58+KIREHE!E58+NYAGATARE!E58+KAYONZA!E58+MUSANZE!E58+MUSANZE!E58+RUBAVU!E58+KARONGI!E58+NYAMAGABE!E58+RUSIZI!E58+HUYE!E58+RUHANGO!E58+MUHANGA!E58+BUGESERA!E58+RWAMAGANA!E58+NYARUGENGE!E58+BISHENYI!E58+GAHANGA!E58+KIMIRONKO!E58+GISOZI!E78+GATSIBO!E58+GASHYUSHYA!E58+RUTSIRO!E58+NGORORERO!E58+NYAMASHEKE!E58+FOURTH!E58</f>
        <v>0</v>
      </c>
      <c r="E13" s="242"/>
      <c r="F13" s="242"/>
      <c r="G13" s="243"/>
    </row>
    <row r="14" spans="1:7" ht="29.4" thickBot="1">
      <c r="A14" s="244" t="s">
        <v>83</v>
      </c>
      <c r="B14" s="245"/>
      <c r="C14" s="246"/>
      <c r="D14" s="241">
        <f>NYANZA!E59+KIREHE!E59+NYAGATARE!E59+KAYONZA!E59+MUSANZE!E59+MUSANZE!E59+RUBAVU!E59+KARONGI!E59+NYAMAGABE!E59+RUSIZI!E59+HUYE!E59+RUHANGO!E59+MUHANGA!E59+BUGESERA!E59+RWAMAGANA!E59+NYARUGENGE!E59+BISHENYI!E59+GAHANGA!E59+KIMIRONKO!E59+GISOZI!E79+GATSIBO!E59+GASHYUSHYA!E59+RUTSIRO!E59+NGORORERO!E59+NYAMASHEKE!E59+FOURTH!E59</f>
        <v>0</v>
      </c>
      <c r="E14" s="242"/>
      <c r="F14" s="242"/>
      <c r="G14" s="243"/>
    </row>
    <row r="15" spans="1:7" ht="29.4" thickBot="1">
      <c r="A15" s="244" t="s">
        <v>83</v>
      </c>
      <c r="B15" s="245"/>
      <c r="C15" s="246"/>
      <c r="D15" s="241">
        <f>NYANZA!E60+KIREHE!E60+NYAGATARE!E60+KAYONZA!E60+MUSANZE!E60+MUSANZE!E60+RUBAVU!E60+KARONGI!E60+NYAMAGABE!E60+RUSIZI!E60+HUYE!E60+RUHANGO!E60+MUHANGA!E60+BUGESERA!E60+RWAMAGANA!E60+NYARUGENGE!E60+BISHENYI!E60+GAHANGA!E60+KIMIRONKO!E60+GISOZI!E80+GATSIBO!E60+GASHYUSHYA!E60+RUTSIRO!E60+NGORORERO!E60+NYAMASHEKE!E60+FOURTH!E60</f>
        <v>0</v>
      </c>
      <c r="E15" s="242"/>
      <c r="F15" s="242"/>
      <c r="G15" s="243"/>
    </row>
    <row r="16" spans="1:7" ht="29.4" thickBot="1">
      <c r="A16" s="244" t="s">
        <v>83</v>
      </c>
      <c r="B16" s="245"/>
      <c r="C16" s="246"/>
      <c r="D16" s="241">
        <f>NYANZA!E61+KIREHE!E61+NYAGATARE!E61+KAYONZA!E61+MUSANZE!E61+MUSANZE!E61+RUBAVU!E61+KARONGI!E61+NYAMAGABE!E61+RUSIZI!E61+HUYE!E61+RUHANGO!E61+MUHANGA!E61+BUGESERA!E61+RWAMAGANA!E61+NYARUGENGE!E61+BISHENYI!E61+GAHANGA!E61+KIMIRONKO!E61+GISOZI!E81+GATSIBO!E61+GASHYUSHYA!E61+RUTSIRO!E61+NGORORERO!E61+NYAMASHEKE!E61+FOURTH!E61</f>
        <v>0</v>
      </c>
      <c r="E16" s="242"/>
      <c r="F16" s="242"/>
      <c r="G16" s="243"/>
    </row>
    <row r="17" spans="1:7" ht="29.4" thickBot="1">
      <c r="A17" s="244" t="s">
        <v>64</v>
      </c>
      <c r="B17" s="245"/>
      <c r="C17" s="246"/>
      <c r="D17" s="247">
        <f>SUM(D4:D16)</f>
        <v>1239944</v>
      </c>
      <c r="E17" s="248"/>
      <c r="F17" s="248"/>
      <c r="G17" s="249"/>
    </row>
  </sheetData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NYAMASHEKE</vt:lpstr>
      <vt:lpstr>FOURTH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2026-08-13T07:33:28Z</dcterms:modified>
</cp:coreProperties>
</file>