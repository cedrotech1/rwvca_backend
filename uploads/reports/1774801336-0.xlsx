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D4" i="21" l="1"/>
  <c r="H20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<sst xmlns="http://schemas.openxmlformats.org/spreadsheetml/2006/main" count="1701" uniqueCount="92">
  <si>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</si>
  <si>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</si>
  <si>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</si>
  <si>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</si>
  <si>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</si>
  <si>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</si>
  <si>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</si>
  <si>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</si>
  <si>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</si>
  <si>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</si>
  <si>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</si>
  <si>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</si>
  <si>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</si>
  <si>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</si>
  <si>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</si>
  <si>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</si>
  <si>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</si>
  <si>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</si>
  <si>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</si>
  <si>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</si>
  <si>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</si>
  <si>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</si>
  <si>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</si>
  <si>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</si>
  <si>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</si>
  <si>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</si>
  <si>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</si>
  <si>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</si>
  <si>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</si>
  <si>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</si>
  <si>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</si>
  <si>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</si>
  <si>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</si>
  <si>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</si>
  <si>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</si>
  <si>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</si>
  <si>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</si>
  <si>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</si>
  <si>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</si>
  <si>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</si>
  <si>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</si>
  <si>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</si>
  <si>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</si>
  <si>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</si>
  <si>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</si>
  <si>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</si>
  <si>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</si>
  <si>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</si>
  <si>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</si>
  <si>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</si>
  <si>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</si>
  <si>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</si>
  <si>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</si>
  <si>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</si>
  <si>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</si>
  <si>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</si>
  <si>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</si>
  <si>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</si>
  <si>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</si>
  <si>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</si>
  <si>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</si>
  <si>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</si>
  <si>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</si>
  <si>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</si>
  <si>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</si>
  <si>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</si>
  <si>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</si>
  <si>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</si>
  <si>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</si>
  <si>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</si>
  <si>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</si>
  <si>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</si>
  <si>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</si>
  <si>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</si>
  <si>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</si>
  <si>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</si>
  <si>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</si>
  <si>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</si>
  <si>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</si>
  <si>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</si>
  <si>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</si>
  <si>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</si>
  <si>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</si>
  <si>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</si>
  <si>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</si>
  <si>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</si>
  <si>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</si>
  <si>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</si>
  <si>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>`</t>
  </si>
  <si>
    <t>DAILY REPORT ON 29/03/ 2026</t>
  </si>
  <si>
    <t>ISABELLE MUSHIMIYIMANA</t>
  </si>
  <si>
    <t>0783978338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</si>
</sst>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2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8" fillId="0" borderId="30" xfId="1" quotePrefix="1" applyNumberFormat="1" applyFont="1" applyBorder="1" applyProtection="1">
      <protection locked="0"/>
    </xf>
    <xf numFmtId="165" fontId="8" fillId="0" borderId="33" xfId="1" quotePrefix="1" applyNumberFormat="1" applyFont="1" applyBorder="1" applyProtection="1">
      <protection locked="0"/>
    </xf>
    <xf numFmtId="165" fontId="8" fillId="0" borderId="31" xfId="1" quotePrefix="1" applyNumberFormat="1" applyFont="1" applyBorder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3" t="s">
        <v>37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82"/>
      <c r="M1" s="82"/>
      <c r="N1" s="82"/>
    </row>
    <row r="2" spans="1:15" ht="31" customHeight="1">
      <c r="A2" s="125" t="s">
        <v>36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82"/>
      <c r="M2" s="82"/>
      <c r="N2" s="82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185778.15254237287</v>
      </c>
      <c r="C21" s="48">
        <f>KIREHE!G37</f>
        <v>28222</v>
      </c>
      <c r="D21" s="48">
        <f>KIREHE!C43</f>
        <v>0</v>
      </c>
      <c r="E21" s="48">
        <f>KIREHE!C44</f>
        <v>0</v>
      </c>
      <c r="F21" s="50">
        <f t="shared" si="0"/>
        <v>214000.15254237287</v>
      </c>
      <c r="G21" s="47">
        <f>KIREHE!C41</f>
        <v>0</v>
      </c>
      <c r="H21" s="48">
        <f>KIREHE!C39</f>
        <v>214000.15254237287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185778.15254237287</v>
      </c>
      <c r="C29" s="70">
        <f t="shared" si="1"/>
        <v>28222</v>
      </c>
      <c r="D29" s="71">
        <f t="shared" si="1"/>
        <v>0</v>
      </c>
      <c r="E29" s="70">
        <f t="shared" si="1"/>
        <v>0</v>
      </c>
      <c r="F29" s="70">
        <f>SUM(F5:F28)</f>
        <v>214000.15254237287</v>
      </c>
      <c r="G29" s="71">
        <f>SUM(G5:G28)</f>
        <v>0</v>
      </c>
      <c r="H29" s="71">
        <f>SUM(H5:H28)</f>
        <v>214000.15254237287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7"/>
      <c r="B30" s="117"/>
      <c r="C30" s="117"/>
      <c r="D30" s="118"/>
      <c r="E30" s="151" t="s">
        <v>11</v>
      </c>
      <c r="F30" s="152"/>
      <c r="G30" s="152"/>
      <c r="H30" s="152"/>
      <c r="I30" s="153"/>
      <c r="J30" s="127"/>
      <c r="K30" s="128"/>
      <c r="L30" s="82"/>
    </row>
    <row r="31" spans="1:15" ht="19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9"/>
      <c r="K31" s="130"/>
      <c r="L31" s="82"/>
    </row>
    <row r="32" spans="1:15" ht="15" thickBot="1">
      <c r="A32" s="119" t="s">
        <v>12</v>
      </c>
      <c r="B32" s="120"/>
      <c r="C32" s="121">
        <f>SUM(B29+C29)</f>
        <v>214000.15254237287</v>
      </c>
      <c r="D32" s="122"/>
      <c r="E32" s="154"/>
      <c r="F32" s="155"/>
      <c r="G32" s="155"/>
      <c r="H32" s="155"/>
      <c r="I32" s="156"/>
      <c r="J32" s="129"/>
      <c r="K32" s="130"/>
      <c r="L32" s="82"/>
    </row>
    <row r="33" spans="1:12" ht="15" thickBot="1">
      <c r="A33" s="119" t="s">
        <v>13</v>
      </c>
      <c r="B33" s="120"/>
      <c r="C33" s="142">
        <f>SUM(F29,G29)</f>
        <v>214000.15254237287</v>
      </c>
      <c r="D33" s="150"/>
      <c r="E33" s="154"/>
      <c r="F33" s="155"/>
      <c r="G33" s="155"/>
      <c r="H33" s="155"/>
      <c r="I33" s="156"/>
      <c r="J33" s="129"/>
      <c r="K33" s="130"/>
      <c r="L33" s="82"/>
    </row>
    <row r="34" spans="1:12" ht="15" thickBot="1">
      <c r="A34" s="144" t="s">
        <v>81</v>
      </c>
      <c r="B34" s="145"/>
      <c r="C34" s="142">
        <f>SUM(H29,J29,I29+G29)</f>
        <v>214000.15254237287</v>
      </c>
      <c r="D34" s="143"/>
      <c r="E34" s="154"/>
      <c r="F34" s="155"/>
      <c r="G34" s="155"/>
      <c r="H34" s="155"/>
      <c r="I34" s="156"/>
      <c r="J34" s="129"/>
      <c r="K34" s="130"/>
      <c r="L34" s="82"/>
    </row>
    <row r="35" spans="1:12" ht="15" thickBot="1">
      <c r="A35" s="119" t="s">
        <v>10</v>
      </c>
      <c r="B35" s="120"/>
      <c r="C35" s="142">
        <f>SUM(D29:E29)</f>
        <v>0</v>
      </c>
      <c r="D35" s="143"/>
      <c r="E35" s="157"/>
      <c r="F35" s="158"/>
      <c r="G35" s="158"/>
      <c r="H35" s="158"/>
      <c r="I35" s="159"/>
      <c r="J35" s="129"/>
      <c r="K35" s="130"/>
      <c r="L35" s="82"/>
    </row>
    <row r="36" spans="1:12" ht="15" thickBot="1">
      <c r="A36" s="119" t="s">
        <v>83</v>
      </c>
      <c r="B36" s="120"/>
      <c r="C36" s="142">
        <f>SUM(H29+I29+J29+C35)</f>
        <v>214000.15254237287</v>
      </c>
      <c r="D36" s="143"/>
      <c r="E36" s="133" t="s">
        <v>35</v>
      </c>
      <c r="F36" s="134"/>
      <c r="G36" s="134"/>
      <c r="H36" s="134"/>
      <c r="I36" s="135"/>
      <c r="J36" s="129"/>
      <c r="K36" s="130"/>
      <c r="L36" s="82"/>
    </row>
    <row r="37" spans="1:12" ht="15" thickBot="1">
      <c r="A37" s="146" t="s">
        <v>14</v>
      </c>
      <c r="B37" s="147"/>
      <c r="C37" s="142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214000.15254237287</v>
      </c>
      <c r="D37" s="143"/>
      <c r="E37" s="136"/>
      <c r="F37" s="137"/>
      <c r="G37" s="137"/>
      <c r="H37" s="137"/>
      <c r="I37" s="138"/>
      <c r="J37" s="129"/>
      <c r="K37" s="130"/>
      <c r="L37" s="82"/>
    </row>
    <row r="38" spans="1:12" ht="26.5" thickBot="1">
      <c r="A38" s="139" t="s">
        <v>15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s="89" customFormat="1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9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20.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3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22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22.5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24.5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22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22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22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22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2124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32" workbookViewId="0">
      <selection activeCell="G41" sqref="G41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89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/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>
        <v>460</v>
      </c>
      <c r="C10" s="166">
        <v>2124</v>
      </c>
      <c r="D10" s="167"/>
      <c r="E10" s="12">
        <f t="shared" si="0"/>
        <v>977040</v>
      </c>
      <c r="F10" s="12">
        <f t="shared" si="1"/>
        <v>149040</v>
      </c>
      <c r="G10" s="12">
        <f>PRODUCT(B10*30)</f>
        <v>13800</v>
      </c>
      <c r="H10" s="100">
        <f t="shared" si="2"/>
        <v>162840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>
        <v>1180</v>
      </c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85</v>
      </c>
      <c r="B18" s="27"/>
      <c r="C18" s="27">
        <v>1800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86</v>
      </c>
      <c r="B19" s="13"/>
      <c r="C19" s="13">
        <v>1180</v>
      </c>
      <c r="D19" s="13">
        <v>30</v>
      </c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60</v>
      </c>
      <c r="B20" s="13">
        <v>157</v>
      </c>
      <c r="C20" s="13">
        <v>1534</v>
      </c>
      <c r="D20" s="13">
        <v>30</v>
      </c>
      <c r="E20" s="20">
        <f t="shared" si="4"/>
        <v>240838</v>
      </c>
      <c r="F20" s="17">
        <f t="shared" si="3"/>
        <v>36738</v>
      </c>
      <c r="G20" s="95">
        <f t="shared" si="5"/>
        <v>4710</v>
      </c>
      <c r="H20" s="104">
        <f t="shared" si="6"/>
        <v>41448</v>
      </c>
      <c r="I20" s="214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>
        <v>1</v>
      </c>
      <c r="C22" s="13">
        <v>1</v>
      </c>
      <c r="D22" s="13">
        <v>9712</v>
      </c>
      <c r="E22" s="20">
        <f t="shared" si="4"/>
        <v>1</v>
      </c>
      <c r="F22" s="17">
        <f t="shared" si="3"/>
        <v>0.15254237288135594</v>
      </c>
      <c r="G22" s="95">
        <f t="shared" si="5"/>
        <v>9712</v>
      </c>
      <c r="H22" s="104">
        <f t="shared" si="6"/>
        <v>9712.1525423728817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1217879</v>
      </c>
      <c r="F37" s="24">
        <f>SUM(F5:F36)</f>
        <v>185778.15254237287</v>
      </c>
      <c r="G37" s="24">
        <f t="shared" ref="G37:H37" si="10">SUM(G5:G36)</f>
        <v>28222</v>
      </c>
      <c r="H37" s="24">
        <f t="shared" si="10"/>
        <v>214000.15254237287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>
        <f>H37</f>
        <v>214000.15254237287</v>
      </c>
      <c r="D39" s="58"/>
      <c r="E39" s="183" t="s">
        <v>90</v>
      </c>
      <c r="F39" s="183"/>
      <c r="G39" s="114" t="s">
        <v>91</v>
      </c>
      <c r="H39" s="108">
        <v>9712</v>
      </c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115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115" t="s">
        <v>88</v>
      </c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6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214000.15254237287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 t="s">
        <v>87</v>
      </c>
      <c r="B49" s="223"/>
      <c r="C49" s="197" t="s">
        <v>61</v>
      </c>
      <c r="D49" s="198"/>
      <c r="E49" s="207">
        <f>SUM(B9:B12)</f>
        <v>460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157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617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460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157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617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2026-03-29T16:20:15Z</dcterms:modified>
</cp:coreProperties>
</file>