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B3689EE-90DE-43F2-90B5-0A17B81AE332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20" i="10" l="1"/>
  <c r="H13" i="10"/>
  <c r="H7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<sst xmlns="http://schemas.openxmlformats.org/spreadsheetml/2006/main" count="1779" uniqueCount="86">
  <si>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</si>
  <si>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</si>
  <si>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</si>
  <si>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</si>
  <si>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</si>
  <si>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</si>
  <si>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</si>
  <si>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</si>
  <si>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</si>
  <si>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</si>
  <si>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</si>
  <si>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</si>
  <si>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</si>
  <si>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</si>
  <si>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</si>
  <si>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</si>
  <si>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</si>
  <si>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</si>
  <si>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</si>
  <si>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</si>
  <si>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</si>
  <si>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</si>
  <si>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</si>
  <si>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</si>
  <si>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</si>
  <si>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</si>
  <si>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</si>
  <si>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</si>
  <si>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</si>
  <si>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</si>
  <si>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</si>
  <si>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</si>
  <si>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</si>
  <si>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</si>
  <si>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</si>
  <si>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</si>
  <si>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</si>
  <si>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</si>
  <si>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</si>
  <si>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</si>
  <si>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</si>
  <si>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</si>
  <si>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</si>
  <si>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</si>
  <si>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</si>
  <si>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</si>
  <si>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</si>
  <si>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</si>
  <si>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</si>
  <si>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</si>
  <si>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</si>
  <si>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</si>
  <si>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</si>
  <si>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</si>
  <si>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</si>
  <si>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</si>
  <si>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</si>
  <si>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</si>
  <si>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</si>
  <si>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</si>
  <si>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</si>
  <si>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</si>
  <si>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</si>
  <si>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</si>
  <si>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</si>
  <si>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</si>
  <si>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</si>
  <si>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</si>
  <si>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</si>
  <si>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</si>
  <si>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</si>
  <si>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</si>
  <si>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</si>
  <si>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</si>
  <si>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</si>
  <si>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</si>
  <si>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</si>
  <si>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</si>
  <si>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</si>
  <si>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</si>
  <si>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</si>
  <si>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</si>
  <si>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</si>
  <si>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</si>
  <si>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</si>
  <si>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QUARTERY REPORT FROM 01JANUARY2026-31MARCH2026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</si>
</sst>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6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  <xf numFmtId="164" fontId="28" fillId="0" borderId="87" xfId="1" applyNumberFormat="1" applyFont="1" applyBorder="1" applyProtection="1">
      <protection locked="0"/>
    </xf>
    <xf numFmtId="164" fontId="29" fillId="2" borderId="21" xfId="0" applyNumberFormat="1" applyFont="1" applyFill="1" applyBorder="1"/>
    <xf numFmtId="164" fontId="30" fillId="5" borderId="4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"/>
      <c r="M1" s="1"/>
      <c r="N1" s="1"/>
      <c r="O1" s="1"/>
    </row>
    <row r="2" spans="1:15" ht="30.75" customHeight="1">
      <c r="A2" s="146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47"/>
      <c r="L2" s="1"/>
      <c r="M2" s="1"/>
      <c r="N2" s="1"/>
      <c r="O2" s="1"/>
    </row>
    <row r="3" spans="1:15" ht="15" customHeight="1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5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35174457</v>
      </c>
      <c r="C10" s="18">
        <f>BUGESERA!G29</f>
        <v>3241540</v>
      </c>
      <c r="D10" s="19"/>
      <c r="E10" s="18"/>
      <c r="F10" s="14">
        <f t="shared" si="0"/>
        <v>38415997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42842079</v>
      </c>
      <c r="C29" s="33">
        <f t="shared" si="1"/>
        <v>3937240</v>
      </c>
      <c r="D29" s="34">
        <f t="shared" si="1"/>
        <v>0</v>
      </c>
      <c r="E29" s="33">
        <f t="shared" si="1"/>
        <v>0</v>
      </c>
      <c r="F29" s="33">
        <f t="shared" si="1"/>
        <v>46779319</v>
      </c>
      <c r="G29" s="34">
        <f t="shared" si="1"/>
        <v>0</v>
      </c>
      <c r="H29" s="34">
        <f t="shared" si="1"/>
        <v>8363322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59"/>
      <c r="B30" s="106"/>
      <c r="C30" s="106"/>
      <c r="D30" s="107"/>
      <c r="E30" s="155" t="s">
        <v>32</v>
      </c>
      <c r="F30" s="112"/>
      <c r="G30" s="112"/>
      <c r="H30" s="112"/>
      <c r="I30" s="113"/>
      <c r="J30" s="151"/>
      <c r="K30" s="113"/>
      <c r="L30" s="1"/>
      <c r="M30" s="1"/>
      <c r="N30" s="1"/>
      <c r="O30" s="1"/>
    </row>
    <row r="31" spans="1:15" ht="18" customHeight="1">
      <c r="A31" s="157" t="s">
        <v>33</v>
      </c>
      <c r="B31" s="106"/>
      <c r="C31" s="106"/>
      <c r="D31" s="158"/>
      <c r="E31" s="152"/>
      <c r="F31" s="121"/>
      <c r="G31" s="121"/>
      <c r="H31" s="121"/>
      <c r="I31" s="122"/>
      <c r="J31" s="152"/>
      <c r="K31" s="122"/>
      <c r="L31" s="1"/>
      <c r="M31" s="1"/>
      <c r="N31" s="1"/>
      <c r="O31" s="1"/>
    </row>
    <row r="32" spans="1:15" ht="18" customHeight="1">
      <c r="A32" s="160" t="s">
        <v>34</v>
      </c>
      <c r="B32" s="107"/>
      <c r="C32" s="156">
        <f>SUM(B29:C29)</f>
        <v>46779319</v>
      </c>
      <c r="D32" s="112"/>
      <c r="E32" s="152"/>
      <c r="F32" s="121"/>
      <c r="G32" s="121"/>
      <c r="H32" s="121"/>
      <c r="I32" s="122"/>
      <c r="J32" s="152"/>
      <c r="K32" s="122"/>
      <c r="L32" s="1"/>
      <c r="M32" s="1"/>
      <c r="N32" s="1"/>
      <c r="O32" s="1"/>
    </row>
    <row r="33" spans="1:15" ht="18" customHeight="1">
      <c r="A33" s="160" t="s">
        <v>35</v>
      </c>
      <c r="B33" s="107"/>
      <c r="C33" s="117">
        <f>SUM(F29,G29)</f>
        <v>46779319</v>
      </c>
      <c r="D33" s="106"/>
      <c r="E33" s="152"/>
      <c r="F33" s="121"/>
      <c r="G33" s="121"/>
      <c r="H33" s="121"/>
      <c r="I33" s="122"/>
      <c r="J33" s="152"/>
      <c r="K33" s="122"/>
      <c r="L33" s="1"/>
      <c r="M33" s="1"/>
      <c r="N33" s="1"/>
      <c r="O33" s="1"/>
    </row>
    <row r="34" spans="1:15" ht="18" customHeight="1">
      <c r="A34" s="160" t="s">
        <v>36</v>
      </c>
      <c r="B34" s="107"/>
      <c r="C34" s="117">
        <f>SUM(H29,J29,I29)</f>
        <v>8363322</v>
      </c>
      <c r="D34" s="107"/>
      <c r="E34" s="152"/>
      <c r="F34" s="121"/>
      <c r="G34" s="121"/>
      <c r="H34" s="121"/>
      <c r="I34" s="122"/>
      <c r="J34" s="152"/>
      <c r="K34" s="122"/>
      <c r="L34" s="1"/>
      <c r="M34" s="1"/>
      <c r="N34" s="1"/>
      <c r="O34" s="1"/>
    </row>
    <row r="35" spans="1:15" ht="18" customHeight="1">
      <c r="A35" s="160" t="s">
        <v>37</v>
      </c>
      <c r="B35" s="107"/>
      <c r="C35" s="117">
        <f>SUM(D29:E29)</f>
        <v>0</v>
      </c>
      <c r="D35" s="107"/>
      <c r="E35" s="114"/>
      <c r="F35" s="115"/>
      <c r="G35" s="115"/>
      <c r="H35" s="115"/>
      <c r="I35" s="116"/>
      <c r="J35" s="152"/>
      <c r="K35" s="122"/>
      <c r="L35" s="1"/>
      <c r="M35" s="1"/>
      <c r="N35" s="1"/>
      <c r="O35" s="1"/>
    </row>
    <row r="36" spans="1:15" ht="18" customHeight="1">
      <c r="A36" s="160" t="s">
        <v>38</v>
      </c>
      <c r="B36" s="107"/>
      <c r="C36" s="117">
        <f>SUM(C33,C35)</f>
        <v>46779319</v>
      </c>
      <c r="D36" s="107"/>
      <c r="E36" s="153" t="s">
        <v>39</v>
      </c>
      <c r="F36" s="112"/>
      <c r="G36" s="112"/>
      <c r="H36" s="112"/>
      <c r="I36" s="113"/>
      <c r="J36" s="152"/>
      <c r="K36" s="122"/>
      <c r="L36" s="1"/>
      <c r="M36" s="1"/>
      <c r="N36" s="1"/>
      <c r="O36" s="1"/>
    </row>
    <row r="37" spans="1:15" ht="18" customHeight="1">
      <c r="A37" s="161" t="s">
        <v>40</v>
      </c>
      <c r="B37" s="116"/>
      <c r="C37" s="117">
        <f>SUM(C34:C35)</f>
        <v>8363322</v>
      </c>
      <c r="D37" s="107"/>
      <c r="E37" s="114"/>
      <c r="F37" s="115"/>
      <c r="G37" s="115"/>
      <c r="H37" s="115"/>
      <c r="I37" s="116"/>
      <c r="J37" s="152"/>
      <c r="K37" s="122"/>
      <c r="L37" s="1"/>
      <c r="M37" s="1"/>
      <c r="N37" s="1"/>
      <c r="O37" s="1"/>
    </row>
    <row r="38" spans="1:15" ht="18" customHeight="1">
      <c r="A38" s="154" t="s">
        <v>41</v>
      </c>
      <c r="B38" s="106"/>
      <c r="C38" s="106"/>
      <c r="D38" s="106"/>
      <c r="E38" s="106"/>
      <c r="F38" s="106"/>
      <c r="G38" s="106"/>
      <c r="H38" s="106"/>
      <c r="I38" s="107"/>
      <c r="J38" s="114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5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66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f>SUM(C39:C44)</f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22.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24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21.7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21.7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21.7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21.7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21.7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21.7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24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24.7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63" t="s">
        <v>82</v>
      </c>
      <c r="C62" s="106"/>
      <c r="D62" s="107"/>
      <c r="E62" s="164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f>SUM(C31:C36)</f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83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>
        <v>15000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>
        <v>9000</v>
      </c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8">
        <v>7670</v>
      </c>
      <c r="D8" s="12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8">
        <v>4130</v>
      </c>
      <c r="D9" s="12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8">
        <v>2124</v>
      </c>
      <c r="D10" s="12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8">
        <v>3540</v>
      </c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>
        <v>2006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8">
        <v>1357</v>
      </c>
      <c r="D13" s="12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>
        <v>8363322</v>
      </c>
      <c r="D39" s="82"/>
      <c r="E39" s="126"/>
      <c r="F39" s="127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f>SUM(C39:C44)</f>
        <v>8363322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20252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250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3782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B62" s="119" t="s">
        <v>82</v>
      </c>
      <c r="C62" s="106"/>
      <c r="D62" s="107"/>
      <c r="E62" s="170">
        <f>SUM(E49:H61)</f>
        <v>24284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85" t="s">
        <v>85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>
        <v>125</v>
      </c>
      <c r="C6" s="126">
        <v>7670</v>
      </c>
      <c r="D6" s="127"/>
      <c r="E6" s="44">
        <f t="shared" ref="E6:E14" si="0">PRODUCT(B6*C6)</f>
        <v>958750</v>
      </c>
      <c r="F6" s="44">
        <f t="shared" ref="F6:F14" si="1">PRODUCT(E6*18)/118</f>
        <v>146250</v>
      </c>
      <c r="G6" s="44">
        <f t="shared" ref="G6:G8" si="2">PRODUCT(B6*50)</f>
        <v>6250</v>
      </c>
      <c r="H6" s="45">
        <f t="shared" ref="H6:H14" si="3">SUM(F6:G6)</f>
        <v>152500</v>
      </c>
    </row>
    <row r="7" spans="1:8" ht="14.25" customHeight="1">
      <c r="A7" s="42" t="s">
        <v>51</v>
      </c>
      <c r="B7" s="43">
        <v>1770</v>
      </c>
      <c r="C7" s="126">
        <v>4720</v>
      </c>
      <c r="D7" s="127"/>
      <c r="E7" s="44">
        <f t="shared" si="0"/>
        <v>8354400</v>
      </c>
      <c r="F7" s="44">
        <f t="shared" si="1"/>
        <v>1274400</v>
      </c>
      <c r="G7" s="44">
        <f t="shared" si="2"/>
        <v>88500</v>
      </c>
      <c r="H7" s="45">
        <f t="shared" si="3"/>
        <v>1362900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83">
        <v>88548</v>
      </c>
      <c r="C10" s="128">
        <v>2124</v>
      </c>
      <c r="D10" s="129"/>
      <c r="E10" s="48">
        <f t="shared" si="0"/>
        <v>188075952</v>
      </c>
      <c r="F10" s="48">
        <f t="shared" si="1"/>
        <v>28689552</v>
      </c>
      <c r="G10" s="48">
        <f t="shared" si="4"/>
        <v>2656440</v>
      </c>
      <c r="H10" s="49">
        <f t="shared" si="3"/>
        <v>31345992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183">
        <v>19645</v>
      </c>
      <c r="C13" s="128">
        <v>1357</v>
      </c>
      <c r="D13" s="129"/>
      <c r="E13" s="48">
        <f t="shared" si="0"/>
        <v>26658265</v>
      </c>
      <c r="F13" s="48">
        <f t="shared" si="1"/>
        <v>4066515</v>
      </c>
      <c r="G13" s="48">
        <f t="shared" ref="G13:G14" si="5">PRODUCT(B13*20)</f>
        <v>392900</v>
      </c>
      <c r="H13" s="49">
        <f t="shared" si="3"/>
        <v>4459415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150</v>
      </c>
      <c r="C17" s="56">
        <v>2006</v>
      </c>
      <c r="D17" s="56">
        <v>25</v>
      </c>
      <c r="E17" s="57">
        <f t="shared" ref="E17:E28" si="6">PRODUCT(B17*C17)</f>
        <v>300900</v>
      </c>
      <c r="F17" s="58">
        <f t="shared" ref="F17:F28" si="7">PRODUCT(E17*18)/118</f>
        <v>45900</v>
      </c>
      <c r="G17" s="58">
        <f t="shared" ref="G17:G28" si="8">PRODUCT(B17*D17)</f>
        <v>3750</v>
      </c>
      <c r="H17" s="58">
        <f t="shared" ref="H17:H29" si="9">SUM(F17:G17)</f>
        <v>49650</v>
      </c>
    </row>
    <row r="18" spans="1:8" ht="14.25" customHeight="1">
      <c r="A18" s="59" t="s">
        <v>84</v>
      </c>
      <c r="B18" s="60">
        <v>1760</v>
      </c>
      <c r="C18" s="60">
        <v>3304</v>
      </c>
      <c r="D18" s="60">
        <v>40</v>
      </c>
      <c r="E18" s="61">
        <f t="shared" si="6"/>
        <v>5815040</v>
      </c>
      <c r="F18" s="62">
        <f t="shared" si="7"/>
        <v>887040</v>
      </c>
      <c r="G18" s="62">
        <f t="shared" si="8"/>
        <v>70400</v>
      </c>
      <c r="H18" s="62">
        <f t="shared" si="9"/>
        <v>957440</v>
      </c>
    </row>
    <row r="19" spans="1:8" ht="14.25" customHeight="1">
      <c r="A19" s="63" t="s">
        <v>62</v>
      </c>
      <c r="B19" s="64">
        <v>110</v>
      </c>
      <c r="C19" s="64">
        <v>2360</v>
      </c>
      <c r="D19" s="64">
        <v>30</v>
      </c>
      <c r="E19" s="61">
        <f t="shared" si="6"/>
        <v>259600</v>
      </c>
      <c r="F19" s="62">
        <f t="shared" si="7"/>
        <v>39600</v>
      </c>
      <c r="G19" s="62">
        <f t="shared" si="8"/>
        <v>3300</v>
      </c>
      <c r="H19" s="62">
        <f t="shared" si="9"/>
        <v>42900</v>
      </c>
    </row>
    <row r="20" spans="1:8" ht="14.25" customHeight="1">
      <c r="A20" s="184" t="s">
        <v>81</v>
      </c>
      <c r="B20" s="64">
        <v>2</v>
      </c>
      <c r="C20" s="64"/>
      <c r="D20" s="64">
        <v>10000</v>
      </c>
      <c r="E20" s="61">
        <f t="shared" si="6"/>
        <v>0</v>
      </c>
      <c r="F20" s="62">
        <f t="shared" si="7"/>
        <v>0</v>
      </c>
      <c r="G20" s="62">
        <f t="shared" si="8"/>
        <v>20000</v>
      </c>
      <c r="H20" s="62">
        <f t="shared" si="9"/>
        <v>20000</v>
      </c>
    </row>
    <row r="21" spans="1:8" ht="14.25" customHeight="1">
      <c r="A21" s="63" t="s">
        <v>63</v>
      </c>
      <c r="B21" s="64">
        <v>14</v>
      </c>
      <c r="C21" s="64">
        <v>11800</v>
      </c>
      <c r="D21" s="64"/>
      <c r="E21" s="61">
        <f t="shared" si="6"/>
        <v>165200</v>
      </c>
      <c r="F21" s="62">
        <f t="shared" si="7"/>
        <v>25200</v>
      </c>
      <c r="G21" s="62">
        <f t="shared" si="8"/>
        <v>0</v>
      </c>
      <c r="H21" s="62">
        <f t="shared" si="9"/>
        <v>25200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230588107</v>
      </c>
      <c r="F29" s="74">
        <f t="shared" si="10"/>
        <v>35174457</v>
      </c>
      <c r="G29" s="75">
        <f t="shared" si="10"/>
        <v>3241540</v>
      </c>
      <c r="H29" s="76">
        <f t="shared" si="9"/>
        <v>38415997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103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104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88548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1895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19645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1910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112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14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112124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>
        <v>1357</v>
      </c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>
        <v>2124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>
        <v>1357</v>
      </c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09" t="s">
        <v>72</v>
      </c>
      <c r="B42" s="107"/>
      <c r="C42" s="90"/>
      <c r="D42" s="74"/>
      <c r="E42" s="172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71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71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73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08">
        <f>SUM(B13:B14)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8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8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8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8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8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8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8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8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8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SUM(B11:B14)</f>
        <v>0</v>
      </c>
      <c r="F49" s="106"/>
      <c r="G49" s="106"/>
      <c r="H49" s="107"/>
    </row>
    <row r="50" spans="1:8" ht="14.25" customHeight="1">
      <c r="A50" s="37"/>
      <c r="B50" s="105" t="s">
        <v>52</v>
      </c>
      <c r="C50" s="106"/>
      <c r="D50" s="107"/>
      <c r="E50" s="108">
        <f>SUM(B8:B10)</f>
        <v>0</v>
      </c>
      <c r="F50" s="106"/>
      <c r="G50" s="106"/>
      <c r="H50" s="107"/>
    </row>
    <row r="51" spans="1:8" ht="14.25" customHeight="1">
      <c r="A51" s="37"/>
      <c r="B51" s="105" t="s">
        <v>80</v>
      </c>
      <c r="C51" s="106"/>
      <c r="D51" s="107"/>
      <c r="E51" s="108">
        <f>SUM(B15:B16)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SUM(B19:B20)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SUM(B29:B30)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0" si="7">B31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>B45</f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8.7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8.7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1" t="s">
        <v>76</v>
      </c>
      <c r="B1" s="112"/>
      <c r="C1" s="112"/>
      <c r="D1" s="112"/>
      <c r="E1" s="112"/>
      <c r="F1" s="112"/>
      <c r="G1" s="113"/>
    </row>
    <row r="2" spans="1:7" ht="14.25" customHeight="1">
      <c r="A2" s="114"/>
      <c r="B2" s="115"/>
      <c r="C2" s="115"/>
      <c r="D2" s="115"/>
      <c r="E2" s="115"/>
      <c r="F2" s="115"/>
      <c r="G2" s="116"/>
    </row>
    <row r="3" spans="1:7" ht="14.25" customHeight="1">
      <c r="A3" s="182" t="s">
        <v>77</v>
      </c>
      <c r="B3" s="106"/>
      <c r="C3" s="107"/>
      <c r="D3" s="182" t="s">
        <v>78</v>
      </c>
      <c r="E3" s="106"/>
      <c r="F3" s="106"/>
      <c r="G3" s="107"/>
    </row>
    <row r="4" spans="1:7" ht="41.25" customHeight="1">
      <c r="A4" s="180" t="s">
        <v>79</v>
      </c>
      <c r="B4" s="106"/>
      <c r="C4" s="107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108800</v>
      </c>
      <c r="E4" s="106"/>
      <c r="F4" s="106"/>
      <c r="G4" s="107"/>
    </row>
    <row r="5" spans="1:7" ht="36.75" customHeight="1">
      <c r="A5" s="180" t="s">
        <v>52</v>
      </c>
      <c r="B5" s="106"/>
      <c r="C5" s="107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2145</v>
      </c>
      <c r="E5" s="106"/>
      <c r="F5" s="106"/>
      <c r="G5" s="107"/>
    </row>
    <row r="6" spans="1:7" ht="39.75" customHeight="1">
      <c r="A6" s="180" t="s">
        <v>56</v>
      </c>
      <c r="B6" s="106"/>
      <c r="C6" s="107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23427</v>
      </c>
      <c r="E6" s="106"/>
      <c r="F6" s="106"/>
      <c r="G6" s="107"/>
    </row>
    <row r="7" spans="1:7" ht="38.25" customHeight="1">
      <c r="A7" s="181" t="s">
        <v>61</v>
      </c>
      <c r="B7" s="106"/>
      <c r="C7" s="107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1910</v>
      </c>
      <c r="E7" s="106"/>
      <c r="F7" s="106"/>
      <c r="G7" s="107"/>
    </row>
    <row r="8" spans="1:7" ht="39.75" customHeight="1">
      <c r="A8" s="181" t="s">
        <v>62</v>
      </c>
      <c r="B8" s="106"/>
      <c r="C8" s="107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112</v>
      </c>
      <c r="E8" s="106"/>
      <c r="F8" s="106"/>
      <c r="G8" s="107"/>
    </row>
    <row r="9" spans="1:7" ht="38.25" customHeight="1">
      <c r="A9" s="181" t="s">
        <v>81</v>
      </c>
      <c r="B9" s="106"/>
      <c r="C9" s="107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14</v>
      </c>
      <c r="E9" s="106"/>
      <c r="F9" s="106"/>
      <c r="G9" s="107"/>
    </row>
    <row r="10" spans="1:7" ht="37.5" customHeight="1">
      <c r="A10" s="181" t="s">
        <v>81</v>
      </c>
      <c r="B10" s="106"/>
      <c r="C10" s="107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6"/>
      <c r="F10" s="106"/>
      <c r="G10" s="107"/>
    </row>
    <row r="11" spans="1:7" ht="38.25" customHeight="1">
      <c r="A11" s="181" t="s">
        <v>81</v>
      </c>
      <c r="B11" s="106"/>
      <c r="C11" s="107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6"/>
      <c r="F11" s="106"/>
      <c r="G11" s="107"/>
    </row>
    <row r="12" spans="1:7" ht="36" customHeight="1">
      <c r="A12" s="181" t="s">
        <v>81</v>
      </c>
      <c r="B12" s="106"/>
      <c r="C12" s="107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6"/>
      <c r="F12" s="106"/>
      <c r="G12" s="107"/>
    </row>
    <row r="13" spans="1:7" ht="37.5" customHeight="1">
      <c r="A13" s="181" t="s">
        <v>81</v>
      </c>
      <c r="B13" s="106"/>
      <c r="C13" s="107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6"/>
      <c r="F13" s="106"/>
      <c r="G13" s="107"/>
    </row>
    <row r="14" spans="1:7" ht="14.25" customHeight="1">
      <c r="A14" s="181" t="s">
        <v>81</v>
      </c>
      <c r="B14" s="106"/>
      <c r="C14" s="107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6"/>
      <c r="F14" s="106"/>
      <c r="G14" s="107"/>
    </row>
    <row r="15" spans="1:7" ht="14.25" customHeight="1">
      <c r="A15" s="181" t="s">
        <v>81</v>
      </c>
      <c r="B15" s="106"/>
      <c r="C15" s="107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6"/>
      <c r="F15" s="106"/>
      <c r="G15" s="107"/>
    </row>
    <row r="16" spans="1:7" ht="14.25" customHeight="1">
      <c r="A16" s="181" t="s">
        <v>81</v>
      </c>
      <c r="B16" s="106"/>
      <c r="C16" s="107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6"/>
      <c r="F16" s="106"/>
      <c r="G16" s="107"/>
    </row>
    <row r="17" spans="1:7" ht="14.25" customHeight="1">
      <c r="A17" s="181" t="s">
        <v>82</v>
      </c>
      <c r="B17" s="106"/>
      <c r="C17" s="107"/>
      <c r="D17" s="179">
        <f>SUM(D4:D16)</f>
        <v>136408</v>
      </c>
      <c r="E17" s="106"/>
      <c r="F17" s="106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2026-04-02T18:03:01Z</dcterms:modified>
</cp:coreProperties>
</file>