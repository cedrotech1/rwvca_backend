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<sst xmlns="http://schemas.openxmlformats.org/spreadsheetml/2006/main" count="66" uniqueCount="36">
  <si>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MUSANZE</t>
  </si>
  <si>
    <t>Daily Report of 12/05/2026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</si>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</sst>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3" workbookViewId="0">
      <selection activeCell="B50" sqref="B50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/>
      <c r="C6" s="21">
        <v>9440</v>
      </c>
      <c r="D6" s="22"/>
      <c r="E6" s="23">
        <f t="shared" ref="E6" si="0">PRODUCT(B6*C6)</f>
        <v>0</v>
      </c>
      <c r="F6" s="23">
        <f t="shared" ref="F6" si="1">PRODUCT(E6*18)/118</f>
        <v>0</v>
      </c>
      <c r="G6" s="23">
        <f>PRODUCT(B6*50)</f>
        <v>0</v>
      </c>
      <c r="H6" s="24">
        <f t="shared" ref="H6" si="2">SUM(F6:G6)</f>
        <v>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480</v>
      </c>
      <c r="C10" s="27">
        <v>2124</v>
      </c>
      <c r="D10" s="28"/>
      <c r="E10" s="29">
        <f t="shared" si="3"/>
        <v>1019520</v>
      </c>
      <c r="F10" s="29">
        <f t="shared" si="4"/>
        <v>155520</v>
      </c>
      <c r="G10" s="29">
        <f>PRODUCT(B10*30)</f>
        <v>14400</v>
      </c>
      <c r="H10" s="30">
        <f t="shared" si="5"/>
        <v>169920</v>
      </c>
    </row>
    <row r="11" spans="1:8">
      <c r="A11" s="25" t="s">
        <v>14</v>
      </c>
      <c r="B11" s="26"/>
      <c r="C11" s="27">
        <v>1357</v>
      </c>
      <c r="D11" s="28"/>
      <c r="E11" s="29">
        <f t="shared" si="3"/>
        <v>0</v>
      </c>
      <c r="F11" s="29">
        <f t="shared" si="4"/>
        <v>0</v>
      </c>
      <c r="G11" s="29">
        <f>PRODUCT(B11*20)</f>
        <v>0</v>
      </c>
      <c r="H11" s="30">
        <f t="shared" si="5"/>
        <v>0</v>
      </c>
    </row>
    <row r="12" spans="1:8">
      <c r="A12" s="25" t="s">
        <v>14</v>
      </c>
      <c r="B12" s="26"/>
      <c r="C12" s="27">
        <v>1357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/>
      <c r="C17" s="39"/>
      <c r="D17" s="39"/>
      <c r="E17" s="23">
        <f>PRODUCT(B17*C17)</f>
        <v>0</v>
      </c>
      <c r="F17" s="23">
        <f t="shared" ref="F17:F22" si="6">PRODUCT(E17*18)/118</f>
        <v>0</v>
      </c>
      <c r="G17" s="23">
        <f>PRODUCT(B17*D17)</f>
        <v>0</v>
      </c>
      <c r="H17" s="24">
        <f>SUM(F17:G17)</f>
        <v>0</v>
      </c>
    </row>
    <row r="18" spans="1:9">
      <c r="A18" s="40" t="s">
        <v>20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20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21</v>
      </c>
      <c r="B41" s="50"/>
      <c r="C41" s="51"/>
      <c r="D41" s="51"/>
      <c r="E41" s="52">
        <f>SUM(E6:E40)</f>
        <v>1019520</v>
      </c>
      <c r="F41" s="52">
        <f>SUM(F6:F40)</f>
        <v>155520</v>
      </c>
      <c r="G41" s="52">
        <f>SUM(G6:G40)</f>
        <v>14400</v>
      </c>
      <c r="H41" s="53">
        <f t="shared" si="19"/>
        <v>169920</v>
      </c>
    </row>
    <row r="42" ht="15.25" spans="1:8">
      <c r="A42" s="54" t="s">
        <v>22</v>
      </c>
      <c r="B42" s="55"/>
      <c r="C42" s="56"/>
      <c r="D42" s="57"/>
      <c r="E42" s="58" t="s">
        <v>23</v>
      </c>
      <c r="F42" s="58"/>
      <c r="G42" s="58"/>
      <c r="H42" s="58"/>
    </row>
    <row r="43" spans="1:8">
      <c r="A43" s="54" t="s">
        <v>24</v>
      </c>
      <c r="B43" s="55"/>
      <c r="C43" s="59">
        <v>169920</v>
      </c>
      <c r="D43" s="56" t="s">
        <v>25</v>
      </c>
      <c r="E43" s="60" t="s">
        <v>26</v>
      </c>
      <c r="F43" s="61"/>
      <c r="G43" s="56" t="s">
        <v>27</v>
      </c>
      <c r="H43" s="62" t="s">
        <v>28</v>
      </c>
    </row>
    <row r="44" ht="15.25" spans="1:8">
      <c r="A44" s="54" t="s">
        <v>29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30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31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32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33</v>
      </c>
      <c r="B48" s="76"/>
      <c r="C48" s="81">
        <f>SUM(C42:C47)</f>
        <v>169920</v>
      </c>
      <c r="D48" s="82"/>
      <c r="E48" s="83"/>
      <c r="F48" s="84"/>
      <c r="G48" s="85"/>
      <c r="H48" s="86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2026-05-13T08:55:38Z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C2C4AF3067094613B3A9009668DD35BE_13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