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8C42C24-0DF1-45C9-B3D1-134D0E69F69C}" xr6:coauthVersionLast="47" xr6:coauthVersionMax="47" xr10:uidLastSave="{00000000-0000-0000-0000-000000000000}"/>
  <bookViews>
    <workbookView xWindow="-110" yWindow="-110" windowWidth="19420" windowHeight="1042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<sst xmlns="http://schemas.openxmlformats.org/spreadsheetml/2006/main" count="1779" uniqueCount="85">
  <si>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</si>
  <si>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</si>
  <si>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</si>
  <si>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</si>
  <si>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</si>
  <si>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</si>
  <si>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</si>
  <si>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</si>
  <si>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</si>
  <si>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</si>
  <si>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</si>
  <si>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</si>
  <si>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</si>
  <si>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</si>
  <si>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</si>
  <si>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</si>
  <si>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</si>
  <si>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</si>
  <si>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</si>
  <si>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</si>
  <si>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</si>
  <si>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</si>
  <si>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</si>
  <si>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</si>
  <si>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</si>
  <si>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</si>
  <si>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</si>
  <si>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</si>
  <si>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</si>
  <si>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</si>
  <si>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</si>
  <si>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</si>
  <si>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</si>
  <si>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</si>
  <si>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</si>
  <si>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</si>
  <si>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</si>
  <si>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</si>
  <si>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</si>
  <si>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</si>
  <si>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</si>
  <si>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</si>
  <si>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</si>
  <si>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</si>
  <si>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</si>
  <si>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</si>
  <si>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</si>
  <si>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</si>
  <si>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</si>
  <si>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</si>
  <si>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</si>
  <si>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</si>
  <si>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</si>
  <si>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</si>
  <si>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</si>
  <si>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</si>
  <si>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</si>
  <si>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</si>
  <si>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</si>
  <si>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</si>
  <si>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</si>
  <si>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</si>
  <si>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</si>
  <si>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</si>
  <si>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</si>
  <si>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</si>
  <si>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</si>
  <si>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</si>
  <si>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</si>
  <si>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</si>
  <si>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</si>
  <si>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</si>
  <si>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</si>
  <si>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</si>
  <si>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</si>
  <si>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</si>
  <si>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</si>
  <si>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</si>
  <si>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</si>
  <si>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</si>
  <si>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</si>
  <si>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</si>
  <si>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</si>
  <si>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</si>
  <si>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06/04 - 12/04/2026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</si>
</sst>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4" t="s">
        <v>38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15"/>
      <c r="M1" s="115"/>
      <c r="N1" s="115"/>
    </row>
    <row r="2" spans="1:15" ht="31" customHeight="1">
      <c r="A2" s="196" t="s">
        <v>37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15"/>
      <c r="M2" s="115"/>
      <c r="N2" s="115"/>
    </row>
    <row r="3" spans="1:15" ht="15" customHeight="1" thickBot="1">
      <c r="A3" s="196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262872</v>
      </c>
      <c r="C16" s="68">
        <f>KARONGI!G37</f>
        <v>39340</v>
      </c>
      <c r="D16" s="4"/>
      <c r="E16" s="3"/>
      <c r="F16" s="70">
        <f t="shared" si="0"/>
        <v>302212</v>
      </c>
      <c r="G16" s="67">
        <f>KARONGI!C41</f>
        <v>0</v>
      </c>
      <c r="H16" s="68">
        <f>KARONGI!C39</f>
        <v>302212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7930494</v>
      </c>
      <c r="C29" s="102">
        <f t="shared" si="1"/>
        <v>735040</v>
      </c>
      <c r="D29" s="103">
        <f t="shared" si="1"/>
        <v>0</v>
      </c>
      <c r="E29" s="102">
        <f t="shared" si="1"/>
        <v>0</v>
      </c>
      <c r="F29" s="102">
        <f>SUM(F5:F28)</f>
        <v>8665534</v>
      </c>
      <c r="G29" s="103">
        <f>SUM(G5:G28)</f>
        <v>0</v>
      </c>
      <c r="H29" s="103">
        <f>SUM(H5:H28)</f>
        <v>8665534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3"/>
      <c r="B30" s="233"/>
      <c r="C30" s="233"/>
      <c r="D30" s="234"/>
      <c r="E30" s="224" t="s">
        <v>12</v>
      </c>
      <c r="F30" s="225"/>
      <c r="G30" s="225"/>
      <c r="H30" s="225"/>
      <c r="I30" s="226"/>
      <c r="J30" s="198"/>
      <c r="K30" s="199"/>
      <c r="L30" s="115"/>
    </row>
    <row r="31" spans="1:15" ht="19" thickBot="1">
      <c r="A31" s="221" t="s">
        <v>9</v>
      </c>
      <c r="B31" s="222"/>
      <c r="C31" s="222"/>
      <c r="D31" s="222"/>
      <c r="E31" s="227"/>
      <c r="F31" s="228"/>
      <c r="G31" s="228"/>
      <c r="H31" s="228"/>
      <c r="I31" s="229"/>
      <c r="J31" s="200"/>
      <c r="K31" s="201"/>
      <c r="L31" s="115"/>
    </row>
    <row r="32" spans="1:15" ht="15" thickBot="1">
      <c r="A32" s="217" t="s">
        <v>13</v>
      </c>
      <c r="B32" s="218"/>
      <c r="C32" s="235">
        <f>SUM(B29:C29)</f>
        <v>8665534</v>
      </c>
      <c r="D32" s="236"/>
      <c r="E32" s="227"/>
      <c r="F32" s="228"/>
      <c r="G32" s="228"/>
      <c r="H32" s="228"/>
      <c r="I32" s="229"/>
      <c r="J32" s="200"/>
      <c r="K32" s="201"/>
      <c r="L32" s="115"/>
    </row>
    <row r="33" spans="1:12" ht="15" thickBot="1">
      <c r="A33" s="217" t="s">
        <v>14</v>
      </c>
      <c r="B33" s="218"/>
      <c r="C33" s="213">
        <f>SUM(F29,G29)</f>
        <v>8665534</v>
      </c>
      <c r="D33" s="223"/>
      <c r="E33" s="227"/>
      <c r="F33" s="228"/>
      <c r="G33" s="228"/>
      <c r="H33" s="228"/>
      <c r="I33" s="229"/>
      <c r="J33" s="200"/>
      <c r="K33" s="201"/>
      <c r="L33" s="115"/>
    </row>
    <row r="34" spans="1:12" ht="15" thickBot="1">
      <c r="A34" s="215" t="s">
        <v>83</v>
      </c>
      <c r="B34" s="216"/>
      <c r="C34" s="213">
        <f>SUM(H29,J29,I29)</f>
        <v>8665534</v>
      </c>
      <c r="D34" s="214"/>
      <c r="E34" s="227"/>
      <c r="F34" s="228"/>
      <c r="G34" s="228"/>
      <c r="H34" s="228"/>
      <c r="I34" s="229"/>
      <c r="J34" s="200"/>
      <c r="K34" s="201"/>
      <c r="L34" s="115"/>
    </row>
    <row r="35" spans="1:12" ht="15" thickBot="1">
      <c r="A35" s="217" t="s">
        <v>11</v>
      </c>
      <c r="B35" s="218"/>
      <c r="C35" s="213">
        <f>SUM(D29:E29)</f>
        <v>0</v>
      </c>
      <c r="D35" s="214"/>
      <c r="E35" s="230"/>
      <c r="F35" s="231"/>
      <c r="G35" s="231"/>
      <c r="H35" s="231"/>
      <c r="I35" s="232"/>
      <c r="J35" s="200"/>
      <c r="K35" s="201"/>
      <c r="L35" s="115"/>
    </row>
    <row r="36" spans="1:12" ht="15" thickBot="1">
      <c r="A36" s="217" t="s">
        <v>10</v>
      </c>
      <c r="B36" s="218"/>
      <c r="C36" s="213">
        <f t="shared" ref="C36" si="2">SUM(C33,C35)</f>
        <v>8665534</v>
      </c>
      <c r="D36" s="214"/>
      <c r="E36" s="204" t="s">
        <v>36</v>
      </c>
      <c r="F36" s="205"/>
      <c r="G36" s="205"/>
      <c r="H36" s="205"/>
      <c r="I36" s="206"/>
      <c r="J36" s="200"/>
      <c r="K36" s="201"/>
      <c r="L36" s="115"/>
    </row>
    <row r="37" spans="1:12" ht="15" thickBot="1">
      <c r="A37" s="219" t="s">
        <v>15</v>
      </c>
      <c r="B37" s="220"/>
      <c r="C37" s="213">
        <f>SUM(C34:C35)</f>
        <v>8665534</v>
      </c>
      <c r="D37" s="214"/>
      <c r="E37" s="207"/>
      <c r="F37" s="208"/>
      <c r="G37" s="208"/>
      <c r="H37" s="208"/>
      <c r="I37" s="209"/>
      <c r="J37" s="200"/>
      <c r="K37" s="201"/>
      <c r="L37" s="115"/>
    </row>
    <row r="38" spans="1:12" ht="26.5" thickBot="1">
      <c r="A38" s="210" t="s">
        <v>16</v>
      </c>
      <c r="B38" s="211"/>
      <c r="C38" s="211"/>
      <c r="D38" s="211"/>
      <c r="E38" s="211"/>
      <c r="F38" s="211"/>
      <c r="G38" s="211"/>
      <c r="H38" s="211"/>
      <c r="I38" s="212"/>
      <c r="J38" s="202"/>
      <c r="K38" s="20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22" customHeight="1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22" customHeight="1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22" customHeight="1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22" customHeight="1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24.5" customHeight="1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25" customHeight="1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4" thickBot="1">
      <c r="B62" s="182" t="s">
        <v>67</v>
      </c>
      <c r="C62" s="183"/>
      <c r="D62" s="184"/>
      <c r="E62" s="271">
        <f>SUM(E49:H61)</f>
        <v>24284</v>
      </c>
      <c r="F62" s="272"/>
      <c r="G62" s="272"/>
      <c r="H62" s="273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SUM(B19:B20)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SUM(B29:B30)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si="4"/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28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>
        <v>500</v>
      </c>
      <c r="C8" s="129">
        <v>1416</v>
      </c>
      <c r="D8" s="130"/>
      <c r="E8" s="16">
        <f t="shared" si="0"/>
        <v>708000</v>
      </c>
      <c r="F8" s="16">
        <f t="shared" si="1"/>
        <v>108000</v>
      </c>
      <c r="G8" s="16">
        <f>PRODUCT(B8*50)</f>
        <v>25000</v>
      </c>
      <c r="H8" s="17">
        <f t="shared" si="2"/>
        <v>133000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478</v>
      </c>
      <c r="C10" s="129">
        <v>2124</v>
      </c>
      <c r="D10" s="130"/>
      <c r="E10" s="16">
        <f t="shared" si="0"/>
        <v>1015272</v>
      </c>
      <c r="F10" s="16">
        <f t="shared" si="1"/>
        <v>154872</v>
      </c>
      <c r="G10" s="16">
        <f>PRODUCT(B10*30)</f>
        <v>14340</v>
      </c>
      <c r="H10" s="17">
        <f t="shared" si="2"/>
        <v>169212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1723272</v>
      </c>
      <c r="F37" s="32">
        <f>SUM(F5:F36)</f>
        <v>262872</v>
      </c>
      <c r="G37" s="32">
        <f t="shared" ref="G37:H37" si="3">SUM(G5:G36)</f>
        <v>39340</v>
      </c>
      <c r="H37" s="32">
        <f t="shared" si="3"/>
        <v>302212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302212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478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500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978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7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20730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750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25262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2026-04-12T14:33:48Z</dcterms:modified>
</cp:coreProperties>
</file>