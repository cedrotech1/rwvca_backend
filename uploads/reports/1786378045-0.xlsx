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G38" i="1"/>
  <c r="E38" i="1"/>
  <c r="F38" i="1" s="1"/>
  <c r="H38" i="1" s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G7" i="1"/>
  <c r="E7" i="1"/>
  <c r="F7" i="1" s="1"/>
  <c r="G6" i="1"/>
  <c r="E6" i="1"/>
  <c r="F6" i="1" s="1"/>
  <c r="H7" i="1" l="1"/>
  <c r="H19" i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<sst xmlns="http://schemas.openxmlformats.org/spreadsheetml/2006/main" count="65" uniqueCount="47">
  <si>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</si>
  <si>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</si>
  <si>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</si>
  <si>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</si>
  <si>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</si>
  <si>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</si>
  <si>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</si>
  <si>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</si>
  <si>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</si>
  <si>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</si>
  <si>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</si>
  <si>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</si>
  <si>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</si>
  <si>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</si>
  <si>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</si>
  <si>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</si>
  <si>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</si>
  <si>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</si>
  <si>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</si>
  <si>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</si>
  <si>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</si>
  <si>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</si>
  <si>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</si>
  <si>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</si>
  <si>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</si>
  <si>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</si>
  <si>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</si>
  <si>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</si>
  <si>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</si>
  <si>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</si>
  <si>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</si>
  <si>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</si>
  <si>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</si>
  <si>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</si>
  <si>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</si>
  <si>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</si>
  <si>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</si>
  <si>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</si>
  <si>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</si>
  <si>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</si>
  <si>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</si>
  <si>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</si>
  <si>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</si>
  <si>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</si>
  <si>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</si>
  <si>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</si>
  <si>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15/08/2026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</si>
</sst>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28" zoomScale="110" zoomScaleNormal="110" workbookViewId="0">
      <selection activeCell="C43" sqref="C43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>
        <v>125</v>
      </c>
      <c r="C6" s="93">
        <v>8850</v>
      </c>
      <c r="D6" s="94"/>
      <c r="E6" s="8">
        <f t="shared" ref="E6" si="0">PRODUCT(B6*C6)</f>
        <v>1106250</v>
      </c>
      <c r="F6" s="8">
        <f t="shared" ref="F6" si="1">PRODUCT(E6*18)/118</f>
        <v>168750</v>
      </c>
      <c r="G6" s="8">
        <f>PRODUCT(B6*50)</f>
        <v>6250</v>
      </c>
      <c r="H6" s="9">
        <f t="shared" ref="H6" si="2">SUM(F6:G6)</f>
        <v>175000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9">
        <v>2360</v>
      </c>
      <c r="D8" s="90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1945</v>
      </c>
      <c r="C10" s="89">
        <v>2360</v>
      </c>
      <c r="D10" s="90"/>
      <c r="E10" s="13">
        <f t="shared" si="3"/>
        <v>4590200</v>
      </c>
      <c r="F10" s="13">
        <f t="shared" si="4"/>
        <v>700200</v>
      </c>
      <c r="G10" s="13">
        <f>PRODUCT(B10*30)</f>
        <v>58350</v>
      </c>
      <c r="H10" s="14">
        <f t="shared" si="5"/>
        <v>758550</v>
      </c>
    </row>
    <row r="11" spans="1:8">
      <c r="A11" s="10" t="s">
        <v>12</v>
      </c>
      <c r="B11" s="11">
        <v>196</v>
      </c>
      <c r="C11" s="89">
        <v>1534</v>
      </c>
      <c r="D11" s="90"/>
      <c r="E11" s="13">
        <f t="shared" si="3"/>
        <v>300664</v>
      </c>
      <c r="F11" s="13">
        <f t="shared" si="4"/>
        <v>45864</v>
      </c>
      <c r="G11" s="13">
        <f>PRODUCT(B11*20)</f>
        <v>3920</v>
      </c>
      <c r="H11" s="14">
        <f t="shared" si="5"/>
        <v>49784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>
        <v>625</v>
      </c>
      <c r="C17" s="22">
        <v>1770</v>
      </c>
      <c r="D17" s="22">
        <v>50</v>
      </c>
      <c r="E17" s="8">
        <f>PRODUCT(B17*C17)</f>
        <v>1106250</v>
      </c>
      <c r="F17" s="8">
        <f t="shared" ref="F17:F22" si="6">PRODUCT(E17*18)/118</f>
        <v>168750</v>
      </c>
      <c r="G17" s="8">
        <f>PRODUCT(B17*D17)</f>
        <v>31250</v>
      </c>
      <c r="H17" s="9">
        <f>SUM(F17:G17)</f>
        <v>200000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>
        <v>150</v>
      </c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58500</v>
      </c>
      <c r="H19" s="14">
        <f t="shared" si="9"/>
        <v>58500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7103364</v>
      </c>
      <c r="F41" s="36">
        <f>SUM(F6:F40)</f>
        <v>1083564</v>
      </c>
      <c r="G41" s="36">
        <f>SUM(G6:G40)</f>
        <v>158270</v>
      </c>
      <c r="H41" s="37">
        <f t="shared" si="19"/>
        <v>1241834</v>
      </c>
    </row>
    <row r="42" spans="1:8">
      <c r="A42" s="75" t="s">
        <v>34</v>
      </c>
      <c r="B42" s="76"/>
      <c r="C42" s="38">
        <v>1241834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1241834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2026-08-10T16:04:31Z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