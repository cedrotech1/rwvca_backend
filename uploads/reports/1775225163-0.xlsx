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G32" i="1"/>
  <c r="E32" i="1"/>
  <c r="F32" i="1" s="1"/>
  <c r="G31" i="1"/>
  <c r="F31" i="1"/>
  <c r="H31" i="1" s="1"/>
  <c r="E31" i="1"/>
  <c r="G30" i="1"/>
  <c r="E30" i="1"/>
  <c r="F30" i="1" s="1"/>
  <c r="G29" i="1"/>
  <c r="E29" i="1"/>
  <c r="F29" i="1" s="1"/>
  <c r="H29" i="1" s="1"/>
  <c r="G28" i="1"/>
  <c r="E28" i="1"/>
  <c r="F28" i="1" s="1"/>
  <c r="H28" i="1" s="1"/>
  <c r="G27" i="1"/>
  <c r="F27" i="1"/>
  <c r="E27" i="1"/>
  <c r="G26" i="1"/>
  <c r="E26" i="1"/>
  <c r="F26" i="1" s="1"/>
  <c r="G25" i="1"/>
  <c r="E25" i="1"/>
  <c r="F25" i="1" s="1"/>
  <c r="G24" i="1"/>
  <c r="E24" i="1"/>
  <c r="F24" i="1" s="1"/>
  <c r="G23" i="1"/>
  <c r="E23" i="1"/>
  <c r="F23" i="1" s="1"/>
  <c r="G22" i="1"/>
  <c r="F22" i="1"/>
  <c r="E22" i="1"/>
  <c r="G21" i="1"/>
  <c r="F21" i="1"/>
  <c r="H21" i="1" s="1"/>
  <c r="E21" i="1"/>
  <c r="G20" i="1"/>
  <c r="E20" i="1"/>
  <c r="F20" i="1" s="1"/>
  <c r="H20" i="1" s="1"/>
  <c r="G19" i="1"/>
  <c r="E19" i="1"/>
  <c r="F19" i="1" s="1"/>
  <c r="H19" i="1" s="1"/>
  <c r="G18" i="1"/>
  <c r="E18" i="1"/>
  <c r="F18" i="1" s="1"/>
  <c r="G17" i="1"/>
  <c r="E17" i="1"/>
  <c r="F17" i="1" s="1"/>
  <c r="H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G9" i="1"/>
  <c r="E9" i="1"/>
  <c r="F9" i="1" s="1"/>
  <c r="H9" i="1" s="1"/>
  <c r="G8" i="1"/>
  <c r="E8" i="1"/>
  <c r="F8" i="1" s="1"/>
  <c r="H8" i="1" s="1"/>
  <c r="G7" i="1"/>
  <c r="E7" i="1"/>
  <c r="F7" i="1" s="1"/>
  <c r="H7" i="1" s="1"/>
  <c r="G6" i="1"/>
  <c r="E6" i="1"/>
  <c r="F6" i="1" s="1"/>
  <c r="H6" i="1" s="1"/>
  <c r="H32" i="1" l="1"/>
  <c r="H30" i="1"/>
  <c r="H27" i="1"/>
  <c r="H26" i="1"/>
  <c r="H25" i="1"/>
  <c r="H24" i="1"/>
  <c r="H23" i="1"/>
  <c r="H22" i="1"/>
  <c r="H18" i="1"/>
  <c r="H11" i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<sst xmlns="http://schemas.openxmlformats.org/spreadsheetml/2006/main" count="67" uniqueCount="37">
  <si>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</si>
  <si>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</si>
  <si>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</si>
  <si>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</si>
  <si>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</si>
  <si>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</si>
  <si>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</si>
  <si>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</si>
  <si>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</si>
  <si>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</si>
  <si>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</si>
  <si>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</si>
  <si>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</si>
  <si>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</si>
  <si>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</si>
  <si>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</si>
  <si>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</si>
  <si>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</si>
  <si>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</si>
  <si>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</si>
  <si>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</si>
  <si>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</si>
  <si>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</si>
  <si>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</si>
  <si>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</si>
  <si>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</si>
  <si>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</si>
  <si>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</si>
  <si>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</si>
  <si>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</si>
  <si>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</si>
  <si>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</si>
  <si>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</si>
  <si>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</si>
  <si>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</si>
  <si>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Daily report on 27/03/2026</t>
  </si>
  <si>
    <t>50000 abura yanyuze kuri MOMO BISHYURAHO MEMBERSHIP REGEISTRETION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</si>
</sst>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42" workbookViewId="0">
      <selection activeCell="A52" sqref="A52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65" t="s">
        <v>34</v>
      </c>
      <c r="B1" s="66"/>
      <c r="C1" s="66"/>
      <c r="D1" s="66"/>
      <c r="E1" s="66"/>
      <c r="F1" s="66"/>
      <c r="G1" s="66"/>
      <c r="H1" s="67"/>
    </row>
    <row r="2" spans="1:8" ht="12.65" customHeight="1">
      <c r="A2" s="68"/>
      <c r="B2" s="69"/>
      <c r="C2" s="69"/>
      <c r="D2" s="69"/>
      <c r="E2" s="69"/>
      <c r="F2" s="69"/>
      <c r="G2" s="69"/>
      <c r="H2" s="70"/>
    </row>
    <row r="3" spans="1:8" ht="13.15" customHeight="1">
      <c r="A3" s="71" t="s">
        <v>35</v>
      </c>
      <c r="B3" s="72"/>
      <c r="C3" s="72"/>
      <c r="D3" s="72"/>
      <c r="E3" s="72"/>
      <c r="F3" s="72"/>
      <c r="G3" s="72"/>
      <c r="H3" s="73"/>
    </row>
    <row r="4" spans="1:8">
      <c r="A4" s="74"/>
      <c r="B4" s="75"/>
      <c r="C4" s="75"/>
      <c r="D4" s="75"/>
      <c r="E4" s="75"/>
      <c r="F4" s="75"/>
      <c r="G4" s="75"/>
      <c r="H4" s="76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110</v>
      </c>
      <c r="C6" s="53">
        <v>8850</v>
      </c>
      <c r="D6" s="54"/>
      <c r="E6" s="8">
        <f t="shared" ref="E6" si="0">PRODUCT(B6*C6)</f>
        <v>973500</v>
      </c>
      <c r="F6" s="8">
        <f t="shared" ref="F6" si="1">PRODUCT(E6*18)/118</f>
        <v>148500</v>
      </c>
      <c r="G6" s="8">
        <f>PRODUCT(B6*50)</f>
        <v>5500</v>
      </c>
      <c r="H6" s="9">
        <f t="shared" ref="H6" si="2">SUM(F6:G6)</f>
        <v>154000</v>
      </c>
    </row>
    <row r="7" spans="1:8">
      <c r="A7" s="5" t="s">
        <v>8</v>
      </c>
      <c r="B7" s="6">
        <v>50</v>
      </c>
      <c r="C7" s="53">
        <v>5950</v>
      </c>
      <c r="D7" s="54"/>
      <c r="E7" s="8">
        <f t="shared" ref="E7:E14" si="3">PRODUCT(B7*C7)</f>
        <v>297500</v>
      </c>
      <c r="F7" s="8">
        <f t="shared" ref="F7:F40" si="4">PRODUCT(E7*18)/118</f>
        <v>45381.355932203391</v>
      </c>
      <c r="G7" s="8">
        <f>PRODUCT(B7*50)</f>
        <v>2500</v>
      </c>
      <c r="H7" s="9">
        <f t="shared" ref="H7:H14" si="5">SUM(F7:G7)</f>
        <v>47881.355932203391</v>
      </c>
    </row>
    <row r="8" spans="1:8">
      <c r="A8" s="10" t="s">
        <v>9</v>
      </c>
      <c r="B8" s="11">
        <v>5</v>
      </c>
      <c r="C8" s="55">
        <v>20000</v>
      </c>
      <c r="D8" s="56"/>
      <c r="E8" s="13">
        <f t="shared" si="3"/>
        <v>100000</v>
      </c>
      <c r="F8" s="13">
        <f t="shared" si="4"/>
        <v>15254.237288135593</v>
      </c>
      <c r="G8" s="13">
        <f>PRODUCT(B8*50)</f>
        <v>250</v>
      </c>
      <c r="H8" s="14">
        <f t="shared" si="5"/>
        <v>15504.237288135593</v>
      </c>
    </row>
    <row r="9" spans="1:8">
      <c r="A9" s="10" t="s">
        <v>10</v>
      </c>
      <c r="B9" s="11">
        <v>52</v>
      </c>
      <c r="C9" s="55">
        <v>3000</v>
      </c>
      <c r="D9" s="56"/>
      <c r="E9" s="13">
        <f t="shared" si="3"/>
        <v>156000</v>
      </c>
      <c r="F9" s="13">
        <f t="shared" si="4"/>
        <v>23796.610169491527</v>
      </c>
      <c r="G9" s="13">
        <f>PRODUCT(B9*30)</f>
        <v>1560</v>
      </c>
      <c r="H9" s="14">
        <f t="shared" si="5"/>
        <v>25356.610169491527</v>
      </c>
    </row>
    <row r="10" spans="1:8">
      <c r="A10" s="10" t="s">
        <v>11</v>
      </c>
      <c r="B10" s="11">
        <v>18852</v>
      </c>
      <c r="C10" s="55">
        <v>2124</v>
      </c>
      <c r="D10" s="56"/>
      <c r="E10" s="13">
        <f t="shared" si="3"/>
        <v>40041648</v>
      </c>
      <c r="F10" s="13">
        <f t="shared" si="4"/>
        <v>6108048</v>
      </c>
      <c r="G10" s="13">
        <f>PRODUCT(B10*30)</f>
        <v>565560</v>
      </c>
      <c r="H10" s="14">
        <f t="shared" si="5"/>
        <v>6673608</v>
      </c>
    </row>
    <row r="11" spans="1:8">
      <c r="A11" s="10" t="s">
        <v>12</v>
      </c>
      <c r="B11" s="11">
        <v>5368</v>
      </c>
      <c r="C11" s="55">
        <v>1180</v>
      </c>
      <c r="D11" s="56"/>
      <c r="E11" s="13">
        <f t="shared" si="3"/>
        <v>6334240</v>
      </c>
      <c r="F11" s="13">
        <f t="shared" si="4"/>
        <v>966240</v>
      </c>
      <c r="G11" s="13">
        <f>PRODUCT(B11*20)</f>
        <v>107360</v>
      </c>
      <c r="H11" s="14">
        <f t="shared" si="5"/>
        <v>1073600</v>
      </c>
    </row>
    <row r="12" spans="1:8">
      <c r="A12" s="10" t="s">
        <v>12</v>
      </c>
      <c r="B12" s="11">
        <v>2942</v>
      </c>
      <c r="C12" s="55">
        <v>944</v>
      </c>
      <c r="D12" s="56"/>
      <c r="E12" s="13">
        <f t="shared" si="3"/>
        <v>2777248</v>
      </c>
      <c r="F12" s="13">
        <f t="shared" si="4"/>
        <v>423648</v>
      </c>
      <c r="G12" s="13">
        <f>PRODUCT(B12*20)</f>
        <v>58840</v>
      </c>
      <c r="H12" s="14">
        <f t="shared" si="5"/>
        <v>482488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5" t="s">
        <v>14</v>
      </c>
      <c r="B15" s="86"/>
      <c r="C15" s="86"/>
      <c r="D15" s="86"/>
      <c r="E15" s="86"/>
      <c r="F15" s="86"/>
      <c r="G15" s="86"/>
      <c r="H15" s="87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>
        <v>4360</v>
      </c>
      <c r="C17" s="20">
        <v>2360</v>
      </c>
      <c r="D17" s="20">
        <v>25</v>
      </c>
      <c r="E17" s="8">
        <f>PRODUCT(B17*C17)</f>
        <v>10289600</v>
      </c>
      <c r="F17" s="8">
        <f t="shared" ref="F17:F22" si="6">PRODUCT(E17*18)/118</f>
        <v>1569600</v>
      </c>
      <c r="G17" s="8">
        <f>PRODUCT(B17*D17)</f>
        <v>109000</v>
      </c>
      <c r="H17" s="9">
        <f>SUM(F17:G17)</f>
        <v>1678600</v>
      </c>
    </row>
    <row r="18" spans="1:9">
      <c r="A18" s="21" t="s">
        <v>18</v>
      </c>
      <c r="B18" s="12">
        <v>1460</v>
      </c>
      <c r="C18" s="22">
        <v>1770</v>
      </c>
      <c r="D18" s="22">
        <v>25</v>
      </c>
      <c r="E18" s="13">
        <f t="shared" ref="E18:E23" si="7">PRODUCT(B18*C18)</f>
        <v>2584200</v>
      </c>
      <c r="F18" s="13">
        <f t="shared" si="6"/>
        <v>394200</v>
      </c>
      <c r="G18" s="13">
        <f t="shared" ref="G18:G23" si="8">PRODUCT(B18*D18)</f>
        <v>36500</v>
      </c>
      <c r="H18" s="14">
        <f t="shared" ref="H18:H23" si="9">SUM(F18:G18)</f>
        <v>430700</v>
      </c>
    </row>
    <row r="19" spans="1:9">
      <c r="A19" s="10" t="s">
        <v>18</v>
      </c>
      <c r="B19" s="11">
        <v>300</v>
      </c>
      <c r="C19" s="23">
        <v>2006</v>
      </c>
      <c r="D19" s="23"/>
      <c r="E19" s="13">
        <f t="shared" si="7"/>
        <v>601800</v>
      </c>
      <c r="F19" s="13">
        <f t="shared" si="6"/>
        <v>91800</v>
      </c>
      <c r="G19" s="13">
        <f t="shared" si="8"/>
        <v>0</v>
      </c>
      <c r="H19" s="14">
        <f t="shared" si="9"/>
        <v>91800</v>
      </c>
    </row>
    <row r="20" spans="1:9">
      <c r="A20" s="10" t="s">
        <v>18</v>
      </c>
      <c r="B20" s="11">
        <v>1480</v>
      </c>
      <c r="C20" s="23">
        <v>1770</v>
      </c>
      <c r="D20" s="23">
        <v>20</v>
      </c>
      <c r="E20" s="13">
        <f t="shared" si="7"/>
        <v>2619600</v>
      </c>
      <c r="F20" s="13">
        <f t="shared" si="6"/>
        <v>399600</v>
      </c>
      <c r="G20" s="13">
        <f t="shared" si="8"/>
        <v>29600</v>
      </c>
      <c r="H20" s="14">
        <f t="shared" si="9"/>
        <v>429200</v>
      </c>
    </row>
    <row r="21" spans="1:9">
      <c r="A21" s="10" t="s">
        <v>18</v>
      </c>
      <c r="B21" s="11">
        <v>1</v>
      </c>
      <c r="C21" s="23"/>
      <c r="D21" s="23">
        <v>14650</v>
      </c>
      <c r="E21" s="13">
        <f t="shared" si="7"/>
        <v>0</v>
      </c>
      <c r="F21" s="13">
        <f t="shared" si="6"/>
        <v>0</v>
      </c>
      <c r="G21" s="13">
        <f t="shared" si="8"/>
        <v>14650</v>
      </c>
      <c r="H21" s="14">
        <f t="shared" si="9"/>
        <v>14650</v>
      </c>
    </row>
    <row r="22" spans="1:9">
      <c r="A22" s="24" t="s">
        <v>18</v>
      </c>
      <c r="B22" s="25">
        <v>1</v>
      </c>
      <c r="C22" s="26"/>
      <c r="D22" s="26">
        <v>31600</v>
      </c>
      <c r="E22" s="27">
        <f t="shared" si="7"/>
        <v>0</v>
      </c>
      <c r="F22" s="27">
        <f t="shared" si="6"/>
        <v>0</v>
      </c>
      <c r="G22" s="27">
        <f t="shared" si="8"/>
        <v>31600</v>
      </c>
      <c r="H22" s="28">
        <f t="shared" si="9"/>
        <v>31600</v>
      </c>
    </row>
    <row r="23" spans="1:9">
      <c r="A23" s="19" t="s">
        <v>18</v>
      </c>
      <c r="B23" s="7">
        <v>1</v>
      </c>
      <c r="C23" s="20"/>
      <c r="D23" s="20">
        <v>24008</v>
      </c>
      <c r="E23" s="8">
        <f t="shared" si="7"/>
        <v>0</v>
      </c>
      <c r="F23" s="8">
        <f t="shared" ref="F23:F34" si="10">PRODUCT(E23*18)/118</f>
        <v>0</v>
      </c>
      <c r="G23" s="8">
        <f t="shared" si="8"/>
        <v>24008</v>
      </c>
      <c r="H23" s="9">
        <f t="shared" si="9"/>
        <v>24008</v>
      </c>
    </row>
    <row r="24" spans="1:9">
      <c r="A24" s="21" t="s">
        <v>18</v>
      </c>
      <c r="B24" s="12">
        <v>100</v>
      </c>
      <c r="C24" s="22"/>
      <c r="D24" s="22">
        <v>200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20000</v>
      </c>
      <c r="H24" s="14">
        <f t="shared" ref="H24:H29" si="13">SUM(F24:G24)</f>
        <v>20000</v>
      </c>
      <c r="I24" s="50"/>
    </row>
    <row r="25" spans="1:9">
      <c r="A25" s="10" t="s">
        <v>18</v>
      </c>
      <c r="B25" s="11">
        <v>1</v>
      </c>
      <c r="C25" s="23"/>
      <c r="D25" s="23">
        <v>24780</v>
      </c>
      <c r="E25" s="13">
        <f t="shared" si="11"/>
        <v>0</v>
      </c>
      <c r="F25" s="13">
        <f t="shared" si="10"/>
        <v>0</v>
      </c>
      <c r="G25" s="13">
        <f t="shared" si="12"/>
        <v>24780</v>
      </c>
      <c r="H25" s="14">
        <f t="shared" si="13"/>
        <v>24780</v>
      </c>
      <c r="I25" s="50"/>
    </row>
    <row r="26" spans="1:9">
      <c r="A26" s="10" t="s">
        <v>18</v>
      </c>
      <c r="B26" s="11">
        <v>1</v>
      </c>
      <c r="C26" s="23"/>
      <c r="D26" s="23">
        <v>13388</v>
      </c>
      <c r="E26" s="13">
        <f t="shared" si="11"/>
        <v>0</v>
      </c>
      <c r="F26" s="13">
        <f t="shared" si="10"/>
        <v>0</v>
      </c>
      <c r="G26" s="13">
        <f t="shared" si="12"/>
        <v>13388</v>
      </c>
      <c r="H26" s="14">
        <f t="shared" si="13"/>
        <v>13388</v>
      </c>
      <c r="I26" s="50"/>
    </row>
    <row r="27" spans="1:9">
      <c r="A27" s="10" t="s">
        <v>18</v>
      </c>
      <c r="B27" s="11">
        <v>1</v>
      </c>
      <c r="C27" s="23"/>
      <c r="D27" s="23">
        <v>61822</v>
      </c>
      <c r="E27" s="13">
        <f t="shared" si="11"/>
        <v>0</v>
      </c>
      <c r="F27" s="13">
        <f t="shared" si="10"/>
        <v>0</v>
      </c>
      <c r="G27" s="13">
        <f t="shared" si="12"/>
        <v>61822</v>
      </c>
      <c r="H27" s="14">
        <f t="shared" si="13"/>
        <v>61822</v>
      </c>
      <c r="I27" s="50"/>
    </row>
    <row r="28" spans="1:9">
      <c r="A28" s="24" t="s">
        <v>18</v>
      </c>
      <c r="B28" s="25">
        <v>1</v>
      </c>
      <c r="C28" s="26"/>
      <c r="D28" s="26">
        <v>7000</v>
      </c>
      <c r="E28" s="27">
        <f t="shared" si="11"/>
        <v>0</v>
      </c>
      <c r="F28" s="27">
        <f t="shared" si="10"/>
        <v>0</v>
      </c>
      <c r="G28" s="27">
        <f t="shared" si="12"/>
        <v>7000</v>
      </c>
      <c r="H28" s="28">
        <f t="shared" si="13"/>
        <v>7000</v>
      </c>
      <c r="I28" s="50"/>
    </row>
    <row r="29" spans="1:9">
      <c r="A29" s="19" t="s">
        <v>18</v>
      </c>
      <c r="B29" s="7">
        <v>1</v>
      </c>
      <c r="C29" s="20"/>
      <c r="D29" s="20">
        <v>7000</v>
      </c>
      <c r="E29" s="8">
        <f t="shared" si="11"/>
        <v>0</v>
      </c>
      <c r="F29" s="8">
        <f t="shared" si="10"/>
        <v>0</v>
      </c>
      <c r="G29" s="8">
        <f t="shared" si="12"/>
        <v>7000</v>
      </c>
      <c r="H29" s="9">
        <f t="shared" si="13"/>
        <v>7000</v>
      </c>
      <c r="I29" s="50"/>
    </row>
    <row r="30" spans="1:9">
      <c r="A30" s="21" t="s">
        <v>18</v>
      </c>
      <c r="B30" s="12">
        <v>1</v>
      </c>
      <c r="C30" s="22"/>
      <c r="D30" s="22">
        <v>6412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6412</v>
      </c>
      <c r="H30" s="14">
        <f t="shared" ref="H30:H35" si="16">SUM(F30:G30)</f>
        <v>6412</v>
      </c>
    </row>
    <row r="31" spans="1:9">
      <c r="A31" s="10" t="s">
        <v>18</v>
      </c>
      <c r="B31" s="11">
        <v>80</v>
      </c>
      <c r="C31" s="23"/>
      <c r="D31" s="23">
        <v>354</v>
      </c>
      <c r="E31" s="13">
        <f t="shared" si="14"/>
        <v>0</v>
      </c>
      <c r="F31" s="13">
        <f t="shared" si="10"/>
        <v>0</v>
      </c>
      <c r="G31" s="13">
        <f t="shared" si="15"/>
        <v>28320</v>
      </c>
      <c r="H31" s="14">
        <f t="shared" si="16"/>
        <v>28320</v>
      </c>
    </row>
    <row r="32" spans="1:9">
      <c r="A32" s="10" t="s">
        <v>18</v>
      </c>
      <c r="B32" s="11">
        <v>190</v>
      </c>
      <c r="C32" s="23"/>
      <c r="D32" s="23">
        <v>354</v>
      </c>
      <c r="E32" s="13">
        <f t="shared" si="14"/>
        <v>0</v>
      </c>
      <c r="F32" s="13">
        <f t="shared" si="10"/>
        <v>0</v>
      </c>
      <c r="G32" s="13">
        <f t="shared" si="15"/>
        <v>67260</v>
      </c>
      <c r="H32" s="14">
        <f t="shared" si="16"/>
        <v>67260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66775336</v>
      </c>
      <c r="F41" s="32">
        <f>SUM(F6:F40)</f>
        <v>10186068.203389831</v>
      </c>
      <c r="G41" s="32">
        <f>SUM(G6:G40)</f>
        <v>1222910</v>
      </c>
      <c r="H41" s="33">
        <f t="shared" si="19"/>
        <v>11408978.203389831</v>
      </c>
    </row>
    <row r="42" spans="1:8">
      <c r="A42" s="77" t="s">
        <v>20</v>
      </c>
      <c r="B42" s="78"/>
      <c r="C42" s="34">
        <v>4795830</v>
      </c>
      <c r="D42" s="35"/>
      <c r="E42" s="88" t="s">
        <v>21</v>
      </c>
      <c r="F42" s="88"/>
      <c r="G42" s="88"/>
      <c r="H42" s="88"/>
    </row>
    <row r="43" spans="1:8">
      <c r="A43" s="77" t="s">
        <v>22</v>
      </c>
      <c r="B43" s="78"/>
      <c r="C43" s="36">
        <v>6613148</v>
      </c>
      <c r="D43" s="34" t="s">
        <v>23</v>
      </c>
      <c r="E43" s="57" t="s">
        <v>24</v>
      </c>
      <c r="F43" s="58"/>
      <c r="G43" s="34" t="s">
        <v>25</v>
      </c>
      <c r="H43" s="37" t="s">
        <v>26</v>
      </c>
    </row>
    <row r="44" spans="1:8">
      <c r="A44" s="77" t="s">
        <v>27</v>
      </c>
      <c r="B44" s="78"/>
      <c r="C44" s="38"/>
      <c r="D44" s="39"/>
      <c r="E44" s="79"/>
      <c r="F44" s="80"/>
      <c r="G44" s="40"/>
      <c r="H44" s="41"/>
    </row>
    <row r="45" spans="1:8">
      <c r="A45" s="81" t="s">
        <v>28</v>
      </c>
      <c r="B45" s="82"/>
      <c r="C45" s="42"/>
      <c r="D45" s="34"/>
      <c r="E45" s="83"/>
      <c r="F45" s="84"/>
      <c r="G45" s="11"/>
      <c r="H45" s="43"/>
    </row>
    <row r="46" spans="1:8">
      <c r="A46" s="59" t="s">
        <v>29</v>
      </c>
      <c r="B46" s="60"/>
      <c r="C46" s="44">
        <v>50000</v>
      </c>
      <c r="D46" s="37"/>
      <c r="E46" s="61"/>
      <c r="F46" s="62"/>
      <c r="G46" s="11"/>
      <c r="H46" s="43"/>
    </row>
    <row r="47" spans="1:8">
      <c r="A47" s="59" t="s">
        <v>30</v>
      </c>
      <c r="B47" s="60"/>
      <c r="C47" s="44"/>
      <c r="D47" s="45"/>
      <c r="E47" s="61"/>
      <c r="F47" s="62"/>
      <c r="G47" s="11"/>
      <c r="H47" s="43"/>
    </row>
    <row r="48" spans="1:8">
      <c r="A48" s="59" t="s">
        <v>31</v>
      </c>
      <c r="B48" s="60"/>
      <c r="C48" s="46">
        <f>SUM(C42:C47)</f>
        <v>11458978</v>
      </c>
      <c r="D48" s="47"/>
      <c r="E48" s="63"/>
      <c r="F48" s="64"/>
      <c r="G48" s="48"/>
      <c r="H48" s="49"/>
    </row>
    <row r="49" spans="1:2">
      <c r="B49" s="1" t="s">
        <v>32</v>
      </c>
    </row>
    <row r="50" spans="1:2">
      <c r="B50" s="1" t="s">
        <v>33</v>
      </c>
    </row>
    <row r="52" spans="1:2">
      <c r="A52" s="1" t="s">
        <v>36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2026-04-03T13:57:29Z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