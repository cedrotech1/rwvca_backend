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8CB20EB5-2497-4F90-904D-6ADBF062E559}" xr6:coauthVersionLast="47" xr6:coauthVersionMax="47" xr10:uidLastSave="{00000000-0000-0000-0000-000000000000}"/>
  <bookViews>
    <workbookView xWindow="-110" yWindow="-110" windowWidth="19420" windowHeight="10300" firstSheet="3" activeTab="9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F28" i="24"/>
  <c r="H28" i="24" s="1"/>
  <c r="E28" i="24"/>
  <c r="H27" i="24"/>
  <c r="G27" i="24"/>
  <c r="F27" i="24"/>
  <c r="E27" i="24"/>
  <c r="G26" i="24"/>
  <c r="F26" i="24"/>
  <c r="H26" i="24" s="1"/>
  <c r="E26" i="24"/>
  <c r="G25" i="24"/>
  <c r="H25" i="24" s="1"/>
  <c r="F25" i="24"/>
  <c r="E25" i="24"/>
  <c r="G24" i="24"/>
  <c r="F24" i="24"/>
  <c r="H24" i="24" s="1"/>
  <c r="E24" i="24"/>
  <c r="G23" i="24"/>
  <c r="H23" i="24" s="1"/>
  <c r="F23" i="24"/>
  <c r="E23" i="24"/>
  <c r="G22" i="24"/>
  <c r="F22" i="24"/>
  <c r="H22" i="24" s="1"/>
  <c r="E22" i="24"/>
  <c r="G21" i="24"/>
  <c r="H21" i="24" s="1"/>
  <c r="F21" i="24"/>
  <c r="E21" i="24"/>
  <c r="G20" i="24"/>
  <c r="F20" i="24"/>
  <c r="H20" i="24" s="1"/>
  <c r="E20" i="24"/>
  <c r="G19" i="24"/>
  <c r="H19" i="24" s="1"/>
  <c r="F19" i="24"/>
  <c r="E19" i="24"/>
  <c r="G18" i="24"/>
  <c r="F18" i="24"/>
  <c r="H18" i="24" s="1"/>
  <c r="E18" i="24"/>
  <c r="G17" i="24"/>
  <c r="H17" i="24" s="1"/>
  <c r="F17" i="24"/>
  <c r="E17" i="24"/>
  <c r="G14" i="24"/>
  <c r="F14" i="24"/>
  <c r="H14" i="24" s="1"/>
  <c r="E14" i="24"/>
  <c r="G13" i="24"/>
  <c r="H13" i="24" s="1"/>
  <c r="F13" i="24"/>
  <c r="E13" i="24"/>
  <c r="G12" i="24"/>
  <c r="F12" i="24"/>
  <c r="H12" i="24" s="1"/>
  <c r="E12" i="24"/>
  <c r="H11" i="24"/>
  <c r="G11" i="24"/>
  <c r="F11" i="24"/>
  <c r="E11" i="24"/>
  <c r="G10" i="24"/>
  <c r="F10" i="24"/>
  <c r="H10" i="24" s="1"/>
  <c r="E10" i="24"/>
  <c r="G9" i="24"/>
  <c r="H9" i="24" s="1"/>
  <c r="F9" i="24"/>
  <c r="E9" i="24"/>
  <c r="G8" i="24"/>
  <c r="F8" i="24"/>
  <c r="H8" i="24" s="1"/>
  <c r="E8" i="24"/>
  <c r="G7" i="24"/>
  <c r="H7" i="24" s="1"/>
  <c r="F7" i="24"/>
  <c r="E7" i="24"/>
  <c r="G6" i="24"/>
  <c r="F6" i="24"/>
  <c r="E6" i="24"/>
  <c r="E29" i="24" s="1"/>
  <c r="E53" i="23"/>
  <c r="E52" i="23"/>
  <c r="E51" i="23"/>
  <c r="E50" i="23"/>
  <c r="E49" i="23"/>
  <c r="E48" i="23"/>
  <c r="E47" i="23"/>
  <c r="E46" i="23"/>
  <c r="E45" i="23"/>
  <c r="E54" i="23" s="1"/>
  <c r="E44" i="23"/>
  <c r="E43" i="23"/>
  <c r="E42" i="23"/>
  <c r="E41" i="23"/>
  <c r="G28" i="23"/>
  <c r="F28" i="23"/>
  <c r="H28" i="23" s="1"/>
  <c r="E28" i="23"/>
  <c r="G27" i="23"/>
  <c r="E27" i="23"/>
  <c r="F27" i="23" s="1"/>
  <c r="H27" i="23" s="1"/>
  <c r="G26" i="23"/>
  <c r="F26" i="23"/>
  <c r="H26" i="23" s="1"/>
  <c r="E26" i="23"/>
  <c r="G25" i="23"/>
  <c r="E25" i="23"/>
  <c r="F25" i="23" s="1"/>
  <c r="H25" i="23" s="1"/>
  <c r="G24" i="23"/>
  <c r="F24" i="23"/>
  <c r="H24" i="23" s="1"/>
  <c r="E24" i="23"/>
  <c r="H23" i="23"/>
  <c r="G23" i="23"/>
  <c r="F23" i="23"/>
  <c r="E23" i="23"/>
  <c r="G22" i="23"/>
  <c r="F22" i="23"/>
  <c r="H22" i="23" s="1"/>
  <c r="E22" i="23"/>
  <c r="G21" i="23"/>
  <c r="F21" i="23"/>
  <c r="H21" i="23" s="1"/>
  <c r="E21" i="23"/>
  <c r="G20" i="23"/>
  <c r="F20" i="23"/>
  <c r="H20" i="23" s="1"/>
  <c r="E20" i="23"/>
  <c r="G19" i="23"/>
  <c r="E19" i="23"/>
  <c r="F19" i="23" s="1"/>
  <c r="H19" i="23" s="1"/>
  <c r="G18" i="23"/>
  <c r="F18" i="23"/>
  <c r="H18" i="23" s="1"/>
  <c r="E18" i="23"/>
  <c r="G17" i="23"/>
  <c r="E17" i="23"/>
  <c r="F17" i="23" s="1"/>
  <c r="H17" i="23" s="1"/>
  <c r="G14" i="23"/>
  <c r="F14" i="23"/>
  <c r="H14" i="23" s="1"/>
  <c r="E14" i="23"/>
  <c r="G13" i="23"/>
  <c r="E13" i="23"/>
  <c r="F13" i="23" s="1"/>
  <c r="H13" i="23" s="1"/>
  <c r="G12" i="23"/>
  <c r="F12" i="23"/>
  <c r="H12" i="23" s="1"/>
  <c r="E12" i="23"/>
  <c r="G11" i="23"/>
  <c r="E11" i="23"/>
  <c r="F11" i="23" s="1"/>
  <c r="H11" i="23" s="1"/>
  <c r="G10" i="23"/>
  <c r="F10" i="23"/>
  <c r="H10" i="23" s="1"/>
  <c r="E10" i="23"/>
  <c r="G9" i="23"/>
  <c r="F9" i="23"/>
  <c r="H9" i="23" s="1"/>
  <c r="E9" i="23"/>
  <c r="G8" i="23"/>
  <c r="F8" i="23"/>
  <c r="H8" i="23" s="1"/>
  <c r="E8" i="23"/>
  <c r="G7" i="23"/>
  <c r="G29" i="23" s="1"/>
  <c r="E7" i="23"/>
  <c r="F7" i="23" s="1"/>
  <c r="H7" i="23" s="1"/>
  <c r="G6" i="23"/>
  <c r="F6" i="23"/>
  <c r="H6" i="23" s="1"/>
  <c r="E6" i="23"/>
  <c r="E53" i="22"/>
  <c r="E52" i="22"/>
  <c r="E51" i="22"/>
  <c r="E50" i="22"/>
  <c r="E49" i="22"/>
  <c r="E48" i="22"/>
  <c r="E47" i="22"/>
  <c r="E46" i="22"/>
  <c r="E54" i="22" s="1"/>
  <c r="E45" i="22"/>
  <c r="E44" i="22"/>
  <c r="E43" i="22"/>
  <c r="E42" i="22"/>
  <c r="E41" i="22"/>
  <c r="G28" i="22"/>
  <c r="H28" i="22" s="1"/>
  <c r="F28" i="22"/>
  <c r="E28" i="22"/>
  <c r="G27" i="22"/>
  <c r="F27" i="22"/>
  <c r="H27" i="22" s="1"/>
  <c r="E27" i="22"/>
  <c r="G26" i="22"/>
  <c r="H26" i="22" s="1"/>
  <c r="F26" i="22"/>
  <c r="E26" i="22"/>
  <c r="G25" i="22"/>
  <c r="F25" i="22"/>
  <c r="H25" i="22" s="1"/>
  <c r="E25" i="22"/>
  <c r="G24" i="22"/>
  <c r="H24" i="22" s="1"/>
  <c r="F24" i="22"/>
  <c r="E24" i="22"/>
  <c r="G23" i="22"/>
  <c r="F23" i="22"/>
  <c r="H23" i="22" s="1"/>
  <c r="E23" i="22"/>
  <c r="G22" i="22"/>
  <c r="H22" i="22" s="1"/>
  <c r="F22" i="22"/>
  <c r="E22" i="22"/>
  <c r="G21" i="22"/>
  <c r="F21" i="22"/>
  <c r="H21" i="22" s="1"/>
  <c r="E21" i="22"/>
  <c r="G20" i="22"/>
  <c r="H20" i="22" s="1"/>
  <c r="F20" i="22"/>
  <c r="E20" i="22"/>
  <c r="G19" i="22"/>
  <c r="F19" i="22"/>
  <c r="H19" i="22" s="1"/>
  <c r="E19" i="22"/>
  <c r="G18" i="22"/>
  <c r="H18" i="22" s="1"/>
  <c r="F18" i="22"/>
  <c r="E18" i="22"/>
  <c r="G17" i="22"/>
  <c r="F17" i="22"/>
  <c r="H17" i="22" s="1"/>
  <c r="E17" i="22"/>
  <c r="G14" i="22"/>
  <c r="H14" i="22" s="1"/>
  <c r="F14" i="22"/>
  <c r="E14" i="22"/>
  <c r="G13" i="22"/>
  <c r="F13" i="22"/>
  <c r="H13" i="22" s="1"/>
  <c r="E13" i="22"/>
  <c r="G12" i="22"/>
  <c r="H12" i="22" s="1"/>
  <c r="F12" i="22"/>
  <c r="E12" i="22"/>
  <c r="G11" i="22"/>
  <c r="F11" i="22"/>
  <c r="H11" i="22" s="1"/>
  <c r="E11" i="22"/>
  <c r="G10" i="22"/>
  <c r="H10" i="22" s="1"/>
  <c r="F10" i="22"/>
  <c r="E10" i="22"/>
  <c r="G9" i="22"/>
  <c r="F9" i="22"/>
  <c r="H9" i="22" s="1"/>
  <c r="E9" i="22"/>
  <c r="G8" i="22"/>
  <c r="H8" i="22" s="1"/>
  <c r="F8" i="22"/>
  <c r="E8" i="22"/>
  <c r="G7" i="22"/>
  <c r="F7" i="22"/>
  <c r="H7" i="22" s="1"/>
  <c r="E7" i="22"/>
  <c r="E29" i="22" s="1"/>
  <c r="G6" i="22"/>
  <c r="H6" i="22" s="1"/>
  <c r="F6" i="22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F27" i="21"/>
  <c r="H27" i="21" s="1"/>
  <c r="E27" i="21"/>
  <c r="G26" i="21"/>
  <c r="F26" i="21"/>
  <c r="H26" i="21" s="1"/>
  <c r="E26" i="21"/>
  <c r="G25" i="21"/>
  <c r="F25" i="21"/>
  <c r="H25" i="21" s="1"/>
  <c r="E25" i="21"/>
  <c r="G24" i="21"/>
  <c r="E24" i="21"/>
  <c r="F24" i="21" s="1"/>
  <c r="H24" i="21" s="1"/>
  <c r="G23" i="21"/>
  <c r="F23" i="21"/>
  <c r="H23" i="21" s="1"/>
  <c r="E23" i="21"/>
  <c r="H22" i="21"/>
  <c r="G22" i="21"/>
  <c r="F22" i="21"/>
  <c r="E22" i="21"/>
  <c r="G21" i="21"/>
  <c r="F21" i="21"/>
  <c r="H21" i="21" s="1"/>
  <c r="E21" i="21"/>
  <c r="G20" i="21"/>
  <c r="F20" i="21"/>
  <c r="H20" i="21" s="1"/>
  <c r="E20" i="21"/>
  <c r="G19" i="21"/>
  <c r="F19" i="21"/>
  <c r="H19" i="21" s="1"/>
  <c r="E19" i="21"/>
  <c r="G18" i="21"/>
  <c r="E18" i="21"/>
  <c r="F18" i="21" s="1"/>
  <c r="H18" i="21" s="1"/>
  <c r="G17" i="21"/>
  <c r="F17" i="21"/>
  <c r="H17" i="21" s="1"/>
  <c r="E17" i="2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F11" i="21"/>
  <c r="H11" i="21" s="1"/>
  <c r="E11" i="21"/>
  <c r="G10" i="21"/>
  <c r="E10" i="21"/>
  <c r="F10" i="21" s="1"/>
  <c r="H10" i="21" s="1"/>
  <c r="G9" i="21"/>
  <c r="F9" i="21"/>
  <c r="H9" i="21" s="1"/>
  <c r="E9" i="21"/>
  <c r="G8" i="21"/>
  <c r="F8" i="21"/>
  <c r="H8" i="21" s="1"/>
  <c r="E8" i="21"/>
  <c r="G7" i="21"/>
  <c r="F7" i="21"/>
  <c r="H7" i="21" s="1"/>
  <c r="E7" i="21"/>
  <c r="G6" i="21"/>
  <c r="G29" i="21" s="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F28" i="20"/>
  <c r="H28" i="20" s="1"/>
  <c r="E28" i="20"/>
  <c r="G27" i="20"/>
  <c r="H27" i="20" s="1"/>
  <c r="F27" i="20"/>
  <c r="E27" i="20"/>
  <c r="G26" i="20"/>
  <c r="F26" i="20"/>
  <c r="H26" i="20" s="1"/>
  <c r="E26" i="20"/>
  <c r="G25" i="20"/>
  <c r="H25" i="20" s="1"/>
  <c r="F25" i="20"/>
  <c r="E25" i="20"/>
  <c r="G24" i="20"/>
  <c r="F24" i="20"/>
  <c r="H24" i="20" s="1"/>
  <c r="E24" i="20"/>
  <c r="G23" i="20"/>
  <c r="H23" i="20" s="1"/>
  <c r="F23" i="20"/>
  <c r="E23" i="20"/>
  <c r="G22" i="20"/>
  <c r="F22" i="20"/>
  <c r="H22" i="20" s="1"/>
  <c r="E22" i="20"/>
  <c r="G21" i="20"/>
  <c r="H21" i="20" s="1"/>
  <c r="F21" i="20"/>
  <c r="E21" i="20"/>
  <c r="G20" i="20"/>
  <c r="F20" i="20"/>
  <c r="H20" i="20" s="1"/>
  <c r="E20" i="20"/>
  <c r="G19" i="20"/>
  <c r="H19" i="20" s="1"/>
  <c r="F19" i="20"/>
  <c r="E19" i="20"/>
  <c r="G18" i="20"/>
  <c r="F18" i="20"/>
  <c r="H18" i="20" s="1"/>
  <c r="E18" i="20"/>
  <c r="G17" i="20"/>
  <c r="H17" i="20" s="1"/>
  <c r="F17" i="20"/>
  <c r="E17" i="20"/>
  <c r="G14" i="20"/>
  <c r="F14" i="20"/>
  <c r="H14" i="20" s="1"/>
  <c r="E14" i="20"/>
  <c r="G13" i="20"/>
  <c r="H13" i="20" s="1"/>
  <c r="F13" i="20"/>
  <c r="E13" i="20"/>
  <c r="G12" i="20"/>
  <c r="F12" i="20"/>
  <c r="H12" i="20" s="1"/>
  <c r="E12" i="20"/>
  <c r="G11" i="20"/>
  <c r="H11" i="20" s="1"/>
  <c r="F11" i="20"/>
  <c r="E11" i="20"/>
  <c r="G10" i="20"/>
  <c r="F10" i="20"/>
  <c r="H10" i="20" s="1"/>
  <c r="E10" i="20"/>
  <c r="G9" i="20"/>
  <c r="H9" i="20" s="1"/>
  <c r="F9" i="20"/>
  <c r="E9" i="20"/>
  <c r="G8" i="20"/>
  <c r="F8" i="20"/>
  <c r="H8" i="20" s="1"/>
  <c r="E8" i="20"/>
  <c r="G7" i="20"/>
  <c r="G29" i="20" s="1"/>
  <c r="C17" i="1" s="1"/>
  <c r="F7" i="20"/>
  <c r="E7" i="20"/>
  <c r="G6" i="20"/>
  <c r="F6" i="20"/>
  <c r="F29" i="20" s="1"/>
  <c r="H29" i="20" s="1"/>
  <c r="E6" i="20"/>
  <c r="E29" i="20" s="1"/>
  <c r="E61" i="19"/>
  <c r="E60" i="19"/>
  <c r="E59" i="19"/>
  <c r="E58" i="19"/>
  <c r="E57" i="19"/>
  <c r="E56" i="19"/>
  <c r="E55" i="19"/>
  <c r="E54" i="19"/>
  <c r="E53" i="19"/>
  <c r="E62" i="19" s="1"/>
  <c r="E52" i="19"/>
  <c r="E51" i="19"/>
  <c r="E50" i="19"/>
  <c r="E49" i="19"/>
  <c r="G14" i="19"/>
  <c r="F14" i="19"/>
  <c r="H14" i="19" s="1"/>
  <c r="E14" i="19"/>
  <c r="G13" i="19"/>
  <c r="F13" i="19"/>
  <c r="H13" i="19" s="1"/>
  <c r="E13" i="19"/>
  <c r="G12" i="19"/>
  <c r="F12" i="19"/>
  <c r="H12" i="19" s="1"/>
  <c r="E12" i="19"/>
  <c r="G11" i="19"/>
  <c r="E11" i="19"/>
  <c r="F11" i="19" s="1"/>
  <c r="H11" i="19" s="1"/>
  <c r="G10" i="19"/>
  <c r="F10" i="19"/>
  <c r="H10" i="19" s="1"/>
  <c r="E10" i="19"/>
  <c r="G9" i="19"/>
  <c r="F9" i="19"/>
  <c r="H9" i="19" s="1"/>
  <c r="E9" i="19"/>
  <c r="G8" i="19"/>
  <c r="F8" i="19"/>
  <c r="H8" i="19" s="1"/>
  <c r="E8" i="19"/>
  <c r="G7" i="19"/>
  <c r="G37" i="19" s="1"/>
  <c r="C16" i="1" s="1"/>
  <c r="E7" i="19"/>
  <c r="F7" i="19" s="1"/>
  <c r="H7" i="19" s="1"/>
  <c r="G6" i="19"/>
  <c r="F6" i="19"/>
  <c r="H6" i="19" s="1"/>
  <c r="H37" i="19" s="1"/>
  <c r="E6" i="19"/>
  <c r="E53" i="18"/>
  <c r="E52" i="18"/>
  <c r="E51" i="18"/>
  <c r="E50" i="18"/>
  <c r="E49" i="18"/>
  <c r="E48" i="18"/>
  <c r="E47" i="18"/>
  <c r="E46" i="18"/>
  <c r="E54" i="18" s="1"/>
  <c r="E45" i="18"/>
  <c r="E44" i="18"/>
  <c r="E43" i="18"/>
  <c r="E42" i="18"/>
  <c r="E41" i="18"/>
  <c r="G28" i="18"/>
  <c r="H28" i="18" s="1"/>
  <c r="F28" i="18"/>
  <c r="E28" i="18"/>
  <c r="G27" i="18"/>
  <c r="F27" i="18"/>
  <c r="H27" i="18" s="1"/>
  <c r="E27" i="18"/>
  <c r="G26" i="18"/>
  <c r="H26" i="18" s="1"/>
  <c r="F26" i="18"/>
  <c r="E26" i="18"/>
  <c r="G25" i="18"/>
  <c r="F25" i="18"/>
  <c r="H25" i="18" s="1"/>
  <c r="E25" i="18"/>
  <c r="G24" i="18"/>
  <c r="H24" i="18" s="1"/>
  <c r="F24" i="18"/>
  <c r="E24" i="18"/>
  <c r="G23" i="18"/>
  <c r="F23" i="18"/>
  <c r="H23" i="18" s="1"/>
  <c r="E23" i="18"/>
  <c r="G22" i="18"/>
  <c r="H22" i="18" s="1"/>
  <c r="F22" i="18"/>
  <c r="E22" i="18"/>
  <c r="G21" i="18"/>
  <c r="F21" i="18"/>
  <c r="H21" i="18" s="1"/>
  <c r="E21" i="18"/>
  <c r="G20" i="18"/>
  <c r="H20" i="18" s="1"/>
  <c r="F20" i="18"/>
  <c r="E20" i="18"/>
  <c r="G19" i="18"/>
  <c r="F19" i="18"/>
  <c r="H19" i="18" s="1"/>
  <c r="E19" i="18"/>
  <c r="G18" i="18"/>
  <c r="H18" i="18" s="1"/>
  <c r="F18" i="18"/>
  <c r="E18" i="18"/>
  <c r="G17" i="18"/>
  <c r="F17" i="18"/>
  <c r="H17" i="18" s="1"/>
  <c r="E17" i="18"/>
  <c r="G14" i="18"/>
  <c r="H14" i="18" s="1"/>
  <c r="F14" i="18"/>
  <c r="E14" i="18"/>
  <c r="G13" i="18"/>
  <c r="F13" i="18"/>
  <c r="H13" i="18" s="1"/>
  <c r="E13" i="18"/>
  <c r="G12" i="18"/>
  <c r="H12" i="18" s="1"/>
  <c r="F12" i="18"/>
  <c r="E12" i="18"/>
  <c r="G11" i="18"/>
  <c r="F11" i="18"/>
  <c r="H11" i="18" s="1"/>
  <c r="E11" i="18"/>
  <c r="G10" i="18"/>
  <c r="H10" i="18" s="1"/>
  <c r="F10" i="18"/>
  <c r="E10" i="18"/>
  <c r="G9" i="18"/>
  <c r="F9" i="18"/>
  <c r="H9" i="18" s="1"/>
  <c r="E9" i="18"/>
  <c r="G8" i="18"/>
  <c r="H8" i="18" s="1"/>
  <c r="F8" i="18"/>
  <c r="E8" i="18"/>
  <c r="G7" i="18"/>
  <c r="F7" i="18"/>
  <c r="H7" i="18" s="1"/>
  <c r="E7" i="18"/>
  <c r="E29" i="18" s="1"/>
  <c r="G6" i="18"/>
  <c r="H6" i="18" s="1"/>
  <c r="F6" i="18"/>
  <c r="E6" i="18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62" i="17" s="1"/>
  <c r="G14" i="17"/>
  <c r="E14" i="17"/>
  <c r="F14" i="17" s="1"/>
  <c r="H14" i="17" s="1"/>
  <c r="G13" i="17"/>
  <c r="F13" i="17"/>
  <c r="H13" i="17" s="1"/>
  <c r="E13" i="17"/>
  <c r="G12" i="17"/>
  <c r="F12" i="17"/>
  <c r="H12" i="17" s="1"/>
  <c r="E12" i="17"/>
  <c r="G11" i="17"/>
  <c r="F11" i="17"/>
  <c r="H11" i="17" s="1"/>
  <c r="E11" i="17"/>
  <c r="G10" i="17"/>
  <c r="E10" i="17"/>
  <c r="F10" i="17" s="1"/>
  <c r="H10" i="17" s="1"/>
  <c r="G9" i="17"/>
  <c r="F9" i="17"/>
  <c r="H9" i="17" s="1"/>
  <c r="E9" i="17"/>
  <c r="H8" i="17"/>
  <c r="G8" i="17"/>
  <c r="F8" i="17"/>
  <c r="E8" i="17"/>
  <c r="G7" i="17"/>
  <c r="F7" i="17"/>
  <c r="H7" i="17" s="1"/>
  <c r="E7" i="17"/>
  <c r="G6" i="17"/>
  <c r="G37" i="17" s="1"/>
  <c r="F6" i="17"/>
  <c r="F37" i="17" s="1"/>
  <c r="B15" i="1" s="1"/>
  <c r="F15" i="1" s="1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37" i="16"/>
  <c r="C14" i="1" s="1"/>
  <c r="G14" i="16"/>
  <c r="F14" i="16"/>
  <c r="H14" i="16" s="1"/>
  <c r="E14" i="16"/>
  <c r="H13" i="16"/>
  <c r="G13" i="16"/>
  <c r="F13" i="16"/>
  <c r="E13" i="16"/>
  <c r="G12" i="16"/>
  <c r="F12" i="16"/>
  <c r="H12" i="16" s="1"/>
  <c r="E12" i="16"/>
  <c r="H11" i="16"/>
  <c r="G11" i="16"/>
  <c r="F11" i="16"/>
  <c r="E11" i="16"/>
  <c r="G10" i="16"/>
  <c r="F10" i="16"/>
  <c r="H10" i="16" s="1"/>
  <c r="E10" i="16"/>
  <c r="H9" i="16"/>
  <c r="G9" i="16"/>
  <c r="F9" i="16"/>
  <c r="E9" i="16"/>
  <c r="G8" i="16"/>
  <c r="F8" i="16"/>
  <c r="H8" i="16" s="1"/>
  <c r="E8" i="16"/>
  <c r="H7" i="16"/>
  <c r="G7" i="16"/>
  <c r="F7" i="16"/>
  <c r="E7" i="16"/>
  <c r="G6" i="16"/>
  <c r="F6" i="16"/>
  <c r="F37" i="16" s="1"/>
  <c r="E6" i="16"/>
  <c r="E37" i="16" s="1"/>
  <c r="E61" i="15"/>
  <c r="E60" i="15"/>
  <c r="E59" i="15"/>
  <c r="E58" i="15"/>
  <c r="E57" i="15"/>
  <c r="E56" i="15"/>
  <c r="E55" i="15"/>
  <c r="E54" i="15"/>
  <c r="E62" i="15" s="1"/>
  <c r="E53" i="15"/>
  <c r="E52" i="15"/>
  <c r="E51" i="15"/>
  <c r="E50" i="15"/>
  <c r="E49" i="15"/>
  <c r="E37" i="15"/>
  <c r="G14" i="15"/>
  <c r="F14" i="15"/>
  <c r="H14" i="15" s="1"/>
  <c r="E14" i="15"/>
  <c r="G13" i="15"/>
  <c r="F13" i="15"/>
  <c r="H13" i="15" s="1"/>
  <c r="E13" i="15"/>
  <c r="G12" i="15"/>
  <c r="F12" i="15"/>
  <c r="H12" i="15" s="1"/>
  <c r="E12" i="15"/>
  <c r="G11" i="15"/>
  <c r="E11" i="15"/>
  <c r="F11" i="15" s="1"/>
  <c r="H11" i="15" s="1"/>
  <c r="G10" i="15"/>
  <c r="F10" i="15"/>
  <c r="H10" i="15" s="1"/>
  <c r="E10" i="15"/>
  <c r="H9" i="15"/>
  <c r="G9" i="15"/>
  <c r="F9" i="15"/>
  <c r="E9" i="15"/>
  <c r="G8" i="15"/>
  <c r="F8" i="15"/>
  <c r="H8" i="15" s="1"/>
  <c r="E8" i="15"/>
  <c r="G7" i="15"/>
  <c r="G37" i="15" s="1"/>
  <c r="F7" i="15"/>
  <c r="H7" i="15" s="1"/>
  <c r="E7" i="15"/>
  <c r="G6" i="15"/>
  <c r="F6" i="15"/>
  <c r="H6" i="15" s="1"/>
  <c r="E6" i="15"/>
  <c r="E61" i="14"/>
  <c r="E60" i="14"/>
  <c r="E59" i="14"/>
  <c r="E58" i="14"/>
  <c r="E57" i="14"/>
  <c r="E56" i="14"/>
  <c r="E55" i="14"/>
  <c r="E54" i="14"/>
  <c r="E53" i="14"/>
  <c r="E52" i="14"/>
  <c r="E51" i="14"/>
  <c r="E62" i="14" s="1"/>
  <c r="E50" i="14"/>
  <c r="E49" i="14"/>
  <c r="H14" i="14"/>
  <c r="G14" i="14"/>
  <c r="F14" i="14"/>
  <c r="E14" i="14"/>
  <c r="G13" i="14"/>
  <c r="F13" i="14"/>
  <c r="H13" i="14" s="1"/>
  <c r="E13" i="14"/>
  <c r="H12" i="14"/>
  <c r="G12" i="14"/>
  <c r="F12" i="14"/>
  <c r="E12" i="14"/>
  <c r="G11" i="14"/>
  <c r="F11" i="14"/>
  <c r="H11" i="14" s="1"/>
  <c r="E11" i="14"/>
  <c r="H10" i="14"/>
  <c r="G10" i="14"/>
  <c r="F10" i="14"/>
  <c r="E10" i="14"/>
  <c r="G9" i="14"/>
  <c r="F9" i="14"/>
  <c r="H9" i="14" s="1"/>
  <c r="E9" i="14"/>
  <c r="H8" i="14"/>
  <c r="G8" i="14"/>
  <c r="F8" i="14"/>
  <c r="E8" i="14"/>
  <c r="G7" i="14"/>
  <c r="F7" i="14"/>
  <c r="H7" i="14" s="1"/>
  <c r="E7" i="14"/>
  <c r="E37" i="14" s="1"/>
  <c r="H6" i="14"/>
  <c r="G6" i="14"/>
  <c r="G37" i="14" s="1"/>
  <c r="C12" i="1" s="1"/>
  <c r="F6" i="14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G13" i="13"/>
  <c r="F13" i="13"/>
  <c r="H13" i="13" s="1"/>
  <c r="E13" i="13"/>
  <c r="H12" i="13"/>
  <c r="G12" i="13"/>
  <c r="F12" i="13"/>
  <c r="E12" i="13"/>
  <c r="G11" i="13"/>
  <c r="F11" i="13"/>
  <c r="H11" i="13" s="1"/>
  <c r="E11" i="13"/>
  <c r="G10" i="13"/>
  <c r="F10" i="13"/>
  <c r="H10" i="13" s="1"/>
  <c r="E10" i="13"/>
  <c r="G9" i="13"/>
  <c r="F9" i="13"/>
  <c r="H9" i="13" s="1"/>
  <c r="E9" i="13"/>
  <c r="G8" i="13"/>
  <c r="E8" i="13"/>
  <c r="F8" i="13" s="1"/>
  <c r="H8" i="13" s="1"/>
  <c r="G7" i="13"/>
  <c r="F7" i="13"/>
  <c r="H7" i="13" s="1"/>
  <c r="E7" i="13"/>
  <c r="G6" i="13"/>
  <c r="G37" i="13" s="1"/>
  <c r="C11" i="1" s="1"/>
  <c r="E6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H29" i="12"/>
  <c r="G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F29" i="12" s="1"/>
  <c r="E6" i="12"/>
  <c r="E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54" i="11" s="1"/>
  <c r="E41" i="11"/>
  <c r="G28" i="11"/>
  <c r="F28" i="11"/>
  <c r="H28" i="11" s="1"/>
  <c r="E28" i="11"/>
  <c r="H27" i="11"/>
  <c r="G27" i="11"/>
  <c r="F27" i="11"/>
  <c r="E27" i="11"/>
  <c r="G26" i="11"/>
  <c r="F26" i="11"/>
  <c r="H26" i="11" s="1"/>
  <c r="E26" i="11"/>
  <c r="G25" i="11"/>
  <c r="F25" i="11"/>
  <c r="H25" i="11" s="1"/>
  <c r="E25" i="11"/>
  <c r="G24" i="11"/>
  <c r="F24" i="11"/>
  <c r="H24" i="11" s="1"/>
  <c r="E24" i="11"/>
  <c r="G23" i="11"/>
  <c r="E23" i="11"/>
  <c r="F23" i="11" s="1"/>
  <c r="H23" i="11" s="1"/>
  <c r="G22" i="11"/>
  <c r="F22" i="11"/>
  <c r="H22" i="11" s="1"/>
  <c r="E22" i="11"/>
  <c r="G21" i="11"/>
  <c r="E21" i="11"/>
  <c r="F21" i="11" s="1"/>
  <c r="H21" i="11" s="1"/>
  <c r="G20" i="11"/>
  <c r="F20" i="11"/>
  <c r="H20" i="11" s="1"/>
  <c r="E20" i="11"/>
  <c r="G19" i="11"/>
  <c r="F19" i="11"/>
  <c r="H19" i="11" s="1"/>
  <c r="E19" i="11"/>
  <c r="G18" i="11"/>
  <c r="F18" i="11"/>
  <c r="H18" i="11" s="1"/>
  <c r="E18" i="11"/>
  <c r="G17" i="11"/>
  <c r="E17" i="11"/>
  <c r="F17" i="11" s="1"/>
  <c r="H17" i="11" s="1"/>
  <c r="G14" i="11"/>
  <c r="F14" i="11"/>
  <c r="H14" i="11" s="1"/>
  <c r="E14" i="11"/>
  <c r="G13" i="11"/>
  <c r="F13" i="11"/>
  <c r="H13" i="11" s="1"/>
  <c r="E13" i="11"/>
  <c r="G12" i="11"/>
  <c r="F12" i="11"/>
  <c r="H12" i="11" s="1"/>
  <c r="E12" i="11"/>
  <c r="G11" i="11"/>
  <c r="E11" i="11"/>
  <c r="F11" i="11" s="1"/>
  <c r="H11" i="11" s="1"/>
  <c r="G10" i="11"/>
  <c r="F10" i="11"/>
  <c r="H10" i="11" s="1"/>
  <c r="E10" i="11"/>
  <c r="H9" i="11"/>
  <c r="G9" i="11"/>
  <c r="F9" i="11"/>
  <c r="E9" i="11"/>
  <c r="G8" i="11"/>
  <c r="F8" i="11"/>
  <c r="H8" i="11" s="1"/>
  <c r="E8" i="11"/>
  <c r="G7" i="11"/>
  <c r="G29" i="11" s="1"/>
  <c r="F7" i="11"/>
  <c r="H7" i="11" s="1"/>
  <c r="E7" i="11"/>
  <c r="G6" i="11"/>
  <c r="F6" i="11"/>
  <c r="H6" i="11" s="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F28" i="10"/>
  <c r="E28" i="10"/>
  <c r="G27" i="10"/>
  <c r="F27" i="10"/>
  <c r="H27" i="10" s="1"/>
  <c r="E27" i="10"/>
  <c r="H26" i="10"/>
  <c r="G26" i="10"/>
  <c r="F26" i="10"/>
  <c r="E26" i="10"/>
  <c r="G25" i="10"/>
  <c r="F25" i="10"/>
  <c r="H25" i="10" s="1"/>
  <c r="E25" i="10"/>
  <c r="H24" i="10"/>
  <c r="G24" i="10"/>
  <c r="F24" i="10"/>
  <c r="E24" i="10"/>
  <c r="G23" i="10"/>
  <c r="F23" i="10"/>
  <c r="H23" i="10" s="1"/>
  <c r="E23" i="10"/>
  <c r="H22" i="10"/>
  <c r="G22" i="10"/>
  <c r="F22" i="10"/>
  <c r="E22" i="10"/>
  <c r="G21" i="10"/>
  <c r="F21" i="10"/>
  <c r="H21" i="10" s="1"/>
  <c r="E21" i="10"/>
  <c r="H20" i="10"/>
  <c r="G20" i="10"/>
  <c r="F20" i="10"/>
  <c r="E20" i="10"/>
  <c r="G19" i="10"/>
  <c r="E19" i="10"/>
  <c r="F19" i="10" s="1"/>
  <c r="G18" i="10"/>
  <c r="E18" i="10"/>
  <c r="F18" i="10" s="1"/>
  <c r="G17" i="10"/>
  <c r="F17" i="10"/>
  <c r="E17" i="10"/>
  <c r="H14" i="10"/>
  <c r="G14" i="10"/>
  <c r="F14" i="10"/>
  <c r="E14" i="10"/>
  <c r="G13" i="10"/>
  <c r="E13" i="10"/>
  <c r="F13" i="10" s="1"/>
  <c r="H12" i="10"/>
  <c r="G12" i="10"/>
  <c r="F12" i="10"/>
  <c r="E12" i="10"/>
  <c r="G11" i="10"/>
  <c r="F11" i="10"/>
  <c r="H11" i="10" s="1"/>
  <c r="E11" i="10"/>
  <c r="G10" i="10"/>
  <c r="E10" i="10"/>
  <c r="F10" i="10" s="1"/>
  <c r="G9" i="10"/>
  <c r="F9" i="10"/>
  <c r="H9" i="10" s="1"/>
  <c r="E9" i="10"/>
  <c r="H8" i="10"/>
  <c r="G8" i="10"/>
  <c r="F8" i="10"/>
  <c r="E8" i="10"/>
  <c r="G7" i="10"/>
  <c r="E7" i="10"/>
  <c r="F7" i="10" s="1"/>
  <c r="G6" i="10"/>
  <c r="E6" i="10"/>
  <c r="F6" i="10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54" i="9" s="1"/>
  <c r="G28" i="9"/>
  <c r="E28" i="9"/>
  <c r="F28" i="9" s="1"/>
  <c r="H28" i="9" s="1"/>
  <c r="G27" i="9"/>
  <c r="F27" i="9"/>
  <c r="H27" i="9" s="1"/>
  <c r="E27" i="9"/>
  <c r="H26" i="9"/>
  <c r="G26" i="9"/>
  <c r="F26" i="9"/>
  <c r="E26" i="9"/>
  <c r="G25" i="9"/>
  <c r="F25" i="9"/>
  <c r="H25" i="9" s="1"/>
  <c r="E25" i="9"/>
  <c r="G24" i="9"/>
  <c r="F24" i="9"/>
  <c r="H24" i="9" s="1"/>
  <c r="E24" i="9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F18" i="9"/>
  <c r="H18" i="9" s="1"/>
  <c r="E18" i="9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F12" i="9"/>
  <c r="H12" i="9" s="1"/>
  <c r="E12" i="9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H8" i="9"/>
  <c r="G8" i="9"/>
  <c r="F8" i="9"/>
  <c r="E8" i="9"/>
  <c r="G7" i="9"/>
  <c r="F7" i="9"/>
  <c r="H7" i="9" s="1"/>
  <c r="E7" i="9"/>
  <c r="G6" i="9"/>
  <c r="G29" i="9" s="1"/>
  <c r="F6" i="9"/>
  <c r="H6" i="9" s="1"/>
  <c r="E6" i="9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G7" i="8"/>
  <c r="E7" i="8"/>
  <c r="F7" i="8" s="1"/>
  <c r="H7" i="8" s="1"/>
  <c r="G6" i="8"/>
  <c r="E6" i="8"/>
  <c r="F6" i="8" s="1"/>
  <c r="E53" i="7"/>
  <c r="E52" i="7"/>
  <c r="E51" i="7"/>
  <c r="E50" i="7"/>
  <c r="E49" i="7"/>
  <c r="E48" i="7"/>
  <c r="E47" i="7"/>
  <c r="E46" i="7"/>
  <c r="E54" i="7" s="1"/>
  <c r="E45" i="7"/>
  <c r="E44" i="7"/>
  <c r="E43" i="7"/>
  <c r="E42" i="7"/>
  <c r="E41" i="7"/>
  <c r="C37" i="7"/>
  <c r="G29" i="7"/>
  <c r="C8" i="1" s="1"/>
  <c r="G28" i="7"/>
  <c r="F28" i="7"/>
  <c r="H28" i="7" s="1"/>
  <c r="E28" i="7"/>
  <c r="H27" i="7"/>
  <c r="G27" i="7"/>
  <c r="F27" i="7"/>
  <c r="E27" i="7"/>
  <c r="G26" i="7"/>
  <c r="F26" i="7"/>
  <c r="H26" i="7" s="1"/>
  <c r="E26" i="7"/>
  <c r="H25" i="7"/>
  <c r="G25" i="7"/>
  <c r="F25" i="7"/>
  <c r="E25" i="7"/>
  <c r="G24" i="7"/>
  <c r="F24" i="7"/>
  <c r="H24" i="7" s="1"/>
  <c r="E24" i="7"/>
  <c r="H23" i="7"/>
  <c r="G23" i="7"/>
  <c r="F23" i="7"/>
  <c r="E23" i="7"/>
  <c r="G22" i="7"/>
  <c r="F22" i="7"/>
  <c r="H22" i="7" s="1"/>
  <c r="E22" i="7"/>
  <c r="H21" i="7"/>
  <c r="G21" i="7"/>
  <c r="F21" i="7"/>
  <c r="E21" i="7"/>
  <c r="G20" i="7"/>
  <c r="F20" i="7"/>
  <c r="H20" i="7" s="1"/>
  <c r="E20" i="7"/>
  <c r="H19" i="7"/>
  <c r="G19" i="7"/>
  <c r="F19" i="7"/>
  <c r="E19" i="7"/>
  <c r="G18" i="7"/>
  <c r="F18" i="7"/>
  <c r="H18" i="7" s="1"/>
  <c r="E18" i="7"/>
  <c r="H17" i="7"/>
  <c r="G17" i="7"/>
  <c r="F17" i="7"/>
  <c r="E17" i="7"/>
  <c r="G14" i="7"/>
  <c r="F14" i="7"/>
  <c r="H14" i="7" s="1"/>
  <c r="E14" i="7"/>
  <c r="H13" i="7"/>
  <c r="G13" i="7"/>
  <c r="F13" i="7"/>
  <c r="E13" i="7"/>
  <c r="G12" i="7"/>
  <c r="F12" i="7"/>
  <c r="H12" i="7" s="1"/>
  <c r="E12" i="7"/>
  <c r="H11" i="7"/>
  <c r="G11" i="7"/>
  <c r="F11" i="7"/>
  <c r="E11" i="7"/>
  <c r="G10" i="7"/>
  <c r="F10" i="7"/>
  <c r="H10" i="7" s="1"/>
  <c r="E10" i="7"/>
  <c r="H9" i="7"/>
  <c r="G9" i="7"/>
  <c r="F9" i="7"/>
  <c r="E9" i="7"/>
  <c r="G8" i="7"/>
  <c r="F8" i="7"/>
  <c r="H8" i="7" s="1"/>
  <c r="E8" i="7"/>
  <c r="H7" i="7"/>
  <c r="G7" i="7"/>
  <c r="F7" i="7"/>
  <c r="E7" i="7"/>
  <c r="G6" i="7"/>
  <c r="F6" i="7"/>
  <c r="F29" i="7" s="1"/>
  <c r="H29" i="7" s="1"/>
  <c r="E6" i="7"/>
  <c r="E29" i="7" s="1"/>
  <c r="E61" i="6"/>
  <c r="E60" i="6"/>
  <c r="E59" i="6"/>
  <c r="E58" i="6"/>
  <c r="E57" i="6"/>
  <c r="E56" i="6"/>
  <c r="E55" i="6"/>
  <c r="E54" i="6"/>
  <c r="E62" i="6" s="1"/>
  <c r="E53" i="6"/>
  <c r="E52" i="6"/>
  <c r="E51" i="6"/>
  <c r="E50" i="6"/>
  <c r="E49" i="6"/>
  <c r="C45" i="6"/>
  <c r="G14" i="6"/>
  <c r="E14" i="6"/>
  <c r="F14" i="6" s="1"/>
  <c r="H14" i="6" s="1"/>
  <c r="G13" i="6"/>
  <c r="F13" i="6"/>
  <c r="E13" i="6"/>
  <c r="G12" i="6"/>
  <c r="E12" i="6"/>
  <c r="F12" i="6" s="1"/>
  <c r="G11" i="6"/>
  <c r="F11" i="6"/>
  <c r="E11" i="6"/>
  <c r="G10" i="6"/>
  <c r="E10" i="6"/>
  <c r="F10" i="6" s="1"/>
  <c r="G9" i="6"/>
  <c r="F9" i="6"/>
  <c r="H9" i="6" s="1"/>
  <c r="E9" i="6"/>
  <c r="G8" i="6"/>
  <c r="E8" i="6"/>
  <c r="F8" i="6" s="1"/>
  <c r="G7" i="6"/>
  <c r="G37" i="6" s="1"/>
  <c r="C5" i="1" s="1"/>
  <c r="F7" i="6"/>
  <c r="H7" i="6" s="1"/>
  <c r="E7" i="6"/>
  <c r="G6" i="6"/>
  <c r="E6" i="6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C23" i="1"/>
  <c r="J22" i="1"/>
  <c r="I22" i="1"/>
  <c r="H22" i="1"/>
  <c r="G22" i="1"/>
  <c r="J21" i="1"/>
  <c r="I21" i="1"/>
  <c r="H21" i="1"/>
  <c r="G21" i="1"/>
  <c r="C21" i="1"/>
  <c r="J20" i="1"/>
  <c r="I20" i="1"/>
  <c r="H20" i="1"/>
  <c r="G20" i="1"/>
  <c r="J19" i="1"/>
  <c r="I19" i="1"/>
  <c r="H19" i="1"/>
  <c r="G19" i="1"/>
  <c r="J18" i="1"/>
  <c r="I18" i="1"/>
  <c r="H18" i="1"/>
  <c r="G18" i="1"/>
  <c r="C18" i="1"/>
  <c r="J17" i="1"/>
  <c r="I17" i="1"/>
  <c r="H17" i="1"/>
  <c r="G17" i="1"/>
  <c r="B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B14" i="1"/>
  <c r="J13" i="1"/>
  <c r="I13" i="1"/>
  <c r="H13" i="1"/>
  <c r="G13" i="1"/>
  <c r="C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C9" i="1"/>
  <c r="B9" i="1"/>
  <c r="J8" i="1"/>
  <c r="I8" i="1"/>
  <c r="H8" i="1"/>
  <c r="G8" i="1"/>
  <c r="B8" i="1"/>
  <c r="F8" i="1" s="1"/>
  <c r="J7" i="1"/>
  <c r="I7" i="1"/>
  <c r="H7" i="1"/>
  <c r="G7" i="1"/>
  <c r="J6" i="1"/>
  <c r="I6" i="1"/>
  <c r="H6" i="1"/>
  <c r="G6" i="1"/>
  <c r="C6" i="1"/>
  <c r="J5" i="1"/>
  <c r="I5" i="1"/>
  <c r="I29" i="1" s="1"/>
  <c r="H5" i="1"/>
  <c r="G5" i="1"/>
  <c r="G29" i="1" s="1"/>
  <c r="H13" i="10" l="1"/>
  <c r="H7" i="10"/>
  <c r="H6" i="10"/>
  <c r="H18" i="10"/>
  <c r="H17" i="10"/>
  <c r="H19" i="10"/>
  <c r="H10" i="10"/>
  <c r="G29" i="10"/>
  <c r="C10" i="1" s="1"/>
  <c r="E54" i="10"/>
  <c r="E29" i="10"/>
  <c r="H37" i="15"/>
  <c r="F14" i="1"/>
  <c r="H37" i="14"/>
  <c r="H29" i="1"/>
  <c r="F37" i="8"/>
  <c r="B7" i="1" s="1"/>
  <c r="F7" i="1" s="1"/>
  <c r="H6" i="8"/>
  <c r="H37" i="8" s="1"/>
  <c r="F29" i="9"/>
  <c r="E37" i="13"/>
  <c r="E37" i="19"/>
  <c r="H7" i="20"/>
  <c r="E54" i="20"/>
  <c r="D7" i="26"/>
  <c r="D15" i="26"/>
  <c r="G29" i="18"/>
  <c r="C19" i="1" s="1"/>
  <c r="D6" i="26"/>
  <c r="H8" i="6"/>
  <c r="H11" i="6"/>
  <c r="G37" i="8"/>
  <c r="C7" i="1" s="1"/>
  <c r="E62" i="8"/>
  <c r="F6" i="13"/>
  <c r="E62" i="16"/>
  <c r="H6" i="17"/>
  <c r="H37" i="17" s="1"/>
  <c r="F29" i="18"/>
  <c r="F37" i="19"/>
  <c r="B16" i="1" s="1"/>
  <c r="F16" i="1" s="1"/>
  <c r="F29" i="22"/>
  <c r="D8" i="26"/>
  <c r="D16" i="26"/>
  <c r="E29" i="23"/>
  <c r="D9" i="26"/>
  <c r="D14" i="26"/>
  <c r="E54" i="4"/>
  <c r="H12" i="6"/>
  <c r="F29" i="10"/>
  <c r="E54" i="12"/>
  <c r="F37" i="14"/>
  <c r="B12" i="1" s="1"/>
  <c r="F12" i="1" s="1"/>
  <c r="F37" i="15"/>
  <c r="B13" i="1" s="1"/>
  <c r="F13" i="1" s="1"/>
  <c r="F29" i="23"/>
  <c r="D10" i="26"/>
  <c r="E29" i="11"/>
  <c r="H6" i="20"/>
  <c r="E29" i="21"/>
  <c r="F29" i="24"/>
  <c r="H6" i="24"/>
  <c r="D11" i="26"/>
  <c r="G29" i="22"/>
  <c r="C20" i="1" s="1"/>
  <c r="J29" i="1"/>
  <c r="E37" i="6"/>
  <c r="F6" i="6"/>
  <c r="F17" i="1"/>
  <c r="E54" i="3"/>
  <c r="H8" i="8"/>
  <c r="F29" i="11"/>
  <c r="F6" i="21"/>
  <c r="G29" i="24"/>
  <c r="C22" i="1" s="1"/>
  <c r="D4" i="26"/>
  <c r="D12" i="26"/>
  <c r="F9" i="1"/>
  <c r="H10" i="6"/>
  <c r="H13" i="6"/>
  <c r="H6" i="7"/>
  <c r="E37" i="8"/>
  <c r="E29" i="9"/>
  <c r="H6" i="16"/>
  <c r="H37" i="16" s="1"/>
  <c r="E37" i="17"/>
  <c r="D5" i="26"/>
  <c r="E54" i="24"/>
  <c r="D13" i="26"/>
  <c r="C29" i="1" l="1"/>
  <c r="D17" i="26"/>
  <c r="B19" i="1"/>
  <c r="F19" i="1" s="1"/>
  <c r="H29" i="18"/>
  <c r="H29" i="9"/>
  <c r="B6" i="1"/>
  <c r="F6" i="1" s="1"/>
  <c r="F29" i="21"/>
  <c r="H6" i="21"/>
  <c r="B21" i="1"/>
  <c r="F21" i="1" s="1"/>
  <c r="H29" i="23"/>
  <c r="B23" i="1"/>
  <c r="F23" i="1" s="1"/>
  <c r="H29" i="11"/>
  <c r="H6" i="13"/>
  <c r="H37" i="13" s="1"/>
  <c r="F37" i="13"/>
  <c r="B11" i="1" s="1"/>
  <c r="F11" i="1" s="1"/>
  <c r="C34" i="1"/>
  <c r="C37" i="1" s="1"/>
  <c r="H29" i="24"/>
  <c r="B22" i="1"/>
  <c r="F22" i="1" s="1"/>
  <c r="B10" i="1"/>
  <c r="F10" i="1" s="1"/>
  <c r="H29" i="10"/>
  <c r="B20" i="1"/>
  <c r="F20" i="1" s="1"/>
  <c r="H29" i="22"/>
  <c r="H6" i="6"/>
  <c r="H37" i="6" s="1"/>
  <c r="F37" i="6"/>
  <c r="B5" i="1" s="1"/>
  <c r="H29" i="21" l="1"/>
  <c r="B18" i="1"/>
  <c r="F18" i="1" s="1"/>
  <c r="F5" i="1"/>
  <c r="B29" i="1"/>
  <c r="C32" i="1" s="1"/>
  <c r="F29" i="1" l="1"/>
  <c r="C33" i="1" s="1"/>
  <c r="C36" i="1" s="1"/>
</calcChain>
</file>

<file path=xl/sharedStrings.xml><?xml version="1.0" encoding="utf-8"?>
<sst xmlns="http://schemas.openxmlformats.org/spreadsheetml/2006/main" count="1779" uniqueCount="86">
  <si>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</si>
  <si>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</si>
  <si>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</si>
  <si>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</si>
  <si>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</si>
  <si>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</si>
  <si>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</si>
  <si>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</si>
  <si>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</si>
  <si>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</si>
  <si>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</si>
  <si>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</si>
  <si>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</si>
  <si>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</si>
  <si>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</si>
  <si>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</si>
  <si>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</si>
  <si>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</si>
  <si>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</si>
  <si>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</si>
  <si>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</si>
  <si>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</si>
  <si>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</si>
  <si>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</si>
  <si>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</si>
  <si>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</si>
  <si>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</si>
  <si>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</si>
  <si>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</si>
  <si>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</si>
  <si>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</si>
  <si>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</si>
  <si>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</si>
  <si>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</si>
  <si>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</si>
  <si>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</si>
  <si>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</si>
  <si>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</si>
  <si>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</si>
  <si>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</si>
  <si>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</si>
  <si>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</si>
  <si>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</si>
  <si>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</si>
  <si>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</si>
  <si>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</si>
  <si>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</si>
  <si>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</si>
  <si>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</si>
  <si>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</si>
  <si>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</si>
  <si>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</si>
  <si>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</si>
  <si>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</si>
  <si>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</si>
  <si>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</si>
  <si>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</si>
  <si>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</si>
  <si>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</si>
  <si>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</si>
  <si>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</si>
  <si>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</si>
  <si>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</si>
  <si>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</si>
  <si>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</si>
  <si>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</si>
  <si>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</si>
  <si>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</si>
  <si>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</si>
  <si>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</si>
  <si>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</si>
  <si>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</si>
  <si>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</si>
  <si>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</si>
  <si>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</si>
  <si>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</si>
  <si>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</si>
  <si>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</si>
  <si>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</si>
  <si>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</si>
  <si>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</si>
  <si>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</si>
  <si>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</si>
  <si>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</si>
  <si>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</si>
  <si>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REPORTON 17APRIL2026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</si>
</sst>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8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  <font>
      <sz val="11"/>
      <name val="Calibri"/>
      <scheme val="minor"/>
    </font>
    <font>
      <sz val="11"/>
      <color rgb="FF000000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184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27" fillId="0" borderId="84" xfId="1" applyNumberFormat="1" applyFont="1" applyBorder="1" applyProtection="1">
      <protection locked="0"/>
    </xf>
    <xf numFmtId="164" fontId="27" fillId="0" borderId="85" xfId="1" applyNumberFormat="1" applyFont="1" applyBorder="1" applyProtection="1">
      <protection locked="0"/>
    </xf>
    <xf numFmtId="164" fontId="27" fillId="0" borderId="86" xfId="1" applyNumberFormat="1" applyFont="1" applyBorder="1" applyProtection="1">
      <protection locked="0"/>
    </xf>
    <xf numFmtId="164" fontId="27" fillId="0" borderId="87" xfId="1" applyNumberFormat="1" applyFont="1" applyBorder="1" applyProtection="1">
      <protection locked="0"/>
    </xf>
    <xf numFmtId="164" fontId="13" fillId="5" borderId="4" xfId="0" applyNumberFormat="1" applyFont="1" applyFill="1" applyBorder="1" applyAlignment="1">
      <alignment horizontal="center"/>
    </xf>
    <xf numFmtId="0" fontId="2" fillId="0" borderId="5" xfId="0" applyFont="1" applyBorder="1"/>
    <xf numFmtId="0" fontId="2" fillId="0" borderId="50" xfId="0" applyFont="1" applyBorder="1"/>
    <xf numFmtId="0" fontId="2" fillId="0" borderId="46" xfId="0" applyFont="1" applyBorder="1"/>
    <xf numFmtId="0" fontId="2" fillId="0" borderId="47" xfId="0" applyFont="1" applyBorder="1"/>
    <xf numFmtId="0" fontId="2" fillId="0" borderId="48" xfId="0" applyFont="1" applyBorder="1"/>
    <xf numFmtId="164" fontId="14" fillId="4" borderId="42" xfId="0" applyNumberFormat="1" applyFont="1" applyFill="1" applyBorder="1" applyAlignment="1">
      <alignment horizontal="center"/>
    </xf>
    <xf numFmtId="0" fontId="2" fillId="0" borderId="38" xfId="0" applyFont="1" applyBorder="1"/>
    <xf numFmtId="0" fontId="14" fillId="0" borderId="42" xfId="0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164" fontId="15" fillId="0" borderId="59" xfId="0" applyNumberFormat="1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2" fillId="5" borderId="39" xfId="0" applyNumberFormat="1" applyFont="1" applyFill="1" applyBorder="1" applyAlignment="1">
      <alignment horizontal="center"/>
    </xf>
    <xf numFmtId="0" fontId="2" fillId="0" borderId="40" xfId="0" applyFont="1" applyBorder="1"/>
    <xf numFmtId="0" fontId="2" fillId="0" borderId="41" xfId="0" applyFont="1" applyBorder="1"/>
    <xf numFmtId="164" fontId="16" fillId="4" borderId="42" xfId="0" applyNumberFormat="1" applyFont="1" applyFill="1" applyBorder="1" applyAlignment="1">
      <alignment horizontal="center"/>
    </xf>
    <xf numFmtId="0" fontId="2" fillId="0" borderId="37" xfId="0" applyFont="1" applyBorder="1"/>
    <xf numFmtId="0" fontId="14" fillId="0" borderId="39" xfId="0" applyFont="1" applyBorder="1" applyAlignment="1">
      <alignment horizontal="left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5" fillId="0" borderId="44" xfId="0" applyNumberFormat="1" applyFont="1" applyBorder="1" applyAlignment="1">
      <alignment horizontal="center"/>
    </xf>
    <xf numFmtId="0" fontId="0" fillId="0" borderId="0" xfId="0"/>
    <xf numFmtId="0" fontId="2" fillId="0" borderId="45" xfId="0" applyFont="1" applyBorder="1"/>
    <xf numFmtId="0" fontId="5" fillId="2" borderId="42" xfId="0" applyFont="1" applyFill="1" applyBorder="1" applyAlignment="1">
      <alignment horizontal="left"/>
    </xf>
    <xf numFmtId="164" fontId="3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4" xfId="0" applyFont="1" applyBorder="1"/>
    <xf numFmtId="164" fontId="10" fillId="0" borderId="39" xfId="0" applyNumberFormat="1" applyFont="1" applyBorder="1" applyAlignment="1">
      <alignment horizontal="left"/>
    </xf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46" t="s">
        <v>0</v>
      </c>
      <c r="B1" s="147"/>
      <c r="C1" s="147"/>
      <c r="D1" s="147"/>
      <c r="E1" s="147"/>
      <c r="F1" s="147"/>
      <c r="G1" s="147"/>
      <c r="H1" s="147"/>
      <c r="I1" s="147"/>
      <c r="J1" s="147"/>
      <c r="K1" s="148"/>
      <c r="L1" s="1"/>
      <c r="M1" s="1"/>
      <c r="N1" s="1"/>
      <c r="O1" s="1"/>
    </row>
    <row r="2" spans="1:15" ht="30.75" customHeight="1">
      <c r="A2" s="149" t="s">
        <v>1</v>
      </c>
      <c r="B2" s="107"/>
      <c r="C2" s="107"/>
      <c r="D2" s="107"/>
      <c r="E2" s="107"/>
      <c r="F2" s="107"/>
      <c r="G2" s="107"/>
      <c r="H2" s="107"/>
      <c r="I2" s="107"/>
      <c r="J2" s="107"/>
      <c r="K2" s="150"/>
      <c r="L2" s="1"/>
      <c r="M2" s="1"/>
      <c r="N2" s="1"/>
      <c r="O2" s="1"/>
    </row>
    <row r="3" spans="1:15" ht="15" customHeight="1">
      <c r="A3" s="151"/>
      <c r="B3" s="152"/>
      <c r="C3" s="152"/>
      <c r="D3" s="152"/>
      <c r="E3" s="152"/>
      <c r="F3" s="152"/>
      <c r="G3" s="152"/>
      <c r="H3" s="152"/>
      <c r="I3" s="152"/>
      <c r="J3" s="152"/>
      <c r="K3" s="153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1139904</v>
      </c>
      <c r="C10" s="18">
        <f>BUGESERA!G29</f>
        <v>104030</v>
      </c>
      <c r="D10" s="19"/>
      <c r="E10" s="18"/>
      <c r="F10" s="14">
        <f t="shared" si="0"/>
        <v>1243934</v>
      </c>
      <c r="G10" s="17">
        <f>BUGESERA!C33</f>
        <v>0</v>
      </c>
      <c r="H10" s="18">
        <f>BUGESERA!C31</f>
        <v>1243934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8807526</v>
      </c>
      <c r="C29" s="33">
        <f t="shared" si="1"/>
        <v>799730</v>
      </c>
      <c r="D29" s="34">
        <f t="shared" si="1"/>
        <v>0</v>
      </c>
      <c r="E29" s="33">
        <f t="shared" si="1"/>
        <v>0</v>
      </c>
      <c r="F29" s="33">
        <f t="shared" si="1"/>
        <v>9607256</v>
      </c>
      <c r="G29" s="34">
        <f t="shared" si="1"/>
        <v>0</v>
      </c>
      <c r="H29" s="34">
        <f t="shared" si="1"/>
        <v>9607256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62"/>
      <c r="B30" s="129"/>
      <c r="C30" s="129"/>
      <c r="D30" s="113"/>
      <c r="E30" s="158" t="s">
        <v>32</v>
      </c>
      <c r="F30" s="126"/>
      <c r="G30" s="126"/>
      <c r="H30" s="126"/>
      <c r="I30" s="127"/>
      <c r="J30" s="154"/>
      <c r="K30" s="127"/>
      <c r="L30" s="1"/>
      <c r="M30" s="1"/>
      <c r="N30" s="1"/>
      <c r="O30" s="1"/>
    </row>
    <row r="31" spans="1:15" ht="18" customHeight="1">
      <c r="A31" s="160" t="s">
        <v>33</v>
      </c>
      <c r="B31" s="129"/>
      <c r="C31" s="129"/>
      <c r="D31" s="161"/>
      <c r="E31" s="155"/>
      <c r="F31" s="137"/>
      <c r="G31" s="137"/>
      <c r="H31" s="137"/>
      <c r="I31" s="138"/>
      <c r="J31" s="155"/>
      <c r="K31" s="138"/>
      <c r="L31" s="1"/>
      <c r="M31" s="1"/>
      <c r="N31" s="1"/>
      <c r="O31" s="1"/>
    </row>
    <row r="32" spans="1:15" ht="18" customHeight="1">
      <c r="A32" s="144" t="s">
        <v>34</v>
      </c>
      <c r="B32" s="113"/>
      <c r="C32" s="159">
        <f>SUM(B29:C29)</f>
        <v>9607256</v>
      </c>
      <c r="D32" s="126"/>
      <c r="E32" s="155"/>
      <c r="F32" s="137"/>
      <c r="G32" s="137"/>
      <c r="H32" s="137"/>
      <c r="I32" s="138"/>
      <c r="J32" s="155"/>
      <c r="K32" s="138"/>
      <c r="L32" s="1"/>
      <c r="M32" s="1"/>
      <c r="N32" s="1"/>
      <c r="O32" s="1"/>
    </row>
    <row r="33" spans="1:15" ht="18" customHeight="1">
      <c r="A33" s="144" t="s">
        <v>35</v>
      </c>
      <c r="B33" s="113"/>
      <c r="C33" s="140">
        <f>SUM(F29,G29)</f>
        <v>9607256</v>
      </c>
      <c r="D33" s="129"/>
      <c r="E33" s="155"/>
      <c r="F33" s="137"/>
      <c r="G33" s="137"/>
      <c r="H33" s="137"/>
      <c r="I33" s="138"/>
      <c r="J33" s="155"/>
      <c r="K33" s="138"/>
      <c r="L33" s="1"/>
      <c r="M33" s="1"/>
      <c r="N33" s="1"/>
      <c r="O33" s="1"/>
    </row>
    <row r="34" spans="1:15" ht="18" customHeight="1">
      <c r="A34" s="144" t="s">
        <v>36</v>
      </c>
      <c r="B34" s="113"/>
      <c r="C34" s="140">
        <f>SUM(H29,J29,I29)</f>
        <v>9607256</v>
      </c>
      <c r="D34" s="113"/>
      <c r="E34" s="155"/>
      <c r="F34" s="137"/>
      <c r="G34" s="137"/>
      <c r="H34" s="137"/>
      <c r="I34" s="138"/>
      <c r="J34" s="155"/>
      <c r="K34" s="138"/>
      <c r="L34" s="1"/>
      <c r="M34" s="1"/>
      <c r="N34" s="1"/>
      <c r="O34" s="1"/>
    </row>
    <row r="35" spans="1:15" ht="18" customHeight="1">
      <c r="A35" s="144" t="s">
        <v>37</v>
      </c>
      <c r="B35" s="113"/>
      <c r="C35" s="140">
        <f>SUM(D29:E29)</f>
        <v>0</v>
      </c>
      <c r="D35" s="113"/>
      <c r="E35" s="109"/>
      <c r="F35" s="110"/>
      <c r="G35" s="110"/>
      <c r="H35" s="110"/>
      <c r="I35" s="111"/>
      <c r="J35" s="155"/>
      <c r="K35" s="138"/>
      <c r="L35" s="1"/>
      <c r="M35" s="1"/>
      <c r="N35" s="1"/>
      <c r="O35" s="1"/>
    </row>
    <row r="36" spans="1:15" ht="18" customHeight="1">
      <c r="A36" s="144" t="s">
        <v>38</v>
      </c>
      <c r="B36" s="113"/>
      <c r="C36" s="140">
        <f>SUM(C33,C35)</f>
        <v>9607256</v>
      </c>
      <c r="D36" s="113"/>
      <c r="E36" s="156" t="s">
        <v>39</v>
      </c>
      <c r="F36" s="126"/>
      <c r="G36" s="126"/>
      <c r="H36" s="126"/>
      <c r="I36" s="127"/>
      <c r="J36" s="155"/>
      <c r="K36" s="138"/>
      <c r="L36" s="1"/>
      <c r="M36" s="1"/>
      <c r="N36" s="1"/>
      <c r="O36" s="1"/>
    </row>
    <row r="37" spans="1:15" ht="18" customHeight="1">
      <c r="A37" s="145" t="s">
        <v>40</v>
      </c>
      <c r="B37" s="111"/>
      <c r="C37" s="140">
        <f>SUM(C34:C35)</f>
        <v>9607256</v>
      </c>
      <c r="D37" s="113"/>
      <c r="E37" s="109"/>
      <c r="F37" s="110"/>
      <c r="G37" s="110"/>
      <c r="H37" s="110"/>
      <c r="I37" s="111"/>
      <c r="J37" s="155"/>
      <c r="K37" s="138"/>
      <c r="L37" s="1"/>
      <c r="M37" s="1"/>
      <c r="N37" s="1"/>
      <c r="O37" s="1"/>
    </row>
    <row r="38" spans="1:15" ht="18" customHeight="1">
      <c r="A38" s="157" t="s">
        <v>41</v>
      </c>
      <c r="B38" s="129"/>
      <c r="C38" s="129"/>
      <c r="D38" s="129"/>
      <c r="E38" s="129"/>
      <c r="F38" s="129"/>
      <c r="G38" s="129"/>
      <c r="H38" s="129"/>
      <c r="I38" s="113"/>
      <c r="J38" s="109"/>
      <c r="K38" s="111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3:B33"/>
    <mergeCell ref="C36:D36"/>
    <mergeCell ref="C37:D37"/>
    <mergeCell ref="A34:B34"/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7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68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  <c r="I39" s="37"/>
      <c r="J39" s="37"/>
      <c r="K39" s="37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  <c r="I40" s="37"/>
      <c r="J40" s="37"/>
      <c r="K40" s="37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  <c r="I41" s="37"/>
      <c r="J41" s="37"/>
      <c r="K41" s="37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  <c r="I42" s="37"/>
      <c r="J42" s="37"/>
      <c r="K42" s="37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  <c r="I43" s="37"/>
      <c r="J43" s="37"/>
      <c r="K43" s="37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  <c r="I44" s="37"/>
      <c r="J44" s="37"/>
      <c r="K44" s="37"/>
    </row>
    <row r="45" spans="1:11" ht="14.25" customHeight="1">
      <c r="A45" s="114" t="s">
        <v>75</v>
      </c>
      <c r="B45" s="113"/>
      <c r="C45" s="94">
        <f>SUM(C39:C44)</f>
        <v>0</v>
      </c>
      <c r="D45" s="95"/>
      <c r="E45" s="121"/>
      <c r="F45" s="122"/>
      <c r="G45" s="96"/>
      <c r="H45" s="97"/>
      <c r="I45" s="37"/>
      <c r="J45" s="37"/>
      <c r="K45" s="3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  <c r="I46" s="37"/>
      <c r="J46" s="37"/>
      <c r="K46" s="3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  <c r="I47" s="37"/>
      <c r="J47" s="37"/>
      <c r="K47" s="37"/>
    </row>
    <row r="48" spans="1:11" ht="22.5" customHeight="1">
      <c r="A48" s="98"/>
      <c r="B48" s="164" t="s">
        <v>77</v>
      </c>
      <c r="C48" s="165"/>
      <c r="D48" s="166"/>
      <c r="E48" s="164" t="s">
        <v>78</v>
      </c>
      <c r="F48" s="165"/>
      <c r="G48" s="165"/>
      <c r="H48" s="166"/>
      <c r="I48" s="37"/>
      <c r="J48" s="37"/>
      <c r="K48" s="37"/>
    </row>
    <row r="49" spans="1:11" ht="21.7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  <c r="I49" s="37"/>
      <c r="J49" s="37"/>
      <c r="K49" s="37"/>
    </row>
    <row r="50" spans="1:11" ht="22.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  <c r="I50" s="37"/>
      <c r="J50" s="37"/>
      <c r="K50" s="37"/>
    </row>
    <row r="51" spans="1:11" ht="24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  <c r="I51" s="37"/>
      <c r="J51" s="37"/>
      <c r="K51" s="37"/>
    </row>
    <row r="52" spans="1:11" ht="21.7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  <c r="I52" s="37"/>
      <c r="J52" s="37"/>
      <c r="K52" s="37"/>
    </row>
    <row r="53" spans="1:11" ht="21.7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  <c r="I53" s="37"/>
      <c r="J53" s="37"/>
      <c r="K53" s="37"/>
    </row>
    <row r="54" spans="1:11" ht="21.7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  <c r="I54" s="37"/>
      <c r="J54" s="37"/>
      <c r="K54" s="37"/>
    </row>
    <row r="55" spans="1:11" ht="21.7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  <c r="I55" s="37"/>
      <c r="J55" s="37"/>
      <c r="K55" s="37"/>
    </row>
    <row r="56" spans="1:11" ht="21.7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  <c r="I56" s="37"/>
      <c r="J56" s="37"/>
      <c r="K56" s="37"/>
    </row>
    <row r="57" spans="1:11" ht="21.7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  <c r="I57" s="37"/>
      <c r="J57" s="37"/>
      <c r="K57" s="37"/>
    </row>
    <row r="58" spans="1:11" ht="24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  <c r="I58" s="37"/>
      <c r="J58" s="37"/>
      <c r="K58" s="37"/>
    </row>
    <row r="59" spans="1:11" ht="24.7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  <c r="I59" s="37"/>
      <c r="J59" s="37"/>
      <c r="K59" s="37"/>
    </row>
    <row r="60" spans="1:11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  <c r="I60" s="37"/>
      <c r="J60" s="37"/>
      <c r="K60" s="37"/>
    </row>
    <row r="61" spans="1:11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  <c r="I61" s="37"/>
      <c r="J61" s="37"/>
      <c r="K61" s="37"/>
    </row>
    <row r="62" spans="1:11" ht="14.25" customHeight="1">
      <c r="A62" s="37"/>
      <c r="B62" s="169" t="s">
        <v>82</v>
      </c>
      <c r="C62" s="129"/>
      <c r="D62" s="113"/>
      <c r="E62" s="170">
        <f>SUM(E49:H61)</f>
        <v>0</v>
      </c>
      <c r="F62" s="129"/>
      <c r="G62" s="129"/>
      <c r="H62" s="113"/>
      <c r="I62" s="37"/>
      <c r="J62" s="37"/>
      <c r="K62" s="37"/>
    </row>
    <row r="63" spans="1:11" ht="14.25" customHeight="1">
      <c r="A63" s="37"/>
      <c r="B63" s="139"/>
      <c r="C63" s="129"/>
      <c r="D63" s="113"/>
      <c r="E63" s="141"/>
      <c r="F63" s="129"/>
      <c r="G63" s="129"/>
      <c r="H63" s="11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45:B45"/>
    <mergeCell ref="A46:H47"/>
    <mergeCell ref="E45:F45"/>
    <mergeCell ref="E44:F44"/>
    <mergeCell ref="B48:D48"/>
    <mergeCell ref="E48:H48"/>
    <mergeCell ref="A44:B44"/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>
        <v>7670</v>
      </c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>
        <v>2124</v>
      </c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f>SUM(C31:C36)</f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83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>
        <v>15000</v>
      </c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>
        <v>9000</v>
      </c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15">
        <v>7670</v>
      </c>
      <c r="D8" s="116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15">
        <v>4130</v>
      </c>
      <c r="D9" s="116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15">
        <v>2124</v>
      </c>
      <c r="D10" s="116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15">
        <v>3540</v>
      </c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>
        <v>2006</v>
      </c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15">
        <v>1357</v>
      </c>
      <c r="D13" s="116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18" t="s">
        <v>69</v>
      </c>
      <c r="B39" s="111"/>
      <c r="C39" s="81">
        <v>8363322</v>
      </c>
      <c r="D39" s="82"/>
      <c r="E39" s="123"/>
      <c r="F39" s="124"/>
      <c r="G39" s="83"/>
      <c r="H39" s="84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11" ht="14.25" customHeight="1">
      <c r="A45" s="114" t="s">
        <v>75</v>
      </c>
      <c r="B45" s="113"/>
      <c r="C45" s="94">
        <f>SUM(C39:C44)</f>
        <v>8363322</v>
      </c>
      <c r="D45" s="95"/>
      <c r="E45" s="121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20252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250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6">
        <f>SUM(B13:B14)</f>
        <v>3782</v>
      </c>
      <c r="F51" s="137"/>
      <c r="G51" s="137"/>
      <c r="H51" s="138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B62" s="139" t="s">
        <v>82</v>
      </c>
      <c r="C62" s="129"/>
      <c r="D62" s="113"/>
      <c r="E62" s="171">
        <f>SUM(E49:H61)</f>
        <v>24284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"/>
  <sheetViews>
    <sheetView tabSelected="1" workbookViewId="0">
      <selection activeCell="I15" sqref="I15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85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102"/>
      <c r="C6" s="123">
        <v>7670</v>
      </c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>
        <v>4720</v>
      </c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105">
        <v>3081</v>
      </c>
      <c r="C10" s="115">
        <v>2124</v>
      </c>
      <c r="D10" s="116"/>
      <c r="E10" s="48">
        <f t="shared" si="0"/>
        <v>6544044</v>
      </c>
      <c r="F10" s="48">
        <f t="shared" si="1"/>
        <v>998244</v>
      </c>
      <c r="G10" s="48">
        <f t="shared" si="4"/>
        <v>92430</v>
      </c>
      <c r="H10" s="49">
        <f t="shared" si="3"/>
        <v>1090674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>
        <v>100</v>
      </c>
      <c r="C13" s="115">
        <v>1357</v>
      </c>
      <c r="D13" s="116"/>
      <c r="E13" s="48">
        <f t="shared" si="0"/>
        <v>135700</v>
      </c>
      <c r="F13" s="48">
        <f t="shared" si="1"/>
        <v>20700</v>
      </c>
      <c r="G13" s="48">
        <f t="shared" ref="G13:G14" si="5">PRODUCT(B13*20)</f>
        <v>2000</v>
      </c>
      <c r="H13" s="49">
        <f t="shared" si="3"/>
        <v>22700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9.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>
        <v>2006</v>
      </c>
      <c r="D17" s="56">
        <v>25</v>
      </c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84</v>
      </c>
      <c r="B18" s="60">
        <v>240</v>
      </c>
      <c r="C18" s="60">
        <v>3304</v>
      </c>
      <c r="D18" s="60">
        <v>40</v>
      </c>
      <c r="E18" s="61">
        <f t="shared" si="6"/>
        <v>792960</v>
      </c>
      <c r="F18" s="62">
        <f t="shared" si="7"/>
        <v>120960</v>
      </c>
      <c r="G18" s="62">
        <f t="shared" si="8"/>
        <v>9600</v>
      </c>
      <c r="H18" s="62">
        <f t="shared" si="9"/>
        <v>130560</v>
      </c>
    </row>
    <row r="19" spans="1:8" ht="14.25" customHeight="1">
      <c r="A19" s="63" t="s">
        <v>62</v>
      </c>
      <c r="B19" s="64"/>
      <c r="C19" s="64">
        <v>2360</v>
      </c>
      <c r="D19" s="64">
        <v>30</v>
      </c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7472704</v>
      </c>
      <c r="F29" s="74">
        <f t="shared" si="10"/>
        <v>1139904</v>
      </c>
      <c r="G29" s="75">
        <f t="shared" si="10"/>
        <v>104030</v>
      </c>
      <c r="H29" s="76">
        <f t="shared" si="9"/>
        <v>1243934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103">
        <v>1243934</v>
      </c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104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3081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100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240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3421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>
        <v>2124</v>
      </c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>
        <v>1357</v>
      </c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>
        <v>2124</v>
      </c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>
        <v>2124</v>
      </c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  <c r="I39" s="37"/>
      <c r="J39" s="37"/>
      <c r="K39" s="37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  <c r="I40" s="37"/>
      <c r="J40" s="37"/>
      <c r="K40" s="37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  <c r="I41" s="37"/>
      <c r="J41" s="37"/>
      <c r="K41" s="37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  <c r="I42" s="37"/>
      <c r="J42" s="37"/>
      <c r="K42" s="37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  <c r="I43" s="37"/>
      <c r="J43" s="37"/>
      <c r="K43" s="37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  <c r="I44" s="37"/>
      <c r="J44" s="37"/>
      <c r="K44" s="37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  <c r="I45" s="37"/>
      <c r="J45" s="37"/>
      <c r="K45" s="3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  <c r="I46" s="37"/>
      <c r="J46" s="37"/>
      <c r="K46" s="3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  <c r="I47" s="37"/>
      <c r="J47" s="37"/>
      <c r="K47" s="37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  <c r="I48" s="37"/>
      <c r="J48" s="37"/>
      <c r="K48" s="37"/>
    </row>
    <row r="49" spans="1:11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  <c r="I49" s="37"/>
      <c r="J49" s="37"/>
      <c r="K49" s="37"/>
    </row>
    <row r="50" spans="1:11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  <c r="I50" s="37"/>
      <c r="J50" s="37"/>
      <c r="K50" s="37"/>
    </row>
    <row r="51" spans="1:11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  <c r="I51" s="37"/>
      <c r="J51" s="37"/>
      <c r="K51" s="37"/>
    </row>
    <row r="52" spans="1:11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  <c r="I55" s="37"/>
      <c r="J55" s="37"/>
      <c r="K55" s="37"/>
    </row>
    <row r="56" spans="1:11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  <c r="I56" s="37"/>
      <c r="J56" s="37"/>
      <c r="K56" s="37"/>
    </row>
    <row r="57" spans="1:11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  <c r="I57" s="37"/>
      <c r="J57" s="37"/>
      <c r="K57" s="37"/>
    </row>
    <row r="58" spans="1:11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  <c r="I58" s="37"/>
      <c r="J58" s="37"/>
      <c r="K58" s="37"/>
    </row>
    <row r="59" spans="1:11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  <c r="I59" s="37"/>
      <c r="J59" s="37"/>
      <c r="K59" s="37"/>
    </row>
    <row r="60" spans="1:11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  <c r="I60" s="37"/>
      <c r="J60" s="37"/>
      <c r="K60" s="37"/>
    </row>
    <row r="61" spans="1:11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  <c r="I61" s="37"/>
      <c r="J61" s="37"/>
      <c r="K61" s="37"/>
    </row>
    <row r="62" spans="1:11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  <c r="I62" s="37"/>
      <c r="J62" s="37"/>
      <c r="K62" s="37"/>
    </row>
    <row r="63" spans="1:11" ht="14.25" customHeight="1">
      <c r="A63" s="37"/>
      <c r="B63" s="139"/>
      <c r="C63" s="129"/>
      <c r="D63" s="113"/>
      <c r="E63" s="141"/>
      <c r="F63" s="129"/>
      <c r="G63" s="129"/>
      <c r="H63" s="11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5">
        <v>1357</v>
      </c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72" t="s">
        <v>69</v>
      </c>
      <c r="B39" s="173"/>
      <c r="C39" s="81"/>
      <c r="D39" s="82"/>
      <c r="E39" s="177"/>
      <c r="F39" s="178"/>
      <c r="G39" s="83"/>
      <c r="H39" s="84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14" t="s">
        <v>72</v>
      </c>
      <c r="B42" s="113"/>
      <c r="C42" s="90"/>
      <c r="D42" s="74"/>
      <c r="E42" s="175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74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74"/>
      <c r="F44" s="116"/>
      <c r="G44" s="47"/>
      <c r="H44" s="88"/>
    </row>
    <row r="45" spans="1:11" ht="14.25" customHeight="1">
      <c r="A45" s="114" t="s">
        <v>75</v>
      </c>
      <c r="B45" s="113"/>
      <c r="C45" s="94">
        <v>0</v>
      </c>
      <c r="D45" s="95"/>
      <c r="E45" s="176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2">
        <f>SUM(B13:B14)</f>
        <v>0</v>
      </c>
      <c r="F51" s="129"/>
      <c r="G51" s="129"/>
      <c r="H51" s="113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8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</row>
    <row r="40" spans="1:8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8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8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8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8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8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</row>
    <row r="46" spans="1:8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8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8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  <c r="I39" s="37"/>
      <c r="J39" s="37"/>
      <c r="K39" s="37"/>
    </row>
    <row r="40" spans="1:11" ht="15" customHeight="1">
      <c r="A40" s="114" t="s">
        <v>70</v>
      </c>
      <c r="B40" s="113"/>
      <c r="C40" s="85"/>
      <c r="D40" s="86"/>
      <c r="E40" s="115"/>
      <c r="F40" s="116"/>
      <c r="G40" s="87"/>
      <c r="H40" s="88"/>
      <c r="I40" s="37"/>
      <c r="J40" s="37"/>
      <c r="K40" s="37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  <c r="I41" s="37"/>
      <c r="J41" s="37"/>
      <c r="K41" s="37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  <c r="I42" s="37"/>
      <c r="J42" s="37"/>
      <c r="K42" s="37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  <c r="I43" s="37"/>
      <c r="J43" s="37"/>
      <c r="K43" s="37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  <c r="I44" s="37"/>
      <c r="J44" s="37"/>
      <c r="K44" s="37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  <c r="I45" s="37"/>
      <c r="J45" s="37"/>
      <c r="K45" s="3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  <c r="I46" s="37"/>
      <c r="J46" s="37"/>
      <c r="K46" s="3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  <c r="I47" s="37"/>
      <c r="J47" s="37"/>
      <c r="K47" s="37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  <c r="I48" s="37"/>
      <c r="J48" s="37"/>
      <c r="K48" s="37"/>
    </row>
    <row r="49" spans="1:11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  <c r="I49" s="37"/>
      <c r="J49" s="37"/>
      <c r="K49" s="37"/>
    </row>
    <row r="50" spans="1:11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  <c r="I50" s="37"/>
      <c r="J50" s="37"/>
      <c r="K50" s="37"/>
    </row>
    <row r="51" spans="1:11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  <c r="I51" s="37"/>
      <c r="J51" s="37"/>
      <c r="K51" s="37"/>
    </row>
    <row r="52" spans="1:11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  <c r="I55" s="37"/>
      <c r="J55" s="37"/>
      <c r="K55" s="37"/>
    </row>
    <row r="56" spans="1:11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  <c r="I56" s="37"/>
      <c r="J56" s="37"/>
      <c r="K56" s="37"/>
    </row>
    <row r="57" spans="1:11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  <c r="I57" s="37"/>
      <c r="J57" s="37"/>
      <c r="K57" s="37"/>
    </row>
    <row r="58" spans="1:11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  <c r="I58" s="37"/>
      <c r="J58" s="37"/>
      <c r="K58" s="37"/>
    </row>
    <row r="59" spans="1:11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  <c r="I59" s="37"/>
      <c r="J59" s="37"/>
      <c r="K59" s="37"/>
    </row>
    <row r="60" spans="1:11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  <c r="I60" s="37"/>
      <c r="J60" s="37"/>
      <c r="K60" s="37"/>
    </row>
    <row r="61" spans="1:11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  <c r="I61" s="37"/>
      <c r="J61" s="37"/>
      <c r="K61" s="37"/>
    </row>
    <row r="62" spans="1:11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  <c r="I62" s="37"/>
      <c r="J62" s="37"/>
      <c r="K62" s="37"/>
    </row>
    <row r="63" spans="1:11" ht="14.25" customHeight="1">
      <c r="A63" s="37"/>
      <c r="B63" s="139"/>
      <c r="C63" s="129"/>
      <c r="D63" s="113"/>
      <c r="E63" s="141"/>
      <c r="F63" s="129"/>
      <c r="G63" s="129"/>
      <c r="H63" s="11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</row>
    <row r="40" spans="1:11" ht="1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SUM(B11:B14)</f>
        <v>0</v>
      </c>
      <c r="F49" s="129"/>
      <c r="G49" s="129"/>
      <c r="H49" s="113"/>
    </row>
    <row r="50" spans="1:8" ht="14.25" customHeight="1">
      <c r="A50" s="37"/>
      <c r="B50" s="131" t="s">
        <v>52</v>
      </c>
      <c r="C50" s="129"/>
      <c r="D50" s="113"/>
      <c r="E50" s="132">
        <f>SUM(B8:B10)</f>
        <v>0</v>
      </c>
      <c r="F50" s="129"/>
      <c r="G50" s="129"/>
      <c r="H50" s="113"/>
    </row>
    <row r="51" spans="1:8" ht="14.25" customHeight="1">
      <c r="A51" s="37"/>
      <c r="B51" s="131" t="s">
        <v>80</v>
      </c>
      <c r="C51" s="129"/>
      <c r="D51" s="113"/>
      <c r="E51" s="132">
        <f>SUM(B15:B16)</f>
        <v>0</v>
      </c>
      <c r="F51" s="129"/>
      <c r="G51" s="129"/>
      <c r="H51" s="113"/>
    </row>
    <row r="52" spans="1:8" ht="14.25" customHeight="1">
      <c r="A52" s="37"/>
      <c r="B52" s="139" t="s">
        <v>61</v>
      </c>
      <c r="C52" s="129"/>
      <c r="D52" s="113"/>
      <c r="E52" s="140">
        <f>SUM(B19:B20)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SUM(B29:B30)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0" si="7">B31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>B45</f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1:H2"/>
    <mergeCell ref="A3:H4"/>
    <mergeCell ref="C5:D5"/>
    <mergeCell ref="C6:D6"/>
    <mergeCell ref="C7:D7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8.7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8.7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B47:D47"/>
    <mergeCell ref="B48:D48"/>
    <mergeCell ref="B49:D49"/>
    <mergeCell ref="E49:H49"/>
    <mergeCell ref="E47:H47"/>
    <mergeCell ref="E48:H48"/>
    <mergeCell ref="B45:D45"/>
    <mergeCell ref="E45:H45"/>
    <mergeCell ref="B42:D42"/>
    <mergeCell ref="B43:D43"/>
    <mergeCell ref="E46:H46"/>
    <mergeCell ref="B46:D46"/>
    <mergeCell ref="E41:H41"/>
    <mergeCell ref="B41:D41"/>
    <mergeCell ref="E42:H42"/>
    <mergeCell ref="E43:H43"/>
    <mergeCell ref="B44:D44"/>
    <mergeCell ref="E44:H44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</row>
    <row r="40" spans="1:11" ht="1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A1:H2"/>
    <mergeCell ref="A3:H4"/>
    <mergeCell ref="C5:D5"/>
    <mergeCell ref="C6:D6"/>
    <mergeCell ref="C7:D7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43" t="s">
        <v>76</v>
      </c>
      <c r="B1" s="126"/>
      <c r="C1" s="126"/>
      <c r="D1" s="126"/>
      <c r="E1" s="126"/>
      <c r="F1" s="126"/>
      <c r="G1" s="127"/>
    </row>
    <row r="2" spans="1:7" ht="14.25" customHeight="1">
      <c r="A2" s="109"/>
      <c r="B2" s="110"/>
      <c r="C2" s="110"/>
      <c r="D2" s="110"/>
      <c r="E2" s="110"/>
      <c r="F2" s="110"/>
      <c r="G2" s="111"/>
    </row>
    <row r="3" spans="1:7" ht="14.25" customHeight="1">
      <c r="A3" s="181" t="s">
        <v>77</v>
      </c>
      <c r="B3" s="129"/>
      <c r="C3" s="113"/>
      <c r="D3" s="181" t="s">
        <v>78</v>
      </c>
      <c r="E3" s="129"/>
      <c r="F3" s="129"/>
      <c r="G3" s="113"/>
    </row>
    <row r="4" spans="1:7" ht="41.25" customHeight="1">
      <c r="A4" s="179" t="s">
        <v>79</v>
      </c>
      <c r="B4" s="129"/>
      <c r="C4" s="113"/>
      <c r="D4" s="180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23333</v>
      </c>
      <c r="E4" s="129"/>
      <c r="F4" s="129"/>
      <c r="G4" s="113"/>
    </row>
    <row r="5" spans="1:7" ht="36.75" customHeight="1">
      <c r="A5" s="179" t="s">
        <v>52</v>
      </c>
      <c r="B5" s="129"/>
      <c r="C5" s="113"/>
      <c r="D5" s="180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</v>
      </c>
      <c r="E5" s="129"/>
      <c r="F5" s="129"/>
      <c r="G5" s="113"/>
    </row>
    <row r="6" spans="1:7" ht="39.75" customHeight="1">
      <c r="A6" s="179" t="s">
        <v>56</v>
      </c>
      <c r="B6" s="129"/>
      <c r="C6" s="113"/>
      <c r="D6" s="180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3882</v>
      </c>
      <c r="E6" s="129"/>
      <c r="F6" s="129"/>
      <c r="G6" s="113"/>
    </row>
    <row r="7" spans="1:7" ht="38.25" customHeight="1">
      <c r="A7" s="182" t="s">
        <v>61</v>
      </c>
      <c r="B7" s="129"/>
      <c r="C7" s="113"/>
      <c r="D7" s="180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240</v>
      </c>
      <c r="E7" s="129"/>
      <c r="F7" s="129"/>
      <c r="G7" s="113"/>
    </row>
    <row r="8" spans="1:7" ht="39.75" customHeight="1">
      <c r="A8" s="182" t="s">
        <v>62</v>
      </c>
      <c r="B8" s="129"/>
      <c r="C8" s="113"/>
      <c r="D8" s="180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29"/>
      <c r="F8" s="129"/>
      <c r="G8" s="113"/>
    </row>
    <row r="9" spans="1:7" ht="38.25" customHeight="1">
      <c r="A9" s="182" t="s">
        <v>81</v>
      </c>
      <c r="B9" s="129"/>
      <c r="C9" s="113"/>
      <c r="D9" s="180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9"/>
      <c r="F9" s="129"/>
      <c r="G9" s="113"/>
    </row>
    <row r="10" spans="1:7" ht="37.5" customHeight="1">
      <c r="A10" s="182" t="s">
        <v>81</v>
      </c>
      <c r="B10" s="129"/>
      <c r="C10" s="113"/>
      <c r="D10" s="180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29"/>
      <c r="F10" s="129"/>
      <c r="G10" s="113"/>
    </row>
    <row r="11" spans="1:7" ht="38.25" customHeight="1">
      <c r="A11" s="182" t="s">
        <v>81</v>
      </c>
      <c r="B11" s="129"/>
      <c r="C11" s="113"/>
      <c r="D11" s="180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9"/>
      <c r="F11" s="129"/>
      <c r="G11" s="113"/>
    </row>
    <row r="12" spans="1:7" ht="36" customHeight="1">
      <c r="A12" s="182" t="s">
        <v>81</v>
      </c>
      <c r="B12" s="129"/>
      <c r="C12" s="113"/>
      <c r="D12" s="180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9"/>
      <c r="F12" s="129"/>
      <c r="G12" s="113"/>
    </row>
    <row r="13" spans="1:7" ht="37.5" customHeight="1">
      <c r="A13" s="182" t="s">
        <v>81</v>
      </c>
      <c r="B13" s="129"/>
      <c r="C13" s="113"/>
      <c r="D13" s="180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9"/>
      <c r="F13" s="129"/>
      <c r="G13" s="113"/>
    </row>
    <row r="14" spans="1:7" ht="14.25" customHeight="1">
      <c r="A14" s="182" t="s">
        <v>81</v>
      </c>
      <c r="B14" s="129"/>
      <c r="C14" s="113"/>
      <c r="D14" s="180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9"/>
      <c r="F14" s="129"/>
      <c r="G14" s="113"/>
    </row>
    <row r="15" spans="1:7" ht="14.25" customHeight="1">
      <c r="A15" s="182" t="s">
        <v>81</v>
      </c>
      <c r="B15" s="129"/>
      <c r="C15" s="113"/>
      <c r="D15" s="180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9"/>
      <c r="F15" s="129"/>
      <c r="G15" s="113"/>
    </row>
    <row r="16" spans="1:7" ht="14.25" customHeight="1">
      <c r="A16" s="182" t="s">
        <v>81</v>
      </c>
      <c r="B16" s="129"/>
      <c r="C16" s="113"/>
      <c r="D16" s="180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9"/>
      <c r="F16" s="129"/>
      <c r="G16" s="113"/>
    </row>
    <row r="17" spans="1:7" ht="14.25" customHeight="1">
      <c r="A17" s="182" t="s">
        <v>82</v>
      </c>
      <c r="B17" s="129"/>
      <c r="C17" s="113"/>
      <c r="D17" s="183">
        <f>SUM(D4:D16)</f>
        <v>27705</v>
      </c>
      <c r="E17" s="129"/>
      <c r="F17" s="129"/>
      <c r="G17" s="113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  <mergeCell ref="A6:C6"/>
    <mergeCell ref="D6:G6"/>
    <mergeCell ref="A7:C7"/>
    <mergeCell ref="D7:G7"/>
    <mergeCell ref="D8:G8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cp:lastPrinted>2026-04-02T17:41:50Z</cp:lastPrinted>
  <dcterms:created xsi:type="dcterms:W3CDTF">2023-12-29T10:10:15Z</dcterms:created>
  <dcterms:modified xsi:type="dcterms:W3CDTF">2026-04-17T19:12:04Z</dcterms:modified>
</cp:coreProperties>
</file>