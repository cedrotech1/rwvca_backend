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<sst xmlns="http://schemas.openxmlformats.org/spreadsheetml/2006/main" count="1779" uniqueCount="85">
  <si>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</si>
  <si>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</si>
  <si>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</si>
  <si>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</si>
  <si>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</si>
  <si>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</si>
  <si>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</si>
  <si>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</si>
  <si>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</si>
  <si>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</si>
  <si>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</si>
  <si>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</si>
  <si>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</si>
  <si>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</si>
  <si>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</si>
  <si>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</si>
  <si>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</si>
  <si>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</si>
  <si>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</si>
  <si>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</si>
  <si>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</si>
  <si>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</si>
  <si>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</si>
  <si>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</si>
  <si>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</si>
  <si>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</si>
  <si>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</si>
  <si>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</si>
  <si>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</si>
  <si>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</si>
  <si>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</si>
  <si>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</si>
  <si>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</si>
  <si>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</si>
  <si>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</si>
  <si>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</si>
  <si>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</si>
  <si>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</si>
  <si>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</si>
  <si>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</si>
  <si>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</si>
  <si>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</si>
  <si>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</si>
  <si>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</si>
  <si>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</si>
  <si>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</si>
  <si>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</si>
  <si>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</si>
  <si>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</si>
  <si>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</si>
  <si>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</si>
  <si>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</si>
  <si>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</si>
  <si>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</si>
  <si>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</si>
  <si>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</si>
  <si>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</si>
  <si>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</si>
  <si>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</si>
  <si>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</si>
  <si>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</si>
  <si>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</si>
  <si>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</si>
  <si>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</si>
  <si>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</si>
  <si>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</si>
  <si>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</si>
  <si>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</si>
  <si>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</si>
  <si>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</si>
  <si>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</si>
  <si>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</si>
  <si>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</si>
  <si>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</si>
  <si>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</si>
  <si>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</si>
  <si>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</si>
  <si>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</si>
  <si>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</si>
  <si>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</si>
  <si>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</si>
  <si>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</si>
  <si>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</si>
  <si>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</si>
  <si>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29\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</si>
</sst>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75856.271186440674</v>
      </c>
      <c r="C16" s="68">
        <f>KARONGI!G37</f>
        <v>14750</v>
      </c>
      <c r="D16" s="4"/>
      <c r="E16" s="3"/>
      <c r="F16" s="70">
        <f t="shared" si="0"/>
        <v>90606.271186440674</v>
      </c>
      <c r="G16" s="67">
        <f>KARONGI!C41</f>
        <v>0</v>
      </c>
      <c r="H16" s="68">
        <f>KARONGI!C39</f>
        <v>113752.03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7743478.2711864403</v>
      </c>
      <c r="C29" s="102">
        <f t="shared" si="1"/>
        <v>710450</v>
      </c>
      <c r="D29" s="103">
        <f t="shared" si="1"/>
        <v>0</v>
      </c>
      <c r="E29" s="102">
        <f t="shared" si="1"/>
        <v>0</v>
      </c>
      <c r="F29" s="102">
        <f>SUM(F5:F28)</f>
        <v>8453928.2711864412</v>
      </c>
      <c r="G29" s="103">
        <f>SUM(G5:G28)</f>
        <v>0</v>
      </c>
      <c r="H29" s="103">
        <f>SUM(H5:H28)</f>
        <v>8477074.0299999993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8453928.2711864412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8453928.2711864412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8477074.0299999993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8453928.2711864412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8477074.0299999993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B21" workbookViewId="0">
      <selection activeCell="G40" sqref="E40:G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205</v>
      </c>
      <c r="C7" s="182">
        <v>1416</v>
      </c>
      <c r="D7" s="183"/>
      <c r="E7" s="13">
        <f t="shared" si="0"/>
        <v>290280</v>
      </c>
      <c r="F7" s="13">
        <f t="shared" si="1"/>
        <v>44280</v>
      </c>
      <c r="G7" s="13">
        <f>PRODUCT(B7*50)</f>
        <v>10250</v>
      </c>
      <c r="H7" s="14">
        <f t="shared" si="2"/>
        <v>54530</v>
      </c>
    </row>
    <row r="8" spans="1:8">
      <c r="A8" s="43" t="s">
        <v>48</v>
      </c>
      <c r="B8" s="15">
        <v>90</v>
      </c>
      <c r="C8" s="166">
        <v>2300</v>
      </c>
      <c r="D8" s="167"/>
      <c r="E8" s="16">
        <f t="shared" si="0"/>
        <v>207000</v>
      </c>
      <c r="F8" s="16">
        <f t="shared" si="1"/>
        <v>31576.271186440677</v>
      </c>
      <c r="G8" s="16">
        <f>PRODUCT(B8*50)</f>
        <v>4500</v>
      </c>
      <c r="H8" s="17">
        <f t="shared" si="2"/>
        <v>36076.271186440674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>
        <v>80</v>
      </c>
      <c r="C23" s="18">
        <v>1700</v>
      </c>
      <c r="D23" s="18">
        <v>50</v>
      </c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497280</v>
      </c>
      <c r="F37" s="32">
        <f>SUM(F5:F36)</f>
        <v>75856.271186440674</v>
      </c>
      <c r="G37" s="32">
        <f t="shared" ref="G37:H37" si="3">SUM(G5:G36)</f>
        <v>14750</v>
      </c>
      <c r="H37" s="32">
        <f t="shared" si="3"/>
        <v>90606.271186440674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113752.03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295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295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545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24579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2026-06-29T19:31:19Z</dcterms:modified>
</cp:coreProperties>
</file>