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<sst xmlns="http://schemas.openxmlformats.org/spreadsheetml/2006/main" uniqueCount="93" count="93">
  <si>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</si>
  <si>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</si>
  <si>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</si>
  <si>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</si>
  <si>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</si>
  <si>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</si>
  <si>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</si>
  <si>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</si>
  <si>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</si>
  <si>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</si>
  <si>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</si>
  <si>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</si>
  <si>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</si>
  <si>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</si>
  <si>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</si>
  <si>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</si>
  <si>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</si>
  <si>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</si>
  <si>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</si>
  <si>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</si>
  <si>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</si>
  <si>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</si>
  <si>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</si>
  <si>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</si>
  <si>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</si>
  <si>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</si>
  <si>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</si>
  <si>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</si>
  <si>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</si>
  <si>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</si>
  <si>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</si>
  <si>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</si>
  <si>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</si>
  <si>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</si>
  <si>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</si>
  <si>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</si>
  <si>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</si>
  <si>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</si>
  <si>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</si>
  <si>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</si>
  <si>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</si>
  <si>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</si>
  <si>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</si>
  <si>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</si>
  <si>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</si>
  <si>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</si>
  <si>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</si>
  <si>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</si>
  <si>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</si>
  <si>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</si>
  <si>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</si>
  <si>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</si>
  <si>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</si>
  <si>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</si>
  <si>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</si>
  <si>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</si>
  <si>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</si>
  <si>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</si>
  <si>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</si>
  <si>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</si>
  <si>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</si>
  <si>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</si>
  <si>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</si>
  <si>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</si>
  <si>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</si>
  <si>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</si>
  <si>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</si>
  <si>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</si>
  <si>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</si>
  <si>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</si>
  <si>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</si>
  <si>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</si>
  <si>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</si>
  <si>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</si>
  <si>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</si>
  <si>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</si>
  <si>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</si>
  <si>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</si>
  <si>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</si>
  <si>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</si>
  <si>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</si>
  <si>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</si>
  <si>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</si>
  <si>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</si>
  <si>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</si>
  <si>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28 MAY 2026</t>
  </si>
  <si>
    <t>DAILY REPORT ON 29MAY 2026</t>
  </si>
  <si>
    <t>Cederera</t>
  </si>
  <si>
    <t>DAILY REPORT ON 30MAY 2026</t>
  </si>
  <si>
    <t>DAILY REPORT ON 31MAY 2026</t>
  </si>
  <si>
    <t>DAILY REPORT ON 01 JUNE 2026</t>
  </si>
  <si>
    <t>DAILY REPORT ON 02 JUNE 2026</t>
  </si>
  <si>
    <t>DAILY REPORT ON 03 JUNE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</si>
</sst>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BUGESERA!F28</f>
        <v>529560.0</v>
      </c>
      <c r="C10" s="27">
        <f>BUGESERA!G28</f>
        <v>46600.0</v>
      </c>
      <c r="D10" s="28"/>
      <c r="E10" s="27"/>
      <c r="F10" s="23">
        <f t="shared" si="0"/>
        <v>576160.0</v>
      </c>
      <c r="G10" s="26">
        <f>BUGESERA!C32</f>
        <v>0.0</v>
      </c>
      <c r="H10" s="27">
        <f>BUGESERA!C30</f>
        <v>576160.0</v>
      </c>
      <c r="I10" s="27">
        <f>BUGESERA!C33</f>
        <v>0.0</v>
      </c>
      <c r="J10" s="27">
        <f>BUGESERA!C31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8197182.0</v>
      </c>
      <c r="C29" s="42">
        <f t="shared" si="1"/>
        <v>742300.0</v>
      </c>
      <c r="D29" s="43">
        <f t="shared" si="1"/>
        <v>0.0</v>
      </c>
      <c r="E29" s="42">
        <f t="shared" si="1"/>
        <v>0.0</v>
      </c>
      <c r="F29" s="42">
        <f t="shared" si="1"/>
        <v>8939482.0</v>
      </c>
      <c r="G29" s="43">
        <f t="shared" si="1"/>
        <v>0.0</v>
      </c>
      <c r="H29" s="43">
        <f t="shared" si="1"/>
        <v>8939482.0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8939482.0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8939482.0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8939482.0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8939482.0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8939482.0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1:K1"/>
    <mergeCell ref="A2:K3"/>
    <mergeCell ref="J30:K38"/>
    <mergeCell ref="A38:I38"/>
    <mergeCell ref="A31:D31"/>
    <mergeCell ref="E30:I35"/>
    <mergeCell ref="A30:D30"/>
    <mergeCell ref="A37:B37"/>
    <mergeCell ref="E36:I37"/>
    <mergeCell ref="A32:B32"/>
    <mergeCell ref="C37:D37"/>
    <mergeCell ref="A34:B34"/>
    <mergeCell ref="C33:D33"/>
    <mergeCell ref="A33:B33"/>
    <mergeCell ref="C36:D36"/>
    <mergeCell ref="A35:B35"/>
    <mergeCell ref="A36:B36"/>
    <mergeCell ref="C34:D34"/>
    <mergeCell ref="C35:D35"/>
    <mergeCell ref="C32:D32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11:D11"/>
    <mergeCell ref="A32:B32"/>
    <mergeCell ref="B43:D43"/>
    <mergeCell ref="A1:H2"/>
    <mergeCell ref="A3:H4"/>
    <mergeCell ref="E54:H54"/>
    <mergeCell ref="A35:B35"/>
    <mergeCell ref="E31:F31"/>
    <mergeCell ref="C5:D5"/>
    <mergeCell ref="E45:H45"/>
    <mergeCell ref="B49:D49"/>
    <mergeCell ref="C7:D7"/>
    <mergeCell ref="E43:H43"/>
    <mergeCell ref="E35:F35"/>
    <mergeCell ref="E52:H52"/>
    <mergeCell ref="A38:H39"/>
    <mergeCell ref="E30:F30"/>
    <mergeCell ref="A36:B36"/>
    <mergeCell ref="E48:H48"/>
    <mergeCell ref="B54:D54"/>
    <mergeCell ref="E33:F33"/>
    <mergeCell ref="B42:D42"/>
    <mergeCell ref="B40:D40"/>
    <mergeCell ref="A15:H15"/>
    <mergeCell ref="C13:D13"/>
    <mergeCell ref="E46:H46"/>
    <mergeCell ref="B52:D52"/>
    <mergeCell ref="C8:D8"/>
    <mergeCell ref="E50:H50"/>
    <mergeCell ref="A34:B34"/>
    <mergeCell ref="E36:F36"/>
    <mergeCell ref="E41:H41"/>
    <mergeCell ref="E42:H42"/>
    <mergeCell ref="B48:D48"/>
    <mergeCell ref="A31:B31"/>
    <mergeCell ref="E44:H44"/>
    <mergeCell ref="B50:D50"/>
    <mergeCell ref="A30:B30"/>
    <mergeCell ref="B51:D51"/>
    <mergeCell ref="E34:F34"/>
    <mergeCell ref="B45:D45"/>
    <mergeCell ref="B41:D41"/>
    <mergeCell ref="A37:B37"/>
    <mergeCell ref="B55:D55"/>
    <mergeCell ref="E51:H51"/>
    <mergeCell ref="C6:D6"/>
    <mergeCell ref="B44:D44"/>
    <mergeCell ref="E55:H55"/>
    <mergeCell ref="C14:D14"/>
    <mergeCell ref="B47:D47"/>
    <mergeCell ref="E49:H49"/>
    <mergeCell ref="C12:D12"/>
    <mergeCell ref="E53:H53"/>
    <mergeCell ref="B46:D46"/>
    <mergeCell ref="E40:H40"/>
    <mergeCell ref="E37:F37"/>
    <mergeCell ref="C10:D10"/>
    <mergeCell ref="C9:D9"/>
    <mergeCell ref="A33:B33"/>
    <mergeCell ref="E47:H47"/>
    <mergeCell ref="B53:D53"/>
    <mergeCell ref="E32:F32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11:D11"/>
    <mergeCell ref="A32:B32"/>
    <mergeCell ref="B43:D43"/>
    <mergeCell ref="A1:H2"/>
    <mergeCell ref="A3:H4"/>
    <mergeCell ref="E54:H54"/>
    <mergeCell ref="A35:B35"/>
    <mergeCell ref="E31:F31"/>
    <mergeCell ref="C5:D5"/>
    <mergeCell ref="E45:H45"/>
    <mergeCell ref="B49:D49"/>
    <mergeCell ref="C7:D7"/>
    <mergeCell ref="E43:H43"/>
    <mergeCell ref="E35:F35"/>
    <mergeCell ref="E52:H52"/>
    <mergeCell ref="A38:H39"/>
    <mergeCell ref="E30:F30"/>
    <mergeCell ref="A36:B36"/>
    <mergeCell ref="E48:H48"/>
    <mergeCell ref="B54:D54"/>
    <mergeCell ref="E33:F33"/>
    <mergeCell ref="B42:D42"/>
    <mergeCell ref="B40:D40"/>
    <mergeCell ref="A15:H15"/>
    <mergeCell ref="C13:D13"/>
    <mergeCell ref="E46:H46"/>
    <mergeCell ref="B52:D52"/>
    <mergeCell ref="C8:D8"/>
    <mergeCell ref="E50:H50"/>
    <mergeCell ref="A34:B34"/>
    <mergeCell ref="E36:F36"/>
    <mergeCell ref="E41:H41"/>
    <mergeCell ref="E42:H42"/>
    <mergeCell ref="B48:D48"/>
    <mergeCell ref="A31:B31"/>
    <mergeCell ref="E44:H44"/>
    <mergeCell ref="B50:D50"/>
    <mergeCell ref="A30:B30"/>
    <mergeCell ref="B51:D51"/>
    <mergeCell ref="E34:F34"/>
    <mergeCell ref="B45:D45"/>
    <mergeCell ref="B41:D41"/>
    <mergeCell ref="A37:B37"/>
    <mergeCell ref="B55:D55"/>
    <mergeCell ref="E51:H51"/>
    <mergeCell ref="C6:D6"/>
    <mergeCell ref="B44:D44"/>
    <mergeCell ref="E55:H55"/>
    <mergeCell ref="C14:D14"/>
    <mergeCell ref="B47:D47"/>
    <mergeCell ref="E49:H49"/>
    <mergeCell ref="C12:D12"/>
    <mergeCell ref="E53:H53"/>
    <mergeCell ref="B46:D46"/>
    <mergeCell ref="E40:H40"/>
    <mergeCell ref="E37:F37"/>
    <mergeCell ref="C10:D10"/>
    <mergeCell ref="C9:D9"/>
    <mergeCell ref="A33:B33"/>
    <mergeCell ref="E47:H47"/>
    <mergeCell ref="B53:D53"/>
    <mergeCell ref="E32:F32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11:D11"/>
    <mergeCell ref="A32:B32"/>
    <mergeCell ref="B43:D43"/>
    <mergeCell ref="A1:H2"/>
    <mergeCell ref="A3:H4"/>
    <mergeCell ref="E54:H54"/>
    <mergeCell ref="A35:B35"/>
    <mergeCell ref="E31:F31"/>
    <mergeCell ref="C5:D5"/>
    <mergeCell ref="E45:H45"/>
    <mergeCell ref="B49:D49"/>
    <mergeCell ref="C7:D7"/>
    <mergeCell ref="E43:H43"/>
    <mergeCell ref="E35:F35"/>
    <mergeCell ref="E52:H52"/>
    <mergeCell ref="A38:H39"/>
    <mergeCell ref="E30:F30"/>
    <mergeCell ref="A36:B36"/>
    <mergeCell ref="E48:H48"/>
    <mergeCell ref="B54:D54"/>
    <mergeCell ref="E33:F33"/>
    <mergeCell ref="B42:D42"/>
    <mergeCell ref="B40:D40"/>
    <mergeCell ref="A15:H15"/>
    <mergeCell ref="C13:D13"/>
    <mergeCell ref="E46:H46"/>
    <mergeCell ref="B52:D52"/>
    <mergeCell ref="C8:D8"/>
    <mergeCell ref="E50:H50"/>
    <mergeCell ref="A34:B34"/>
    <mergeCell ref="E36:F36"/>
    <mergeCell ref="E41:H41"/>
    <mergeCell ref="E42:H42"/>
    <mergeCell ref="B48:D48"/>
    <mergeCell ref="A31:B31"/>
    <mergeCell ref="E44:H44"/>
    <mergeCell ref="B50:D50"/>
    <mergeCell ref="A30:B30"/>
    <mergeCell ref="B51:D51"/>
    <mergeCell ref="E34:F34"/>
    <mergeCell ref="B45:D45"/>
    <mergeCell ref="B41:D41"/>
    <mergeCell ref="A37:B37"/>
    <mergeCell ref="B55:D55"/>
    <mergeCell ref="E51:H51"/>
    <mergeCell ref="C6:D6"/>
    <mergeCell ref="B44:D44"/>
    <mergeCell ref="E55:H55"/>
    <mergeCell ref="C14:D14"/>
    <mergeCell ref="B47:D47"/>
    <mergeCell ref="E49:H49"/>
    <mergeCell ref="C12:D12"/>
    <mergeCell ref="E53:H53"/>
    <mergeCell ref="B46:D46"/>
    <mergeCell ref="E40:H40"/>
    <mergeCell ref="E37:F37"/>
    <mergeCell ref="C10:D10"/>
    <mergeCell ref="C9:D9"/>
    <mergeCell ref="A33:B33"/>
    <mergeCell ref="E47:H47"/>
    <mergeCell ref="B53:D53"/>
    <mergeCell ref="E32:F32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11:D11"/>
    <mergeCell ref="A32:B32"/>
    <mergeCell ref="B43:D43"/>
    <mergeCell ref="A1:H2"/>
    <mergeCell ref="A3:H4"/>
    <mergeCell ref="E54:H54"/>
    <mergeCell ref="A35:B35"/>
    <mergeCell ref="E31:F31"/>
    <mergeCell ref="C5:D5"/>
    <mergeCell ref="E45:H45"/>
    <mergeCell ref="B49:D49"/>
    <mergeCell ref="C7:D7"/>
    <mergeCell ref="E43:H43"/>
    <mergeCell ref="E35:F35"/>
    <mergeCell ref="E52:H52"/>
    <mergeCell ref="A38:H39"/>
    <mergeCell ref="E30:F30"/>
    <mergeCell ref="A36:B36"/>
    <mergeCell ref="E48:H48"/>
    <mergeCell ref="B54:D54"/>
    <mergeCell ref="E33:F33"/>
    <mergeCell ref="B42:D42"/>
    <mergeCell ref="B40:D40"/>
    <mergeCell ref="A15:H15"/>
    <mergeCell ref="C13:D13"/>
    <mergeCell ref="E46:H46"/>
    <mergeCell ref="B52:D52"/>
    <mergeCell ref="C8:D8"/>
    <mergeCell ref="E50:H50"/>
    <mergeCell ref="A34:B34"/>
    <mergeCell ref="E36:F36"/>
    <mergeCell ref="E41:H41"/>
    <mergeCell ref="E42:H42"/>
    <mergeCell ref="B48:D48"/>
    <mergeCell ref="A31:B31"/>
    <mergeCell ref="E44:H44"/>
    <mergeCell ref="B50:D50"/>
    <mergeCell ref="A30:B30"/>
    <mergeCell ref="B51:D51"/>
    <mergeCell ref="E34:F34"/>
    <mergeCell ref="B45:D45"/>
    <mergeCell ref="B41:D41"/>
    <mergeCell ref="A37:B37"/>
    <mergeCell ref="B55:D55"/>
    <mergeCell ref="E51:H51"/>
    <mergeCell ref="C6:D6"/>
    <mergeCell ref="B44:D44"/>
    <mergeCell ref="E55:H55"/>
    <mergeCell ref="C14:D14"/>
    <mergeCell ref="B47:D47"/>
    <mergeCell ref="E49:H49"/>
    <mergeCell ref="C12:D12"/>
    <mergeCell ref="E53:H53"/>
    <mergeCell ref="B46:D46"/>
    <mergeCell ref="E40:H40"/>
    <mergeCell ref="E37:F37"/>
    <mergeCell ref="C10:D10"/>
    <mergeCell ref="C9:D9"/>
    <mergeCell ref="A33:B33"/>
    <mergeCell ref="E47:H47"/>
    <mergeCell ref="B53:D53"/>
    <mergeCell ref="E32:F32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1:B41"/>
    <mergeCell ref="E56:H56"/>
    <mergeCell ref="B59:D59"/>
    <mergeCell ref="B60:D60"/>
    <mergeCell ref="E61:H61"/>
    <mergeCell ref="B63:D63"/>
    <mergeCell ref="A3:H4"/>
    <mergeCell ref="B58:D58"/>
    <mergeCell ref="C6:D6"/>
    <mergeCell ref="B53:D53"/>
    <mergeCell ref="B51:D51"/>
    <mergeCell ref="A39:B39"/>
    <mergeCell ref="C8:D8"/>
    <mergeCell ref="B62:D62"/>
    <mergeCell ref="E43:F43"/>
    <mergeCell ref="A40:B40"/>
    <mergeCell ref="E48:H48"/>
    <mergeCell ref="E62:H62"/>
    <mergeCell ref="E63:H63"/>
    <mergeCell ref="A1:H2"/>
    <mergeCell ref="A43:B43"/>
    <mergeCell ref="B54:D54"/>
    <mergeCell ref="C7:D7"/>
    <mergeCell ref="B52:D52"/>
    <mergeCell ref="E41:F41"/>
    <mergeCell ref="C10:D10"/>
    <mergeCell ref="C5:D5"/>
    <mergeCell ref="C11:D11"/>
    <mergeCell ref="E60:H60"/>
    <mergeCell ref="A42:B42"/>
    <mergeCell ref="E39:F39"/>
    <mergeCell ref="B61:D61"/>
    <mergeCell ref="C9:D9"/>
    <mergeCell ref="E58:H58"/>
    <mergeCell ref="E54:H54"/>
    <mergeCell ref="C12:D12"/>
    <mergeCell ref="C14:D14"/>
    <mergeCell ref="C13:D13"/>
    <mergeCell ref="A44:B44"/>
    <mergeCell ref="E53:H53"/>
    <mergeCell ref="B56:D56"/>
    <mergeCell ref="E40:F40"/>
    <mergeCell ref="A46:H47"/>
    <mergeCell ref="A38:B38"/>
    <mergeCell ref="E55:H55"/>
    <mergeCell ref="E51:H51"/>
    <mergeCell ref="A45:B45"/>
    <mergeCell ref="B55:D55"/>
    <mergeCell ref="E42:F42"/>
    <mergeCell ref="E57:H57"/>
    <mergeCell ref="B50:D50"/>
    <mergeCell ref="E38:F38"/>
    <mergeCell ref="A15:H15"/>
    <mergeCell ref="E45:F45"/>
    <mergeCell ref="B57:D57"/>
    <mergeCell ref="E49:H49"/>
    <mergeCell ref="E59:H59"/>
    <mergeCell ref="E52:H52"/>
    <mergeCell ref="E50:H50"/>
    <mergeCell ref="B49:D49"/>
    <mergeCell ref="B48:D48"/>
    <mergeCell ref="E44:F44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C5:D5"/>
    <mergeCell ref="A15:H15"/>
    <mergeCell ref="A1:H2"/>
    <mergeCell ref="E36:F36"/>
    <mergeCell ref="B41:D41"/>
    <mergeCell ref="E37:F37"/>
    <mergeCell ref="C14:D14"/>
    <mergeCell ref="B55:D55"/>
    <mergeCell ref="E42:H42"/>
    <mergeCell ref="E35:F35"/>
    <mergeCell ref="C9:D9"/>
    <mergeCell ref="E43:H43"/>
    <mergeCell ref="B46:D46"/>
    <mergeCell ref="B42:D42"/>
    <mergeCell ref="C6:D6"/>
    <mergeCell ref="C10:D10"/>
    <mergeCell ref="E53:H53"/>
    <mergeCell ref="A35:B35"/>
    <mergeCell ref="E32:F32"/>
    <mergeCell ref="B52:D52"/>
    <mergeCell ref="B51:D51"/>
    <mergeCell ref="E54:H54"/>
    <mergeCell ref="A36:B36"/>
    <mergeCell ref="E31:F31"/>
    <mergeCell ref="B54:D54"/>
    <mergeCell ref="E50:H50"/>
    <mergeCell ref="A32:B32"/>
    <mergeCell ref="E30:F30"/>
    <mergeCell ref="A30:B30"/>
    <mergeCell ref="E47:H47"/>
    <mergeCell ref="E49:H49"/>
    <mergeCell ref="A37:B37"/>
    <mergeCell ref="E34:F34"/>
    <mergeCell ref="E41:H41"/>
    <mergeCell ref="A38:H39"/>
    <mergeCell ref="B47:D47"/>
    <mergeCell ref="E45:H45"/>
    <mergeCell ref="E51:H51"/>
    <mergeCell ref="A33:B33"/>
    <mergeCell ref="E33:F33"/>
    <mergeCell ref="E40:H40"/>
    <mergeCell ref="B43:D43"/>
    <mergeCell ref="A34:B34"/>
    <mergeCell ref="C7:D7"/>
    <mergeCell ref="E44:H44"/>
    <mergeCell ref="B53:D53"/>
    <mergeCell ref="A31:B31"/>
    <mergeCell ref="E48:H48"/>
    <mergeCell ref="B50:D50"/>
    <mergeCell ref="B40:D40"/>
    <mergeCell ref="E52:H52"/>
    <mergeCell ref="C12:D12"/>
    <mergeCell ref="E46:H46"/>
    <mergeCell ref="C11:D11"/>
    <mergeCell ref="B45:D45"/>
    <mergeCell ref="B44:D44"/>
    <mergeCell ref="B49:D49"/>
    <mergeCell ref="C13:D13"/>
    <mergeCell ref="E55:H55"/>
    <mergeCell ref="C8:D8"/>
    <mergeCell ref="B48:D4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E50:H50"/>
    <mergeCell ref="A1:H2"/>
    <mergeCell ref="C6:D6"/>
    <mergeCell ref="C7:D7"/>
    <mergeCell ref="C10:D10"/>
    <mergeCell ref="A3:H4"/>
    <mergeCell ref="B60:D60"/>
    <mergeCell ref="E49:H49"/>
    <mergeCell ref="A42:B42"/>
    <mergeCell ref="A39:B39"/>
    <mergeCell ref="B62:D62"/>
    <mergeCell ref="E48:H48"/>
    <mergeCell ref="B55:D55"/>
    <mergeCell ref="E41:F41"/>
    <mergeCell ref="C12:D12"/>
    <mergeCell ref="E58:H58"/>
    <mergeCell ref="C5:D5"/>
    <mergeCell ref="C11:D11"/>
    <mergeCell ref="E61:H61"/>
    <mergeCell ref="A43:B43"/>
    <mergeCell ref="E62:H62"/>
    <mergeCell ref="B61:D61"/>
    <mergeCell ref="E59:H59"/>
    <mergeCell ref="E42:F42"/>
    <mergeCell ref="B52:D52"/>
    <mergeCell ref="E43:F43"/>
    <mergeCell ref="E51:H51"/>
    <mergeCell ref="E45:F45"/>
    <mergeCell ref="E56:H56"/>
    <mergeCell ref="E63:H63"/>
    <mergeCell ref="A46:H47"/>
    <mergeCell ref="B57:D57"/>
    <mergeCell ref="C13:D13"/>
    <mergeCell ref="E55:H55"/>
    <mergeCell ref="B58:D58"/>
    <mergeCell ref="C14:D14"/>
    <mergeCell ref="C8:D8"/>
    <mergeCell ref="A40:B40"/>
    <mergeCell ref="E57:H57"/>
    <mergeCell ref="B63:D63"/>
    <mergeCell ref="B59:D59"/>
    <mergeCell ref="E52:H52"/>
    <mergeCell ref="B48:D48"/>
    <mergeCell ref="B51:D51"/>
    <mergeCell ref="B49:D49"/>
    <mergeCell ref="B50:D50"/>
    <mergeCell ref="B56:D56"/>
    <mergeCell ref="E60:H60"/>
    <mergeCell ref="E40:F40"/>
    <mergeCell ref="B53:D53"/>
    <mergeCell ref="E54:H54"/>
    <mergeCell ref="A45:B45"/>
    <mergeCell ref="E39:F39"/>
    <mergeCell ref="A44:B44"/>
    <mergeCell ref="E44:F44"/>
    <mergeCell ref="A41:B41"/>
    <mergeCell ref="A38:B38"/>
    <mergeCell ref="E53:H53"/>
    <mergeCell ref="B54:D54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40:D40"/>
    <mergeCell ref="E48:H48"/>
    <mergeCell ref="E35:F35"/>
    <mergeCell ref="E44:H44"/>
    <mergeCell ref="E37:F37"/>
    <mergeCell ref="B46:D46"/>
    <mergeCell ref="A1:H2"/>
    <mergeCell ref="C14:D14"/>
    <mergeCell ref="A34:B34"/>
    <mergeCell ref="E46:H46"/>
    <mergeCell ref="B50:D50"/>
    <mergeCell ref="E54:H54"/>
    <mergeCell ref="A3:H4"/>
    <mergeCell ref="C13:D13"/>
    <mergeCell ref="C9:D9"/>
    <mergeCell ref="C8:D8"/>
    <mergeCell ref="C11:D11"/>
    <mergeCell ref="A37:B37"/>
    <mergeCell ref="E49:H49"/>
    <mergeCell ref="B51:D51"/>
    <mergeCell ref="E55:H55"/>
    <mergeCell ref="A38:H39"/>
    <mergeCell ref="E32:F32"/>
    <mergeCell ref="A15:H15"/>
    <mergeCell ref="C5:D5"/>
    <mergeCell ref="C7:D7"/>
    <mergeCell ref="C10:D10"/>
    <mergeCell ref="C12:D12"/>
    <mergeCell ref="E36:F36"/>
    <mergeCell ref="E51:H51"/>
    <mergeCell ref="B47:D47"/>
    <mergeCell ref="A33:B33"/>
    <mergeCell ref="E47:H47"/>
    <mergeCell ref="B52:D52"/>
    <mergeCell ref="A30:B30"/>
    <mergeCell ref="E41:H41"/>
    <mergeCell ref="B54:D54"/>
    <mergeCell ref="B53:D53"/>
    <mergeCell ref="E42:H42"/>
    <mergeCell ref="B44:D44"/>
    <mergeCell ref="B45:D45"/>
    <mergeCell ref="E43:H43"/>
    <mergeCell ref="B43:D43"/>
    <mergeCell ref="E52:H52"/>
    <mergeCell ref="B55:D55"/>
    <mergeCell ref="A31:B31"/>
    <mergeCell ref="E45:H45"/>
    <mergeCell ref="B49:D49"/>
    <mergeCell ref="E53:H53"/>
    <mergeCell ref="B41:D41"/>
    <mergeCell ref="E30:F30"/>
    <mergeCell ref="A36:B36"/>
    <mergeCell ref="E40:H40"/>
    <mergeCell ref="B48:D48"/>
    <mergeCell ref="E34:F34"/>
    <mergeCell ref="E31:F31"/>
    <mergeCell ref="A32:B32"/>
    <mergeCell ref="A35:B35"/>
    <mergeCell ref="E33:F33"/>
    <mergeCell ref="E50:H50"/>
    <mergeCell ref="B42:D42"/>
    <mergeCell ref="C6:D6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O99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92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3">PRODUCT(B6*C6)</f>
        <v>0.0</v>
      </c>
      <c r="F6" s="80">
        <f t="shared" si="1" ref="F6:F13">PRODUCT(E6*18)/118</f>
        <v>0.0</v>
      </c>
      <c r="G6" s="80">
        <f t="shared" si="2" ref="G6:G8">PRODUCT(B6*50)</f>
        <v>0.0</v>
      </c>
      <c r="H6" s="81">
        <f t="shared" si="3" ref="H6:H13">SUM(F6:G6)</f>
        <v>0.0</v>
      </c>
    </row>
    <row r="7" spans="8:8" ht="14.25" customHeight="1">
      <c r="A7" s="76" t="s">
        <v>51</v>
      </c>
      <c r="B7" s="77">
        <v>150.0</v>
      </c>
      <c r="C7" s="78">
        <v>4720.0</v>
      </c>
      <c r="D7" s="79"/>
      <c r="E7" s="80">
        <f t="shared" si="0"/>
        <v>708000.0</v>
      </c>
      <c r="F7" s="80">
        <f t="shared" si="1"/>
        <v>108000.0</v>
      </c>
      <c r="G7" s="80">
        <f t="shared" si="2"/>
        <v>7500.0</v>
      </c>
      <c r="H7" s="81">
        <f t="shared" si="3"/>
        <v>115500.0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1250.0</v>
      </c>
      <c r="C10" s="84">
        <v>2124.0</v>
      </c>
      <c r="D10" s="85"/>
      <c r="E10" s="86">
        <f t="shared" si="0"/>
        <v>2655000.0</v>
      </c>
      <c r="F10" s="86">
        <f t="shared" si="1"/>
        <v>405000.0</v>
      </c>
      <c r="G10" s="86">
        <f t="shared" si="4"/>
        <v>37500.0</v>
      </c>
      <c r="H10" s="87">
        <f t="shared" si="3"/>
        <v>442500.0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80.0</v>
      </c>
      <c r="C13" s="84">
        <v>1357.0</v>
      </c>
      <c r="D13" s="85"/>
      <c r="E13" s="86">
        <f t="shared" si="0"/>
        <v>108560.0</v>
      </c>
      <c r="F13" s="86">
        <f t="shared" si="1"/>
        <v>16560.0</v>
      </c>
      <c r="G13" s="86">
        <f t="shared" si="5" ref="G13">PRODUCT(B13*20)</f>
        <v>1600.0</v>
      </c>
      <c r="H13" s="87">
        <f t="shared" si="3"/>
        <v>18160.0</v>
      </c>
    </row>
    <row r="14" spans="8:8" ht="19.5" customHeight="1">
      <c r="A14" s="89" t="s">
        <v>57</v>
      </c>
      <c r="B14" s="47"/>
      <c r="C14" s="47"/>
      <c r="D14" s="47"/>
      <c r="E14" s="47"/>
      <c r="F14" s="47"/>
      <c r="G14" s="47"/>
      <c r="H14" s="48"/>
    </row>
    <row r="15" spans="8:8" ht="14.25" customHeight="1">
      <c r="A15" s="90" t="s">
        <v>44</v>
      </c>
      <c r="B15" s="91" t="s">
        <v>45</v>
      </c>
      <c r="C15" s="91" t="s">
        <v>58</v>
      </c>
      <c r="D15" s="91" t="s">
        <v>49</v>
      </c>
      <c r="E15" s="92" t="s">
        <v>47</v>
      </c>
      <c r="F15" s="92" t="s">
        <v>59</v>
      </c>
      <c r="G15" s="92" t="s">
        <v>49</v>
      </c>
      <c r="H15" s="93" t="s">
        <v>60</v>
      </c>
    </row>
    <row r="16" spans="8:8" ht="14.25" customHeight="1">
      <c r="A16" s="94" t="s">
        <v>61</v>
      </c>
      <c r="B16" s="95"/>
      <c r="C16" s="95">
        <v>2006.0</v>
      </c>
      <c r="D16" s="95">
        <v>30.0</v>
      </c>
      <c r="E16" s="96">
        <f t="shared" si="6" ref="E16:E27">PRODUCT(B16*C16)</f>
        <v>0.0</v>
      </c>
      <c r="F16" s="97">
        <f t="shared" si="7" ref="F16:F27">PRODUCT(E16*18)/118</f>
        <v>0.0</v>
      </c>
      <c r="G16" s="97">
        <f t="shared" si="8" ref="G16:G27">PRODUCT(B16*D16)</f>
        <v>0.0</v>
      </c>
      <c r="H16" s="97">
        <f t="shared" si="9" ref="H16:H28">SUM(F16:G16)</f>
        <v>0.0</v>
      </c>
    </row>
    <row r="17" spans="8:8" ht="14.25" customHeight="1">
      <c r="A17" s="98" t="s">
        <v>84</v>
      </c>
      <c r="B17" s="99"/>
      <c r="C17" s="99">
        <v>3304.0</v>
      </c>
      <c r="D17" s="99">
        <v>40.0</v>
      </c>
      <c r="E17" s="100">
        <f t="shared" si="6"/>
        <v>0.0</v>
      </c>
      <c r="F17" s="101">
        <f t="shared" si="7"/>
        <v>0.0</v>
      </c>
      <c r="G17" s="101">
        <f t="shared" si="8"/>
        <v>0.0</v>
      </c>
      <c r="H17" s="101">
        <f t="shared" si="9"/>
        <v>0.0</v>
      </c>
    </row>
    <row r="18" spans="8:8" ht="14.25" customHeight="1">
      <c r="A18" s="102" t="s">
        <v>62</v>
      </c>
      <c r="B18" s="103"/>
      <c r="C18" s="103">
        <v>2360.0</v>
      </c>
      <c r="D18" s="103">
        <v>30.0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87</v>
      </c>
      <c r="B20" s="103"/>
      <c r="C20" s="103">
        <v>1298.0</v>
      </c>
      <c r="D20" s="103">
        <v>30.0</v>
      </c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4"/>
      <c r="C22" s="104"/>
      <c r="D22" s="104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99"/>
      <c r="C23" s="99"/>
      <c r="D23" s="99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103"/>
      <c r="C24" s="103"/>
      <c r="D24" s="103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5" t="s">
        <v>63</v>
      </c>
      <c r="B27" s="106"/>
      <c r="C27" s="106"/>
      <c r="D27" s="106"/>
      <c r="E27" s="107">
        <f t="shared" si="6"/>
        <v>0.0</v>
      </c>
      <c r="F27" s="108">
        <f t="shared" si="7"/>
        <v>0.0</v>
      </c>
      <c r="G27" s="109">
        <f t="shared" si="8"/>
        <v>0.0</v>
      </c>
      <c r="H27" s="109">
        <f t="shared" si="9"/>
        <v>0.0</v>
      </c>
    </row>
    <row r="28" spans="8:8" ht="14.25" customHeight="1">
      <c r="A28" s="110" t="s">
        <v>64</v>
      </c>
      <c r="B28" s="111"/>
      <c r="C28" s="111"/>
      <c r="D28" s="111"/>
      <c r="E28" s="112">
        <f>SUM(E6:E27)</f>
        <v>3471560.0</v>
      </c>
      <c r="F28" s="113">
        <f>SUM(F6:F27)</f>
        <v>529560.0</v>
      </c>
      <c r="G28" s="114">
        <f>SUM(G6:G27)</f>
        <v>46600.0</v>
      </c>
      <c r="H28" s="115">
        <f t="shared" si="9"/>
        <v>576160.0</v>
      </c>
    </row>
    <row r="29" spans="8:8" ht="14.25" customHeight="1">
      <c r="A29" s="116" t="s">
        <v>65</v>
      </c>
      <c r="B29" s="117"/>
      <c r="C29" s="118" t="s">
        <v>66</v>
      </c>
      <c r="D29" s="119"/>
      <c r="E29" s="120" t="s">
        <v>67</v>
      </c>
      <c r="F29" s="48"/>
      <c r="G29" s="121" t="s">
        <v>68</v>
      </c>
      <c r="H29" s="122" t="s">
        <v>66</v>
      </c>
    </row>
    <row r="30" spans="8:8" ht="14.25" customHeight="1">
      <c r="A30" s="123" t="s">
        <v>69</v>
      </c>
      <c r="B30" s="63"/>
      <c r="C30" s="170">
        <v>576160.0</v>
      </c>
      <c r="D30" s="125"/>
      <c r="E30" s="78"/>
      <c r="F30" s="79"/>
      <c r="G30" s="126"/>
      <c r="H30" s="127"/>
    </row>
    <row r="31" spans="8:8" ht="14.25" customHeight="1">
      <c r="A31" s="128" t="s">
        <v>70</v>
      </c>
      <c r="B31" s="48"/>
      <c r="C31" s="171"/>
      <c r="D31" s="130"/>
      <c r="E31" s="84"/>
      <c r="F31" s="85"/>
      <c r="G31" s="131"/>
      <c r="H31" s="132"/>
    </row>
    <row r="32" spans="8:8" ht="14.25" customHeight="1">
      <c r="A32" s="128" t="s">
        <v>71</v>
      </c>
      <c r="B32" s="48"/>
      <c r="C32" s="133"/>
      <c r="D32" s="125"/>
      <c r="E32" s="134"/>
      <c r="F32" s="85"/>
      <c r="G32" s="131"/>
      <c r="H32" s="132"/>
    </row>
    <row r="33" spans="8:8" ht="14.25" customHeight="1">
      <c r="A33" s="135" t="s">
        <v>72</v>
      </c>
      <c r="B33" s="51"/>
      <c r="C33" s="136"/>
      <c r="D33" s="113"/>
      <c r="E33" s="137"/>
      <c r="F33" s="85"/>
      <c r="G33" s="83"/>
      <c r="H33" s="132"/>
    </row>
    <row r="34" spans="8:8" ht="14.25" customHeight="1">
      <c r="A34" s="128" t="s">
        <v>73</v>
      </c>
      <c r="B34" s="48"/>
      <c r="C34" s="138"/>
      <c r="D34" s="113"/>
      <c r="E34" s="139"/>
      <c r="F34" s="85"/>
      <c r="G34" s="83"/>
      <c r="H34" s="132"/>
    </row>
    <row r="35" spans="8:8" ht="14.25" customHeight="1">
      <c r="A35" s="128" t="s">
        <v>74</v>
      </c>
      <c r="B35" s="48"/>
      <c r="C35" s="140"/>
      <c r="D35" s="141"/>
      <c r="E35" s="139"/>
      <c r="F35" s="85"/>
      <c r="G35" s="83"/>
      <c r="H35" s="132"/>
    </row>
    <row r="36" spans="8:8" ht="14.25" customHeight="1">
      <c r="A36" s="128" t="s">
        <v>75</v>
      </c>
      <c r="B36" s="48"/>
      <c r="C36" s="142">
        <v>0.0</v>
      </c>
      <c r="D36" s="143"/>
      <c r="E36" s="144"/>
      <c r="F36" s="145"/>
      <c r="G36" s="146"/>
      <c r="H36" s="147"/>
    </row>
    <row r="37" spans="8:8" ht="14.25" customHeight="1">
      <c r="A37" s="148" t="s">
        <v>76</v>
      </c>
      <c r="B37" s="50"/>
      <c r="C37" s="50"/>
      <c r="D37" s="50"/>
      <c r="E37" s="50"/>
      <c r="F37" s="50"/>
      <c r="G37" s="50"/>
      <c r="H37" s="51"/>
    </row>
    <row r="38" spans="8:8" ht="15.0" customHeight="1">
      <c r="A38" s="61"/>
      <c r="B38" s="62"/>
      <c r="C38" s="62"/>
      <c r="D38" s="62"/>
      <c r="E38" s="62"/>
      <c r="F38" s="62"/>
      <c r="G38" s="62"/>
      <c r="H38" s="63"/>
    </row>
    <row r="39" spans="8:8" ht="14.25" customHeight="1">
      <c r="A39" s="149"/>
      <c r="B39" s="150" t="s">
        <v>77</v>
      </c>
      <c r="C39" s="47"/>
      <c r="D39" s="48"/>
      <c r="E39" s="150" t="s">
        <v>78</v>
      </c>
      <c r="F39" s="47"/>
      <c r="G39" s="47"/>
      <c r="H39" s="48"/>
    </row>
    <row r="40" spans="8:8" ht="14.25" customHeight="1">
      <c r="A40" s="149"/>
      <c r="B40" s="151" t="s">
        <v>79</v>
      </c>
      <c r="C40" s="47"/>
      <c r="D40" s="48"/>
      <c r="E40" s="152">
        <f>SUM(B9:B12)</f>
        <v>1250.0</v>
      </c>
      <c r="F40" s="47"/>
      <c r="G40" s="47"/>
      <c r="H40" s="48"/>
    </row>
    <row r="41" spans="8:8" ht="14.25" customHeight="1">
      <c r="A41" s="149"/>
      <c r="B41" s="151" t="s">
        <v>52</v>
      </c>
      <c r="C41" s="47"/>
      <c r="D41" s="48"/>
      <c r="E41" s="152">
        <f>SUM(B6:B8)</f>
        <v>150.0</v>
      </c>
      <c r="F41" s="47"/>
      <c r="G41" s="47"/>
      <c r="H41" s="48"/>
    </row>
    <row r="42" spans="8:8" ht="14.25" customHeight="1">
      <c r="A42" s="149"/>
      <c r="B42" s="151" t="s">
        <v>80</v>
      </c>
      <c r="C42" s="47"/>
      <c r="D42" s="48"/>
      <c r="E42" s="153">
        <f>SUM(B13:B13)</f>
        <v>80.0</v>
      </c>
      <c r="F42" s="56"/>
      <c r="G42" s="56"/>
      <c r="H42" s="57"/>
    </row>
    <row r="43" spans="8:8" ht="14.25" customHeight="1">
      <c r="A43" s="68"/>
      <c r="B43" s="154" t="s">
        <v>61</v>
      </c>
      <c r="C43" s="47"/>
      <c r="D43" s="48"/>
      <c r="E43" s="60">
        <f>SUM(B16:B17)</f>
        <v>0.0</v>
      </c>
      <c r="F43" s="47"/>
      <c r="G43" s="47"/>
      <c r="H43" s="48"/>
    </row>
    <row r="44" spans="8:8" ht="14.25" customHeight="1">
      <c r="A44" s="68"/>
      <c r="B44" s="154" t="s">
        <v>62</v>
      </c>
      <c r="C44" s="47"/>
      <c r="D44" s="48"/>
      <c r="E44" s="60">
        <f>SUM(B18:B19)</f>
        <v>0.0</v>
      </c>
      <c r="F44" s="47"/>
      <c r="G44" s="47"/>
      <c r="H44" s="48"/>
    </row>
    <row r="45" spans="8:8" ht="14.25" customHeight="1">
      <c r="A45" s="68"/>
      <c r="B45" s="154" t="s">
        <v>81</v>
      </c>
      <c r="C45" s="47"/>
      <c r="D45" s="48"/>
      <c r="E45" s="60">
        <f t="shared" si="10" ref="E45:E52">B20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0"/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0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0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0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0"/>
        <v>0.0</v>
      </c>
      <c r="F50" s="47"/>
      <c r="G50" s="47"/>
      <c r="H50" s="48"/>
    </row>
    <row r="51" spans="8:8" ht="14.25" customHeight="1">
      <c r="B51" s="154" t="s">
        <v>81</v>
      </c>
      <c r="C51" s="47"/>
      <c r="D51" s="48"/>
      <c r="E51" s="60">
        <f t="shared" si="10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0"/>
        <v>0.0</v>
      </c>
      <c r="F52" s="47"/>
      <c r="G52" s="47"/>
      <c r="H52" s="48"/>
    </row>
    <row r="53" spans="8:8" ht="14.25" customHeight="1">
      <c r="B53" s="154" t="s">
        <v>82</v>
      </c>
      <c r="C53" s="47"/>
      <c r="D53" s="48"/>
      <c r="E53" s="60">
        <f>SUM(E40:H52)</f>
        <v>1480.0</v>
      </c>
      <c r="F53" s="47"/>
      <c r="G53" s="47"/>
      <c r="H53" s="48"/>
    </row>
    <row r="54" spans="8:8" ht="14.25" customHeight="1">
      <c r="B54" s="154"/>
      <c r="C54" s="47"/>
      <c r="D54" s="48"/>
      <c r="E54" s="156"/>
      <c r="F54" s="47"/>
      <c r="G54" s="47"/>
      <c r="H54" s="48"/>
    </row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</sheetData>
  <mergeCells count="61">
    <mergeCell ref="C8:D8"/>
    <mergeCell ref="E40:H40"/>
    <mergeCell ref="A33:B33"/>
    <mergeCell ref="E30:F30"/>
    <mergeCell ref="B40:D40"/>
    <mergeCell ref="E39:H39"/>
    <mergeCell ref="E54:H54"/>
    <mergeCell ref="B42:D42"/>
    <mergeCell ref="E35:F35"/>
    <mergeCell ref="E48:H48"/>
    <mergeCell ref="B46:D46"/>
    <mergeCell ref="B47:D47"/>
    <mergeCell ref="B54:D54"/>
    <mergeCell ref="E47:H47"/>
    <mergeCell ref="C7:D7"/>
    <mergeCell ref="A29:B29"/>
    <mergeCell ref="A31:B31"/>
    <mergeCell ref="E53:H53"/>
    <mergeCell ref="C10:D10"/>
    <mergeCell ref="A37:H38"/>
    <mergeCell ref="B48:D48"/>
    <mergeCell ref="E29:F29"/>
    <mergeCell ref="E33:F33"/>
    <mergeCell ref="B41:D41"/>
    <mergeCell ref="E50:H50"/>
    <mergeCell ref="C11:D11"/>
    <mergeCell ref="A32:B32"/>
    <mergeCell ref="A34:B34"/>
    <mergeCell ref="E49:H49"/>
    <mergeCell ref="B51:D51"/>
    <mergeCell ref="E32:F32"/>
    <mergeCell ref="C12:D12"/>
    <mergeCell ref="E34:F34"/>
    <mergeCell ref="B44:D44"/>
    <mergeCell ref="E31:F31"/>
    <mergeCell ref="B39:D39"/>
    <mergeCell ref="A30:B30"/>
    <mergeCell ref="E36:F36"/>
    <mergeCell ref="E42:H42"/>
    <mergeCell ref="E41:H41"/>
    <mergeCell ref="C13:D13"/>
    <mergeCell ref="B45:D45"/>
    <mergeCell ref="A14:H14"/>
    <mergeCell ref="E52:H52"/>
    <mergeCell ref="C6:D6"/>
    <mergeCell ref="E43:H43"/>
    <mergeCell ref="A35:B35"/>
    <mergeCell ref="A1:H2"/>
    <mergeCell ref="B52:D52"/>
    <mergeCell ref="E45:H45"/>
    <mergeCell ref="B43:D43"/>
    <mergeCell ref="E46:H46"/>
    <mergeCell ref="B49:D49"/>
    <mergeCell ref="B50:D50"/>
    <mergeCell ref="E44:H44"/>
    <mergeCell ref="C9:D9"/>
    <mergeCell ref="A36:B36"/>
    <mergeCell ref="A3:H4"/>
    <mergeCell ref="C5:D5"/>
    <mergeCell ref="E51:H51"/>
    <mergeCell ref="B53:D53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40:D40"/>
    <mergeCell ref="E48:H48"/>
    <mergeCell ref="E35:F35"/>
    <mergeCell ref="E44:H44"/>
    <mergeCell ref="E37:F37"/>
    <mergeCell ref="B46:D46"/>
    <mergeCell ref="A1:H2"/>
    <mergeCell ref="C14:D14"/>
    <mergeCell ref="A34:B34"/>
    <mergeCell ref="E46:H46"/>
    <mergeCell ref="B50:D50"/>
    <mergeCell ref="E54:H54"/>
    <mergeCell ref="A3:H4"/>
    <mergeCell ref="C13:D13"/>
    <mergeCell ref="C9:D9"/>
    <mergeCell ref="C8:D8"/>
    <mergeCell ref="C11:D11"/>
    <mergeCell ref="A37:B37"/>
    <mergeCell ref="E49:H49"/>
    <mergeCell ref="B51:D51"/>
    <mergeCell ref="E55:H55"/>
    <mergeCell ref="A38:H39"/>
    <mergeCell ref="E32:F32"/>
    <mergeCell ref="A15:H15"/>
    <mergeCell ref="C5:D5"/>
    <mergeCell ref="C7:D7"/>
    <mergeCell ref="C10:D10"/>
    <mergeCell ref="C12:D12"/>
    <mergeCell ref="E36:F36"/>
    <mergeCell ref="E51:H51"/>
    <mergeCell ref="B47:D47"/>
    <mergeCell ref="A33:B33"/>
    <mergeCell ref="E47:H47"/>
    <mergeCell ref="B52:D52"/>
    <mergeCell ref="A30:B30"/>
    <mergeCell ref="E41:H41"/>
    <mergeCell ref="B54:D54"/>
    <mergeCell ref="B53:D53"/>
    <mergeCell ref="E42:H42"/>
    <mergeCell ref="B44:D44"/>
    <mergeCell ref="B45:D45"/>
    <mergeCell ref="E43:H43"/>
    <mergeCell ref="B43:D43"/>
    <mergeCell ref="E52:H52"/>
    <mergeCell ref="B55:D55"/>
    <mergeCell ref="A31:B31"/>
    <mergeCell ref="E45:H45"/>
    <mergeCell ref="B49:D49"/>
    <mergeCell ref="E53:H53"/>
    <mergeCell ref="B41:D41"/>
    <mergeCell ref="E30:F30"/>
    <mergeCell ref="A36:B36"/>
    <mergeCell ref="E40:H40"/>
    <mergeCell ref="B48:D48"/>
    <mergeCell ref="E34:F34"/>
    <mergeCell ref="E31:F31"/>
    <mergeCell ref="A32:B32"/>
    <mergeCell ref="A35:B35"/>
    <mergeCell ref="E33:F33"/>
    <mergeCell ref="E50:H50"/>
    <mergeCell ref="B42:D42"/>
    <mergeCell ref="C6:D6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40:D40"/>
    <mergeCell ref="E48:H48"/>
    <mergeCell ref="E35:F35"/>
    <mergeCell ref="E44:H44"/>
    <mergeCell ref="E37:F37"/>
    <mergeCell ref="B46:D46"/>
    <mergeCell ref="A1:H2"/>
    <mergeCell ref="C14:D14"/>
    <mergeCell ref="A34:B34"/>
    <mergeCell ref="E46:H46"/>
    <mergeCell ref="B50:D50"/>
    <mergeCell ref="E54:H54"/>
    <mergeCell ref="A3:H4"/>
    <mergeCell ref="C13:D13"/>
    <mergeCell ref="C9:D9"/>
    <mergeCell ref="C8:D8"/>
    <mergeCell ref="C11:D11"/>
    <mergeCell ref="A37:B37"/>
    <mergeCell ref="E49:H49"/>
    <mergeCell ref="B51:D51"/>
    <mergeCell ref="E55:H55"/>
    <mergeCell ref="A38:H39"/>
    <mergeCell ref="E32:F32"/>
    <mergeCell ref="A15:H15"/>
    <mergeCell ref="C5:D5"/>
    <mergeCell ref="C7:D7"/>
    <mergeCell ref="C10:D10"/>
    <mergeCell ref="C12:D12"/>
    <mergeCell ref="E36:F36"/>
    <mergeCell ref="E51:H51"/>
    <mergeCell ref="B47:D47"/>
    <mergeCell ref="A33:B33"/>
    <mergeCell ref="E47:H47"/>
    <mergeCell ref="B52:D52"/>
    <mergeCell ref="A30:B30"/>
    <mergeCell ref="E41:H41"/>
    <mergeCell ref="B54:D54"/>
    <mergeCell ref="B53:D53"/>
    <mergeCell ref="E42:H42"/>
    <mergeCell ref="B44:D44"/>
    <mergeCell ref="B45:D45"/>
    <mergeCell ref="E43:H43"/>
    <mergeCell ref="B43:D43"/>
    <mergeCell ref="E52:H52"/>
    <mergeCell ref="B55:D55"/>
    <mergeCell ref="A31:B31"/>
    <mergeCell ref="E45:H45"/>
    <mergeCell ref="B49:D49"/>
    <mergeCell ref="E53:H53"/>
    <mergeCell ref="B41:D41"/>
    <mergeCell ref="E30:F30"/>
    <mergeCell ref="A36:B36"/>
    <mergeCell ref="E40:H40"/>
    <mergeCell ref="B48:D48"/>
    <mergeCell ref="E34:F34"/>
    <mergeCell ref="E31:F31"/>
    <mergeCell ref="A32:B32"/>
    <mergeCell ref="A35:B35"/>
    <mergeCell ref="E33:F33"/>
    <mergeCell ref="E50:H50"/>
    <mergeCell ref="B42:D42"/>
    <mergeCell ref="C6:D6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5:D5"/>
    <mergeCell ref="E55:H55"/>
    <mergeCell ref="B61:D61"/>
    <mergeCell ref="E40:F40"/>
    <mergeCell ref="E60:H60"/>
    <mergeCell ref="E58:H58"/>
    <mergeCell ref="E57:H57"/>
    <mergeCell ref="A40:B40"/>
    <mergeCell ref="E56:H56"/>
    <mergeCell ref="B59:D59"/>
    <mergeCell ref="A1:H2"/>
    <mergeCell ref="A42:B42"/>
    <mergeCell ref="C12:D12"/>
    <mergeCell ref="C11:D11"/>
    <mergeCell ref="C10:D10"/>
    <mergeCell ref="E53:H53"/>
    <mergeCell ref="C14:D14"/>
    <mergeCell ref="A45:B45"/>
    <mergeCell ref="C8:D8"/>
    <mergeCell ref="E52:H52"/>
    <mergeCell ref="B53:D53"/>
    <mergeCell ref="B56:D56"/>
    <mergeCell ref="B55:D55"/>
    <mergeCell ref="E61:H61"/>
    <mergeCell ref="B52:D52"/>
    <mergeCell ref="E42:F42"/>
    <mergeCell ref="B49:D49"/>
    <mergeCell ref="E43:F43"/>
    <mergeCell ref="B57:D57"/>
    <mergeCell ref="E49:H49"/>
    <mergeCell ref="B54:D54"/>
    <mergeCell ref="E45:F45"/>
    <mergeCell ref="E50:H50"/>
    <mergeCell ref="B60:D60"/>
    <mergeCell ref="A38:B38"/>
    <mergeCell ref="E44:F44"/>
    <mergeCell ref="A43:B43"/>
    <mergeCell ref="A41:B41"/>
    <mergeCell ref="A44:B44"/>
    <mergeCell ref="E41:F41"/>
    <mergeCell ref="B62:D62"/>
    <mergeCell ref="E62:H62"/>
    <mergeCell ref="E63:H63"/>
    <mergeCell ref="C7:D7"/>
    <mergeCell ref="B58:D58"/>
    <mergeCell ref="E54:H54"/>
    <mergeCell ref="C13:D13"/>
    <mergeCell ref="B63:D63"/>
    <mergeCell ref="E48:H48"/>
    <mergeCell ref="A3:H4"/>
    <mergeCell ref="B50:D50"/>
    <mergeCell ref="B51:D51"/>
    <mergeCell ref="E51:H51"/>
    <mergeCell ref="E59:H59"/>
    <mergeCell ref="A39:B39"/>
    <mergeCell ref="E38:F38"/>
    <mergeCell ref="A15:H15"/>
    <mergeCell ref="B48:D48"/>
    <mergeCell ref="C9:D9"/>
    <mergeCell ref="C6:D6"/>
    <mergeCell ref="E39:F39"/>
    <mergeCell ref="A46:H47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E50:H50"/>
    <mergeCell ref="A1:H2"/>
    <mergeCell ref="C6:D6"/>
    <mergeCell ref="C7:D7"/>
    <mergeCell ref="C10:D10"/>
    <mergeCell ref="A3:H4"/>
    <mergeCell ref="B60:D60"/>
    <mergeCell ref="E49:H49"/>
    <mergeCell ref="A42:B42"/>
    <mergeCell ref="A39:B39"/>
    <mergeCell ref="B62:D62"/>
    <mergeCell ref="E48:H48"/>
    <mergeCell ref="B55:D55"/>
    <mergeCell ref="E41:F41"/>
    <mergeCell ref="C12:D12"/>
    <mergeCell ref="E58:H58"/>
    <mergeCell ref="C5:D5"/>
    <mergeCell ref="C11:D11"/>
    <mergeCell ref="E61:H61"/>
    <mergeCell ref="A43:B43"/>
    <mergeCell ref="E62:H62"/>
    <mergeCell ref="B61:D61"/>
    <mergeCell ref="E59:H59"/>
    <mergeCell ref="E42:F42"/>
    <mergeCell ref="B52:D52"/>
    <mergeCell ref="E43:F43"/>
    <mergeCell ref="E51:H51"/>
    <mergeCell ref="E45:F45"/>
    <mergeCell ref="E56:H56"/>
    <mergeCell ref="E63:H63"/>
    <mergeCell ref="A46:H47"/>
    <mergeCell ref="B57:D57"/>
    <mergeCell ref="C13:D13"/>
    <mergeCell ref="E55:H55"/>
    <mergeCell ref="B58:D58"/>
    <mergeCell ref="C14:D14"/>
    <mergeCell ref="C8:D8"/>
    <mergeCell ref="A40:B40"/>
    <mergeCell ref="E57:H57"/>
    <mergeCell ref="B63:D63"/>
    <mergeCell ref="B59:D59"/>
    <mergeCell ref="E52:H52"/>
    <mergeCell ref="B48:D48"/>
    <mergeCell ref="B51:D51"/>
    <mergeCell ref="B49:D49"/>
    <mergeCell ref="B50:D50"/>
    <mergeCell ref="B56:D56"/>
    <mergeCell ref="E60:H60"/>
    <mergeCell ref="E40:F40"/>
    <mergeCell ref="B53:D53"/>
    <mergeCell ref="E54:H54"/>
    <mergeCell ref="A45:B45"/>
    <mergeCell ref="E39:F39"/>
    <mergeCell ref="A44:B44"/>
    <mergeCell ref="E44:F44"/>
    <mergeCell ref="A41:B41"/>
    <mergeCell ref="A38:B38"/>
    <mergeCell ref="E53:H53"/>
    <mergeCell ref="B54:D54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E50:H50"/>
    <mergeCell ref="A1:H2"/>
    <mergeCell ref="C6:D6"/>
    <mergeCell ref="C7:D7"/>
    <mergeCell ref="C10:D10"/>
    <mergeCell ref="A3:H4"/>
    <mergeCell ref="B60:D60"/>
    <mergeCell ref="E49:H49"/>
    <mergeCell ref="A42:B42"/>
    <mergeCell ref="A39:B39"/>
    <mergeCell ref="B62:D62"/>
    <mergeCell ref="E48:H48"/>
    <mergeCell ref="B55:D55"/>
    <mergeCell ref="E41:F41"/>
    <mergeCell ref="C12:D12"/>
    <mergeCell ref="E58:H58"/>
    <mergeCell ref="C5:D5"/>
    <mergeCell ref="C11:D11"/>
    <mergeCell ref="E61:H61"/>
    <mergeCell ref="A43:B43"/>
    <mergeCell ref="E62:H62"/>
    <mergeCell ref="B61:D61"/>
    <mergeCell ref="E59:H59"/>
    <mergeCell ref="E42:F42"/>
    <mergeCell ref="B52:D52"/>
    <mergeCell ref="E43:F43"/>
    <mergeCell ref="E51:H51"/>
    <mergeCell ref="E45:F45"/>
    <mergeCell ref="E56:H56"/>
    <mergeCell ref="E63:H63"/>
    <mergeCell ref="A46:H47"/>
    <mergeCell ref="B57:D57"/>
    <mergeCell ref="C13:D13"/>
    <mergeCell ref="E55:H55"/>
    <mergeCell ref="B58:D58"/>
    <mergeCell ref="C14:D14"/>
    <mergeCell ref="C8:D8"/>
    <mergeCell ref="A40:B40"/>
    <mergeCell ref="E57:H57"/>
    <mergeCell ref="B63:D63"/>
    <mergeCell ref="B59:D59"/>
    <mergeCell ref="E52:H52"/>
    <mergeCell ref="B48:D48"/>
    <mergeCell ref="B51:D51"/>
    <mergeCell ref="B49:D49"/>
    <mergeCell ref="B50:D50"/>
    <mergeCell ref="B56:D56"/>
    <mergeCell ref="E60:H60"/>
    <mergeCell ref="E40:F40"/>
    <mergeCell ref="B53:D53"/>
    <mergeCell ref="E54:H54"/>
    <mergeCell ref="A45:B45"/>
    <mergeCell ref="E39:F39"/>
    <mergeCell ref="A44:B44"/>
    <mergeCell ref="E44:F44"/>
    <mergeCell ref="A41:B41"/>
    <mergeCell ref="A38:B38"/>
    <mergeCell ref="E53:H53"/>
    <mergeCell ref="B54:D54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9:D9"/>
    <mergeCell ref="E50:H50"/>
    <mergeCell ref="A1:H2"/>
    <mergeCell ref="C6:D6"/>
    <mergeCell ref="C7:D7"/>
    <mergeCell ref="C10:D10"/>
    <mergeCell ref="A3:H4"/>
    <mergeCell ref="B60:D60"/>
    <mergeCell ref="E49:H49"/>
    <mergeCell ref="A42:B42"/>
    <mergeCell ref="A39:B39"/>
    <mergeCell ref="B62:D62"/>
    <mergeCell ref="E48:H48"/>
    <mergeCell ref="B55:D55"/>
    <mergeCell ref="E41:F41"/>
    <mergeCell ref="C12:D12"/>
    <mergeCell ref="E58:H58"/>
    <mergeCell ref="C5:D5"/>
    <mergeCell ref="C11:D11"/>
    <mergeCell ref="E61:H61"/>
    <mergeCell ref="A43:B43"/>
    <mergeCell ref="E62:H62"/>
    <mergeCell ref="B61:D61"/>
    <mergeCell ref="E59:H59"/>
    <mergeCell ref="E42:F42"/>
    <mergeCell ref="B52:D52"/>
    <mergeCell ref="E43:F43"/>
    <mergeCell ref="E51:H51"/>
    <mergeCell ref="E45:F45"/>
    <mergeCell ref="E56:H56"/>
    <mergeCell ref="E63:H63"/>
    <mergeCell ref="A46:H47"/>
    <mergeCell ref="B57:D57"/>
    <mergeCell ref="C13:D13"/>
    <mergeCell ref="E55:H55"/>
    <mergeCell ref="B58:D58"/>
    <mergeCell ref="C14:D14"/>
    <mergeCell ref="C8:D8"/>
    <mergeCell ref="A40:B40"/>
    <mergeCell ref="E57:H57"/>
    <mergeCell ref="B63:D63"/>
    <mergeCell ref="B59:D59"/>
    <mergeCell ref="E52:H52"/>
    <mergeCell ref="B48:D48"/>
    <mergeCell ref="B51:D51"/>
    <mergeCell ref="B49:D49"/>
    <mergeCell ref="B50:D50"/>
    <mergeCell ref="B56:D56"/>
    <mergeCell ref="E60:H60"/>
    <mergeCell ref="E40:F40"/>
    <mergeCell ref="B53:D53"/>
    <mergeCell ref="E54:H54"/>
    <mergeCell ref="A45:B45"/>
    <mergeCell ref="E39:F39"/>
    <mergeCell ref="A44:B44"/>
    <mergeCell ref="E44:F44"/>
    <mergeCell ref="A41:B41"/>
    <mergeCell ref="A38:B38"/>
    <mergeCell ref="E53:H53"/>
    <mergeCell ref="B54:D54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8:D8"/>
    <mergeCell ref="C11:D11"/>
    <mergeCell ref="C9:D9"/>
    <mergeCell ref="A45:B45"/>
    <mergeCell ref="E54:H54"/>
    <mergeCell ref="B59:D59"/>
    <mergeCell ref="B55:D55"/>
    <mergeCell ref="A46:H47"/>
    <mergeCell ref="A41:B41"/>
    <mergeCell ref="E49:H49"/>
    <mergeCell ref="B50:D50"/>
    <mergeCell ref="E45:F45"/>
    <mergeCell ref="B48:D48"/>
    <mergeCell ref="E43:F43"/>
    <mergeCell ref="B52:D52"/>
    <mergeCell ref="E63:H63"/>
    <mergeCell ref="C14:D14"/>
    <mergeCell ref="A3:H4"/>
    <mergeCell ref="C7:D7"/>
    <mergeCell ref="C5:D5"/>
    <mergeCell ref="C6:D6"/>
    <mergeCell ref="A15:H15"/>
    <mergeCell ref="C13:D13"/>
    <mergeCell ref="C10:D10"/>
    <mergeCell ref="B49:D49"/>
    <mergeCell ref="E60:H60"/>
    <mergeCell ref="B61:D61"/>
    <mergeCell ref="A44:B44"/>
    <mergeCell ref="E57:H57"/>
    <mergeCell ref="B62:D62"/>
    <mergeCell ref="E40:F40"/>
    <mergeCell ref="E61:H61"/>
    <mergeCell ref="B57:D57"/>
    <mergeCell ref="E56:H56"/>
    <mergeCell ref="B58:D58"/>
    <mergeCell ref="E59:H59"/>
    <mergeCell ref="E58:H58"/>
    <mergeCell ref="E55:H55"/>
    <mergeCell ref="A42:B42"/>
    <mergeCell ref="E38:F38"/>
    <mergeCell ref="E62:H62"/>
    <mergeCell ref="E44:F44"/>
    <mergeCell ref="B60:D60"/>
    <mergeCell ref="E53:H53"/>
    <mergeCell ref="A43:B43"/>
    <mergeCell ref="E48:H48"/>
    <mergeCell ref="B51:D51"/>
    <mergeCell ref="E51:H51"/>
    <mergeCell ref="B54:D54"/>
    <mergeCell ref="E42:F42"/>
    <mergeCell ref="B56:D56"/>
    <mergeCell ref="A40:B40"/>
    <mergeCell ref="E52:H52"/>
    <mergeCell ref="B53:D53"/>
    <mergeCell ref="E41:F41"/>
    <mergeCell ref="E39:F39"/>
    <mergeCell ref="A38:B38"/>
    <mergeCell ref="A39:B39"/>
    <mergeCell ref="E50:H50"/>
    <mergeCell ref="B63:D63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E55:H55"/>
    <mergeCell ref="C7:D7"/>
    <mergeCell ref="C11:D11"/>
    <mergeCell ref="B44:D44"/>
    <mergeCell ref="E34:F34"/>
    <mergeCell ref="E47:H47"/>
    <mergeCell ref="C13:D13"/>
    <mergeCell ref="B42:D42"/>
    <mergeCell ref="B53:D53"/>
    <mergeCell ref="A34:B34"/>
    <mergeCell ref="C6:D6"/>
    <mergeCell ref="A15:H15"/>
    <mergeCell ref="E40:H40"/>
    <mergeCell ref="B45:D45"/>
    <mergeCell ref="E44:H44"/>
    <mergeCell ref="E35:F35"/>
    <mergeCell ref="B40:D40"/>
    <mergeCell ref="E31:F31"/>
    <mergeCell ref="B41:D41"/>
    <mergeCell ref="B43:D43"/>
    <mergeCell ref="E54:H54"/>
    <mergeCell ref="A38:H39"/>
    <mergeCell ref="A3:H4"/>
    <mergeCell ref="A31:B31"/>
    <mergeCell ref="E51:H51"/>
    <mergeCell ref="C8:D8"/>
    <mergeCell ref="C14:D14"/>
    <mergeCell ref="A37:B37"/>
    <mergeCell ref="E48:H48"/>
    <mergeCell ref="B54:D54"/>
    <mergeCell ref="E53:H53"/>
    <mergeCell ref="E43:H43"/>
    <mergeCell ref="B55:D55"/>
    <mergeCell ref="B51:D51"/>
    <mergeCell ref="A33:B33"/>
    <mergeCell ref="E41:H41"/>
    <mergeCell ref="B46:D46"/>
    <mergeCell ref="B48:D48"/>
    <mergeCell ref="E42:H42"/>
    <mergeCell ref="E52:H52"/>
    <mergeCell ref="C10:D10"/>
    <mergeCell ref="E49:H49"/>
    <mergeCell ref="E50:H50"/>
    <mergeCell ref="C5:D5"/>
    <mergeCell ref="E46:H46"/>
    <mergeCell ref="E32:F32"/>
    <mergeCell ref="E30:F30"/>
    <mergeCell ref="E33:F33"/>
    <mergeCell ref="E37:F37"/>
    <mergeCell ref="B50:D50"/>
    <mergeCell ref="E36:F36"/>
    <mergeCell ref="A35:B35"/>
    <mergeCell ref="A36:B36"/>
    <mergeCell ref="A32:B32"/>
    <mergeCell ref="B49:D49"/>
    <mergeCell ref="A30:B30"/>
    <mergeCell ref="B52:D52"/>
    <mergeCell ref="C9:D9"/>
    <mergeCell ref="E45:H45"/>
    <mergeCell ref="B47:D47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E50:H50"/>
    <mergeCell ref="A1:H2"/>
    <mergeCell ref="C6:D6"/>
    <mergeCell ref="C7:D7"/>
    <mergeCell ref="C10:D10"/>
    <mergeCell ref="A3:H4"/>
    <mergeCell ref="B60:D60"/>
    <mergeCell ref="E49:H49"/>
    <mergeCell ref="A42:B42"/>
    <mergeCell ref="A39:B39"/>
    <mergeCell ref="B62:D62"/>
    <mergeCell ref="E48:H48"/>
    <mergeCell ref="B55:D55"/>
    <mergeCell ref="E41:F41"/>
    <mergeCell ref="C12:D12"/>
    <mergeCell ref="E58:H58"/>
    <mergeCell ref="C5:D5"/>
    <mergeCell ref="C11:D11"/>
    <mergeCell ref="E61:H61"/>
    <mergeCell ref="A43:B43"/>
    <mergeCell ref="E62:H62"/>
    <mergeCell ref="B61:D61"/>
    <mergeCell ref="E59:H59"/>
    <mergeCell ref="E42:F42"/>
    <mergeCell ref="B52:D52"/>
    <mergeCell ref="E43:F43"/>
    <mergeCell ref="E51:H51"/>
    <mergeCell ref="E45:F45"/>
    <mergeCell ref="E56:H56"/>
    <mergeCell ref="E63:H63"/>
    <mergeCell ref="A46:H47"/>
    <mergeCell ref="B57:D57"/>
    <mergeCell ref="C13:D13"/>
    <mergeCell ref="E55:H55"/>
    <mergeCell ref="B58:D58"/>
    <mergeCell ref="C14:D14"/>
    <mergeCell ref="C8:D8"/>
    <mergeCell ref="A40:B40"/>
    <mergeCell ref="E57:H57"/>
    <mergeCell ref="B63:D63"/>
    <mergeCell ref="B59:D59"/>
    <mergeCell ref="E52:H52"/>
    <mergeCell ref="B48:D48"/>
    <mergeCell ref="B51:D51"/>
    <mergeCell ref="B49:D49"/>
    <mergeCell ref="B50:D50"/>
    <mergeCell ref="B56:D56"/>
    <mergeCell ref="E60:H60"/>
    <mergeCell ref="E40:F40"/>
    <mergeCell ref="B53:D53"/>
    <mergeCell ref="E54:H54"/>
    <mergeCell ref="A45:B45"/>
    <mergeCell ref="E39:F39"/>
    <mergeCell ref="A44:B44"/>
    <mergeCell ref="E44:F44"/>
    <mergeCell ref="A41:B41"/>
    <mergeCell ref="A38:B38"/>
    <mergeCell ref="E53:H53"/>
    <mergeCell ref="B54:D54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40:D40"/>
    <mergeCell ref="E48:H48"/>
    <mergeCell ref="E35:F35"/>
    <mergeCell ref="E44:H44"/>
    <mergeCell ref="E37:F37"/>
    <mergeCell ref="B46:D46"/>
    <mergeCell ref="A1:H2"/>
    <mergeCell ref="C14:D14"/>
    <mergeCell ref="A34:B34"/>
    <mergeCell ref="E46:H46"/>
    <mergeCell ref="B50:D50"/>
    <mergeCell ref="E54:H54"/>
    <mergeCell ref="A3:H4"/>
    <mergeCell ref="C13:D13"/>
    <mergeCell ref="C9:D9"/>
    <mergeCell ref="C8:D8"/>
    <mergeCell ref="C11:D11"/>
    <mergeCell ref="A37:B37"/>
    <mergeCell ref="E49:H49"/>
    <mergeCell ref="B51:D51"/>
    <mergeCell ref="E55:H55"/>
    <mergeCell ref="A38:H39"/>
    <mergeCell ref="E32:F32"/>
    <mergeCell ref="A15:H15"/>
    <mergeCell ref="C5:D5"/>
    <mergeCell ref="C7:D7"/>
    <mergeCell ref="C10:D10"/>
    <mergeCell ref="C12:D12"/>
    <mergeCell ref="E36:F36"/>
    <mergeCell ref="E51:H51"/>
    <mergeCell ref="B47:D47"/>
    <mergeCell ref="A33:B33"/>
    <mergeCell ref="E47:H47"/>
    <mergeCell ref="B52:D52"/>
    <mergeCell ref="A30:B30"/>
    <mergeCell ref="E41:H41"/>
    <mergeCell ref="B54:D54"/>
    <mergeCell ref="B53:D53"/>
    <mergeCell ref="E42:H42"/>
    <mergeCell ref="B44:D44"/>
    <mergeCell ref="B45:D45"/>
    <mergeCell ref="E43:H43"/>
    <mergeCell ref="B43:D43"/>
    <mergeCell ref="E52:H52"/>
    <mergeCell ref="B55:D55"/>
    <mergeCell ref="A31:B31"/>
    <mergeCell ref="E45:H45"/>
    <mergeCell ref="B49:D49"/>
    <mergeCell ref="E53:H53"/>
    <mergeCell ref="B41:D41"/>
    <mergeCell ref="E30:F30"/>
    <mergeCell ref="A36:B36"/>
    <mergeCell ref="E40:H40"/>
    <mergeCell ref="B48:D48"/>
    <mergeCell ref="E34:F34"/>
    <mergeCell ref="E31:F31"/>
    <mergeCell ref="A32:B32"/>
    <mergeCell ref="A35:B35"/>
    <mergeCell ref="E33:F33"/>
    <mergeCell ref="E50:H50"/>
    <mergeCell ref="B42:D42"/>
    <mergeCell ref="C6:D6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40:D40"/>
    <mergeCell ref="E48:H48"/>
    <mergeCell ref="E35:F35"/>
    <mergeCell ref="E44:H44"/>
    <mergeCell ref="E37:F37"/>
    <mergeCell ref="B46:D46"/>
    <mergeCell ref="A1:H2"/>
    <mergeCell ref="C14:D14"/>
    <mergeCell ref="A34:B34"/>
    <mergeCell ref="E46:H46"/>
    <mergeCell ref="B50:D50"/>
    <mergeCell ref="E54:H54"/>
    <mergeCell ref="A3:H4"/>
    <mergeCell ref="C13:D13"/>
    <mergeCell ref="C9:D9"/>
    <mergeCell ref="C8:D8"/>
    <mergeCell ref="C11:D11"/>
    <mergeCell ref="A37:B37"/>
    <mergeCell ref="E49:H49"/>
    <mergeCell ref="B51:D51"/>
    <mergeCell ref="E55:H55"/>
    <mergeCell ref="A38:H39"/>
    <mergeCell ref="E32:F32"/>
    <mergeCell ref="A15:H15"/>
    <mergeCell ref="C5:D5"/>
    <mergeCell ref="C7:D7"/>
    <mergeCell ref="C10:D10"/>
    <mergeCell ref="C12:D12"/>
    <mergeCell ref="E36:F36"/>
    <mergeCell ref="E51:H51"/>
    <mergeCell ref="B47:D47"/>
    <mergeCell ref="A33:B33"/>
    <mergeCell ref="E47:H47"/>
    <mergeCell ref="B52:D52"/>
    <mergeCell ref="A30:B30"/>
    <mergeCell ref="E41:H41"/>
    <mergeCell ref="B54:D54"/>
    <mergeCell ref="B53:D53"/>
    <mergeCell ref="E42:H42"/>
    <mergeCell ref="B44:D44"/>
    <mergeCell ref="B45:D45"/>
    <mergeCell ref="E43:H43"/>
    <mergeCell ref="B43:D43"/>
    <mergeCell ref="E52:H52"/>
    <mergeCell ref="B55:D55"/>
    <mergeCell ref="A31:B31"/>
    <mergeCell ref="E45:H45"/>
    <mergeCell ref="B49:D49"/>
    <mergeCell ref="E53:H53"/>
    <mergeCell ref="B41:D41"/>
    <mergeCell ref="E30:F30"/>
    <mergeCell ref="A36:B36"/>
    <mergeCell ref="E40:H40"/>
    <mergeCell ref="B48:D48"/>
    <mergeCell ref="E34:F34"/>
    <mergeCell ref="E31:F31"/>
    <mergeCell ref="A32:B32"/>
    <mergeCell ref="A35:B35"/>
    <mergeCell ref="E33:F33"/>
    <mergeCell ref="E50:H50"/>
    <mergeCell ref="B42:D42"/>
    <mergeCell ref="C6:D6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40:D40"/>
    <mergeCell ref="E48:H48"/>
    <mergeCell ref="E35:F35"/>
    <mergeCell ref="E44:H44"/>
    <mergeCell ref="E37:F37"/>
    <mergeCell ref="B46:D46"/>
    <mergeCell ref="A1:H2"/>
    <mergeCell ref="C14:D14"/>
    <mergeCell ref="A34:B34"/>
    <mergeCell ref="E46:H46"/>
    <mergeCell ref="B50:D50"/>
    <mergeCell ref="E54:H54"/>
    <mergeCell ref="A3:H4"/>
    <mergeCell ref="C13:D13"/>
    <mergeCell ref="C9:D9"/>
    <mergeCell ref="C8:D8"/>
    <mergeCell ref="C11:D11"/>
    <mergeCell ref="A37:B37"/>
    <mergeCell ref="E49:H49"/>
    <mergeCell ref="B51:D51"/>
    <mergeCell ref="E55:H55"/>
    <mergeCell ref="A38:H39"/>
    <mergeCell ref="E32:F32"/>
    <mergeCell ref="A15:H15"/>
    <mergeCell ref="C5:D5"/>
    <mergeCell ref="C7:D7"/>
    <mergeCell ref="C10:D10"/>
    <mergeCell ref="C12:D12"/>
    <mergeCell ref="E36:F36"/>
    <mergeCell ref="E51:H51"/>
    <mergeCell ref="B47:D47"/>
    <mergeCell ref="A33:B33"/>
    <mergeCell ref="E47:H47"/>
    <mergeCell ref="B52:D52"/>
    <mergeCell ref="A30:B30"/>
    <mergeCell ref="E41:H41"/>
    <mergeCell ref="B54:D54"/>
    <mergeCell ref="B53:D53"/>
    <mergeCell ref="E42:H42"/>
    <mergeCell ref="B44:D44"/>
    <mergeCell ref="B45:D45"/>
    <mergeCell ref="E43:H43"/>
    <mergeCell ref="B43:D43"/>
    <mergeCell ref="E52:H52"/>
    <mergeCell ref="B55:D55"/>
    <mergeCell ref="A31:B31"/>
    <mergeCell ref="E45:H45"/>
    <mergeCell ref="B49:D49"/>
    <mergeCell ref="E53:H53"/>
    <mergeCell ref="B41:D41"/>
    <mergeCell ref="E30:F30"/>
    <mergeCell ref="A36:B36"/>
    <mergeCell ref="E40:H40"/>
    <mergeCell ref="B48:D48"/>
    <mergeCell ref="E34:F34"/>
    <mergeCell ref="E31:F31"/>
    <mergeCell ref="A32:B32"/>
    <mergeCell ref="A35:B35"/>
    <mergeCell ref="E33:F33"/>
    <mergeCell ref="E50:H50"/>
    <mergeCell ref="B42:D42"/>
    <mergeCell ref="C6:D6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40:D40"/>
    <mergeCell ref="E48:H48"/>
    <mergeCell ref="E35:F35"/>
    <mergeCell ref="E44:H44"/>
    <mergeCell ref="E37:F37"/>
    <mergeCell ref="B46:D46"/>
    <mergeCell ref="A1:H2"/>
    <mergeCell ref="C14:D14"/>
    <mergeCell ref="A34:B34"/>
    <mergeCell ref="E46:H46"/>
    <mergeCell ref="B50:D50"/>
    <mergeCell ref="E54:H54"/>
    <mergeCell ref="A3:H4"/>
    <mergeCell ref="C13:D13"/>
    <mergeCell ref="C9:D9"/>
    <mergeCell ref="C8:D8"/>
    <mergeCell ref="C11:D11"/>
    <mergeCell ref="A37:B37"/>
    <mergeCell ref="E49:H49"/>
    <mergeCell ref="B51:D51"/>
    <mergeCell ref="E55:H55"/>
    <mergeCell ref="A38:H39"/>
    <mergeCell ref="E32:F32"/>
    <mergeCell ref="A15:H15"/>
    <mergeCell ref="C5:D5"/>
    <mergeCell ref="C7:D7"/>
    <mergeCell ref="C10:D10"/>
    <mergeCell ref="C12:D12"/>
    <mergeCell ref="E36:F36"/>
    <mergeCell ref="E51:H51"/>
    <mergeCell ref="B47:D47"/>
    <mergeCell ref="A33:B33"/>
    <mergeCell ref="E47:H47"/>
    <mergeCell ref="B52:D52"/>
    <mergeCell ref="A30:B30"/>
    <mergeCell ref="E41:H41"/>
    <mergeCell ref="B54:D54"/>
    <mergeCell ref="B53:D53"/>
    <mergeCell ref="E42:H42"/>
    <mergeCell ref="B44:D44"/>
    <mergeCell ref="B45:D45"/>
    <mergeCell ref="E43:H43"/>
    <mergeCell ref="B43:D43"/>
    <mergeCell ref="E52:H52"/>
    <mergeCell ref="B55:D55"/>
    <mergeCell ref="A31:B31"/>
    <mergeCell ref="E45:H45"/>
    <mergeCell ref="B49:D49"/>
    <mergeCell ref="E53:H53"/>
    <mergeCell ref="B41:D41"/>
    <mergeCell ref="E30:F30"/>
    <mergeCell ref="A36:B36"/>
    <mergeCell ref="E40:H40"/>
    <mergeCell ref="B48:D48"/>
    <mergeCell ref="E34:F34"/>
    <mergeCell ref="E31:F31"/>
    <mergeCell ref="A32:B32"/>
    <mergeCell ref="A35:B35"/>
    <mergeCell ref="E33:F33"/>
    <mergeCell ref="E50:H50"/>
    <mergeCell ref="B42:D42"/>
    <mergeCell ref="C6:D6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C12:D12"/>
    <mergeCell ref="E35:F35"/>
    <mergeCell ref="B48:D48"/>
    <mergeCell ref="E54:H54"/>
    <mergeCell ref="B55:D55"/>
    <mergeCell ref="E42:H42"/>
    <mergeCell ref="E51:H51"/>
    <mergeCell ref="B42:D42"/>
    <mergeCell ref="E49:H49"/>
    <mergeCell ref="B47:D47"/>
    <mergeCell ref="A1:H2"/>
    <mergeCell ref="C13:D13"/>
    <mergeCell ref="A34:B34"/>
    <mergeCell ref="C6:D6"/>
    <mergeCell ref="E41:H41"/>
    <mergeCell ref="B52:D52"/>
    <mergeCell ref="E55:H55"/>
    <mergeCell ref="B54:D54"/>
    <mergeCell ref="B53:D53"/>
    <mergeCell ref="E48:H48"/>
    <mergeCell ref="B43:D43"/>
    <mergeCell ref="B45:D45"/>
    <mergeCell ref="B44:D44"/>
    <mergeCell ref="B50:D50"/>
    <mergeCell ref="E52:H52"/>
    <mergeCell ref="E50:H50"/>
    <mergeCell ref="C5:D5"/>
    <mergeCell ref="C14:D14"/>
    <mergeCell ref="C9:D9"/>
    <mergeCell ref="C11:D11"/>
    <mergeCell ref="C10:D10"/>
    <mergeCell ref="C8:D8"/>
    <mergeCell ref="C7:D7"/>
    <mergeCell ref="B40:D40"/>
    <mergeCell ref="A32:B32"/>
    <mergeCell ref="E46:H46"/>
    <mergeCell ref="B49:D49"/>
    <mergeCell ref="A33:B33"/>
    <mergeCell ref="A31:B31"/>
    <mergeCell ref="A38:H39"/>
    <mergeCell ref="A37:B37"/>
    <mergeCell ref="A36:B36"/>
    <mergeCell ref="E47:H47"/>
    <mergeCell ref="E31:F31"/>
    <mergeCell ref="B41:D41"/>
    <mergeCell ref="B51:D51"/>
    <mergeCell ref="E32:F32"/>
    <mergeCell ref="E44:H44"/>
    <mergeCell ref="E53:H53"/>
    <mergeCell ref="E34:F34"/>
    <mergeCell ref="B46:D46"/>
    <mergeCell ref="E45:H45"/>
    <mergeCell ref="A35:B35"/>
    <mergeCell ref="E30:F30"/>
    <mergeCell ref="E40:H40"/>
    <mergeCell ref="E33:F33"/>
    <mergeCell ref="E36:F36"/>
    <mergeCell ref="E37:F37"/>
    <mergeCell ref="A30:B30"/>
    <mergeCell ref="A15:H15"/>
    <mergeCell ref="E43:H43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C5:D5"/>
    <mergeCell ref="B43:D43"/>
    <mergeCell ref="C10:D10"/>
    <mergeCell ref="C9:D9"/>
    <mergeCell ref="C11:D11"/>
    <mergeCell ref="C8:D8"/>
    <mergeCell ref="C14:D14"/>
    <mergeCell ref="A32:B32"/>
    <mergeCell ref="E54:H54"/>
    <mergeCell ref="E42:H42"/>
    <mergeCell ref="B53:D53"/>
    <mergeCell ref="E45:H45"/>
    <mergeCell ref="E31:F31"/>
    <mergeCell ref="C12:D12"/>
    <mergeCell ref="E51:H51"/>
    <mergeCell ref="B55:D55"/>
    <mergeCell ref="A15:H15"/>
    <mergeCell ref="C6:D6"/>
    <mergeCell ref="E52:H52"/>
    <mergeCell ref="A37:B37"/>
    <mergeCell ref="E34:F34"/>
    <mergeCell ref="B44:D44"/>
    <mergeCell ref="E50:H50"/>
    <mergeCell ref="B54:D54"/>
    <mergeCell ref="E48:H48"/>
    <mergeCell ref="E47:H47"/>
    <mergeCell ref="E33:F33"/>
    <mergeCell ref="A30:B30"/>
    <mergeCell ref="E30:F30"/>
    <mergeCell ref="A34:B34"/>
    <mergeCell ref="E46:H46"/>
    <mergeCell ref="B47:D47"/>
    <mergeCell ref="E36:F36"/>
    <mergeCell ref="E35:F35"/>
    <mergeCell ref="E41:H41"/>
    <mergeCell ref="B42:D42"/>
    <mergeCell ref="B48:D48"/>
    <mergeCell ref="A31:B31"/>
    <mergeCell ref="E49:H49"/>
    <mergeCell ref="B50:D50"/>
    <mergeCell ref="E32:F32"/>
    <mergeCell ref="A33:B33"/>
    <mergeCell ref="E53:H53"/>
    <mergeCell ref="B52:D52"/>
    <mergeCell ref="C7:D7"/>
    <mergeCell ref="A36:B36"/>
    <mergeCell ref="B40:D40"/>
    <mergeCell ref="A35:B35"/>
    <mergeCell ref="B51:D51"/>
    <mergeCell ref="B41:D41"/>
    <mergeCell ref="E55:H55"/>
    <mergeCell ref="A38:H39"/>
    <mergeCell ref="E44:H44"/>
    <mergeCell ref="B49:D49"/>
    <mergeCell ref="B45:D45"/>
    <mergeCell ref="E43:H43"/>
    <mergeCell ref="B46:D46"/>
    <mergeCell ref="E37:F37"/>
    <mergeCell ref="A3:H4"/>
    <mergeCell ref="E40:H40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21502.0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400.0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3862.0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25764.0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9:C9"/>
    <mergeCell ref="D5:G5"/>
    <mergeCell ref="D17:G17"/>
    <mergeCell ref="D16:G16"/>
    <mergeCell ref="A17:C17"/>
    <mergeCell ref="A16:C16"/>
    <mergeCell ref="A1:G2"/>
    <mergeCell ref="D11:G11"/>
    <mergeCell ref="D12:G12"/>
    <mergeCell ref="A4:C4"/>
    <mergeCell ref="D4:G4"/>
    <mergeCell ref="A10:C10"/>
    <mergeCell ref="A15:C15"/>
    <mergeCell ref="A14:C14"/>
    <mergeCell ref="D15:G15"/>
    <mergeCell ref="D14:G14"/>
    <mergeCell ref="A11:C11"/>
    <mergeCell ref="D6:G6"/>
    <mergeCell ref="A3:C3"/>
    <mergeCell ref="A12:C12"/>
    <mergeCell ref="D13:G13"/>
    <mergeCell ref="D3:G3"/>
    <mergeCell ref="A7:C7"/>
    <mergeCell ref="D9:G9"/>
    <mergeCell ref="A8:C8"/>
    <mergeCell ref="D7:G7"/>
    <mergeCell ref="A5:C5"/>
    <mergeCell ref="D10:G10"/>
    <mergeCell ref="D8:G8"/>
    <mergeCell ref="A6:C6"/>
    <mergeCell ref="A13:C13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2023-12-28T20:10:15Z</dcterms:created>
  <dcterms:modified xsi:type="dcterms:W3CDTF">2026-06-03T17:13:19Z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7819a1bf2a324bbfbb38937c8a46dcb3</vt:lpwstr>
  </property>
</Properties>
</file>