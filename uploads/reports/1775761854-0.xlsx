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C36074B6-200F-40DA-871F-68C56534D58F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7" i="10" l="1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<sst xmlns="http://schemas.openxmlformats.org/spreadsheetml/2006/main" count="1779" uniqueCount="86">
  <si>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</si>
  <si>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</si>
  <si>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</si>
  <si>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</si>
  <si>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</si>
  <si>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</si>
  <si>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</si>
  <si>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</si>
  <si>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</si>
  <si>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</si>
  <si>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</si>
  <si>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</si>
  <si>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</si>
  <si>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</si>
  <si>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</si>
  <si>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</si>
  <si>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</si>
  <si>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</si>
  <si>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</si>
  <si>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</si>
  <si>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</si>
  <si>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</si>
  <si>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</si>
  <si>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</si>
  <si>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</si>
  <si>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</si>
  <si>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</si>
  <si>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</si>
  <si>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</si>
  <si>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</si>
  <si>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</si>
  <si>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</si>
  <si>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</si>
  <si>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</si>
  <si>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</si>
  <si>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</si>
  <si>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</si>
  <si>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</si>
  <si>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</si>
  <si>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</si>
  <si>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</si>
  <si>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</si>
  <si>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</si>
  <si>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</si>
  <si>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</si>
  <si>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</si>
  <si>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</si>
  <si>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</si>
  <si>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</si>
  <si>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</si>
  <si>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</si>
  <si>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</si>
  <si>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</si>
  <si>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</si>
  <si>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</si>
  <si>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</si>
  <si>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</si>
  <si>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</si>
  <si>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</si>
  <si>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</si>
  <si>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</si>
  <si>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</si>
  <si>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</si>
  <si>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</si>
  <si>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</si>
  <si>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</si>
  <si>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</si>
  <si>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</si>
  <si>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</si>
  <si>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</si>
  <si>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</si>
  <si>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</si>
  <si>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</si>
  <si>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</si>
  <si>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</si>
  <si>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</si>
  <si>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</si>
  <si>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</si>
  <si>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</si>
  <si>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</si>
  <si>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</si>
  <si>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</si>
  <si>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</si>
  <si>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</si>
  <si>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</si>
  <si>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09APRIL2026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</si>
</sst>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853443</v>
      </c>
      <c r="C10" s="18">
        <f>BUGESERA!G29</f>
        <v>79410</v>
      </c>
      <c r="D10" s="19"/>
      <c r="E10" s="18"/>
      <c r="F10" s="14">
        <f t="shared" si="0"/>
        <v>932853</v>
      </c>
      <c r="G10" s="17">
        <f>BUGESERA!C33</f>
        <v>0</v>
      </c>
      <c r="H10" s="18">
        <f>BUGESERA!C31</f>
        <v>932853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8521065</v>
      </c>
      <c r="C29" s="33">
        <f t="shared" si="1"/>
        <v>775110</v>
      </c>
      <c r="D29" s="34">
        <f t="shared" si="1"/>
        <v>0</v>
      </c>
      <c r="E29" s="33">
        <f t="shared" si="1"/>
        <v>0</v>
      </c>
      <c r="F29" s="33">
        <f t="shared" si="1"/>
        <v>9296175</v>
      </c>
      <c r="G29" s="34">
        <f t="shared" si="1"/>
        <v>0</v>
      </c>
      <c r="H29" s="34">
        <f t="shared" si="1"/>
        <v>9296175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07"/>
      <c r="C30" s="107"/>
      <c r="D30" s="108"/>
      <c r="E30" s="158" t="s">
        <v>32</v>
      </c>
      <c r="F30" s="113"/>
      <c r="G30" s="113"/>
      <c r="H30" s="113"/>
      <c r="I30" s="114"/>
      <c r="J30" s="154"/>
      <c r="K30" s="114"/>
      <c r="L30" s="1"/>
      <c r="M30" s="1"/>
      <c r="N30" s="1"/>
      <c r="O30" s="1"/>
    </row>
    <row r="31" spans="1:15" ht="18" customHeight="1">
      <c r="A31" s="160" t="s">
        <v>33</v>
      </c>
      <c r="B31" s="107"/>
      <c r="C31" s="107"/>
      <c r="D31" s="161"/>
      <c r="E31" s="155"/>
      <c r="F31" s="122"/>
      <c r="G31" s="122"/>
      <c r="H31" s="122"/>
      <c r="I31" s="123"/>
      <c r="J31" s="155"/>
      <c r="K31" s="123"/>
      <c r="L31" s="1"/>
      <c r="M31" s="1"/>
      <c r="N31" s="1"/>
      <c r="O31" s="1"/>
    </row>
    <row r="32" spans="1:15" ht="18" customHeight="1">
      <c r="A32" s="144" t="s">
        <v>34</v>
      </c>
      <c r="B32" s="108"/>
      <c r="C32" s="159">
        <f>SUM(B29:C29)</f>
        <v>9296175</v>
      </c>
      <c r="D32" s="113"/>
      <c r="E32" s="155"/>
      <c r="F32" s="122"/>
      <c r="G32" s="122"/>
      <c r="H32" s="122"/>
      <c r="I32" s="123"/>
      <c r="J32" s="155"/>
      <c r="K32" s="123"/>
      <c r="L32" s="1"/>
      <c r="M32" s="1"/>
      <c r="N32" s="1"/>
      <c r="O32" s="1"/>
    </row>
    <row r="33" spans="1:15" ht="18" customHeight="1">
      <c r="A33" s="144" t="s">
        <v>35</v>
      </c>
      <c r="B33" s="108"/>
      <c r="C33" s="118">
        <f>SUM(F29,G29)</f>
        <v>9296175</v>
      </c>
      <c r="D33" s="107"/>
      <c r="E33" s="155"/>
      <c r="F33" s="122"/>
      <c r="G33" s="122"/>
      <c r="H33" s="122"/>
      <c r="I33" s="123"/>
      <c r="J33" s="155"/>
      <c r="K33" s="123"/>
      <c r="L33" s="1"/>
      <c r="M33" s="1"/>
      <c r="N33" s="1"/>
      <c r="O33" s="1"/>
    </row>
    <row r="34" spans="1:15" ht="18" customHeight="1">
      <c r="A34" s="144" t="s">
        <v>36</v>
      </c>
      <c r="B34" s="108"/>
      <c r="C34" s="118">
        <f>SUM(H29,J29,I29)</f>
        <v>9296175</v>
      </c>
      <c r="D34" s="108"/>
      <c r="E34" s="155"/>
      <c r="F34" s="122"/>
      <c r="G34" s="122"/>
      <c r="H34" s="122"/>
      <c r="I34" s="123"/>
      <c r="J34" s="155"/>
      <c r="K34" s="123"/>
      <c r="L34" s="1"/>
      <c r="M34" s="1"/>
      <c r="N34" s="1"/>
      <c r="O34" s="1"/>
    </row>
    <row r="35" spans="1:15" ht="18" customHeight="1">
      <c r="A35" s="144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5"/>
      <c r="K35" s="123"/>
      <c r="L35" s="1"/>
      <c r="M35" s="1"/>
      <c r="N35" s="1"/>
      <c r="O35" s="1"/>
    </row>
    <row r="36" spans="1:15" ht="18" customHeight="1">
      <c r="A36" s="144" t="s">
        <v>38</v>
      </c>
      <c r="B36" s="108"/>
      <c r="C36" s="118">
        <f>SUM(C33,C35)</f>
        <v>9296175</v>
      </c>
      <c r="D36" s="108"/>
      <c r="E36" s="156" t="s">
        <v>39</v>
      </c>
      <c r="F36" s="113"/>
      <c r="G36" s="113"/>
      <c r="H36" s="113"/>
      <c r="I36" s="114"/>
      <c r="J36" s="155"/>
      <c r="K36" s="123"/>
      <c r="L36" s="1"/>
      <c r="M36" s="1"/>
      <c r="N36" s="1"/>
      <c r="O36" s="1"/>
    </row>
    <row r="37" spans="1:15" ht="18" customHeight="1">
      <c r="A37" s="145" t="s">
        <v>40</v>
      </c>
      <c r="B37" s="117"/>
      <c r="C37" s="118">
        <f>SUM(C34:C35)</f>
        <v>9296175</v>
      </c>
      <c r="D37" s="108"/>
      <c r="E37" s="115"/>
      <c r="F37" s="116"/>
      <c r="G37" s="116"/>
      <c r="H37" s="116"/>
      <c r="I37" s="117"/>
      <c r="J37" s="155"/>
      <c r="K37" s="123"/>
      <c r="L37" s="1"/>
      <c r="M37" s="1"/>
      <c r="N37" s="1"/>
      <c r="O37" s="1"/>
    </row>
    <row r="38" spans="1:15" ht="18" customHeight="1">
      <c r="A38" s="157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J16" sqref="J16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2337</v>
      </c>
      <c r="C10" s="129">
        <v>2124</v>
      </c>
      <c r="D10" s="130"/>
      <c r="E10" s="48">
        <f t="shared" si="0"/>
        <v>4963788</v>
      </c>
      <c r="F10" s="48">
        <f t="shared" si="1"/>
        <v>757188</v>
      </c>
      <c r="G10" s="48">
        <f t="shared" si="4"/>
        <v>70110</v>
      </c>
      <c r="H10" s="49">
        <f t="shared" si="3"/>
        <v>827298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465</v>
      </c>
      <c r="C13" s="129">
        <v>1357</v>
      </c>
      <c r="D13" s="130"/>
      <c r="E13" s="48">
        <f t="shared" si="0"/>
        <v>631005</v>
      </c>
      <c r="F13" s="48">
        <f t="shared" si="1"/>
        <v>96255</v>
      </c>
      <c r="G13" s="48">
        <f t="shared" ref="G13:G14" si="5">PRODUCT(B13*20)</f>
        <v>9300</v>
      </c>
      <c r="H13" s="49">
        <f t="shared" si="3"/>
        <v>105555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5594793</v>
      </c>
      <c r="F29" s="74">
        <f t="shared" si="10"/>
        <v>853443</v>
      </c>
      <c r="G29" s="75">
        <f t="shared" si="10"/>
        <v>79410</v>
      </c>
      <c r="H29" s="76">
        <f t="shared" si="9"/>
        <v>932853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103">
        <v>932853</v>
      </c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104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2337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465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2802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A1:H2"/>
    <mergeCell ref="A3:H4"/>
    <mergeCell ref="C5:D5"/>
    <mergeCell ref="C6:D6"/>
    <mergeCell ref="C7:D7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B42:D42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2" t="s">
        <v>79</v>
      </c>
      <c r="B4" s="107"/>
      <c r="C4" s="108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22589</v>
      </c>
      <c r="E4" s="107"/>
      <c r="F4" s="107"/>
      <c r="G4" s="108"/>
    </row>
    <row r="5" spans="1:7" ht="36.75" customHeight="1">
      <c r="A5" s="182" t="s">
        <v>52</v>
      </c>
      <c r="B5" s="107"/>
      <c r="C5" s="108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2" t="s">
        <v>56</v>
      </c>
      <c r="B6" s="107"/>
      <c r="C6" s="108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4247</v>
      </c>
      <c r="E6" s="107"/>
      <c r="F6" s="107"/>
      <c r="G6" s="108"/>
    </row>
    <row r="7" spans="1:7" ht="38.25" customHeight="1">
      <c r="A7" s="181" t="s">
        <v>61</v>
      </c>
      <c r="B7" s="107"/>
      <c r="C7" s="108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1" t="s">
        <v>62</v>
      </c>
      <c r="B8" s="107"/>
      <c r="C8" s="108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1" t="s">
        <v>81</v>
      </c>
      <c r="B9" s="107"/>
      <c r="C9" s="108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1" t="s">
        <v>81</v>
      </c>
      <c r="B10" s="107"/>
      <c r="C10" s="108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1" t="s">
        <v>81</v>
      </c>
      <c r="B11" s="107"/>
      <c r="C11" s="108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1" t="s">
        <v>81</v>
      </c>
      <c r="B12" s="107"/>
      <c r="C12" s="108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1" t="s">
        <v>81</v>
      </c>
      <c r="B13" s="107"/>
      <c r="C13" s="108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1" t="s">
        <v>81</v>
      </c>
      <c r="B14" s="107"/>
      <c r="C14" s="108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1" t="s">
        <v>81</v>
      </c>
      <c r="B15" s="107"/>
      <c r="C15" s="108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1" t="s">
        <v>81</v>
      </c>
      <c r="B16" s="107"/>
      <c r="C16" s="108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1" t="s">
        <v>82</v>
      </c>
      <c r="B17" s="107"/>
      <c r="C17" s="108"/>
      <c r="D17" s="179">
        <f>SUM(D4:D16)</f>
        <v>27086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2026-04-09T19:06:56Z</dcterms:modified>
</cp:coreProperties>
</file>