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<sst xmlns="http://schemas.openxmlformats.org/spreadsheetml/2006/main" count="1779" uniqueCount="85">
  <si>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</si>
  <si>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</si>
  <si>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</si>
  <si>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</si>
  <si>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</si>
  <si>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</si>
  <si>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</si>
  <si>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</si>
  <si>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</si>
  <si>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</si>
  <si>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</si>
  <si>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</si>
  <si>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</si>
  <si>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</si>
  <si>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</si>
  <si>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</si>
  <si>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</si>
  <si>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</si>
  <si>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</si>
  <si>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</si>
  <si>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</si>
  <si>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</si>
  <si>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</si>
  <si>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</si>
  <si>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</si>
  <si>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</si>
  <si>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</si>
  <si>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</si>
  <si>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</si>
  <si>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</si>
  <si>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</si>
  <si>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</si>
  <si>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</si>
  <si>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</si>
  <si>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</si>
  <si>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</si>
  <si>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</si>
  <si>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</si>
  <si>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</si>
  <si>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</si>
  <si>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</si>
  <si>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</si>
  <si>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</si>
  <si>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</si>
  <si>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</si>
  <si>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</si>
  <si>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</si>
  <si>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</si>
  <si>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</si>
  <si>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</si>
  <si>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</si>
  <si>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</si>
  <si>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</si>
  <si>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</si>
  <si>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</si>
  <si>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</si>
  <si>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</si>
  <si>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</si>
  <si>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</si>
  <si>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</si>
  <si>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</si>
  <si>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</si>
  <si>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</si>
  <si>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</si>
  <si>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</si>
  <si>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</si>
  <si>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</si>
  <si>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</si>
  <si>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</si>
  <si>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</si>
  <si>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</si>
  <si>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</si>
  <si>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</si>
  <si>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</si>
  <si>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</si>
  <si>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</si>
  <si>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</si>
  <si>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</si>
  <si>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</si>
  <si>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</si>
  <si>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</si>
  <si>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</si>
  <si>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</si>
  <si>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</si>
  <si>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06\ 07\2026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</si>
</sst>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184138.16949152542</v>
      </c>
      <c r="C16" s="68">
        <f>KARONGI!G37</f>
        <v>24650</v>
      </c>
      <c r="D16" s="4"/>
      <c r="E16" s="3"/>
      <c r="F16" s="70">
        <f t="shared" si="0"/>
        <v>208788.16949152542</v>
      </c>
      <c r="G16" s="67">
        <f>KARONGI!C41</f>
        <v>0</v>
      </c>
      <c r="H16" s="68">
        <f>KARONGI!C39</f>
        <v>208788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7851760.1694915257</v>
      </c>
      <c r="C29" s="102">
        <f t="shared" si="1"/>
        <v>720350</v>
      </c>
      <c r="D29" s="103">
        <f t="shared" si="1"/>
        <v>0</v>
      </c>
      <c r="E29" s="102">
        <f t="shared" si="1"/>
        <v>0</v>
      </c>
      <c r="F29" s="102">
        <f>SUM(F5:F28)</f>
        <v>8572110.1694915257</v>
      </c>
      <c r="G29" s="103">
        <f>SUM(G5:G28)</f>
        <v>0</v>
      </c>
      <c r="H29" s="103">
        <f>SUM(H5:H28)</f>
        <v>8572110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8572110.1694915257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8572110.1694915257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8572110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8572110.1694915257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8572110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8" workbookViewId="0">
      <selection activeCell="G43" sqref="G43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233</v>
      </c>
      <c r="C7" s="182">
        <v>1416</v>
      </c>
      <c r="D7" s="183"/>
      <c r="E7" s="13">
        <f t="shared" si="0"/>
        <v>329928</v>
      </c>
      <c r="F7" s="13">
        <f t="shared" si="1"/>
        <v>50328</v>
      </c>
      <c r="G7" s="13">
        <f>PRODUCT(B7*50)</f>
        <v>11650</v>
      </c>
      <c r="H7" s="14">
        <f t="shared" si="2"/>
        <v>61978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300</v>
      </c>
      <c r="C10" s="166">
        <v>2124</v>
      </c>
      <c r="D10" s="167"/>
      <c r="E10" s="16">
        <f t="shared" si="0"/>
        <v>637200</v>
      </c>
      <c r="F10" s="16">
        <f t="shared" si="1"/>
        <v>97200</v>
      </c>
      <c r="G10" s="16">
        <f>PRODUCT(B10*30)</f>
        <v>9000</v>
      </c>
      <c r="H10" s="17">
        <f t="shared" si="2"/>
        <v>106200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200</v>
      </c>
      <c r="C13" s="166">
        <v>1200</v>
      </c>
      <c r="D13" s="167"/>
      <c r="E13" s="16">
        <f t="shared" si="0"/>
        <v>240000</v>
      </c>
      <c r="F13" s="16">
        <f t="shared" si="1"/>
        <v>36610.169491525427</v>
      </c>
      <c r="G13" s="16">
        <f>PRODUCT(B13*20)</f>
        <v>4000</v>
      </c>
      <c r="H13" s="17">
        <f t="shared" si="2"/>
        <v>40610.169491525427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1207128</v>
      </c>
      <c r="F37" s="32">
        <f>SUM(F5:F36)</f>
        <v>184138.16949152542</v>
      </c>
      <c r="G37" s="32">
        <f t="shared" ref="G37:H37" si="3">SUM(G5:G36)</f>
        <v>24650</v>
      </c>
      <c r="H37" s="32">
        <f t="shared" si="3"/>
        <v>208788.16949152542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208788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300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233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200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733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20552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483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3982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25017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2026-07-06T18:44:43Z</dcterms:modified>
</cp:coreProperties>
</file>