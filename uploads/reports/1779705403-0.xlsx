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<sst xmlns="http://schemas.openxmlformats.org/spreadsheetml/2006/main" count="66" uniqueCount="36">
  <si>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</si>
  <si>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Weekly Report 18-24/05/2026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</si>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</sst>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" workbookViewId="0">
      <selection activeCell="A3" sqref="A3:H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960</v>
      </c>
      <c r="C10" s="27">
        <v>2124</v>
      </c>
      <c r="D10" s="28"/>
      <c r="E10" s="29">
        <f t="shared" si="3"/>
        <v>2039040</v>
      </c>
      <c r="F10" s="29">
        <f t="shared" si="4"/>
        <v>311040</v>
      </c>
      <c r="G10" s="29">
        <f>PRODUCT(B10*30)</f>
        <v>28800</v>
      </c>
      <c r="H10" s="30">
        <f t="shared" si="5"/>
        <v>339840</v>
      </c>
    </row>
    <row r="11" spans="1:8">
      <c r="A11" s="25" t="s">
        <v>14</v>
      </c>
      <c r="B11" s="26">
        <v>20</v>
      </c>
      <c r="C11" s="27">
        <v>944</v>
      </c>
      <c r="D11" s="28"/>
      <c r="E11" s="29">
        <f t="shared" si="3"/>
        <v>18880</v>
      </c>
      <c r="F11" s="29">
        <f t="shared" si="4"/>
        <v>2880</v>
      </c>
      <c r="G11" s="29">
        <f>PRODUCT(B11*20)</f>
        <v>400</v>
      </c>
      <c r="H11" s="30">
        <f t="shared" si="5"/>
        <v>3280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1</v>
      </c>
      <c r="C17" s="39"/>
      <c r="D17" s="39">
        <v>12000</v>
      </c>
      <c r="E17" s="23">
        <f>PRODUCT(B17*C17)</f>
        <v>0</v>
      </c>
      <c r="F17" s="23">
        <f t="shared" ref="F17:F22" si="6">PRODUCT(E17*18)/118</f>
        <v>0</v>
      </c>
      <c r="G17" s="23">
        <f>PRODUCT(B17*D17)</f>
        <v>12000</v>
      </c>
      <c r="H17" s="24">
        <f>SUM(F17:G17)</f>
        <v>12000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2057920</v>
      </c>
      <c r="F41" s="52">
        <f>SUM(F6:F40)</f>
        <v>313920</v>
      </c>
      <c r="G41" s="52">
        <f>SUM(G6:G40)</f>
        <v>41200</v>
      </c>
      <c r="H41" s="53">
        <f t="shared" si="19"/>
        <v>355120</v>
      </c>
    </row>
    <row r="42" spans="1:8">
      <c r="A42" s="54" t="s">
        <v>22</v>
      </c>
      <c r="B42" s="55"/>
      <c r="C42" s="56">
        <v>177400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177720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355120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2026-05-25T10:29:36Z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2C6928738E4B485D9340111014BD758C_13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