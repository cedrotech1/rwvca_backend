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5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definedNames>
    <definedName name="_xlnm.Print_Area" localSheetId="22">KIREHE!$A$1:$S$55</definedName>
  </definedName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G23" i="23"/>
  <c r="E23" i="23"/>
  <c r="F23" i="23" s="1"/>
  <c r="G22" i="23"/>
  <c r="E22" i="23"/>
  <c r="F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7" i="23" l="1"/>
  <c r="H24" i="23"/>
  <c r="H20" i="23"/>
  <c r="H23" i="23"/>
  <c r="H10" i="23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<sst xmlns="http://schemas.openxmlformats.org/spreadsheetml/2006/main" count="1779" uniqueCount="88">
  <si>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</si>
  <si>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</si>
  <si>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</si>
  <si>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</si>
  <si>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</si>
  <si>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</si>
  <si>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</si>
  <si>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</si>
  <si>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</si>
  <si>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</si>
  <si>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</si>
  <si>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</si>
  <si>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</si>
  <si>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</si>
  <si>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</si>
  <si>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</si>
  <si>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</si>
  <si>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</si>
  <si>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</si>
  <si>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</si>
  <si>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</si>
  <si>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</si>
  <si>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</si>
  <si>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</si>
  <si>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</si>
  <si>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</si>
  <si>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</si>
  <si>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</si>
  <si>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</si>
  <si>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</si>
  <si>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</si>
  <si>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</si>
  <si>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</si>
  <si>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</si>
  <si>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</si>
  <si>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</si>
  <si>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</si>
  <si>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</si>
  <si>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</si>
  <si>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</si>
  <si>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</si>
  <si>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</si>
  <si>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</si>
  <si>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</si>
  <si>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</si>
  <si>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</si>
  <si>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</si>
  <si>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</si>
  <si>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</si>
  <si>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</si>
  <si>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</si>
  <si>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</si>
  <si>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</si>
  <si>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</si>
  <si>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</si>
  <si>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</si>
  <si>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</si>
  <si>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</si>
  <si>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</si>
  <si>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</si>
  <si>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</si>
  <si>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</si>
  <si>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</si>
  <si>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</si>
  <si>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</si>
  <si>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</si>
  <si>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</si>
  <si>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</si>
  <si>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</si>
  <si>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</si>
  <si>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</si>
  <si>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</si>
  <si>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</si>
  <si>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</si>
  <si>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</si>
  <si>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</si>
  <si>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</si>
  <si>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</si>
  <si>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</si>
  <si>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</si>
  <si>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</si>
  <si>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</si>
  <si>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</si>
  <si>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</si>
  <si>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IBIPANDE BYA PINUS</t>
  </si>
  <si>
    <t>MONTHLY REPORT OF MAY 2026</t>
  </si>
  <si>
    <t>INTURUSI DECHETS</t>
  </si>
  <si>
    <t>imisave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</si>
</sst>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1850494.1186440678</v>
      </c>
      <c r="C21" s="18">
        <f>KIREHE!G29</f>
        <v>450575</v>
      </c>
      <c r="D21" s="20"/>
      <c r="E21" s="21"/>
      <c r="F21" s="14">
        <f t="shared" si="0"/>
        <v>2301069.118644068</v>
      </c>
      <c r="G21" s="17">
        <f>KIREHE!C33</f>
        <v>0</v>
      </c>
      <c r="H21" s="18">
        <f>KIREHE!C31</f>
        <v>2301069.118644068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1850494.1186440678</v>
      </c>
      <c r="C29" s="33">
        <f t="shared" si="1"/>
        <v>450575</v>
      </c>
      <c r="D29" s="34">
        <f t="shared" si="1"/>
        <v>0</v>
      </c>
      <c r="E29" s="33">
        <f t="shared" si="1"/>
        <v>0</v>
      </c>
      <c r="F29" s="33">
        <f t="shared" si="1"/>
        <v>2301069.118644068</v>
      </c>
      <c r="G29" s="34">
        <f t="shared" si="1"/>
        <v>0</v>
      </c>
      <c r="H29" s="34">
        <f t="shared" si="1"/>
        <v>10664391.118644068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2301069.118644068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2301069.118644068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10664391.118644068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2301069.118644068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10664391.118644068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17" zoomScaleNormal="100" workbookViewId="0">
      <selection activeCell="G33" sqref="G33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85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84</v>
      </c>
      <c r="B7" s="43">
        <v>384</v>
      </c>
      <c r="C7" s="143">
        <v>3500</v>
      </c>
      <c r="D7" s="144"/>
      <c r="E7" s="44">
        <f t="shared" si="0"/>
        <v>1344000</v>
      </c>
      <c r="F7" s="44">
        <f t="shared" si="1"/>
        <v>205016.94915254237</v>
      </c>
      <c r="G7" s="44">
        <f t="shared" si="2"/>
        <v>19200</v>
      </c>
      <c r="H7" s="45">
        <f t="shared" si="3"/>
        <v>224216.94915254237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2968</v>
      </c>
      <c r="C10" s="146">
        <v>2124</v>
      </c>
      <c r="D10" s="141"/>
      <c r="E10" s="48">
        <f t="shared" si="0"/>
        <v>6304032</v>
      </c>
      <c r="F10" s="48">
        <f t="shared" si="1"/>
        <v>961632</v>
      </c>
      <c r="G10" s="48">
        <f t="shared" si="4"/>
        <v>89040</v>
      </c>
      <c r="H10" s="49">
        <f t="shared" si="3"/>
        <v>1050672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1180</v>
      </c>
      <c r="C17" s="56">
        <v>1000</v>
      </c>
      <c r="D17" s="56">
        <v>30</v>
      </c>
      <c r="E17" s="57">
        <f t="shared" ref="E17:E28" si="6">PRODUCT(B17*C17)</f>
        <v>1180000</v>
      </c>
      <c r="F17" s="58">
        <f t="shared" ref="F17:F28" si="7">PRODUCT(E17*18)/118</f>
        <v>180000</v>
      </c>
      <c r="G17" s="58">
        <f t="shared" ref="G17:G28" si="8">PRODUCT(B17*D17)</f>
        <v>35400</v>
      </c>
      <c r="H17" s="58">
        <f t="shared" ref="H17:H29" si="9">SUM(F17:G17)</f>
        <v>215400</v>
      </c>
    </row>
    <row r="18" spans="1:8" ht="14.25" customHeight="1">
      <c r="A18" s="59" t="s">
        <v>61</v>
      </c>
      <c r="B18" s="60">
        <v>521</v>
      </c>
      <c r="C18" s="60">
        <v>1180</v>
      </c>
      <c r="D18" s="60">
        <v>30</v>
      </c>
      <c r="E18" s="61">
        <f t="shared" si="6"/>
        <v>614780</v>
      </c>
      <c r="F18" s="62">
        <f t="shared" si="7"/>
        <v>93780</v>
      </c>
      <c r="G18" s="62">
        <f t="shared" si="8"/>
        <v>15630</v>
      </c>
      <c r="H18" s="62">
        <f t="shared" si="9"/>
        <v>109410</v>
      </c>
    </row>
    <row r="19" spans="1:8" ht="14.25" customHeight="1">
      <c r="A19" s="63" t="s">
        <v>56</v>
      </c>
      <c r="B19" s="64">
        <v>1506</v>
      </c>
      <c r="C19" s="64">
        <v>1534</v>
      </c>
      <c r="D19" s="64">
        <v>30</v>
      </c>
      <c r="E19" s="61">
        <f t="shared" si="6"/>
        <v>2310204</v>
      </c>
      <c r="F19" s="62">
        <f t="shared" si="7"/>
        <v>352404</v>
      </c>
      <c r="G19" s="62">
        <f t="shared" si="8"/>
        <v>45180</v>
      </c>
      <c r="H19" s="62">
        <f t="shared" si="9"/>
        <v>397584</v>
      </c>
    </row>
    <row r="20" spans="1:8" ht="14.25" customHeight="1">
      <c r="A20" s="63" t="s">
        <v>62</v>
      </c>
      <c r="B20" s="64">
        <v>10</v>
      </c>
      <c r="C20" s="64">
        <v>1200</v>
      </c>
      <c r="D20" s="64">
        <v>30</v>
      </c>
      <c r="E20" s="61">
        <f t="shared" si="6"/>
        <v>12000</v>
      </c>
      <c r="F20" s="62">
        <f t="shared" si="7"/>
        <v>1830.5084745762713</v>
      </c>
      <c r="G20" s="62">
        <f t="shared" si="8"/>
        <v>300</v>
      </c>
      <c r="H20" s="62">
        <f t="shared" si="9"/>
        <v>2130.5084745762715</v>
      </c>
    </row>
    <row r="21" spans="1:8" ht="14.25" customHeight="1">
      <c r="A21" s="63" t="s">
        <v>86</v>
      </c>
      <c r="B21" s="64">
        <v>150</v>
      </c>
      <c r="C21" s="64">
        <v>1800</v>
      </c>
      <c r="D21" s="64">
        <v>30</v>
      </c>
      <c r="E21" s="61">
        <f t="shared" si="6"/>
        <v>270000</v>
      </c>
      <c r="F21" s="62">
        <f t="shared" si="7"/>
        <v>41186.4406779661</v>
      </c>
      <c r="G21" s="62">
        <f t="shared" si="8"/>
        <v>4500</v>
      </c>
      <c r="H21" s="62">
        <f t="shared" si="9"/>
        <v>45686.4406779661</v>
      </c>
    </row>
    <row r="22" spans="1:8" ht="14.25" customHeight="1">
      <c r="A22" s="63" t="s">
        <v>87</v>
      </c>
      <c r="B22" s="64">
        <v>54</v>
      </c>
      <c r="C22" s="64">
        <v>1500</v>
      </c>
      <c r="D22" s="64">
        <v>30</v>
      </c>
      <c r="E22" s="61">
        <f t="shared" si="6"/>
        <v>81000</v>
      </c>
      <c r="F22" s="62">
        <f t="shared" si="7"/>
        <v>12355.93220338983</v>
      </c>
      <c r="G22" s="62">
        <f t="shared" si="8"/>
        <v>1620</v>
      </c>
      <c r="H22" s="62">
        <f t="shared" si="9"/>
        <v>13975.93220338983</v>
      </c>
    </row>
    <row r="23" spans="1:8" ht="14.25" customHeight="1">
      <c r="A23" s="63" t="s">
        <v>63</v>
      </c>
      <c r="B23" s="65">
        <v>10</v>
      </c>
      <c r="C23" s="65">
        <v>1500</v>
      </c>
      <c r="D23" s="65">
        <v>30</v>
      </c>
      <c r="E23" s="61">
        <f t="shared" si="6"/>
        <v>15000</v>
      </c>
      <c r="F23" s="62">
        <f t="shared" si="7"/>
        <v>2288.1355932203392</v>
      </c>
      <c r="G23" s="62">
        <f t="shared" si="8"/>
        <v>300</v>
      </c>
      <c r="H23" s="62">
        <f t="shared" si="9"/>
        <v>2588.1355932203392</v>
      </c>
    </row>
    <row r="24" spans="1:8" ht="14.25" customHeight="1">
      <c r="A24" s="63" t="s">
        <v>63</v>
      </c>
      <c r="B24" s="60">
        <v>1</v>
      </c>
      <c r="C24" s="60">
        <v>1</v>
      </c>
      <c r="D24" s="60">
        <v>239405</v>
      </c>
      <c r="E24" s="61">
        <f t="shared" si="6"/>
        <v>1</v>
      </c>
      <c r="F24" s="62">
        <f t="shared" si="7"/>
        <v>0.15254237288135594</v>
      </c>
      <c r="G24" s="62">
        <f t="shared" si="8"/>
        <v>239405</v>
      </c>
      <c r="H24" s="62">
        <f t="shared" si="9"/>
        <v>239405.15254237287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12131017</v>
      </c>
      <c r="F29" s="74">
        <f t="shared" si="10"/>
        <v>1850494.1186440678</v>
      </c>
      <c r="G29" s="75">
        <f t="shared" si="10"/>
        <v>450575</v>
      </c>
      <c r="H29" s="76">
        <f t="shared" si="9"/>
        <v>2301069.118644068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>
        <f>H29</f>
        <v>2301069.118644068</v>
      </c>
      <c r="D31" s="82"/>
      <c r="E31" s="143"/>
      <c r="F31" s="144"/>
      <c r="G31" s="10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104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C34+C31+C35</f>
        <v>2301069.118644068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2968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384</v>
      </c>
      <c r="F42" s="129"/>
      <c r="G42" s="129"/>
      <c r="H42" s="107"/>
    </row>
    <row r="43" spans="1:8" ht="14.25" customHeight="1">
      <c r="A43" s="98"/>
      <c r="B43" s="137" t="s">
        <v>56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1701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1516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150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54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10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1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6784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2968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384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1701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1516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150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54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10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1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6784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  <vt:lpstr>KIREHE!Print_Area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2026-06-01T18:04:35Z</dcterms:modified>
</cp:coreProperties>
</file>