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RWVCA DOCUMENT\"/>
    </mc:Choice>
  </mc:AlternateContent>
  <bookViews>
    <workbookView xWindow="0" yWindow="0" windowWidth="23040" windowHeight="9072" tabRatio="965" activeTab="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" i="2" l="1"/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G31" i="24"/>
  <c r="E31" i="24"/>
  <c r="F31" i="24" s="1"/>
  <c r="H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E22" i="24"/>
  <c r="F22" i="24" s="1"/>
  <c r="H22" i="24" s="1"/>
  <c r="G21" i="24"/>
  <c r="E21" i="24"/>
  <c r="F21" i="24" s="1"/>
  <c r="G20" i="24"/>
  <c r="E20" i="24"/>
  <c r="F20" i="24" s="1"/>
  <c r="G19" i="24"/>
  <c r="E19" i="24"/>
  <c r="F19" i="24" s="1"/>
  <c r="H19" i="24" s="1"/>
  <c r="G18" i="24"/>
  <c r="F18" i="24"/>
  <c r="H18" i="24" s="1"/>
  <c r="E18" i="24"/>
  <c r="G17" i="24"/>
  <c r="E17" i="24"/>
  <c r="F17" i="24" s="1"/>
  <c r="H17" i="24" s="1"/>
  <c r="G14" i="24"/>
  <c r="F14" i="24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F6" i="24"/>
  <c r="E6" i="24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G33" i="23"/>
  <c r="E33" i="23"/>
  <c r="F33" i="23" s="1"/>
  <c r="H33" i="23" s="1"/>
  <c r="G32" i="23"/>
  <c r="E32" i="23"/>
  <c r="F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G27" i="23"/>
  <c r="E27" i="23"/>
  <c r="F27" i="23" s="1"/>
  <c r="H27" i="23" s="1"/>
  <c r="G26" i="23"/>
  <c r="E26" i="23"/>
  <c r="F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G7" i="23"/>
  <c r="E7" i="23"/>
  <c r="F7" i="23" s="1"/>
  <c r="H7" i="23" s="1"/>
  <c r="G6" i="23"/>
  <c r="G37" i="23" s="1"/>
  <c r="C24" i="1" s="1"/>
  <c r="E6" i="23"/>
  <c r="F6" i="23" s="1"/>
  <c r="E61" i="18"/>
  <c r="D16" i="21" s="1"/>
  <c r="E60" i="18"/>
  <c r="D15" i="21" s="1"/>
  <c r="E59" i="18"/>
  <c r="D14" i="21" s="1"/>
  <c r="E58" i="18"/>
  <c r="D13" i="21" s="1"/>
  <c r="E57" i="18"/>
  <c r="E56" i="18"/>
  <c r="D11" i="21" s="1"/>
  <c r="E55" i="18"/>
  <c r="D10" i="21" s="1"/>
  <c r="E54" i="18"/>
  <c r="D9" i="21" s="1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G33" i="18"/>
  <c r="E33" i="18"/>
  <c r="F33" i="18" s="1"/>
  <c r="H33" i="18" s="1"/>
  <c r="G32" i="18"/>
  <c r="E32" i="18"/>
  <c r="F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G27" i="18"/>
  <c r="E27" i="18"/>
  <c r="F27" i="18" s="1"/>
  <c r="H27" i="18" s="1"/>
  <c r="G26" i="18"/>
  <c r="E26" i="18"/>
  <c r="F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G21" i="18"/>
  <c r="E21" i="18"/>
  <c r="F21" i="18" s="1"/>
  <c r="H21" i="18" s="1"/>
  <c r="G20" i="18"/>
  <c r="E20" i="18"/>
  <c r="F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G7" i="18"/>
  <c r="E7" i="18"/>
  <c r="F7" i="18" s="1"/>
  <c r="H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G33" i="17"/>
  <c r="E33" i="17"/>
  <c r="F33" i="17" s="1"/>
  <c r="H33" i="17" s="1"/>
  <c r="G32" i="17"/>
  <c r="E32" i="17"/>
  <c r="F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G27" i="17"/>
  <c r="E27" i="17"/>
  <c r="F27" i="17" s="1"/>
  <c r="H27" i="17" s="1"/>
  <c r="G26" i="17"/>
  <c r="E26" i="17"/>
  <c r="F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H21" i="17" s="1"/>
  <c r="G20" i="17"/>
  <c r="E20" i="17"/>
  <c r="F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G13" i="17"/>
  <c r="E13" i="17"/>
  <c r="F13" i="17" s="1"/>
  <c r="H13" i="17" s="1"/>
  <c r="G12" i="17"/>
  <c r="E12" i="17"/>
  <c r="F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G37" i="17" s="1"/>
  <c r="C21" i="1" s="1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G33" i="16"/>
  <c r="E33" i="16"/>
  <c r="F33" i="16" s="1"/>
  <c r="H33" i="16" s="1"/>
  <c r="G32" i="16"/>
  <c r="E32" i="16"/>
  <c r="F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G27" i="16"/>
  <c r="E27" i="16"/>
  <c r="F27" i="16" s="1"/>
  <c r="H27" i="16" s="1"/>
  <c r="G26" i="16"/>
  <c r="E26" i="16"/>
  <c r="F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G21" i="16"/>
  <c r="E21" i="16"/>
  <c r="F21" i="16" s="1"/>
  <c r="H21" i="16" s="1"/>
  <c r="G20" i="16"/>
  <c r="E20" i="16"/>
  <c r="F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G13" i="16"/>
  <c r="E13" i="16"/>
  <c r="F13" i="16" s="1"/>
  <c r="H13" i="16" s="1"/>
  <c r="G12" i="16"/>
  <c r="E12" i="16"/>
  <c r="F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G33" i="14"/>
  <c r="E33" i="14"/>
  <c r="F33" i="14" s="1"/>
  <c r="H33" i="14" s="1"/>
  <c r="G32" i="14"/>
  <c r="E32" i="14"/>
  <c r="F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G33" i="13"/>
  <c r="E33" i="13"/>
  <c r="F33" i="13" s="1"/>
  <c r="H33" i="13" s="1"/>
  <c r="G32" i="13"/>
  <c r="E32" i="13"/>
  <c r="F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G27" i="13"/>
  <c r="E27" i="13"/>
  <c r="F27" i="13" s="1"/>
  <c r="H27" i="13" s="1"/>
  <c r="G26" i="13"/>
  <c r="E26" i="13"/>
  <c r="F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G21" i="13"/>
  <c r="E21" i="13"/>
  <c r="F21" i="13" s="1"/>
  <c r="H21" i="13" s="1"/>
  <c r="G20" i="13"/>
  <c r="E20" i="13"/>
  <c r="F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G13" i="13"/>
  <c r="E13" i="13"/>
  <c r="F13" i="13" s="1"/>
  <c r="H13" i="13" s="1"/>
  <c r="G12" i="13"/>
  <c r="E12" i="13"/>
  <c r="F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G33" i="12"/>
  <c r="E33" i="12"/>
  <c r="F33" i="12" s="1"/>
  <c r="H33" i="12" s="1"/>
  <c r="G32" i="12"/>
  <c r="E32" i="12"/>
  <c r="F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G27" i="12"/>
  <c r="E27" i="12"/>
  <c r="F27" i="12" s="1"/>
  <c r="H27" i="12" s="1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H21" i="12" s="1"/>
  <c r="G20" i="12"/>
  <c r="E20" i="12"/>
  <c r="F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E36" i="15"/>
  <c r="F36" i="15" s="1"/>
  <c r="H36" i="15" s="1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E32" i="15"/>
  <c r="F32" i="15" s="1"/>
  <c r="H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H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F12" i="15"/>
  <c r="H12" i="15" s="1"/>
  <c r="E12" i="15"/>
  <c r="G11" i="15"/>
  <c r="E11" i="15"/>
  <c r="F11" i="15" s="1"/>
  <c r="H11" i="15" s="1"/>
  <c r="G10" i="15"/>
  <c r="E10" i="15"/>
  <c r="F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G31" i="10"/>
  <c r="E31" i="10"/>
  <c r="F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G25" i="10"/>
  <c r="E25" i="10"/>
  <c r="F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G19" i="10"/>
  <c r="E19" i="10"/>
  <c r="F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H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G31" i="9"/>
  <c r="E31" i="9"/>
  <c r="F31" i="9" s="1"/>
  <c r="H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E36" i="8"/>
  <c r="F36" i="8" s="1"/>
  <c r="H36" i="8" s="1"/>
  <c r="G35" i="8"/>
  <c r="E35" i="8"/>
  <c r="F35" i="8" s="1"/>
  <c r="H35" i="8" s="1"/>
  <c r="G34" i="8"/>
  <c r="F34" i="8"/>
  <c r="H34" i="8" s="1"/>
  <c r="E34" i="8"/>
  <c r="G33" i="8"/>
  <c r="E33" i="8"/>
  <c r="F33" i="8" s="1"/>
  <c r="H33" i="8" s="1"/>
  <c r="G32" i="8"/>
  <c r="E32" i="8"/>
  <c r="F32" i="8" s="1"/>
  <c r="H32" i="8" s="1"/>
  <c r="G31" i="8"/>
  <c r="E31" i="8"/>
  <c r="F31" i="8" s="1"/>
  <c r="H31" i="8" s="1"/>
  <c r="G30" i="8"/>
  <c r="F30" i="8"/>
  <c r="H30" i="8" s="1"/>
  <c r="E30" i="8"/>
  <c r="G29" i="8"/>
  <c r="E29" i="8"/>
  <c r="F29" i="8" s="1"/>
  <c r="H29" i="8" s="1"/>
  <c r="G28" i="8"/>
  <c r="E28" i="8"/>
  <c r="F28" i="8" s="1"/>
  <c r="H28" i="8" s="1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F21" i="8"/>
  <c r="H21" i="8" s="1"/>
  <c r="E21" i="8"/>
  <c r="G20" i="8"/>
  <c r="E20" i="8"/>
  <c r="F20" i="8" s="1"/>
  <c r="G19" i="8"/>
  <c r="E19" i="8"/>
  <c r="F19" i="8" s="1"/>
  <c r="H19" i="8" s="1"/>
  <c r="G18" i="8"/>
  <c r="E18" i="8"/>
  <c r="F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H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D12" i="21" s="1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E62" i="14" l="1"/>
  <c r="E62" i="16"/>
  <c r="G37" i="24"/>
  <c r="C25" i="1" s="1"/>
  <c r="H18" i="8"/>
  <c r="H29" i="15"/>
  <c r="H8" i="12"/>
  <c r="H14" i="12"/>
  <c r="H22" i="12"/>
  <c r="H28" i="12"/>
  <c r="H34" i="12"/>
  <c r="H8" i="13"/>
  <c r="H14" i="13"/>
  <c r="H22" i="13"/>
  <c r="H28" i="13"/>
  <c r="H34" i="13"/>
  <c r="H8" i="14"/>
  <c r="H14" i="14"/>
  <c r="H22" i="14"/>
  <c r="H28" i="14"/>
  <c r="H34" i="14"/>
  <c r="H8" i="16"/>
  <c r="H14" i="16"/>
  <c r="H22" i="16"/>
  <c r="H28" i="16"/>
  <c r="H34" i="16"/>
  <c r="H8" i="17"/>
  <c r="H14" i="17"/>
  <c r="H22" i="17"/>
  <c r="H28" i="17"/>
  <c r="H34" i="17"/>
  <c r="H8" i="18"/>
  <c r="H14" i="18"/>
  <c r="H22" i="18"/>
  <c r="H28" i="18"/>
  <c r="H34" i="18"/>
  <c r="H8" i="23"/>
  <c r="H14" i="23"/>
  <c r="H22" i="23"/>
  <c r="H28" i="23"/>
  <c r="H34" i="23"/>
  <c r="H23" i="24"/>
  <c r="G37" i="19"/>
  <c r="C23" i="1" s="1"/>
  <c r="G37" i="6"/>
  <c r="C9" i="1" s="1"/>
  <c r="H20" i="8"/>
  <c r="D4" i="21"/>
  <c r="E62" i="7"/>
  <c r="D5" i="21"/>
  <c r="D7" i="21"/>
  <c r="H19" i="10"/>
  <c r="H25" i="10"/>
  <c r="H31" i="10"/>
  <c r="H11" i="11"/>
  <c r="H26" i="15"/>
  <c r="H20" i="24"/>
  <c r="D8" i="21"/>
  <c r="E62" i="8"/>
  <c r="E62" i="9"/>
  <c r="H26" i="9"/>
  <c r="H32" i="9"/>
  <c r="H12" i="10"/>
  <c r="H20" i="10"/>
  <c r="H26" i="10"/>
  <c r="H32" i="10"/>
  <c r="H12" i="11"/>
  <c r="H20" i="11"/>
  <c r="H26" i="11"/>
  <c r="H32" i="11"/>
  <c r="H10" i="15"/>
  <c r="H27" i="15"/>
  <c r="H21" i="24"/>
  <c r="E62" i="6"/>
  <c r="G37" i="10"/>
  <c r="H22" i="15"/>
  <c r="H12" i="12"/>
  <c r="H20" i="12"/>
  <c r="H26" i="12"/>
  <c r="H32" i="12"/>
  <c r="E62" i="12"/>
  <c r="H12" i="13"/>
  <c r="H20" i="13"/>
  <c r="H26" i="13"/>
  <c r="H32" i="13"/>
  <c r="H12" i="14"/>
  <c r="H20" i="14"/>
  <c r="H26" i="14"/>
  <c r="H32" i="14"/>
  <c r="H12" i="16"/>
  <c r="H20" i="16"/>
  <c r="H26" i="16"/>
  <c r="H32" i="16"/>
  <c r="H12" i="17"/>
  <c r="H20" i="17"/>
  <c r="H26" i="17"/>
  <c r="H32" i="17"/>
  <c r="H12" i="18"/>
  <c r="H20" i="18"/>
  <c r="H26" i="18"/>
  <c r="H32" i="18"/>
  <c r="H12" i="23"/>
  <c r="H20" i="23"/>
  <c r="H26" i="23"/>
  <c r="H32" i="23"/>
  <c r="H10" i="24"/>
  <c r="H14" i="24"/>
  <c r="H32" i="24"/>
  <c r="H20" i="2"/>
  <c r="H17" i="2"/>
  <c r="D6" i="21"/>
  <c r="H9" i="2"/>
  <c r="H11" i="2"/>
  <c r="H12" i="3"/>
  <c r="H13" i="3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H37" i="24" s="1"/>
  <c r="F37" i="23"/>
  <c r="B24" i="1" s="1"/>
  <c r="H6" i="23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H37" i="8" s="1"/>
  <c r="E37" i="8"/>
  <c r="F37" i="6"/>
  <c r="B9" i="1" s="1"/>
  <c r="H6" i="6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H37" i="4" s="1"/>
  <c r="E37" i="4"/>
  <c r="F37" i="3"/>
  <c r="H6" i="3"/>
  <c r="E37" i="3"/>
  <c r="F37" i="5"/>
  <c r="B8" i="1" s="1"/>
  <c r="H6" i="5"/>
  <c r="E37" i="5"/>
  <c r="F37" i="2"/>
  <c r="H6" i="2"/>
  <c r="E37" i="2"/>
  <c r="H37" i="16" l="1"/>
  <c r="H37" i="11"/>
  <c r="H37" i="15"/>
  <c r="H37" i="12"/>
  <c r="H37" i="5"/>
  <c r="H37" i="13"/>
  <c r="H37" i="6"/>
  <c r="H37" i="7"/>
  <c r="H37" i="9"/>
  <c r="H37" i="18"/>
  <c r="H37" i="10"/>
  <c r="H37" i="14"/>
  <c r="H37" i="23"/>
  <c r="H37" i="2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<sst xmlns="http://schemas.openxmlformats.org/spreadsheetml/2006/main" count="1698" uniqueCount="96">
  <si>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</si>
  <si>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</si>
  <si>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</si>
  <si>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</si>
  <si>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</si>
  <si>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</si>
  <si>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</si>
  <si>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</si>
  <si>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</si>
  <si>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</si>
  <si>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</si>
  <si>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</si>
  <si>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</si>
  <si>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</si>
  <si>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</si>
  <si>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</si>
  <si>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</si>
  <si>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</si>
  <si>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</si>
  <si>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</si>
  <si>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</si>
  <si>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</si>
  <si>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</si>
  <si>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</si>
  <si>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</si>
  <si>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</si>
  <si>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</si>
  <si>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</si>
  <si>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</si>
  <si>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</si>
  <si>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</si>
  <si>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</si>
  <si>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</si>
  <si>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</si>
  <si>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</si>
  <si>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</si>
  <si>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</si>
  <si>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</si>
  <si>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</si>
  <si>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</si>
  <si>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</si>
  <si>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</si>
  <si>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</si>
  <si>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</si>
  <si>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</si>
  <si>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</si>
  <si>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</si>
  <si>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</si>
  <si>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</si>
  <si>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</si>
  <si>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</si>
  <si>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</si>
  <si>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</si>
  <si>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</si>
  <si>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</si>
  <si>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</si>
  <si>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</si>
  <si>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</si>
  <si>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</si>
  <si>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</si>
  <si>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</si>
  <si>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</si>
  <si>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</si>
  <si>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</si>
  <si>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</si>
  <si>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</si>
  <si>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</si>
  <si>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</si>
  <si>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</si>
  <si>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</si>
  <si>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</si>
  <si>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</si>
  <si>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</si>
  <si>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</si>
  <si>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</si>
  <si>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</si>
  <si>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</si>
  <si>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</si>
  <si>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</si>
  <si>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</si>
  <si>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</si>
  <si>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</si>
  <si>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</si>
  <si>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</si>
  <si>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</si>
  <si>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</si>
  <si>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16 TO 22 FEBRUARY 2026</t>
  </si>
  <si>
    <t>INTURUSU NTOYA</t>
  </si>
  <si>
    <t>Pinus</t>
  </si>
  <si>
    <t>Pinus Ntoya</t>
  </si>
  <si>
    <t>Inturusu ntoya</t>
  </si>
  <si>
    <t>Munyongoro</t>
  </si>
  <si>
    <t>IBIPANDE BYA Pinus</t>
  </si>
  <si>
    <t>Madrien</t>
  </si>
  <si>
    <t>Planche Za Pinus</t>
  </si>
  <si>
    <t>MONTH APRIL REPORT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</si>
</sst>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9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88671875" defaultRowHeight="18"/>
  <cols>
    <col min="1" max="1" width="22.77734375" style="83" customWidth="1"/>
    <col min="2" max="2" width="28.21875" style="87" customWidth="1"/>
    <col min="3" max="3" width="24.44140625" style="88" customWidth="1"/>
    <col min="4" max="4" width="16.109375" style="83" customWidth="1"/>
    <col min="5" max="5" width="21.77734375" style="83" customWidth="1"/>
    <col min="6" max="6" width="20.6640625" style="85" customWidth="1"/>
    <col min="7" max="7" width="20.109375" style="85" customWidth="1"/>
    <col min="8" max="8" width="17" style="83" customWidth="1"/>
    <col min="9" max="9" width="16.77734375" style="83" customWidth="1"/>
    <col min="10" max="10" width="14.6640625" style="83" customWidth="1"/>
    <col min="11" max="11" width="8.88671875" style="83"/>
    <col min="12" max="12" width="19.88671875" style="83" customWidth="1"/>
    <col min="13" max="16384" width="8.88671875" style="83"/>
  </cols>
  <sheetData>
    <row r="1" spans="1:15" ht="50.4">
      <c r="A1" s="120" t="s">
        <v>37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82"/>
      <c r="M1" s="82"/>
      <c r="N1" s="82"/>
    </row>
    <row r="2" spans="1:15" ht="31.05" customHeight="1">
      <c r="A2" s="122" t="s">
        <v>36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82"/>
      <c r="M2" s="82"/>
      <c r="N2" s="82"/>
    </row>
    <row r="3" spans="1:15" ht="15" customHeight="1" thickBot="1">
      <c r="A3" s="122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82"/>
      <c r="M3" s="82"/>
      <c r="N3" s="82"/>
    </row>
    <row r="4" spans="1:15" ht="18.600000000000001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8.600000000000001" thickBot="1">
      <c r="A5" s="73" t="s">
        <v>16</v>
      </c>
      <c r="B5" s="45">
        <f>GISOZI!F37</f>
        <v>43011052.474576265</v>
      </c>
      <c r="C5" s="46">
        <f>GISOZI!G37</f>
        <v>3496975</v>
      </c>
      <c r="D5" s="46">
        <f>GISOZI!C43</f>
        <v>0</v>
      </c>
      <c r="E5" s="46">
        <f>GISOZI!C44</f>
        <v>0</v>
      </c>
      <c r="F5" s="50">
        <f>SUM(B5:C5)</f>
        <v>46508027.474576265</v>
      </c>
      <c r="G5" s="46">
        <f>GISOZI!C41</f>
        <v>0</v>
      </c>
      <c r="H5" s="46">
        <f>GISOZI!C39</f>
        <v>46511291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8.600000000000001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8.600000000000001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2711706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8.600000000000001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8.600000000000001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8.600000000000001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8.600000000000001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8.600000000000001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8.600000000000001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8.600000000000001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8.600000000000001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8.600000000000001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8.600000000000001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8.600000000000001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8.600000000000001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8.600000000000001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8.600000000000001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8.600000000000001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8.600000000000001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8.600000000000001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8.600000000000001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8.600000000000001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8.600000000000001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8.600000000000001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8.600000000000001" thickBot="1">
      <c r="A29" s="68"/>
      <c r="B29" s="69">
        <f t="shared" ref="B29:E29" si="1">SUM(B5:B28)</f>
        <v>43011052.474576265</v>
      </c>
      <c r="C29" s="70">
        <f t="shared" si="1"/>
        <v>3496975</v>
      </c>
      <c r="D29" s="71">
        <f t="shared" si="1"/>
        <v>0</v>
      </c>
      <c r="E29" s="70">
        <f t="shared" si="1"/>
        <v>0</v>
      </c>
      <c r="F29" s="70">
        <f>SUM(F5:F28)</f>
        <v>46508027.474576265</v>
      </c>
      <c r="G29" s="71">
        <f>SUM(G5:G28)</f>
        <v>0</v>
      </c>
      <c r="H29" s="71">
        <f>SUM(H5:H28)</f>
        <v>49222997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4"/>
      <c r="B30" s="114"/>
      <c r="C30" s="114"/>
      <c r="D30" s="115"/>
      <c r="E30" s="148" t="s">
        <v>11</v>
      </c>
      <c r="F30" s="149"/>
      <c r="G30" s="149"/>
      <c r="H30" s="149"/>
      <c r="I30" s="150"/>
      <c r="J30" s="124"/>
      <c r="K30" s="125"/>
      <c r="L30" s="82"/>
    </row>
    <row r="31" spans="1:15" ht="18.600000000000001" thickBot="1">
      <c r="A31" s="145" t="s">
        <v>9</v>
      </c>
      <c r="B31" s="146"/>
      <c r="C31" s="146"/>
      <c r="D31" s="146"/>
      <c r="E31" s="151"/>
      <c r="F31" s="152"/>
      <c r="G31" s="152"/>
      <c r="H31" s="152"/>
      <c r="I31" s="153"/>
      <c r="J31" s="126"/>
      <c r="K31" s="127"/>
      <c r="L31" s="82"/>
    </row>
    <row r="32" spans="1:15" ht="15" thickBot="1">
      <c r="A32" s="116" t="s">
        <v>12</v>
      </c>
      <c r="B32" s="117"/>
      <c r="C32" s="118">
        <f>SUM(B29+C29)</f>
        <v>46508027.474576265</v>
      </c>
      <c r="D32" s="119"/>
      <c r="E32" s="151"/>
      <c r="F32" s="152"/>
      <c r="G32" s="152"/>
      <c r="H32" s="152"/>
      <c r="I32" s="153"/>
      <c r="J32" s="126"/>
      <c r="K32" s="127"/>
      <c r="L32" s="82"/>
    </row>
    <row r="33" spans="1:12" ht="15" thickBot="1">
      <c r="A33" s="116" t="s">
        <v>13</v>
      </c>
      <c r="B33" s="117"/>
      <c r="C33" s="139">
        <f>SUM(F29,G29)</f>
        <v>46508027.474576265</v>
      </c>
      <c r="D33" s="147"/>
      <c r="E33" s="151"/>
      <c r="F33" s="152"/>
      <c r="G33" s="152"/>
      <c r="H33" s="152"/>
      <c r="I33" s="153"/>
      <c r="J33" s="126"/>
      <c r="K33" s="127"/>
      <c r="L33" s="82"/>
    </row>
    <row r="34" spans="1:12" ht="15" thickBot="1">
      <c r="A34" s="141" t="s">
        <v>81</v>
      </c>
      <c r="B34" s="142"/>
      <c r="C34" s="139">
        <f>SUM(H29,J29,I29+G29)</f>
        <v>49222997</v>
      </c>
      <c r="D34" s="140"/>
      <c r="E34" s="151"/>
      <c r="F34" s="152"/>
      <c r="G34" s="152"/>
      <c r="H34" s="152"/>
      <c r="I34" s="153"/>
      <c r="J34" s="126"/>
      <c r="K34" s="127"/>
      <c r="L34" s="82"/>
    </row>
    <row r="35" spans="1:12" ht="15" thickBot="1">
      <c r="A35" s="116" t="s">
        <v>10</v>
      </c>
      <c r="B35" s="117"/>
      <c r="C35" s="139">
        <f>SUM(D29:E29)</f>
        <v>0</v>
      </c>
      <c r="D35" s="140"/>
      <c r="E35" s="154"/>
      <c r="F35" s="155"/>
      <c r="G35" s="155"/>
      <c r="H35" s="155"/>
      <c r="I35" s="156"/>
      <c r="J35" s="126"/>
      <c r="K35" s="127"/>
      <c r="L35" s="82"/>
    </row>
    <row r="36" spans="1:12" ht="15" thickBot="1">
      <c r="A36" s="116" t="s">
        <v>83</v>
      </c>
      <c r="B36" s="117"/>
      <c r="C36" s="139">
        <f>SUM(H29+I29+J29+C35)</f>
        <v>49222997</v>
      </c>
      <c r="D36" s="140"/>
      <c r="E36" s="130" t="s">
        <v>35</v>
      </c>
      <c r="F36" s="131"/>
      <c r="G36" s="131"/>
      <c r="H36" s="131"/>
      <c r="I36" s="132"/>
      <c r="J36" s="126"/>
      <c r="K36" s="127"/>
      <c r="L36" s="82"/>
    </row>
    <row r="37" spans="1:12" ht="15" thickBot="1">
      <c r="A37" s="143" t="s">
        <v>14</v>
      </c>
      <c r="B37" s="144"/>
      <c r="C37" s="139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49222997</v>
      </c>
      <c r="D37" s="140"/>
      <c r="E37" s="133"/>
      <c r="F37" s="134"/>
      <c r="G37" s="134"/>
      <c r="H37" s="134"/>
      <c r="I37" s="135"/>
      <c r="J37" s="126"/>
      <c r="K37" s="127"/>
      <c r="L37" s="82"/>
    </row>
    <row r="38" spans="1:12" ht="26.4" thickBot="1">
      <c r="A38" s="136" t="s">
        <v>15</v>
      </c>
      <c r="B38" s="137"/>
      <c r="C38" s="137"/>
      <c r="D38" s="137"/>
      <c r="E38" s="137"/>
      <c r="F38" s="137"/>
      <c r="G38" s="137"/>
      <c r="H38" s="137"/>
      <c r="I38" s="138"/>
      <c r="J38" s="128"/>
      <c r="K38" s="129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zoomScale="90" zoomScaleNormal="90" workbookViewId="0">
      <selection activeCell="A3" sqref="A3:H4"/>
    </sheetView>
  </sheetViews>
  <sheetFormatPr defaultColWidth="8.77734375" defaultRowHeight="14.4"/>
  <cols>
    <col min="1" max="1" width="18.88671875" style="43" customWidth="1"/>
    <col min="2" max="2" width="21.88671875" style="43" customWidth="1"/>
    <col min="3" max="3" width="25" style="43" customWidth="1"/>
    <col min="4" max="4" width="15.33203125" style="43" customWidth="1"/>
    <col min="5" max="5" width="25.33203125" style="43" customWidth="1"/>
    <col min="6" max="6" width="25.44140625" style="43" customWidth="1"/>
    <col min="7" max="7" width="16.5546875" style="43" customWidth="1"/>
    <col min="8" max="8" width="34.21875" style="43" customWidth="1"/>
    <col min="9" max="16384" width="8.77734375" style="43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6.5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5" customHeight="1">
      <c r="A3" s="169" t="s">
        <v>95</v>
      </c>
      <c r="B3" s="170"/>
      <c r="C3" s="170"/>
      <c r="D3" s="170"/>
      <c r="E3" s="170"/>
      <c r="F3" s="170"/>
      <c r="G3" s="170"/>
      <c r="H3" s="171"/>
      <c r="I3" s="211"/>
    </row>
    <row r="4" spans="1:9" ht="28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>
        <v>614</v>
      </c>
      <c r="C6" s="174">
        <v>10620</v>
      </c>
      <c r="D6" s="175"/>
      <c r="E6" s="10">
        <f t="shared" ref="E6:E14" si="0">PRODUCT(B6*C6)</f>
        <v>6520680</v>
      </c>
      <c r="F6" s="10">
        <f t="shared" ref="F6:F14" si="1">PRODUCT(E6*18)/118</f>
        <v>994680</v>
      </c>
      <c r="G6" s="10">
        <f>PRODUCT(B6*50)</f>
        <v>30700</v>
      </c>
      <c r="H6" s="99">
        <f t="shared" ref="H6:H14" si="2">SUM(F6:G6)</f>
        <v>1025380</v>
      </c>
      <c r="I6" s="211"/>
    </row>
    <row r="7" spans="1:9">
      <c r="A7" s="38" t="s">
        <v>88</v>
      </c>
      <c r="B7" s="9">
        <v>5592</v>
      </c>
      <c r="C7" s="174">
        <v>8000</v>
      </c>
      <c r="D7" s="175"/>
      <c r="E7" s="10">
        <f t="shared" si="0"/>
        <v>44736000</v>
      </c>
      <c r="F7" s="10">
        <f t="shared" si="1"/>
        <v>6824135.5932203392</v>
      </c>
      <c r="G7" s="10">
        <f>PRODUCT(B7*50)</f>
        <v>279600</v>
      </c>
      <c r="H7" s="99">
        <f t="shared" si="2"/>
        <v>7103735.5932203392</v>
      </c>
      <c r="I7" s="211"/>
    </row>
    <row r="8" spans="1:9">
      <c r="A8" s="39" t="s">
        <v>89</v>
      </c>
      <c r="B8" s="11">
        <v>136</v>
      </c>
      <c r="C8" s="163">
        <v>6000</v>
      </c>
      <c r="D8" s="164"/>
      <c r="E8" s="12">
        <f t="shared" si="0"/>
        <v>816000</v>
      </c>
      <c r="F8" s="12">
        <f t="shared" si="1"/>
        <v>124474.57627118644</v>
      </c>
      <c r="G8" s="12">
        <f>PRODUCT(B8*50)</f>
        <v>6800</v>
      </c>
      <c r="H8" s="100">
        <f t="shared" si="2"/>
        <v>131274.57627118644</v>
      </c>
      <c r="I8" s="211"/>
    </row>
    <row r="9" spans="1:9">
      <c r="A9" s="39" t="s">
        <v>47</v>
      </c>
      <c r="B9" s="11">
        <v>819</v>
      </c>
      <c r="C9" s="163">
        <v>3776</v>
      </c>
      <c r="D9" s="164"/>
      <c r="E9" s="12">
        <f t="shared" si="0"/>
        <v>3092544</v>
      </c>
      <c r="F9" s="12">
        <f t="shared" si="1"/>
        <v>471744</v>
      </c>
      <c r="G9" s="12">
        <f>PRODUCT(B9*30)</f>
        <v>24570</v>
      </c>
      <c r="H9" s="100">
        <f t="shared" si="2"/>
        <v>496314</v>
      </c>
      <c r="I9" s="211"/>
    </row>
    <row r="10" spans="1:9">
      <c r="A10" s="39" t="s">
        <v>90</v>
      </c>
      <c r="B10" s="11">
        <v>10782</v>
      </c>
      <c r="C10" s="163">
        <v>2000</v>
      </c>
      <c r="D10" s="164"/>
      <c r="E10" s="12">
        <f t="shared" si="0"/>
        <v>21564000</v>
      </c>
      <c r="F10" s="12">
        <f t="shared" si="1"/>
        <v>3289423.7288135593</v>
      </c>
      <c r="G10" s="12">
        <f>PRODUCT(B10*30)</f>
        <v>323460</v>
      </c>
      <c r="H10" s="100">
        <f t="shared" si="2"/>
        <v>3612883.7288135593</v>
      </c>
      <c r="I10" s="211"/>
    </row>
    <row r="11" spans="1:9">
      <c r="A11" s="40" t="s">
        <v>66</v>
      </c>
      <c r="B11" s="11">
        <v>1050</v>
      </c>
      <c r="C11" s="163">
        <v>3000</v>
      </c>
      <c r="D11" s="164"/>
      <c r="E11" s="12">
        <f t="shared" si="0"/>
        <v>3150000</v>
      </c>
      <c r="F11" s="12">
        <f t="shared" si="1"/>
        <v>480508.4745762712</v>
      </c>
      <c r="G11" s="12">
        <f>PRODUCT(B11*30)</f>
        <v>31500</v>
      </c>
      <c r="H11" s="100">
        <f t="shared" si="2"/>
        <v>512008.4745762712</v>
      </c>
      <c r="I11" s="211"/>
    </row>
    <row r="12" spans="1:9">
      <c r="A12" s="40" t="s">
        <v>87</v>
      </c>
      <c r="B12" s="11">
        <v>87655</v>
      </c>
      <c r="C12" s="163">
        <v>2124</v>
      </c>
      <c r="D12" s="164"/>
      <c r="E12" s="12">
        <f t="shared" si="0"/>
        <v>186179220</v>
      </c>
      <c r="F12" s="12">
        <f>PRODUCT(E12*18)/118</f>
        <v>28400220</v>
      </c>
      <c r="G12" s="12">
        <f>PRODUCT(B12*30)</f>
        <v>2629650</v>
      </c>
      <c r="H12" s="100">
        <f t="shared" si="2"/>
        <v>31029870</v>
      </c>
      <c r="I12" s="211"/>
    </row>
    <row r="13" spans="1:9">
      <c r="A13" s="40" t="s">
        <v>60</v>
      </c>
      <c r="B13" s="11">
        <v>700</v>
      </c>
      <c r="C13" s="163">
        <v>1357</v>
      </c>
      <c r="D13" s="164"/>
      <c r="E13" s="12">
        <f t="shared" si="0"/>
        <v>949900</v>
      </c>
      <c r="F13" s="12">
        <f t="shared" si="1"/>
        <v>144900</v>
      </c>
      <c r="G13" s="12">
        <f>PRODUCT(B13*20)</f>
        <v>14000</v>
      </c>
      <c r="H13" s="100">
        <f t="shared" si="2"/>
        <v>158900</v>
      </c>
      <c r="I13" s="211"/>
    </row>
    <row r="14" spans="1:9" ht="15" thickBot="1">
      <c r="A14" s="41" t="s">
        <v>91</v>
      </c>
      <c r="B14" s="11">
        <v>396</v>
      </c>
      <c r="C14" s="163">
        <v>3000</v>
      </c>
      <c r="D14" s="164"/>
      <c r="E14" s="12">
        <f t="shared" si="0"/>
        <v>1188000</v>
      </c>
      <c r="F14" s="12">
        <f t="shared" si="1"/>
        <v>181220.33898305084</v>
      </c>
      <c r="G14" s="12">
        <f>PRODUCT(B14*20)</f>
        <v>7920</v>
      </c>
      <c r="H14" s="100">
        <f t="shared" si="2"/>
        <v>189140.33898305084</v>
      </c>
      <c r="I14" s="211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92</v>
      </c>
      <c r="B17" s="26">
        <v>1007</v>
      </c>
      <c r="C17" s="26">
        <v>2000</v>
      </c>
      <c r="D17" s="26">
        <v>25</v>
      </c>
      <c r="E17" s="19">
        <f>PRODUCT(B17*C17)</f>
        <v>2014000</v>
      </c>
      <c r="F17" s="16">
        <f t="shared" ref="F17:F36" si="3">PRODUCT(E17*18)/118</f>
        <v>307220.33898305084</v>
      </c>
      <c r="G17" s="94">
        <f>PRODUCT(B17*D17)</f>
        <v>25175</v>
      </c>
      <c r="H17" s="102">
        <f>SUM(F17:G17)</f>
        <v>332395.33898305084</v>
      </c>
      <c r="I17" s="211"/>
    </row>
    <row r="18" spans="1:9" ht="15" thickBot="1">
      <c r="A18" s="34" t="s">
        <v>89</v>
      </c>
      <c r="B18" s="27">
        <v>900</v>
      </c>
      <c r="C18" s="27">
        <v>4720</v>
      </c>
      <c r="D18" s="27">
        <v>50</v>
      </c>
      <c r="E18" s="20">
        <f t="shared" ref="E18:E22" si="4">PRODUCT(B18*C18)</f>
        <v>4248000</v>
      </c>
      <c r="F18" s="17">
        <f t="shared" si="3"/>
        <v>648000</v>
      </c>
      <c r="G18" s="15">
        <f t="shared" ref="G18:G22" si="5">PRODUCT(B18*D18)</f>
        <v>45000</v>
      </c>
      <c r="H18" s="103">
        <f t="shared" ref="H18:H22" si="6">SUM(F18:G18)</f>
        <v>693000</v>
      </c>
      <c r="I18" s="211"/>
    </row>
    <row r="19" spans="1:9" ht="15" thickBot="1">
      <c r="A19" s="35" t="s">
        <v>89</v>
      </c>
      <c r="B19" s="13">
        <v>1020</v>
      </c>
      <c r="C19" s="13">
        <v>5000</v>
      </c>
      <c r="D19" s="13">
        <v>50</v>
      </c>
      <c r="E19" s="20">
        <f t="shared" si="4"/>
        <v>5100000</v>
      </c>
      <c r="F19" s="17">
        <f t="shared" si="3"/>
        <v>777966.10169491521</v>
      </c>
      <c r="G19" s="15">
        <f t="shared" si="5"/>
        <v>51000</v>
      </c>
      <c r="H19" s="103">
        <f t="shared" si="6"/>
        <v>828966.10169491521</v>
      </c>
      <c r="I19" s="211"/>
    </row>
    <row r="20" spans="1:9" ht="15" thickBot="1">
      <c r="A20" s="35" t="s">
        <v>93</v>
      </c>
      <c r="B20" s="13">
        <v>720</v>
      </c>
      <c r="C20" s="13">
        <v>2600</v>
      </c>
      <c r="D20" s="13">
        <v>30</v>
      </c>
      <c r="E20" s="20">
        <f t="shared" si="4"/>
        <v>1872000</v>
      </c>
      <c r="F20" s="17">
        <f t="shared" si="3"/>
        <v>285559.32203389832</v>
      </c>
      <c r="G20" s="95">
        <f t="shared" si="5"/>
        <v>21600</v>
      </c>
      <c r="H20" s="104">
        <f t="shared" si="6"/>
        <v>307159.32203389832</v>
      </c>
      <c r="I20" s="211"/>
    </row>
    <row r="21" spans="1:9" ht="15" thickBot="1">
      <c r="A21" s="36" t="s">
        <v>94</v>
      </c>
      <c r="B21" s="13">
        <v>300</v>
      </c>
      <c r="C21" s="13">
        <v>1770</v>
      </c>
      <c r="D21" s="13">
        <v>20</v>
      </c>
      <c r="E21" s="20">
        <f t="shared" si="4"/>
        <v>531000</v>
      </c>
      <c r="F21" s="17">
        <f t="shared" si="3"/>
        <v>81000</v>
      </c>
      <c r="G21" s="15">
        <f t="shared" si="5"/>
        <v>6000</v>
      </c>
      <c r="H21" s="103">
        <f t="shared" si="6"/>
        <v>87000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281961344</v>
      </c>
      <c r="F37" s="24">
        <f>SUM(F5:F36)</f>
        <v>43011052.474576265</v>
      </c>
      <c r="G37" s="24">
        <f t="shared" ref="G37:H37" si="10">SUM(G5:G36)</f>
        <v>3496975</v>
      </c>
      <c r="H37" s="24">
        <f t="shared" si="10"/>
        <v>46508027.474576265</v>
      </c>
      <c r="I37" s="211"/>
    </row>
    <row r="38" spans="1:9" s="89" customFormat="1" ht="14.5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>
        <v>46511291</v>
      </c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46511291</v>
      </c>
      <c r="D45" s="92"/>
      <c r="E45" s="198"/>
      <c r="F45" s="199"/>
      <c r="G45" s="93"/>
      <c r="H45" s="110"/>
      <c r="I45" s="211"/>
    </row>
    <row r="46" spans="1:9" ht="19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20.5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2.95" customHeight="1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22.05" customHeight="1" thickBot="1">
      <c r="A49" s="219"/>
      <c r="B49" s="220"/>
      <c r="C49" s="194" t="s">
        <v>61</v>
      </c>
      <c r="D49" s="195"/>
      <c r="E49" s="204">
        <f>SUM(B9:B12)</f>
        <v>100306</v>
      </c>
      <c r="F49" s="205"/>
      <c r="G49" s="205"/>
      <c r="H49" s="205"/>
      <c r="I49" s="211"/>
    </row>
    <row r="50" spans="1:9" ht="22.5" customHeight="1" thickBot="1">
      <c r="A50" s="221"/>
      <c r="B50" s="222"/>
      <c r="C50" s="194" t="s">
        <v>46</v>
      </c>
      <c r="D50" s="195"/>
      <c r="E50" s="204">
        <f>SUM(B6:B8)</f>
        <v>6342</v>
      </c>
      <c r="F50" s="205"/>
      <c r="G50" s="205"/>
      <c r="H50" s="205"/>
      <c r="I50" s="211"/>
    </row>
    <row r="51" spans="1:9" ht="24.45" customHeight="1" thickBot="1">
      <c r="A51" s="221"/>
      <c r="B51" s="222"/>
      <c r="C51" s="194" t="s">
        <v>62</v>
      </c>
      <c r="D51" s="195"/>
      <c r="E51" s="204">
        <f>SUM(B13:B14)</f>
        <v>1096</v>
      </c>
      <c r="F51" s="205"/>
      <c r="G51" s="205"/>
      <c r="H51" s="205"/>
      <c r="I51" s="211"/>
    </row>
    <row r="52" spans="1:9" ht="22.05" customHeight="1" thickBot="1">
      <c r="A52" s="221"/>
      <c r="B52" s="222"/>
      <c r="C52" s="196" t="s">
        <v>63</v>
      </c>
      <c r="D52" s="197"/>
      <c r="E52" s="157">
        <f>SUM(B17:B18)</f>
        <v>1907</v>
      </c>
      <c r="F52" s="158"/>
      <c r="G52" s="158"/>
      <c r="H52" s="158"/>
      <c r="I52" s="211"/>
    </row>
    <row r="53" spans="1:9" ht="22.05" customHeight="1" thickBot="1">
      <c r="A53" s="221"/>
      <c r="B53" s="222"/>
      <c r="C53" s="196" t="s">
        <v>64</v>
      </c>
      <c r="D53" s="197"/>
      <c r="E53" s="157">
        <f>SUM(B19:B20)</f>
        <v>1740</v>
      </c>
      <c r="F53" s="158"/>
      <c r="G53" s="158"/>
      <c r="H53" s="158"/>
      <c r="I53" s="211"/>
    </row>
    <row r="54" spans="1:9" ht="22.05" customHeight="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22.05" customHeight="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111391</v>
      </c>
      <c r="F62" s="162"/>
      <c r="G62" s="162"/>
      <c r="H62" s="162"/>
      <c r="I62" s="211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  <row r="71" spans="5:5">
      <c r="E71" s="43">
        <v>583920</v>
      </c>
    </row>
    <row r="72" spans="5:5">
      <c r="E72" s="43">
        <v>437180</v>
      </c>
    </row>
    <row r="73" spans="5:5">
      <c r="E73" s="43">
        <v>898710</v>
      </c>
    </row>
    <row r="74" spans="5:5">
      <c r="E74" s="43">
        <v>877385</v>
      </c>
    </row>
    <row r="75" spans="5:5">
      <c r="E75" s="43">
        <v>699780</v>
      </c>
    </row>
    <row r="76" spans="5:5">
      <c r="E76" s="43">
        <f>SUM(E71:E75)</f>
        <v>3496975</v>
      </c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7734375" defaultRowHeight="14.4"/>
  <cols>
    <col min="1" max="1" width="27.21875" style="43" customWidth="1"/>
    <col min="2" max="2" width="19.33203125" style="43" customWidth="1"/>
    <col min="3" max="3" width="13.5546875" style="43" customWidth="1"/>
    <col min="4" max="4" width="11.77734375" style="43" customWidth="1"/>
    <col min="5" max="5" width="21" style="43" customWidth="1"/>
    <col min="6" max="6" width="21.77734375" style="43" customWidth="1"/>
    <col min="7" max="7" width="20.6640625" style="43" customWidth="1"/>
    <col min="8" max="8" width="21.77734375" style="43" customWidth="1"/>
    <col min="9" max="16384" width="8.77734375" style="43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4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2.9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>
        <v>2124</v>
      </c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7734375" defaultRowHeight="14.4"/>
  <cols>
    <col min="1" max="1" width="22.6640625" style="43" customWidth="1"/>
    <col min="2" max="2" width="26.33203125" style="43" customWidth="1"/>
    <col min="3" max="3" width="18.88671875" style="43" customWidth="1"/>
    <col min="4" max="4" width="12.77734375" style="43" customWidth="1"/>
    <col min="5" max="5" width="20.44140625" style="43" customWidth="1"/>
    <col min="6" max="6" width="21.5546875" style="43" customWidth="1"/>
    <col min="7" max="7" width="14.33203125" style="43" customWidth="1"/>
    <col min="8" max="8" width="24.21875" style="43" customWidth="1"/>
    <col min="9" max="16384" width="8.77734375" style="43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4.4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85" zoomScaleNormal="85" workbookViewId="0">
      <selection activeCell="B10" sqref="B10"/>
    </sheetView>
  </sheetViews>
  <sheetFormatPr defaultColWidth="8.77734375" defaultRowHeight="14.4"/>
  <cols>
    <col min="1" max="1" width="21.109375" style="43" customWidth="1"/>
    <col min="2" max="2" width="17.44140625" style="43" customWidth="1"/>
    <col min="3" max="3" width="20.21875" style="43" customWidth="1"/>
    <col min="4" max="4" width="14.88671875" style="43" customWidth="1"/>
    <col min="5" max="5" width="28.33203125" style="43" customWidth="1"/>
    <col min="6" max="6" width="22.109375" style="43" customWidth="1"/>
    <col min="7" max="7" width="16.6640625" style="43" customWidth="1"/>
    <col min="8" max="8" width="26.5546875" style="43" customWidth="1"/>
    <col min="9" max="16384" width="8.77734375" style="43"/>
  </cols>
  <sheetData>
    <row r="1" spans="1:9" ht="14.55" customHeight="1">
      <c r="A1" s="165" t="s">
        <v>85</v>
      </c>
      <c r="B1" s="166"/>
      <c r="C1" s="166"/>
      <c r="D1" s="166"/>
      <c r="E1" s="166"/>
      <c r="F1" s="166"/>
      <c r="G1" s="166"/>
      <c r="H1" s="166"/>
      <c r="I1" s="225"/>
    </row>
    <row r="2" spans="1:9" ht="24.4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5" customHeight="1">
      <c r="A3" s="169" t="s">
        <v>86</v>
      </c>
      <c r="B3" s="170"/>
      <c r="C3" s="170"/>
      <c r="D3" s="170"/>
      <c r="E3" s="170"/>
      <c r="F3" s="170"/>
      <c r="G3" s="170"/>
      <c r="H3" s="171"/>
      <c r="I3" s="226"/>
    </row>
    <row r="4" spans="1:9" ht="28.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>
        <v>7670</v>
      </c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>
        <v>3700</v>
      </c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>
        <v>2714</v>
      </c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>
        <v>2124</v>
      </c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>
        <v>1357</v>
      </c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thickBot="1">
      <c r="A39" s="188" t="s">
        <v>68</v>
      </c>
      <c r="B39" s="189"/>
      <c r="C39" s="55">
        <v>2711706</v>
      </c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2711706</v>
      </c>
      <c r="D45" s="92"/>
      <c r="E45" s="198"/>
      <c r="F45" s="199"/>
      <c r="G45" s="93"/>
      <c r="H45" s="110"/>
      <c r="I45" s="226"/>
    </row>
    <row r="46" spans="1:9" ht="14.5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7734375" defaultRowHeight="14.4"/>
  <cols>
    <col min="1" max="1" width="23.5546875" style="43" customWidth="1"/>
    <col min="2" max="2" width="19.44140625" style="43" customWidth="1"/>
    <col min="3" max="3" width="14.77734375" style="43" customWidth="1"/>
    <col min="4" max="4" width="9.77734375" style="43" customWidth="1"/>
    <col min="5" max="5" width="22.21875" style="43" customWidth="1"/>
    <col min="6" max="6" width="23.5546875" style="43" customWidth="1"/>
    <col min="7" max="7" width="17.21875" style="43" customWidth="1"/>
    <col min="8" max="8" width="22.6640625" style="43" customWidth="1"/>
    <col min="9" max="16384" width="8.77734375" style="43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4"/>
  <cols>
    <col min="1" max="1" width="20.77734375" customWidth="1"/>
    <col min="2" max="2" width="17.88671875" customWidth="1"/>
    <col min="3" max="3" width="12.6640625" customWidth="1"/>
    <col min="4" max="4" width="14.44140625" customWidth="1"/>
    <col min="5" max="5" width="21.6640625" customWidth="1"/>
    <col min="6" max="6" width="19.6640625" customWidth="1"/>
    <col min="7" max="7" width="15.6640625" customWidth="1"/>
    <col min="8" max="8" width="20.88671875" customWidth="1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4"/>
  <cols>
    <col min="1" max="1" width="23.5546875" customWidth="1"/>
    <col min="2" max="2" width="14.77734375" customWidth="1"/>
    <col min="3" max="3" width="21.5546875" customWidth="1"/>
    <col min="4" max="4" width="11.21875" customWidth="1"/>
    <col min="5" max="5" width="21.88671875" customWidth="1"/>
    <col min="6" max="6" width="22.33203125" customWidth="1"/>
    <col min="7" max="7" width="17.5546875" customWidth="1"/>
    <col min="8" max="8" width="16.77734375" customWidth="1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7734375" defaultRowHeight="14.4"/>
  <cols>
    <col min="1" max="1" width="24" style="43" customWidth="1"/>
    <col min="2" max="2" width="15.88671875" style="43" customWidth="1"/>
    <col min="3" max="3" width="18.5546875" style="43" customWidth="1"/>
    <col min="4" max="4" width="11.77734375" style="43" customWidth="1"/>
    <col min="5" max="5" width="24.109375" style="43" customWidth="1"/>
    <col min="6" max="6" width="18.44140625" style="43" customWidth="1"/>
    <col min="7" max="8" width="15.77734375" style="43" customWidth="1"/>
    <col min="9" max="16384" width="8.77734375" style="43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2.9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5.9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4"/>
  <cols>
    <col min="1" max="1" width="24.5546875" customWidth="1"/>
    <col min="2" max="2" width="16.33203125" customWidth="1"/>
    <col min="3" max="3" width="21.44140625" customWidth="1"/>
    <col min="4" max="4" width="12" customWidth="1"/>
    <col min="5" max="5" width="21.88671875" customWidth="1"/>
    <col min="6" max="6" width="17.44140625" customWidth="1"/>
    <col min="7" max="7" width="15.21875" customWidth="1"/>
    <col min="8" max="8" width="21.88671875" customWidth="1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4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4"/>
  <cols>
    <col min="1" max="1" width="18.88671875" customWidth="1"/>
    <col min="2" max="2" width="16.109375" customWidth="1"/>
    <col min="3" max="3" width="20.88671875" customWidth="1"/>
    <col min="4" max="4" width="14.21875" customWidth="1"/>
    <col min="5" max="5" width="18.21875" customWidth="1"/>
    <col min="6" max="6" width="17.77734375" customWidth="1"/>
    <col min="7" max="7" width="13.21875" customWidth="1"/>
    <col min="8" max="8" width="20" customWidth="1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2.9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0.5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s="43" customFormat="1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4.5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7734375" defaultRowHeight="14.4"/>
  <cols>
    <col min="1" max="1" width="19.6640625" style="43" customWidth="1"/>
    <col min="2" max="2" width="19.21875" style="43" customWidth="1"/>
    <col min="3" max="3" width="21" style="43" customWidth="1"/>
    <col min="4" max="4" width="15" style="43" customWidth="1"/>
    <col min="5" max="5" width="19.21875" style="43" customWidth="1"/>
    <col min="6" max="6" width="15.77734375" style="43" customWidth="1"/>
    <col min="7" max="7" width="17.33203125" style="43" customWidth="1"/>
    <col min="8" max="8" width="19.88671875" style="43" customWidth="1"/>
    <col min="9" max="16384" width="8.77734375" style="43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1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5.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.0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9.0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4"/>
  <cols>
    <col min="1" max="1" width="23.21875" customWidth="1"/>
    <col min="2" max="2" width="15.44140625" customWidth="1"/>
    <col min="3" max="3" width="20.21875" customWidth="1"/>
    <col min="4" max="4" width="16.109375" customWidth="1"/>
    <col min="5" max="5" width="18.21875" customWidth="1"/>
    <col min="6" max="6" width="15.33203125" customWidth="1"/>
    <col min="7" max="7" width="22.77734375" customWidth="1"/>
    <col min="8" max="8" width="19" customWidth="1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2.0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2.0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s="43" customFormat="1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ColWidth="8.77734375" defaultRowHeight="14.4"/>
  <cols>
    <col min="1" max="1" width="24.6640625" style="43" customWidth="1"/>
    <col min="2" max="2" width="15.77734375" style="43" customWidth="1"/>
    <col min="3" max="3" width="21.109375" style="43" customWidth="1"/>
    <col min="4" max="4" width="18.21875" style="43" customWidth="1"/>
    <col min="5" max="5" width="21.109375" style="43" customWidth="1"/>
    <col min="6" max="6" width="18.6640625" style="43" customWidth="1"/>
    <col min="7" max="7" width="20.21875" style="43" customWidth="1"/>
    <col min="8" max="8" width="17.44140625" style="43" customWidth="1"/>
    <col min="9" max="16384" width="8.77734375" style="43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3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7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4.5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8.95" customHeight="1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5" customHeight="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.05" customHeight="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.05" customHeight="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.05" customHeight="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.05" customHeight="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.05" customHeight="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.05" customHeight="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.05" customHeight="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.05" customHeight="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.05" customHeight="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.05" customHeight="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.05" customHeight="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.05" customHeight="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.05" customHeight="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4.55" customHeight="1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7734375" defaultRowHeight="14.4"/>
  <cols>
    <col min="1" max="1" width="19.77734375" style="43" customWidth="1"/>
    <col min="2" max="2" width="14.33203125" style="43" customWidth="1"/>
    <col min="3" max="3" width="20" style="43" customWidth="1"/>
    <col min="4" max="4" width="14.21875" style="43" customWidth="1"/>
    <col min="5" max="5" width="20.109375" style="43" customWidth="1"/>
    <col min="6" max="6" width="15.21875" style="43" customWidth="1"/>
    <col min="7" max="7" width="16.21875" style="43" customWidth="1"/>
    <col min="8" max="8" width="19.88671875" style="43" customWidth="1"/>
    <col min="9" max="16384" width="8.77734375" style="43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1.4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4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4.5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7734375" defaultRowHeight="14.4"/>
  <cols>
    <col min="1" max="1" width="19.77734375" style="43" customWidth="1"/>
    <col min="2" max="2" width="14.44140625" style="43" customWidth="1"/>
    <col min="3" max="3" width="24" style="43" customWidth="1"/>
    <col min="4" max="4" width="18.109375" style="43" customWidth="1"/>
    <col min="5" max="5" width="20.6640625" style="43" customWidth="1"/>
    <col min="6" max="6" width="22.88671875" style="43" customWidth="1"/>
    <col min="7" max="7" width="21.21875" style="43" customWidth="1"/>
    <col min="8" max="8" width="19.88671875" style="43" customWidth="1"/>
    <col min="9" max="16384" width="8.77734375" style="43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4"/>
  <cols>
    <col min="1" max="1" width="21" customWidth="1"/>
    <col min="2" max="2" width="18.77734375" customWidth="1"/>
    <col min="3" max="3" width="27.21875" customWidth="1"/>
    <col min="4" max="4" width="20" customWidth="1"/>
    <col min="5" max="5" width="17" customWidth="1"/>
    <col min="6" max="6" width="18.88671875" customWidth="1"/>
    <col min="7" max="7" width="19" customWidth="1"/>
    <col min="8" max="8" width="24.33203125" customWidth="1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9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8.600000000000001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4"/>
  <cols>
    <col min="1" max="1" width="19.88671875" customWidth="1"/>
    <col min="2" max="2" width="15.109375" customWidth="1"/>
    <col min="3" max="3" width="25.21875" customWidth="1"/>
    <col min="4" max="4" width="18.88671875" customWidth="1"/>
    <col min="5" max="5" width="17.77734375" customWidth="1"/>
    <col min="6" max="6" width="18.109375" customWidth="1"/>
    <col min="7" max="7" width="21.77734375" customWidth="1"/>
    <col min="8" max="8" width="22.33203125" customWidth="1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0.5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0.5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8.600000000000001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4"/>
  <cols>
    <col min="1" max="1" width="24.21875" customWidth="1"/>
    <col min="2" max="2" width="18.44140625" customWidth="1"/>
    <col min="3" max="3" width="22.6640625" customWidth="1"/>
    <col min="4" max="4" width="17.33203125" customWidth="1"/>
    <col min="5" max="5" width="21.33203125" customWidth="1"/>
    <col min="6" max="6" width="18.88671875" customWidth="1"/>
    <col min="7" max="7" width="17.77734375" customWidth="1"/>
    <col min="8" max="8" width="22.5546875" customWidth="1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4.4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.4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8.600000000000001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4"/>
  <cols>
    <col min="1" max="1" width="22.44140625" customWidth="1"/>
    <col min="2" max="2" width="17.21875" customWidth="1"/>
    <col min="3" max="3" width="19.21875" customWidth="1"/>
    <col min="4" max="4" width="16.5546875" customWidth="1"/>
    <col min="5" max="5" width="22.21875" customWidth="1"/>
    <col min="6" max="6" width="17.21875" customWidth="1"/>
    <col min="7" max="7" width="16.21875" customWidth="1"/>
    <col min="8" max="8" width="23.21875" customWidth="1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7.4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.4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8.600000000000001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7734375" defaultRowHeight="14.4"/>
  <cols>
    <col min="1" max="1" width="22.77734375" style="43" customWidth="1"/>
    <col min="2" max="2" width="16.109375" style="43" customWidth="1"/>
    <col min="3" max="3" width="23.77734375" style="43" customWidth="1"/>
    <col min="4" max="4" width="18.21875" style="43" customWidth="1"/>
    <col min="5" max="5" width="16.88671875" style="43" customWidth="1"/>
    <col min="6" max="6" width="20.5546875" style="43" customWidth="1"/>
    <col min="7" max="7" width="18.88671875" style="43" customWidth="1"/>
    <col min="8" max="8" width="24.6640625" style="43" customWidth="1"/>
    <col min="9" max="16384" width="8.77734375" style="43"/>
  </cols>
  <sheetData>
    <row r="1" spans="1:9" ht="14.5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0.5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2.0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8.60000000000000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8.60000000000000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8.600000000000001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4"/>
  <cols>
    <col min="1" max="1" width="26.33203125" customWidth="1"/>
    <col min="2" max="2" width="21.77734375" customWidth="1"/>
    <col min="3" max="3" width="25.21875" customWidth="1"/>
    <col min="4" max="4" width="18.44140625" customWidth="1"/>
    <col min="5" max="5" width="21.21875" customWidth="1"/>
    <col min="6" max="6" width="15.33203125" customWidth="1"/>
    <col min="7" max="7" width="13.44140625" customWidth="1"/>
    <col min="8" max="8" width="15.21875" customWidth="1"/>
  </cols>
  <sheetData>
    <row r="1" spans="1:9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9.5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30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4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8.60000000000000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8.60000000000000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8.60000000000000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8.60000000000000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8.60000000000000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8.600000000000001" thickBot="1">
      <c r="A54" s="221"/>
      <c r="B54" s="222"/>
      <c r="C54" s="196" t="s">
        <v>84</v>
      </c>
      <c r="D54" s="197"/>
      <c r="E54" s="157">
        <f>B29</f>
        <v>0</v>
      </c>
      <c r="F54" s="158"/>
      <c r="G54" s="158"/>
      <c r="H54" s="158"/>
      <c r="I54" s="211"/>
    </row>
    <row r="55" spans="1:9" ht="18.600000000000001" thickBot="1">
      <c r="A55" s="221"/>
      <c r="B55" s="222"/>
      <c r="C55" s="196" t="s">
        <v>84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8.600000000000001" thickBot="1">
      <c r="A56" s="221"/>
      <c r="B56" s="222"/>
      <c r="C56" s="196" t="s">
        <v>84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8.600000000000001" thickBot="1">
      <c r="A57" s="221"/>
      <c r="B57" s="222"/>
      <c r="C57" s="196" t="s">
        <v>84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8.600000000000001" thickBot="1">
      <c r="A58" s="221"/>
      <c r="B58" s="222"/>
      <c r="C58" s="196" t="s">
        <v>84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8.600000000000001" thickBot="1">
      <c r="A59" s="221"/>
      <c r="B59" s="222"/>
      <c r="C59" s="196" t="s">
        <v>84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8.600000000000001" thickBot="1">
      <c r="A60" s="221"/>
      <c r="B60" s="222"/>
      <c r="C60" s="196" t="s">
        <v>84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8.600000000000001" thickBot="1">
      <c r="A61" s="221"/>
      <c r="B61" s="222"/>
      <c r="C61" s="196" t="s">
        <v>84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4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8.600000000000001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4"/>
  <cols>
    <col min="3" max="3" width="53" customWidth="1"/>
    <col min="7" max="7" width="47.6640625" customWidth="1"/>
  </cols>
  <sheetData>
    <row r="1" spans="1:7">
      <c r="A1" s="200" t="s">
        <v>57</v>
      </c>
      <c r="B1" s="201"/>
      <c r="C1" s="201"/>
      <c r="D1" s="201"/>
      <c r="E1" s="201"/>
      <c r="F1" s="201"/>
      <c r="G1" s="244"/>
    </row>
    <row r="2" spans="1:7" ht="15" thickBot="1">
      <c r="A2" s="202"/>
      <c r="B2" s="203"/>
      <c r="C2" s="203"/>
      <c r="D2" s="203"/>
      <c r="E2" s="203"/>
      <c r="F2" s="203"/>
      <c r="G2" s="245"/>
    </row>
    <row r="3" spans="1:7" ht="28.8" thickBot="1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55" customHeight="1" thickBot="1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100306</v>
      </c>
      <c r="E4" s="233"/>
      <c r="F4" s="233"/>
      <c r="G4" s="234"/>
    </row>
    <row r="5" spans="1:7" ht="37.049999999999997" customHeight="1" thickBot="1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6342</v>
      </c>
      <c r="E5" s="233"/>
      <c r="F5" s="233"/>
      <c r="G5" s="234"/>
    </row>
    <row r="6" spans="1:7" ht="40.049999999999997" customHeight="1" thickBot="1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1096</v>
      </c>
      <c r="E6" s="233"/>
      <c r="F6" s="233"/>
      <c r="G6" s="234"/>
    </row>
    <row r="7" spans="1:7" ht="38.549999999999997" customHeight="1" thickBot="1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1907</v>
      </c>
      <c r="E7" s="233"/>
      <c r="F7" s="233"/>
      <c r="G7" s="234"/>
    </row>
    <row r="8" spans="1:7" ht="40.049999999999997" customHeight="1" thickBot="1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1740</v>
      </c>
      <c r="E8" s="233"/>
      <c r="F8" s="233"/>
      <c r="G8" s="234"/>
    </row>
    <row r="9" spans="1:7" ht="38.549999999999997" customHeight="1" thickBot="1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7.950000000000003" customHeight="1" thickBot="1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549999999999997" customHeight="1" thickBot="1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450000000000003" customHeight="1" thickBot="1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7.950000000000003" customHeight="1" thickBot="1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29.4" thickBot="1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29.4" thickBot="1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29.4" thickBot="1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29.4" thickBot="1">
      <c r="A17" s="235" t="s">
        <v>65</v>
      </c>
      <c r="B17" s="236"/>
      <c r="C17" s="237"/>
      <c r="D17" s="238">
        <f>SUM(D4:D16)</f>
        <v>111391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2023-12-29T10:10:15Z</dcterms:created>
  <dcterms:modified xsi:type="dcterms:W3CDTF">2026-05-04T11:08:15Z</dcterms:modified>
</cp:coreProperties>
</file>