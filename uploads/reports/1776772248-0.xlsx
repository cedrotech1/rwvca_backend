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<sst xmlns="http://schemas.openxmlformats.org/spreadsheetml/2006/main" count="1699" uniqueCount="93">
  <si>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</si>
  <si>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</si>
  <si>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</si>
  <si>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</si>
  <si>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</si>
  <si>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</si>
  <si>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</si>
  <si>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</si>
  <si>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</si>
  <si>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</si>
  <si>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</si>
  <si>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</si>
  <si>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</si>
  <si>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</si>
  <si>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</si>
  <si>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</si>
  <si>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</si>
  <si>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</si>
  <si>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</si>
  <si>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</si>
  <si>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</si>
  <si>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</si>
  <si>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</si>
  <si>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</si>
  <si>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</si>
  <si>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</si>
  <si>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</si>
  <si>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</si>
  <si>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</si>
  <si>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</si>
  <si>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</si>
  <si>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</si>
  <si>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</si>
  <si>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</si>
  <si>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</si>
  <si>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</si>
  <si>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</si>
  <si>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</si>
  <si>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</si>
  <si>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</si>
  <si>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</si>
  <si>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</si>
  <si>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</si>
  <si>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</si>
  <si>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</si>
  <si>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</si>
  <si>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</si>
  <si>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</si>
  <si>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</si>
  <si>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</si>
  <si>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</si>
  <si>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</si>
  <si>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</si>
  <si>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</si>
  <si>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</si>
  <si>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</si>
  <si>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</si>
  <si>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</si>
  <si>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</si>
  <si>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</si>
  <si>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</si>
  <si>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</si>
  <si>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</si>
  <si>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</si>
  <si>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</si>
  <si>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</si>
  <si>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</si>
  <si>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</si>
  <si>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</si>
  <si>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</si>
  <si>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</si>
  <si>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</si>
  <si>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</si>
  <si>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</si>
  <si>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</si>
  <si>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</si>
  <si>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</si>
  <si>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</si>
  <si>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</si>
  <si>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</si>
  <si>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</si>
  <si>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</si>
  <si>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</si>
  <si>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</si>
  <si>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</si>
  <si>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</si>
  <si>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</si>
  <si>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</si>
  <si>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</si>
  <si>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</si>
  <si>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</si>
  <si>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13-19/04/2026</t>
  </si>
  <si>
    <t xml:space="preserve">Icyumweru gishize kuwa 13-19/04 /2026/nakiriye Amafaranga kuri Momo pay code 052056  ,Angana         TOTAL MOMO yaturutse kimironko =  2,868,240 frw                                                                                          VAT=  3,450,960                                                                                                                            TOTAL= 22,622,960                                                                                                                                                                                                      Har'invoice  eshatu (3) invoice no,419, 420,421     inturusu =2,230 na Planche =500. zakozwe mbere, amafaranga=(902,920frw) yishyuwe mbere kuri momo code ya site ya kimironko .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</si>
</sst>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356400</v>
      </c>
      <c r="C25" s="87">
        <f>GASHYUSHYA!G37</f>
        <v>53000</v>
      </c>
      <c r="D25" s="87">
        <f>GASHYUSHYA!C43</f>
        <v>0</v>
      </c>
      <c r="E25" s="87">
        <f>GASHYUSHYA!C44</f>
        <v>0</v>
      </c>
      <c r="F25" s="84">
        <f t="shared" si="0"/>
        <v>409400</v>
      </c>
      <c r="G25" s="87">
        <f>GASHYUSHYA!C41</f>
        <v>0</v>
      </c>
      <c r="H25" s="88">
        <f>GASHYUSHYA!C39</f>
        <v>409400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356400</v>
      </c>
      <c r="C29" s="101">
        <f t="shared" si="1"/>
        <v>53000</v>
      </c>
      <c r="D29" s="102">
        <f t="shared" si="1"/>
        <v>0</v>
      </c>
      <c r="E29" s="101">
        <f t="shared" si="1"/>
        <v>0</v>
      </c>
      <c r="F29" s="101">
        <f t="shared" si="1"/>
        <v>409400</v>
      </c>
      <c r="G29" s="102">
        <f t="shared" si="1"/>
        <v>0</v>
      </c>
      <c r="H29" s="102">
        <f t="shared" si="1"/>
        <v>409400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409400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409400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409400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409400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409400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3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1100</v>
      </c>
      <c r="C12" s="220">
        <v>2124</v>
      </c>
      <c r="D12" s="221"/>
      <c r="E12" s="10">
        <f t="shared" si="0"/>
        <v>2336400</v>
      </c>
      <c r="F12" s="10">
        <f t="shared" si="1"/>
        <v>356400</v>
      </c>
      <c r="G12" s="10">
        <f>PRODUCT(B12*30)</f>
        <v>33000</v>
      </c>
      <c r="H12" s="11">
        <f t="shared" si="2"/>
        <v>389400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>
        <v>200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20000</v>
      </c>
      <c r="H22" s="33">
        <f t="shared" si="6"/>
        <v>20000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2336400</v>
      </c>
      <c r="F37" s="47">
        <f>SUM(F5:F36)</f>
        <v>356400</v>
      </c>
      <c r="G37" s="47">
        <f t="shared" ref="G37:H37" si="10">SUM(G5:G36)</f>
        <v>53000</v>
      </c>
      <c r="H37" s="47">
        <f t="shared" si="10"/>
        <v>409400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409400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409400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 t="s">
        <v>92</v>
      </c>
      <c r="B49" s="162"/>
      <c r="C49" s="190" t="s">
        <v>80</v>
      </c>
      <c r="D49" s="191"/>
      <c r="E49" s="192">
        <f>SUM(B9:B12)</f>
        <v>1100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1100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1100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1100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2026-04-21T11:42:50Z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