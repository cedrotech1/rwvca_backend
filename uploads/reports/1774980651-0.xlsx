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3\"/>
    </mc:Choice>
  </mc:AlternateContent>
  <bookViews>
    <workbookView xWindow="0" yWindow="0" windowWidth="19200" windowHeight="7890" tabRatio="965" firstSheet="6" activeTab="18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F14" i="24"/>
  <c r="H14" i="24" s="1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E60" i="18"/>
  <c r="D15" i="21" s="1"/>
  <c r="E59" i="18"/>
  <c r="D14" i="21" s="1"/>
  <c r="E58" i="18"/>
  <c r="E57" i="18"/>
  <c r="E56" i="18"/>
  <c r="E55" i="18"/>
  <c r="D10" i="21" s="1"/>
  <c r="E54" i="18"/>
  <c r="E53" i="18"/>
  <c r="E52" i="18"/>
  <c r="E51" i="18"/>
  <c r="D6" i="21" s="1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H19" i="17" s="1"/>
  <c r="G18" i="17"/>
  <c r="E18" i="17"/>
  <c r="F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G34" i="15"/>
  <c r="E34" i="15"/>
  <c r="F34" i="15" s="1"/>
  <c r="G33" i="15"/>
  <c r="E33" i="15"/>
  <c r="F33" i="15" s="1"/>
  <c r="G32" i="15"/>
  <c r="E32" i="15"/>
  <c r="F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G32" i="10"/>
  <c r="E32" i="10"/>
  <c r="F32" i="10" s="1"/>
  <c r="G31" i="10"/>
  <c r="E31" i="10"/>
  <c r="F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F35" i="8"/>
  <c r="H35" i="8" s="1"/>
  <c r="E35" i="8"/>
  <c r="G34" i="8"/>
  <c r="E34" i="8"/>
  <c r="F34" i="8" s="1"/>
  <c r="H34" i="8" s="1"/>
  <c r="G33" i="8"/>
  <c r="E33" i="8"/>
  <c r="F33" i="8" s="1"/>
  <c r="H33" i="8" s="1"/>
  <c r="G32" i="8"/>
  <c r="E32" i="8"/>
  <c r="F32" i="8" s="1"/>
  <c r="G31" i="8"/>
  <c r="E31" i="8"/>
  <c r="F31" i="8" s="1"/>
  <c r="H31" i="8" s="1"/>
  <c r="G30" i="8"/>
  <c r="E30" i="8"/>
  <c r="F30" i="8" s="1"/>
  <c r="H30" i="8" s="1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E26" i="8"/>
  <c r="F26" i="8" s="1"/>
  <c r="H26" i="8" s="1"/>
  <c r="G25" i="8"/>
  <c r="E25" i="8"/>
  <c r="F25" i="8" s="1"/>
  <c r="H25" i="8" s="1"/>
  <c r="G24" i="8"/>
  <c r="E24" i="8"/>
  <c r="F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G29" i="4"/>
  <c r="E29" i="4"/>
  <c r="F29" i="4" s="1"/>
  <c r="G28" i="4"/>
  <c r="E28" i="4"/>
  <c r="F28" i="4" s="1"/>
  <c r="H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H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H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H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H20" i="3" s="1"/>
  <c r="G19" i="3"/>
  <c r="E19" i="3"/>
  <c r="F19" i="3" s="1"/>
  <c r="G18" i="3"/>
  <c r="E18" i="3"/>
  <c r="F18" i="3" s="1"/>
  <c r="G17" i="3"/>
  <c r="E17" i="3"/>
  <c r="F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H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H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H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H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G36" i="2"/>
  <c r="E36" i="2"/>
  <c r="F36" i="2" s="1"/>
  <c r="H36" i="2" s="1"/>
  <c r="G35" i="2"/>
  <c r="E35" i="2"/>
  <c r="F35" i="2" s="1"/>
  <c r="G34" i="2"/>
  <c r="E34" i="2"/>
  <c r="F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D4" i="21" l="1"/>
  <c r="H20" i="17"/>
  <c r="H22" i="17"/>
  <c r="D7" i="21"/>
  <c r="H18" i="17"/>
  <c r="G37" i="17"/>
  <c r="C21" i="1" s="1"/>
  <c r="H12" i="2"/>
  <c r="H18" i="2"/>
  <c r="H22" i="2"/>
  <c r="H26" i="2"/>
  <c r="H30" i="2"/>
  <c r="H34" i="2"/>
  <c r="H8" i="5"/>
  <c r="H12" i="5"/>
  <c r="H32" i="8"/>
  <c r="H32" i="15"/>
  <c r="D8" i="21"/>
  <c r="D16" i="21"/>
  <c r="D9" i="21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D11" i="21"/>
  <c r="D12" i="21"/>
  <c r="H24" i="8"/>
  <c r="H7" i="15"/>
  <c r="D5" i="21"/>
  <c r="D13" i="21"/>
  <c r="H17" i="5"/>
  <c r="H21" i="5"/>
  <c r="H25" i="5"/>
  <c r="H29" i="5"/>
  <c r="H33" i="5"/>
  <c r="H7" i="3"/>
  <c r="H11" i="3"/>
  <c r="H17" i="3"/>
  <c r="H21" i="3"/>
  <c r="H25" i="3"/>
  <c r="H29" i="3"/>
  <c r="H33" i="3"/>
  <c r="H7" i="4"/>
  <c r="H11" i="4"/>
  <c r="H21" i="4"/>
  <c r="H25" i="4"/>
  <c r="H29" i="4"/>
  <c r="H33" i="4"/>
  <c r="H7" i="7"/>
  <c r="H11" i="7"/>
  <c r="H17" i="7"/>
  <c r="H21" i="7"/>
  <c r="H7" i="19"/>
  <c r="H11" i="19"/>
  <c r="H17" i="19"/>
  <c r="H21" i="19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E62" i="8"/>
  <c r="E62" i="9"/>
  <c r="E62" i="14"/>
  <c r="E62" i="16"/>
  <c r="H18" i="5"/>
  <c r="H22" i="5"/>
  <c r="H26" i="5"/>
  <c r="H30" i="5"/>
  <c r="H34" i="5"/>
  <c r="H8" i="3"/>
  <c r="H12" i="3"/>
  <c r="H18" i="3"/>
  <c r="H22" i="3"/>
  <c r="H26" i="3"/>
  <c r="H30" i="3"/>
  <c r="H34" i="3"/>
  <c r="E62" i="3"/>
  <c r="H8" i="4"/>
  <c r="H12" i="4"/>
  <c r="H18" i="4"/>
  <c r="H22" i="4"/>
  <c r="H26" i="4"/>
  <c r="H30" i="4"/>
  <c r="H34" i="4"/>
  <c r="H8" i="7"/>
  <c r="H12" i="7"/>
  <c r="H18" i="7"/>
  <c r="H22" i="7"/>
  <c r="H26" i="7"/>
  <c r="H30" i="7"/>
  <c r="H34" i="7"/>
  <c r="H8" i="19"/>
  <c r="H12" i="19"/>
  <c r="H18" i="19"/>
  <c r="H22" i="19"/>
  <c r="H26" i="19"/>
  <c r="H30" i="19"/>
  <c r="H34" i="19"/>
  <c r="H8" i="6"/>
  <c r="H12" i="6"/>
  <c r="H18" i="6"/>
  <c r="H22" i="6"/>
  <c r="H26" i="6"/>
  <c r="H30" i="6"/>
  <c r="H34" i="6"/>
  <c r="E62" i="6"/>
  <c r="H8" i="8"/>
  <c r="H12" i="8"/>
  <c r="H8" i="22"/>
  <c r="H12" i="22"/>
  <c r="H18" i="22"/>
  <c r="H22" i="22"/>
  <c r="H26" i="22"/>
  <c r="H30" i="22"/>
  <c r="H34" i="22"/>
  <c r="H8" i="9"/>
  <c r="H12" i="9"/>
  <c r="H18" i="9"/>
  <c r="H22" i="9"/>
  <c r="H26" i="9"/>
  <c r="H30" i="9"/>
  <c r="H34" i="9"/>
  <c r="H8" i="10"/>
  <c r="H12" i="10"/>
  <c r="H18" i="10"/>
  <c r="H22" i="10"/>
  <c r="H26" i="10"/>
  <c r="H30" i="10"/>
  <c r="H34" i="10"/>
  <c r="H8" i="11"/>
  <c r="H12" i="11"/>
  <c r="H18" i="11"/>
  <c r="H22" i="11"/>
  <c r="H26" i="11"/>
  <c r="H30" i="11"/>
  <c r="H34" i="11"/>
  <c r="H10" i="15"/>
  <c r="H18" i="15"/>
  <c r="H25" i="15"/>
  <c r="H19" i="24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23"/>
  <c r="C24" i="1" s="1"/>
  <c r="H19" i="8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28" i="9"/>
  <c r="H32" i="9"/>
  <c r="H36" i="9"/>
  <c r="H10" i="10"/>
  <c r="H14" i="10"/>
  <c r="H20" i="10"/>
  <c r="H24" i="10"/>
  <c r="H28" i="10"/>
  <c r="H32" i="10"/>
  <c r="H36" i="10"/>
  <c r="H10" i="11"/>
  <c r="H14" i="11"/>
  <c r="H20" i="11"/>
  <c r="H24" i="11"/>
  <c r="H28" i="11"/>
  <c r="H32" i="11"/>
  <c r="H36" i="11"/>
  <c r="H27" i="15"/>
  <c r="H34" i="15"/>
  <c r="G37" i="19"/>
  <c r="C23" i="1" s="1"/>
  <c r="G37" i="6"/>
  <c r="C9" i="1" s="1"/>
  <c r="G37" i="10"/>
  <c r="E62" i="12"/>
  <c r="H10" i="2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E37" i="11"/>
  <c r="F37" i="10"/>
  <c r="H6" i="10"/>
  <c r="E37" i="10"/>
  <c r="F37" i="9"/>
  <c r="H6" i="9"/>
  <c r="H37" i="9" s="1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H37" i="5" s="1"/>
  <c r="E37" i="5"/>
  <c r="F37" i="2"/>
  <c r="H6" i="2"/>
  <c r="E37" i="2"/>
  <c r="H37" i="7" l="1"/>
  <c r="H37" i="8"/>
  <c r="H37" i="10"/>
  <c r="H37" i="19"/>
  <c r="H37" i="23"/>
  <c r="H37" i="2"/>
  <c r="H37" i="4"/>
  <c r="H37" i="11"/>
  <c r="H37" i="24"/>
  <c r="H37" i="6"/>
  <c r="H37" i="17"/>
  <c r="C39" i="17" s="1"/>
  <c r="H37" i="22"/>
  <c r="H37" i="3"/>
  <c r="C45" i="17" l="1"/>
  <c r="C37" i="1" s="1"/>
  <c r="H21" i="1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<sst xmlns="http://schemas.openxmlformats.org/spreadsheetml/2006/main" count="1699" uniqueCount="90">
  <si>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</si>
  <si>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</si>
  <si>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</si>
  <si>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</si>
  <si>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</si>
  <si>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</si>
  <si>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</si>
  <si>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</si>
  <si>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</si>
  <si>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</si>
  <si>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</si>
  <si>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</si>
  <si>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</si>
  <si>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</si>
  <si>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</si>
  <si>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</si>
  <si>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</si>
  <si>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</si>
  <si>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</si>
  <si>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</si>
  <si>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</si>
  <si>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</si>
  <si>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</si>
  <si>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</si>
  <si>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</si>
  <si>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</si>
  <si>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</si>
  <si>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</si>
  <si>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</si>
  <si>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</si>
  <si>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</si>
  <si>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</si>
  <si>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</si>
  <si>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</si>
  <si>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</si>
  <si>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</si>
  <si>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</si>
  <si>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</si>
  <si>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</si>
  <si>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</si>
  <si>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</si>
  <si>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</si>
  <si>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</si>
  <si>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</si>
  <si>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</si>
  <si>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</si>
  <si>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</si>
  <si>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</si>
  <si>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</si>
  <si>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</si>
  <si>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</si>
  <si>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</si>
  <si>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</si>
  <si>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</si>
  <si>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</si>
  <si>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</si>
  <si>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</si>
  <si>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</si>
  <si>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</si>
  <si>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</si>
  <si>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</si>
  <si>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</si>
  <si>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</si>
  <si>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</si>
  <si>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</si>
  <si>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</si>
  <si>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</si>
  <si>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</si>
  <si>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</si>
  <si>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</si>
  <si>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</si>
  <si>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</si>
  <si>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</si>
  <si>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</si>
  <si>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</si>
  <si>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</si>
  <si>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</si>
  <si>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</si>
  <si>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</si>
  <si>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</si>
  <si>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</si>
  <si>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</si>
  <si>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</si>
  <si>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</si>
  <si>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</si>
  <si>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INTURUSI DECHETS</t>
  </si>
  <si>
    <t>INTURUSI M2</t>
  </si>
  <si>
    <t>ALL THOSE MONEY WAS DEPOSITED  ON MOMO 052004</t>
  </si>
  <si>
    <t>`</t>
  </si>
  <si>
    <t>DAILY REPORT ON 30/03/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</si>
</sst>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2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8" fillId="0" borderId="30" xfId="1" quotePrefix="1" applyNumberFormat="1" applyFont="1" applyBorder="1" applyProtection="1">
      <protection locked="0"/>
    </xf>
    <xf numFmtId="165" fontId="8" fillId="0" borderId="33" xfId="1" quotePrefix="1" applyNumberFormat="1" applyFont="1" applyBorder="1" applyProtection="1">
      <protection locked="0"/>
    </xf>
    <xf numFmtId="165" fontId="8" fillId="0" borderId="31" xfId="1" quotePrefix="1" applyNumberFormat="1" applyFont="1" applyBorder="1" applyProtection="1">
      <protection locked="0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17" t="s">
        <v>37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82"/>
      <c r="M1" s="82"/>
      <c r="N1" s="82"/>
    </row>
    <row r="2" spans="1:15" ht="31" customHeight="1">
      <c r="A2" s="119" t="s">
        <v>36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82"/>
      <c r="M2" s="82"/>
      <c r="N2" s="82"/>
    </row>
    <row r="3" spans="1:15" ht="15" customHeight="1" thickBo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142128.15254237287</v>
      </c>
      <c r="C21" s="48">
        <f>KIREHE!G37</f>
        <v>14172</v>
      </c>
      <c r="D21" s="48">
        <f>KIREHE!C43</f>
        <v>0</v>
      </c>
      <c r="E21" s="48">
        <f>KIREHE!C44</f>
        <v>0</v>
      </c>
      <c r="F21" s="50">
        <f t="shared" si="0"/>
        <v>156300.15254237287</v>
      </c>
      <c r="G21" s="47">
        <f>KIREHE!C41</f>
        <v>0</v>
      </c>
      <c r="H21" s="48">
        <f>KIREHE!C39</f>
        <v>156300.15254237287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142128.15254237287</v>
      </c>
      <c r="C29" s="70">
        <f t="shared" si="1"/>
        <v>14172</v>
      </c>
      <c r="D29" s="71">
        <f t="shared" si="1"/>
        <v>0</v>
      </c>
      <c r="E29" s="70">
        <f t="shared" si="1"/>
        <v>0</v>
      </c>
      <c r="F29" s="70">
        <f>SUM(F5:F28)</f>
        <v>156300.15254237287</v>
      </c>
      <c r="G29" s="71">
        <f>SUM(G5:G28)</f>
        <v>0</v>
      </c>
      <c r="H29" s="71">
        <f>SUM(H5:H28)</f>
        <v>156300.15254237287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56"/>
      <c r="B30" s="156"/>
      <c r="C30" s="156"/>
      <c r="D30" s="157"/>
      <c r="E30" s="147" t="s">
        <v>11</v>
      </c>
      <c r="F30" s="148"/>
      <c r="G30" s="148"/>
      <c r="H30" s="148"/>
      <c r="I30" s="149"/>
      <c r="J30" s="121"/>
      <c r="K30" s="122"/>
      <c r="L30" s="82"/>
    </row>
    <row r="31" spans="1:15" ht="19" thickBot="1">
      <c r="A31" s="144" t="s">
        <v>9</v>
      </c>
      <c r="B31" s="145"/>
      <c r="C31" s="145"/>
      <c r="D31" s="145"/>
      <c r="E31" s="150"/>
      <c r="F31" s="151"/>
      <c r="G31" s="151"/>
      <c r="H31" s="151"/>
      <c r="I31" s="152"/>
      <c r="J31" s="123"/>
      <c r="K31" s="124"/>
      <c r="L31" s="82"/>
    </row>
    <row r="32" spans="1:15" ht="15" thickBot="1">
      <c r="A32" s="140" t="s">
        <v>12</v>
      </c>
      <c r="B32" s="141"/>
      <c r="C32" s="158">
        <f>SUM(B29+C29)</f>
        <v>156300.15254237287</v>
      </c>
      <c r="D32" s="159"/>
      <c r="E32" s="150"/>
      <c r="F32" s="151"/>
      <c r="G32" s="151"/>
      <c r="H32" s="151"/>
      <c r="I32" s="152"/>
      <c r="J32" s="123"/>
      <c r="K32" s="124"/>
      <c r="L32" s="82"/>
    </row>
    <row r="33" spans="1:12" ht="15" thickBot="1">
      <c r="A33" s="140" t="s">
        <v>13</v>
      </c>
      <c r="B33" s="141"/>
      <c r="C33" s="136">
        <f>SUM(F29,G29)</f>
        <v>156300.15254237287</v>
      </c>
      <c r="D33" s="146"/>
      <c r="E33" s="150"/>
      <c r="F33" s="151"/>
      <c r="G33" s="151"/>
      <c r="H33" s="151"/>
      <c r="I33" s="152"/>
      <c r="J33" s="123"/>
      <c r="K33" s="124"/>
      <c r="L33" s="82"/>
    </row>
    <row r="34" spans="1:12" ht="15" thickBot="1">
      <c r="A34" s="138" t="s">
        <v>81</v>
      </c>
      <c r="B34" s="139"/>
      <c r="C34" s="136">
        <f>SUM(H29,J29,I29+G29)</f>
        <v>156300.15254237287</v>
      </c>
      <c r="D34" s="137"/>
      <c r="E34" s="150"/>
      <c r="F34" s="151"/>
      <c r="G34" s="151"/>
      <c r="H34" s="151"/>
      <c r="I34" s="152"/>
      <c r="J34" s="123"/>
      <c r="K34" s="124"/>
      <c r="L34" s="82"/>
    </row>
    <row r="35" spans="1:12" ht="15" thickBot="1">
      <c r="A35" s="140" t="s">
        <v>10</v>
      </c>
      <c r="B35" s="141"/>
      <c r="C35" s="136">
        <f>SUM(D29:E29)</f>
        <v>0</v>
      </c>
      <c r="D35" s="137"/>
      <c r="E35" s="153"/>
      <c r="F35" s="154"/>
      <c r="G35" s="154"/>
      <c r="H35" s="154"/>
      <c r="I35" s="155"/>
      <c r="J35" s="123"/>
      <c r="K35" s="124"/>
      <c r="L35" s="82"/>
    </row>
    <row r="36" spans="1:12" ht="15" thickBot="1">
      <c r="A36" s="140" t="s">
        <v>83</v>
      </c>
      <c r="B36" s="141"/>
      <c r="C36" s="136">
        <f>SUM(H29+I29+J29+C35)</f>
        <v>156300.15254237287</v>
      </c>
      <c r="D36" s="137"/>
      <c r="E36" s="127" t="s">
        <v>35</v>
      </c>
      <c r="F36" s="128"/>
      <c r="G36" s="128"/>
      <c r="H36" s="128"/>
      <c r="I36" s="129"/>
      <c r="J36" s="123"/>
      <c r="K36" s="124"/>
      <c r="L36" s="82"/>
    </row>
    <row r="37" spans="1:12" ht="15" thickBot="1">
      <c r="A37" s="142" t="s">
        <v>14</v>
      </c>
      <c r="B37" s="143"/>
      <c r="C37" s="136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156300.15254237287</v>
      </c>
      <c r="D37" s="137"/>
      <c r="E37" s="130"/>
      <c r="F37" s="131"/>
      <c r="G37" s="131"/>
      <c r="H37" s="131"/>
      <c r="I37" s="132"/>
      <c r="J37" s="123"/>
      <c r="K37" s="124"/>
      <c r="L37" s="82"/>
    </row>
    <row r="38" spans="1:12" ht="26.5" thickBot="1">
      <c r="A38" s="133" t="s">
        <v>15</v>
      </c>
      <c r="B38" s="134"/>
      <c r="C38" s="134"/>
      <c r="D38" s="134"/>
      <c r="E38" s="134"/>
      <c r="F38" s="134"/>
      <c r="G38" s="134"/>
      <c r="H38" s="134"/>
      <c r="I38" s="135"/>
      <c r="J38" s="125"/>
      <c r="K38" s="126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6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8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s="89" customFormat="1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9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20.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3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22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22.5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24.5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22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22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22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22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3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>
        <v>2124</v>
      </c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6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3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21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5.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9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2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s="43" customFormat="1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34.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27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9" customHeight="1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5" customHeight="1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customHeight="1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customHeight="1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customHeight="1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customHeight="1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customHeight="1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customHeight="1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customHeight="1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customHeight="1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customHeight="1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customHeight="1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customHeight="1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customHeight="1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customHeight="1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4.5" customHeight="1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E1" workbookViewId="0">
      <selection activeCell="I1" sqref="I1:I64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1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4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4.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customHeight="1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 ht="14.5" customHeight="1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customHeight="1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28"/>
    </row>
    <row r="2" spans="1:9" ht="15" customHeight="1" thickBot="1">
      <c r="A2" s="170"/>
      <c r="B2" s="171"/>
      <c r="C2" s="171"/>
      <c r="D2" s="171"/>
      <c r="E2" s="171"/>
      <c r="F2" s="171"/>
      <c r="G2" s="171"/>
      <c r="H2" s="171"/>
      <c r="I2" s="229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29"/>
    </row>
    <row r="4" spans="1:9" ht="15" customHeight="1" thickBot="1">
      <c r="A4" s="170"/>
      <c r="B4" s="171"/>
      <c r="C4" s="171"/>
      <c r="D4" s="171"/>
      <c r="E4" s="171"/>
      <c r="F4" s="171"/>
      <c r="G4" s="171"/>
      <c r="H4" s="171"/>
      <c r="I4" s="229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29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29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29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29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29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29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29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29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29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29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29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29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29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29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29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29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29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29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29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29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29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29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29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29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29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29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30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1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0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H39" sqref="H39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4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89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/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>
        <v>422</v>
      </c>
      <c r="C10" s="166">
        <v>2124</v>
      </c>
      <c r="D10" s="167"/>
      <c r="E10" s="12">
        <f t="shared" si="0"/>
        <v>896328</v>
      </c>
      <c r="F10" s="12">
        <f t="shared" si="1"/>
        <v>136728</v>
      </c>
      <c r="G10" s="12">
        <f>PRODUCT(B10*30)</f>
        <v>12660</v>
      </c>
      <c r="H10" s="100">
        <f t="shared" si="2"/>
        <v>149388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>
        <v>30</v>
      </c>
      <c r="C17" s="26">
        <v>1180</v>
      </c>
      <c r="D17" s="26">
        <v>30</v>
      </c>
      <c r="E17" s="19">
        <f>PRODUCT(B17*C17)</f>
        <v>35400</v>
      </c>
      <c r="F17" s="16">
        <f t="shared" ref="F17:F36" si="3">PRODUCT(E17*18)/118</f>
        <v>5400</v>
      </c>
      <c r="G17" s="94">
        <f>PRODUCT(B17*D17)</f>
        <v>900</v>
      </c>
      <c r="H17" s="102">
        <f>SUM(F17:G17)</f>
        <v>6300</v>
      </c>
      <c r="I17" s="214"/>
    </row>
    <row r="18" spans="1:9" ht="15" thickBot="1">
      <c r="A18" s="34" t="s">
        <v>85</v>
      </c>
      <c r="B18" s="27"/>
      <c r="C18" s="27">
        <v>1800</v>
      </c>
      <c r="D18" s="27">
        <v>30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86</v>
      </c>
      <c r="B19" s="13"/>
      <c r="C19" s="13">
        <v>1180</v>
      </c>
      <c r="D19" s="13">
        <v>30</v>
      </c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60</v>
      </c>
      <c r="B20" s="13"/>
      <c r="C20" s="13">
        <v>1534</v>
      </c>
      <c r="D20" s="13">
        <v>30</v>
      </c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>
        <v>30</v>
      </c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>
        <v>1</v>
      </c>
      <c r="C22" s="13">
        <v>1</v>
      </c>
      <c r="D22" s="13">
        <v>612</v>
      </c>
      <c r="E22" s="20">
        <f t="shared" si="4"/>
        <v>1</v>
      </c>
      <c r="F22" s="17">
        <f t="shared" si="3"/>
        <v>0.15254237288135594</v>
      </c>
      <c r="G22" s="95">
        <f t="shared" si="5"/>
        <v>612</v>
      </c>
      <c r="H22" s="104">
        <f t="shared" si="6"/>
        <v>612.15254237288138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931729</v>
      </c>
      <c r="F37" s="24">
        <f>SUM(F5:F36)</f>
        <v>142128.15254237287</v>
      </c>
      <c r="G37" s="24">
        <f t="shared" ref="G37:H37" si="10">SUM(G5:G36)</f>
        <v>14172</v>
      </c>
      <c r="H37" s="24">
        <f t="shared" si="10"/>
        <v>156300.15254237287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>
        <f>H37</f>
        <v>156300.15254237287</v>
      </c>
      <c r="D39" s="58"/>
      <c r="E39" s="183"/>
      <c r="F39" s="183"/>
      <c r="G39" s="114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115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115" t="s">
        <v>88</v>
      </c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6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156300.15254237287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 t="s">
        <v>87</v>
      </c>
      <c r="B49" s="223"/>
      <c r="C49" s="197" t="s">
        <v>61</v>
      </c>
      <c r="D49" s="198"/>
      <c r="E49" s="207">
        <f>SUM(B9:B12)</f>
        <v>422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30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452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7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1.5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0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 ht="14.5" customHeight="1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22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4.5" customHeight="1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customHeight="1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56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56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56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56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56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56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56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56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31"/>
      <c r="D63" s="232"/>
      <c r="E63" s="233"/>
      <c r="F63" s="234"/>
      <c r="G63" s="234"/>
      <c r="H63" s="234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8" t="s">
        <v>55</v>
      </c>
      <c r="B1" s="169"/>
      <c r="C1" s="169"/>
      <c r="D1" s="169"/>
      <c r="E1" s="169"/>
      <c r="F1" s="169"/>
      <c r="G1" s="169"/>
      <c r="H1" s="169"/>
      <c r="I1" s="213"/>
    </row>
    <row r="2" spans="1:9" ht="29.5" customHeight="1" thickBot="1">
      <c r="A2" s="170"/>
      <c r="B2" s="171"/>
      <c r="C2" s="171"/>
      <c r="D2" s="171"/>
      <c r="E2" s="171"/>
      <c r="F2" s="171"/>
      <c r="G2" s="171"/>
      <c r="H2" s="171"/>
      <c r="I2" s="214"/>
    </row>
    <row r="3" spans="1:9">
      <c r="A3" s="172" t="s">
        <v>80</v>
      </c>
      <c r="B3" s="173"/>
      <c r="C3" s="173"/>
      <c r="D3" s="173"/>
      <c r="E3" s="173"/>
      <c r="F3" s="173"/>
      <c r="G3" s="173"/>
      <c r="H3" s="174"/>
      <c r="I3" s="214"/>
    </row>
    <row r="4" spans="1:9" ht="30" customHeight="1" thickBot="1">
      <c r="A4" s="170"/>
      <c r="B4" s="171"/>
      <c r="C4" s="171"/>
      <c r="D4" s="171"/>
      <c r="E4" s="171"/>
      <c r="F4" s="171"/>
      <c r="G4" s="171"/>
      <c r="H4" s="171"/>
      <c r="I4" s="214"/>
    </row>
    <row r="5" spans="1:9" ht="15" thickBot="1">
      <c r="A5" s="98" t="s">
        <v>38</v>
      </c>
      <c r="B5" s="30" t="s">
        <v>39</v>
      </c>
      <c r="C5" s="175" t="s">
        <v>40</v>
      </c>
      <c r="D5" s="176"/>
      <c r="E5" s="30" t="s">
        <v>41</v>
      </c>
      <c r="F5" s="31" t="s">
        <v>42</v>
      </c>
      <c r="G5" s="30" t="s">
        <v>43</v>
      </c>
      <c r="H5" s="31" t="s">
        <v>8</v>
      </c>
      <c r="I5" s="214"/>
    </row>
    <row r="6" spans="1:9">
      <c r="A6" s="38" t="s">
        <v>44</v>
      </c>
      <c r="B6" s="9"/>
      <c r="C6" s="177"/>
      <c r="D6" s="178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4"/>
    </row>
    <row r="7" spans="1:9">
      <c r="A7" s="38" t="s">
        <v>45</v>
      </c>
      <c r="B7" s="9"/>
      <c r="C7" s="177"/>
      <c r="D7" s="178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4"/>
    </row>
    <row r="8" spans="1:9">
      <c r="A8" s="39" t="s">
        <v>46</v>
      </c>
      <c r="B8" s="11"/>
      <c r="C8" s="166"/>
      <c r="D8" s="16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4"/>
    </row>
    <row r="9" spans="1:9">
      <c r="A9" s="39" t="s">
        <v>47</v>
      </c>
      <c r="B9" s="11"/>
      <c r="C9" s="166"/>
      <c r="D9" s="16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4"/>
    </row>
    <row r="10" spans="1:9">
      <c r="A10" s="39" t="s">
        <v>48</v>
      </c>
      <c r="B10" s="11"/>
      <c r="C10" s="166"/>
      <c r="D10" s="16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4"/>
    </row>
    <row r="11" spans="1:9">
      <c r="A11" s="40" t="s">
        <v>66</v>
      </c>
      <c r="B11" s="11"/>
      <c r="C11" s="166"/>
      <c r="D11" s="16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4"/>
    </row>
    <row r="12" spans="1:9">
      <c r="A12" s="40" t="s">
        <v>66</v>
      </c>
      <c r="B12" s="11"/>
      <c r="C12" s="166"/>
      <c r="D12" s="16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4"/>
    </row>
    <row r="13" spans="1:9">
      <c r="A13" s="40" t="s">
        <v>60</v>
      </c>
      <c r="B13" s="11"/>
      <c r="C13" s="166"/>
      <c r="D13" s="16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4"/>
    </row>
    <row r="14" spans="1:9" ht="15" thickBot="1">
      <c r="A14" s="41" t="s">
        <v>60</v>
      </c>
      <c r="B14" s="11"/>
      <c r="C14" s="166"/>
      <c r="D14" s="16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4"/>
    </row>
    <row r="15" spans="1:9" ht="26.5" thickBot="1">
      <c r="A15" s="181" t="s">
        <v>49</v>
      </c>
      <c r="B15" s="182"/>
      <c r="C15" s="182"/>
      <c r="D15" s="182"/>
      <c r="E15" s="182"/>
      <c r="F15" s="182"/>
      <c r="G15" s="182"/>
      <c r="H15" s="182"/>
      <c r="I15" s="214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4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4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4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4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4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4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4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4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4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4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4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4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4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4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4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4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4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4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4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4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4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4"/>
    </row>
    <row r="38" spans="1:9" ht="15" thickBot="1">
      <c r="A38" s="186" t="s">
        <v>78</v>
      </c>
      <c r="B38" s="187"/>
      <c r="C38" s="63" t="s">
        <v>72</v>
      </c>
      <c r="D38" s="54"/>
      <c r="E38" s="184" t="s">
        <v>70</v>
      </c>
      <c r="F38" s="185"/>
      <c r="G38" s="62" t="s">
        <v>71</v>
      </c>
      <c r="H38" s="107" t="s">
        <v>72</v>
      </c>
      <c r="I38" s="214"/>
    </row>
    <row r="39" spans="1:9" ht="15" thickBot="1">
      <c r="A39" s="191" t="s">
        <v>68</v>
      </c>
      <c r="B39" s="192"/>
      <c r="C39" s="55"/>
      <c r="D39" s="58"/>
      <c r="E39" s="183"/>
      <c r="F39" s="183"/>
      <c r="G39" s="61"/>
      <c r="H39" s="108"/>
      <c r="I39" s="214"/>
    </row>
    <row r="40" spans="1:9" ht="15" thickBot="1">
      <c r="A40" s="188" t="s">
        <v>69</v>
      </c>
      <c r="B40" s="189"/>
      <c r="C40" s="51"/>
      <c r="D40" s="59"/>
      <c r="E40" s="190"/>
      <c r="F40" s="190"/>
      <c r="G40" s="60"/>
      <c r="H40" s="109"/>
      <c r="I40" s="214"/>
    </row>
    <row r="41" spans="1:9" ht="15" thickBot="1">
      <c r="A41" s="188" t="s">
        <v>73</v>
      </c>
      <c r="B41" s="189"/>
      <c r="C41" s="52"/>
      <c r="D41" s="58"/>
      <c r="E41" s="180"/>
      <c r="F41" s="180"/>
      <c r="G41" s="60"/>
      <c r="H41" s="109"/>
      <c r="I41" s="214"/>
    </row>
    <row r="42" spans="1:9" ht="15" thickBot="1">
      <c r="A42" s="193" t="s">
        <v>74</v>
      </c>
      <c r="B42" s="194"/>
      <c r="C42" s="53"/>
      <c r="D42" s="56"/>
      <c r="E42" s="179"/>
      <c r="F42" s="180"/>
      <c r="G42" s="11"/>
      <c r="H42" s="109"/>
      <c r="I42" s="214"/>
    </row>
    <row r="43" spans="1:9" ht="15" thickBot="1">
      <c r="A43" s="195" t="s">
        <v>75</v>
      </c>
      <c r="B43" s="196"/>
      <c r="C43" s="90"/>
      <c r="D43" s="56"/>
      <c r="E43" s="179"/>
      <c r="F43" s="180"/>
      <c r="G43" s="11"/>
      <c r="H43" s="109"/>
      <c r="I43" s="214"/>
    </row>
    <row r="44" spans="1:9" ht="15" thickBot="1">
      <c r="A44" s="195" t="s">
        <v>76</v>
      </c>
      <c r="B44" s="196"/>
      <c r="C44" s="90"/>
      <c r="D44" s="57"/>
      <c r="E44" s="179"/>
      <c r="F44" s="180"/>
      <c r="G44" s="11"/>
      <c r="H44" s="109"/>
      <c r="I44" s="214"/>
    </row>
    <row r="45" spans="1:9" ht="15" thickBot="1">
      <c r="A45" s="195" t="s">
        <v>77</v>
      </c>
      <c r="B45" s="196"/>
      <c r="C45" s="91">
        <f>SUM(C39+C40+C41+C42+C43+C44)</f>
        <v>0</v>
      </c>
      <c r="D45" s="92"/>
      <c r="E45" s="201"/>
      <c r="F45" s="202"/>
      <c r="G45" s="93"/>
      <c r="H45" s="110"/>
      <c r="I45" s="214"/>
    </row>
    <row r="46" spans="1:9">
      <c r="A46" s="203" t="s">
        <v>57</v>
      </c>
      <c r="B46" s="204"/>
      <c r="C46" s="204"/>
      <c r="D46" s="204"/>
      <c r="E46" s="204"/>
      <c r="F46" s="204"/>
      <c r="G46" s="204"/>
      <c r="H46" s="204"/>
      <c r="I46" s="214"/>
    </row>
    <row r="47" spans="1:9" ht="15" thickBot="1">
      <c r="A47" s="205"/>
      <c r="B47" s="206"/>
      <c r="C47" s="206"/>
      <c r="D47" s="206"/>
      <c r="E47" s="206"/>
      <c r="F47" s="206"/>
      <c r="G47" s="206"/>
      <c r="H47" s="206"/>
      <c r="I47" s="214"/>
    </row>
    <row r="48" spans="1:9" ht="24" thickBot="1">
      <c r="A48" s="220" t="s">
        <v>9</v>
      </c>
      <c r="B48" s="221"/>
      <c r="C48" s="211" t="s">
        <v>58</v>
      </c>
      <c r="D48" s="212"/>
      <c r="E48" s="209" t="s">
        <v>59</v>
      </c>
      <c r="F48" s="210"/>
      <c r="G48" s="210"/>
      <c r="H48" s="210"/>
      <c r="I48" s="214"/>
    </row>
    <row r="49" spans="1:9" ht="19" thickBot="1">
      <c r="A49" s="222"/>
      <c r="B49" s="223"/>
      <c r="C49" s="197" t="s">
        <v>61</v>
      </c>
      <c r="D49" s="198"/>
      <c r="E49" s="207">
        <f>SUM(B9:B12)</f>
        <v>0</v>
      </c>
      <c r="F49" s="208"/>
      <c r="G49" s="208"/>
      <c r="H49" s="208"/>
      <c r="I49" s="214"/>
    </row>
    <row r="50" spans="1:9" ht="19" thickBot="1">
      <c r="A50" s="224"/>
      <c r="B50" s="225"/>
      <c r="C50" s="197" t="s">
        <v>46</v>
      </c>
      <c r="D50" s="198"/>
      <c r="E50" s="207">
        <f>SUM(B6:B8)</f>
        <v>0</v>
      </c>
      <c r="F50" s="208"/>
      <c r="G50" s="208"/>
      <c r="H50" s="208"/>
      <c r="I50" s="214"/>
    </row>
    <row r="51" spans="1:9" ht="19" thickBot="1">
      <c r="A51" s="224"/>
      <c r="B51" s="225"/>
      <c r="C51" s="197" t="s">
        <v>62</v>
      </c>
      <c r="D51" s="198"/>
      <c r="E51" s="207">
        <f>SUM(B13:B14)</f>
        <v>0</v>
      </c>
      <c r="F51" s="208"/>
      <c r="G51" s="208"/>
      <c r="H51" s="208"/>
      <c r="I51" s="214"/>
    </row>
    <row r="52" spans="1:9" ht="19" thickBot="1">
      <c r="A52" s="224"/>
      <c r="B52" s="225"/>
      <c r="C52" s="199" t="s">
        <v>63</v>
      </c>
      <c r="D52" s="200"/>
      <c r="E52" s="160">
        <f>SUM(B17:B18)</f>
        <v>0</v>
      </c>
      <c r="F52" s="161"/>
      <c r="G52" s="161"/>
      <c r="H52" s="161"/>
      <c r="I52" s="214"/>
    </row>
    <row r="53" spans="1:9" ht="19" thickBot="1">
      <c r="A53" s="224"/>
      <c r="B53" s="225"/>
      <c r="C53" s="199" t="s">
        <v>64</v>
      </c>
      <c r="D53" s="200"/>
      <c r="E53" s="160">
        <f>SUM(B19:B20)</f>
        <v>0</v>
      </c>
      <c r="F53" s="161"/>
      <c r="G53" s="161"/>
      <c r="H53" s="161"/>
      <c r="I53" s="214"/>
    </row>
    <row r="54" spans="1:9" ht="19" thickBot="1">
      <c r="A54" s="224"/>
      <c r="B54" s="225"/>
      <c r="C54" s="199" t="s">
        <v>84</v>
      </c>
      <c r="D54" s="200"/>
      <c r="E54" s="160">
        <f>B29</f>
        <v>0</v>
      </c>
      <c r="F54" s="161"/>
      <c r="G54" s="161"/>
      <c r="H54" s="161"/>
      <c r="I54" s="214"/>
    </row>
    <row r="55" spans="1:9" ht="19" thickBot="1">
      <c r="A55" s="224"/>
      <c r="B55" s="225"/>
      <c r="C55" s="199" t="s">
        <v>84</v>
      </c>
      <c r="D55" s="200"/>
      <c r="E55" s="160">
        <f t="shared" ref="E55:E61" si="11">B30</f>
        <v>0</v>
      </c>
      <c r="F55" s="161"/>
      <c r="G55" s="161"/>
      <c r="H55" s="161"/>
      <c r="I55" s="214"/>
    </row>
    <row r="56" spans="1:9" ht="19" thickBot="1">
      <c r="A56" s="224"/>
      <c r="B56" s="225"/>
      <c r="C56" s="199" t="s">
        <v>84</v>
      </c>
      <c r="D56" s="200"/>
      <c r="E56" s="160">
        <f t="shared" si="11"/>
        <v>0</v>
      </c>
      <c r="F56" s="161"/>
      <c r="G56" s="161"/>
      <c r="H56" s="161"/>
      <c r="I56" s="214"/>
    </row>
    <row r="57" spans="1:9" ht="19" thickBot="1">
      <c r="A57" s="224"/>
      <c r="B57" s="225"/>
      <c r="C57" s="199" t="s">
        <v>84</v>
      </c>
      <c r="D57" s="200"/>
      <c r="E57" s="160">
        <f t="shared" si="11"/>
        <v>0</v>
      </c>
      <c r="F57" s="161"/>
      <c r="G57" s="161"/>
      <c r="H57" s="161"/>
      <c r="I57" s="214"/>
    </row>
    <row r="58" spans="1:9" ht="19" thickBot="1">
      <c r="A58" s="224"/>
      <c r="B58" s="225"/>
      <c r="C58" s="199" t="s">
        <v>84</v>
      </c>
      <c r="D58" s="200"/>
      <c r="E58" s="160">
        <f t="shared" si="11"/>
        <v>0</v>
      </c>
      <c r="F58" s="161"/>
      <c r="G58" s="161"/>
      <c r="H58" s="161"/>
      <c r="I58" s="214"/>
    </row>
    <row r="59" spans="1:9" ht="19" thickBot="1">
      <c r="A59" s="224"/>
      <c r="B59" s="225"/>
      <c r="C59" s="199" t="s">
        <v>84</v>
      </c>
      <c r="D59" s="200"/>
      <c r="E59" s="160">
        <f t="shared" si="11"/>
        <v>0</v>
      </c>
      <c r="F59" s="161"/>
      <c r="G59" s="161"/>
      <c r="H59" s="161"/>
      <c r="I59" s="214"/>
    </row>
    <row r="60" spans="1:9" ht="19" thickBot="1">
      <c r="A60" s="224"/>
      <c r="B60" s="225"/>
      <c r="C60" s="199" t="s">
        <v>84</v>
      </c>
      <c r="D60" s="200"/>
      <c r="E60" s="160">
        <f t="shared" si="11"/>
        <v>0</v>
      </c>
      <c r="F60" s="161"/>
      <c r="G60" s="161"/>
      <c r="H60" s="161"/>
      <c r="I60" s="214"/>
    </row>
    <row r="61" spans="1:9" ht="19" thickBot="1">
      <c r="A61" s="224"/>
      <c r="B61" s="225"/>
      <c r="C61" s="199" t="s">
        <v>84</v>
      </c>
      <c r="D61" s="200"/>
      <c r="E61" s="160">
        <f t="shared" si="11"/>
        <v>0</v>
      </c>
      <c r="F61" s="161"/>
      <c r="G61" s="161"/>
      <c r="H61" s="161"/>
      <c r="I61" s="214"/>
    </row>
    <row r="62" spans="1:9" ht="32.5" thickBot="1">
      <c r="A62" s="224"/>
      <c r="B62" s="225"/>
      <c r="C62" s="199" t="s">
        <v>65</v>
      </c>
      <c r="D62" s="200"/>
      <c r="E62" s="164">
        <f>SUM(E49:H61)</f>
        <v>0</v>
      </c>
      <c r="F62" s="165"/>
      <c r="G62" s="165"/>
      <c r="H62" s="165"/>
      <c r="I62" s="214"/>
    </row>
    <row r="63" spans="1:9" ht="19" thickBot="1">
      <c r="A63" s="226"/>
      <c r="B63" s="227"/>
      <c r="C63" s="216"/>
      <c r="D63" s="217"/>
      <c r="E63" s="162"/>
      <c r="F63" s="163"/>
      <c r="G63" s="163"/>
      <c r="H63" s="163"/>
      <c r="I63" s="214"/>
    </row>
    <row r="64" spans="1:9" ht="15" thickBot="1">
      <c r="A64" s="218"/>
      <c r="B64" s="219"/>
      <c r="C64" s="219"/>
      <c r="D64" s="219"/>
      <c r="E64" s="219"/>
      <c r="F64" s="219"/>
      <c r="G64" s="219"/>
      <c r="H64" s="219"/>
      <c r="I64" s="215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3" t="s">
        <v>57</v>
      </c>
      <c r="B1" s="204"/>
      <c r="C1" s="204"/>
      <c r="D1" s="204"/>
      <c r="E1" s="204"/>
      <c r="F1" s="204"/>
      <c r="G1" s="247"/>
    </row>
    <row r="2" spans="1:7" ht="15" thickBot="1">
      <c r="A2" s="205"/>
      <c r="B2" s="206"/>
      <c r="C2" s="206"/>
      <c r="D2" s="206"/>
      <c r="E2" s="206"/>
      <c r="F2" s="206"/>
      <c r="G2" s="248"/>
    </row>
    <row r="3" spans="1:7" ht="28.5" thickBot="1">
      <c r="A3" s="249" t="s">
        <v>58</v>
      </c>
      <c r="B3" s="250"/>
      <c r="C3" s="251"/>
      <c r="D3" s="249" t="s">
        <v>59</v>
      </c>
      <c r="E3" s="250"/>
      <c r="F3" s="250"/>
      <c r="G3" s="251"/>
    </row>
    <row r="4" spans="1:7" ht="41.5" customHeight="1" thickBot="1">
      <c r="A4" s="244" t="s">
        <v>61</v>
      </c>
      <c r="B4" s="245"/>
      <c r="C4" s="246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422</v>
      </c>
      <c r="E4" s="236"/>
      <c r="F4" s="236"/>
      <c r="G4" s="237"/>
    </row>
    <row r="5" spans="1:7" ht="37" customHeight="1" thickBot="1">
      <c r="A5" s="244" t="s">
        <v>46</v>
      </c>
      <c r="B5" s="245"/>
      <c r="C5" s="246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6"/>
      <c r="F5" s="236"/>
      <c r="G5" s="237"/>
    </row>
    <row r="6" spans="1:7" ht="40" customHeight="1" thickBot="1">
      <c r="A6" s="244" t="s">
        <v>60</v>
      </c>
      <c r="B6" s="245"/>
      <c r="C6" s="246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6"/>
      <c r="F6" s="236"/>
      <c r="G6" s="237"/>
    </row>
    <row r="7" spans="1:7" ht="38.5" customHeight="1" thickBot="1">
      <c r="A7" s="238" t="s">
        <v>63</v>
      </c>
      <c r="B7" s="239"/>
      <c r="C7" s="240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30</v>
      </c>
      <c r="E7" s="236"/>
      <c r="F7" s="236"/>
      <c r="G7" s="237"/>
    </row>
    <row r="8" spans="1:7" ht="40" customHeight="1" thickBot="1">
      <c r="A8" s="238" t="s">
        <v>64</v>
      </c>
      <c r="B8" s="239"/>
      <c r="C8" s="240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6"/>
      <c r="F8" s="236"/>
      <c r="G8" s="237"/>
    </row>
    <row r="9" spans="1:7" ht="38.5" customHeight="1" thickBot="1">
      <c r="A9" s="238" t="s">
        <v>84</v>
      </c>
      <c r="B9" s="239"/>
      <c r="C9" s="240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" customHeight="1" thickBot="1">
      <c r="A10" s="238" t="s">
        <v>84</v>
      </c>
      <c r="B10" s="239"/>
      <c r="C10" s="240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38" t="s">
        <v>84</v>
      </c>
      <c r="B11" s="239"/>
      <c r="C11" s="240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5" customHeight="1" thickBot="1">
      <c r="A12" s="238" t="s">
        <v>84</v>
      </c>
      <c r="B12" s="239"/>
      <c r="C12" s="240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" customHeight="1" thickBot="1">
      <c r="A13" s="238" t="s">
        <v>84</v>
      </c>
      <c r="B13" s="239"/>
      <c r="C13" s="240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38" t="s">
        <v>84</v>
      </c>
      <c r="B14" s="239"/>
      <c r="C14" s="240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38" t="s">
        <v>84</v>
      </c>
      <c r="B15" s="239"/>
      <c r="C15" s="240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38" t="s">
        <v>84</v>
      </c>
      <c r="B16" s="239"/>
      <c r="C16" s="240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38" t="s">
        <v>65</v>
      </c>
      <c r="B17" s="239"/>
      <c r="C17" s="240"/>
      <c r="D17" s="241">
        <f>SUM(D4:D16)</f>
        <v>452</v>
      </c>
      <c r="E17" s="242"/>
      <c r="F17" s="242"/>
      <c r="G17" s="243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2026-03-31T16:12:26Z</dcterms:modified>
</cp:coreProperties>
</file>