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J29" i="1"/>
  <c r="I29" i="1"/>
  <c r="G29" i="1"/>
  <c r="E29" i="1"/>
  <c r="D29" i="1"/>
  <c r="F28" i="1"/>
  <c r="F27" i="1"/>
  <c r="F26" i="1"/>
  <c r="J25" i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<sst xmlns="http://schemas.openxmlformats.org/spreadsheetml/2006/main" count="1698" uniqueCount="92">
  <si>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</si>
  <si>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</si>
  <si>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</si>
  <si>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</si>
  <si>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</si>
  <si>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</si>
  <si>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</si>
  <si>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</si>
  <si>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</si>
  <si>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</si>
  <si>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</si>
  <si>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</si>
  <si>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</si>
  <si>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</si>
  <si>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</si>
  <si>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</si>
  <si>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</si>
  <si>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</si>
  <si>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</si>
  <si>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</si>
  <si>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</si>
  <si>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</si>
  <si>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</si>
  <si>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</si>
  <si>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</si>
  <si>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</si>
  <si>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</si>
  <si>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</si>
  <si>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</si>
  <si>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</si>
  <si>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</si>
  <si>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</si>
  <si>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</si>
  <si>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</si>
  <si>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</si>
  <si>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</si>
  <si>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</si>
  <si>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</si>
  <si>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</si>
  <si>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</si>
  <si>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</si>
  <si>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</si>
  <si>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</si>
  <si>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</si>
  <si>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</si>
  <si>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</si>
  <si>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</si>
  <si>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</si>
  <si>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</si>
  <si>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</si>
  <si>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</si>
  <si>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</si>
  <si>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</si>
  <si>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</si>
  <si>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</si>
  <si>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</si>
  <si>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</si>
  <si>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</si>
  <si>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</si>
  <si>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</si>
  <si>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</si>
  <si>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</si>
  <si>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</si>
  <si>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</si>
  <si>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</si>
  <si>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</si>
  <si>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</si>
  <si>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</si>
  <si>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</si>
  <si>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</si>
  <si>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</si>
  <si>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</si>
  <si>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</si>
  <si>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</si>
  <si>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</si>
  <si>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</si>
  <si>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</si>
  <si>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</si>
  <si>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</si>
  <si>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</si>
  <si>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</si>
  <si>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</si>
  <si>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</si>
  <si>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</si>
  <si>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</si>
  <si>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</si>
  <si>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</si>
  <si>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</si>
  <si>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</si>
  <si>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</si>
  <si>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</si>
  <si>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09-15/03/2026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</si>
</sst>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727380</v>
      </c>
      <c r="C25" s="87">
        <f>GASHYUSHYA!G37</f>
        <v>97350</v>
      </c>
      <c r="D25" s="87">
        <f>GASHYUSHYA!C43</f>
        <v>0</v>
      </c>
      <c r="E25" s="87">
        <f>GASHYUSHYA!C44</f>
        <v>0</v>
      </c>
      <c r="F25" s="84">
        <f t="shared" si="0"/>
        <v>824730</v>
      </c>
      <c r="G25" s="87">
        <f>GASHYUSHYA!C41</f>
        <v>0</v>
      </c>
      <c r="H25" s="88">
        <f>GASHYUSHYA!C39</f>
        <v>824730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727380</v>
      </c>
      <c r="C29" s="101">
        <f t="shared" si="1"/>
        <v>97350</v>
      </c>
      <c r="D29" s="102">
        <f t="shared" si="1"/>
        <v>0</v>
      </c>
      <c r="E29" s="101">
        <f t="shared" si="1"/>
        <v>0</v>
      </c>
      <c r="F29" s="101">
        <f t="shared" si="1"/>
        <v>824730</v>
      </c>
      <c r="G29" s="102">
        <f t="shared" si="1"/>
        <v>0</v>
      </c>
      <c r="H29" s="102">
        <f t="shared" si="1"/>
        <v>824730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0"/>
      <c r="B30" s="130"/>
      <c r="C30" s="130"/>
      <c r="D30" s="131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2" t="s">
        <v>34</v>
      </c>
      <c r="B31" s="133"/>
      <c r="C31" s="133"/>
      <c r="D31" s="133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34" t="s">
        <v>35</v>
      </c>
      <c r="B32" s="135"/>
      <c r="C32" s="136">
        <f>SUM(B29+C29)</f>
        <v>824730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34" t="s">
        <v>36</v>
      </c>
      <c r="B33" s="135"/>
      <c r="C33" s="117">
        <f>SUM(F29,G29)</f>
        <v>824730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824730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34" t="s">
        <v>38</v>
      </c>
      <c r="B35" s="135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34" t="s">
        <v>39</v>
      </c>
      <c r="B36" s="135"/>
      <c r="C36" s="117">
        <f>SUM(H29+I29+J29+C35)</f>
        <v>824730</v>
      </c>
      <c r="D36" s="118"/>
      <c r="E36" s="122" t="s">
        <v>40</v>
      </c>
      <c r="F36" s="123"/>
      <c r="G36" s="123"/>
      <c r="H36" s="123"/>
      <c r="I36" s="124"/>
      <c r="J36" s="142"/>
      <c r="K36" s="143"/>
      <c r="L36" s="103"/>
    </row>
    <row r="37" spans="1:12" ht="14.5">
      <c r="A37" s="115" t="s">
        <v>41</v>
      </c>
      <c r="B37" s="116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824730</v>
      </c>
      <c r="D37" s="118"/>
      <c r="E37" s="125"/>
      <c r="F37" s="126"/>
      <c r="G37" s="126"/>
      <c r="H37" s="126"/>
      <c r="I37" s="127"/>
      <c r="J37" s="142"/>
      <c r="K37" s="143"/>
      <c r="L37" s="103"/>
    </row>
    <row r="38" spans="1:12" ht="26">
      <c r="A38" s="119" t="s">
        <v>42</v>
      </c>
      <c r="B38" s="120"/>
      <c r="C38" s="120"/>
      <c r="D38" s="120"/>
      <c r="E38" s="120"/>
      <c r="F38" s="120"/>
      <c r="G38" s="120"/>
      <c r="H38" s="120"/>
      <c r="I38" s="121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35:B35"/>
    <mergeCell ref="C35:D35"/>
    <mergeCell ref="A36:B36"/>
    <mergeCell ref="C36:D36"/>
    <mergeCell ref="A37:B37"/>
    <mergeCell ref="C37:D37"/>
    <mergeCell ref="A38:I38"/>
    <mergeCell ref="E36:I37"/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6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8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s="71" customFormat="1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9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20.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22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22.5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24.5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22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22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22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22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3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>
        <v>2124</v>
      </c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6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3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21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5.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9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2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s="69" customFormat="1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34.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27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9" customHeight="1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5" customHeight="1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9" customHeight="1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9" customHeight="1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9" customHeight="1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9" customHeight="1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9" customHeight="1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9" customHeight="1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9" customHeight="1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9" customHeight="1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9" customHeight="1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9" customHeight="1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 ht="14.5" customHeight="1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1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4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4.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 ht="15" customHeight="1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 ht="14.5" customHeight="1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 ht="15" customHeight="1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226"/>
    </row>
    <row r="2" spans="1:9" ht="15" customHeight="1">
      <c r="A2" s="209"/>
      <c r="B2" s="210"/>
      <c r="C2" s="210"/>
      <c r="D2" s="210"/>
      <c r="E2" s="210"/>
      <c r="F2" s="210"/>
      <c r="G2" s="210"/>
      <c r="H2" s="210"/>
      <c r="I2" s="227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227"/>
    </row>
    <row r="4" spans="1:9" ht="15" customHeight="1">
      <c r="A4" s="209"/>
      <c r="B4" s="210"/>
      <c r="C4" s="210"/>
      <c r="D4" s="210"/>
      <c r="E4" s="210"/>
      <c r="F4" s="210"/>
      <c r="G4" s="210"/>
      <c r="H4" s="210"/>
      <c r="I4" s="227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227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227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227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227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227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227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227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227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227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227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227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227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227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227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227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227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227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227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227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227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227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227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227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28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1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0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4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7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1.5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0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 ht="14.5" customHeight="1">
      <c r="A3" s="211" t="s">
        <v>44</v>
      </c>
      <c r="B3" s="212"/>
      <c r="C3" s="212"/>
      <c r="D3" s="212"/>
      <c r="E3" s="212"/>
      <c r="F3" s="212"/>
      <c r="G3" s="212"/>
      <c r="H3" s="213"/>
      <c r="I3" s="199"/>
    </row>
    <row r="4" spans="1:9" ht="22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/>
      <c r="C12" s="162"/>
      <c r="D12" s="163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9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9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99"/>
    </row>
    <row r="38" spans="1:9" ht="14.5" customHeight="1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 ht="15" customHeight="1">
      <c r="A39" s="170" t="s">
        <v>70</v>
      </c>
      <c r="B39" s="171"/>
      <c r="C39" s="52"/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0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82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82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82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82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82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82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82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82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0</v>
      </c>
      <c r="F62" s="219"/>
      <c r="G62" s="219"/>
      <c r="H62" s="219"/>
      <c r="I62" s="199"/>
    </row>
    <row r="63" spans="1:9" ht="18.5">
      <c r="A63" s="205"/>
      <c r="B63" s="206"/>
      <c r="C63" s="229"/>
      <c r="D63" s="230"/>
      <c r="E63" s="231"/>
      <c r="F63" s="232"/>
      <c r="G63" s="232"/>
      <c r="H63" s="232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 formatCells="0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E55" sqref="E55:H55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07" t="s">
        <v>43</v>
      </c>
      <c r="B1" s="208"/>
      <c r="C1" s="208"/>
      <c r="D1" s="208"/>
      <c r="E1" s="208"/>
      <c r="F1" s="208"/>
      <c r="G1" s="208"/>
      <c r="H1" s="208"/>
      <c r="I1" s="198"/>
    </row>
    <row r="2" spans="1:9" ht="29.5" customHeight="1">
      <c r="A2" s="209"/>
      <c r="B2" s="210"/>
      <c r="C2" s="210"/>
      <c r="D2" s="210"/>
      <c r="E2" s="210"/>
      <c r="F2" s="210"/>
      <c r="G2" s="210"/>
      <c r="H2" s="210"/>
      <c r="I2" s="199"/>
    </row>
    <row r="3" spans="1:9">
      <c r="A3" s="211" t="s">
        <v>91</v>
      </c>
      <c r="B3" s="212"/>
      <c r="C3" s="212"/>
      <c r="D3" s="212"/>
      <c r="E3" s="212"/>
      <c r="F3" s="212"/>
      <c r="G3" s="212"/>
      <c r="H3" s="213"/>
      <c r="I3" s="199"/>
    </row>
    <row r="4" spans="1:9" ht="30" customHeight="1">
      <c r="A4" s="209"/>
      <c r="B4" s="210"/>
      <c r="C4" s="210"/>
      <c r="D4" s="210"/>
      <c r="E4" s="210"/>
      <c r="F4" s="210"/>
      <c r="G4" s="210"/>
      <c r="H4" s="210"/>
      <c r="I4" s="199"/>
    </row>
    <row r="5" spans="1:9">
      <c r="A5" s="1" t="s">
        <v>45</v>
      </c>
      <c r="B5" s="2" t="s">
        <v>46</v>
      </c>
      <c r="C5" s="158" t="s">
        <v>47</v>
      </c>
      <c r="D5" s="159"/>
      <c r="E5" s="2" t="s">
        <v>48</v>
      </c>
      <c r="F5" s="3" t="s">
        <v>49</v>
      </c>
      <c r="G5" s="2" t="s">
        <v>50</v>
      </c>
      <c r="H5" s="3" t="s">
        <v>7</v>
      </c>
      <c r="I5" s="199"/>
    </row>
    <row r="6" spans="1:9">
      <c r="A6" s="4" t="s">
        <v>51</v>
      </c>
      <c r="B6" s="5"/>
      <c r="C6" s="160"/>
      <c r="D6" s="161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99"/>
    </row>
    <row r="7" spans="1:9">
      <c r="A7" s="4" t="s">
        <v>52</v>
      </c>
      <c r="B7" s="5"/>
      <c r="C7" s="160"/>
      <c r="D7" s="161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99"/>
    </row>
    <row r="8" spans="1:9">
      <c r="A8" s="8" t="s">
        <v>53</v>
      </c>
      <c r="B8" s="9"/>
      <c r="C8" s="162"/>
      <c r="D8" s="163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99"/>
    </row>
    <row r="9" spans="1:9">
      <c r="A9" s="8" t="s">
        <v>54</v>
      </c>
      <c r="B9" s="9"/>
      <c r="C9" s="162"/>
      <c r="D9" s="163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99"/>
    </row>
    <row r="10" spans="1:9">
      <c r="A10" s="8" t="s">
        <v>55</v>
      </c>
      <c r="B10" s="9"/>
      <c r="C10" s="162"/>
      <c r="D10" s="163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99"/>
    </row>
    <row r="11" spans="1:9">
      <c r="A11" s="12" t="s">
        <v>56</v>
      </c>
      <c r="B11" s="9"/>
      <c r="C11" s="162"/>
      <c r="D11" s="163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99"/>
    </row>
    <row r="12" spans="1:9">
      <c r="A12" s="12" t="s">
        <v>56</v>
      </c>
      <c r="B12" s="9">
        <v>2245</v>
      </c>
      <c r="C12" s="162">
        <v>2124</v>
      </c>
      <c r="D12" s="163"/>
      <c r="E12" s="10">
        <f t="shared" si="0"/>
        <v>4768380</v>
      </c>
      <c r="F12" s="10">
        <f t="shared" si="1"/>
        <v>727380</v>
      </c>
      <c r="G12" s="10">
        <f>PRODUCT(B12*30)</f>
        <v>67350</v>
      </c>
      <c r="H12" s="11">
        <f t="shared" si="2"/>
        <v>794730</v>
      </c>
      <c r="I12" s="199"/>
    </row>
    <row r="13" spans="1:9">
      <c r="A13" s="12" t="s">
        <v>57</v>
      </c>
      <c r="B13" s="9"/>
      <c r="C13" s="162"/>
      <c r="D13" s="163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99"/>
    </row>
    <row r="14" spans="1:9">
      <c r="A14" s="13" t="s">
        <v>57</v>
      </c>
      <c r="B14" s="9"/>
      <c r="C14" s="162"/>
      <c r="D14" s="163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99"/>
    </row>
    <row r="15" spans="1:9" ht="26">
      <c r="A15" s="164" t="s">
        <v>58</v>
      </c>
      <c r="B15" s="165"/>
      <c r="C15" s="165"/>
      <c r="D15" s="165"/>
      <c r="E15" s="165"/>
      <c r="F15" s="165"/>
      <c r="G15" s="165"/>
      <c r="H15" s="165"/>
      <c r="I15" s="19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9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9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9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9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9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99"/>
    </row>
    <row r="22" spans="1:9">
      <c r="A22" s="34" t="s">
        <v>85</v>
      </c>
      <c r="B22" s="31">
        <v>300</v>
      </c>
      <c r="C22" s="31"/>
      <c r="D22" s="31">
        <v>100</v>
      </c>
      <c r="E22" s="26">
        <f t="shared" si="4"/>
        <v>0</v>
      </c>
      <c r="F22" s="27">
        <f t="shared" si="3"/>
        <v>0</v>
      </c>
      <c r="G22" s="32">
        <f t="shared" si="5"/>
        <v>30000</v>
      </c>
      <c r="H22" s="33">
        <f t="shared" si="6"/>
        <v>30000</v>
      </c>
      <c r="I22" s="19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9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9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9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9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9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9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9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9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9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9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9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9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9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99"/>
    </row>
    <row r="37" spans="1:9">
      <c r="A37" s="45" t="s">
        <v>65</v>
      </c>
      <c r="B37" s="46"/>
      <c r="C37" s="46"/>
      <c r="D37" s="46"/>
      <c r="E37" s="47">
        <f>SUM(E5:E36)</f>
        <v>4768380</v>
      </c>
      <c r="F37" s="47">
        <f>SUM(F5:F36)</f>
        <v>727380</v>
      </c>
      <c r="G37" s="47">
        <f t="shared" ref="G37:H37" si="10">SUM(G5:G36)</f>
        <v>97350</v>
      </c>
      <c r="H37" s="47">
        <f t="shared" si="10"/>
        <v>824730</v>
      </c>
      <c r="I37" s="199"/>
    </row>
    <row r="38" spans="1:9">
      <c r="A38" s="166" t="s">
        <v>66</v>
      </c>
      <c r="B38" s="167"/>
      <c r="C38" s="48" t="s">
        <v>67</v>
      </c>
      <c r="D38" s="49"/>
      <c r="E38" s="168" t="s">
        <v>68</v>
      </c>
      <c r="F38" s="169"/>
      <c r="G38" s="50" t="s">
        <v>69</v>
      </c>
      <c r="H38" s="51" t="s">
        <v>67</v>
      </c>
      <c r="I38" s="199"/>
    </row>
    <row r="39" spans="1:9">
      <c r="A39" s="170" t="s">
        <v>70</v>
      </c>
      <c r="B39" s="171"/>
      <c r="C39" s="52">
        <v>824730</v>
      </c>
      <c r="D39" s="53"/>
      <c r="E39" s="172"/>
      <c r="F39" s="172"/>
      <c r="G39" s="54"/>
      <c r="H39" s="55"/>
      <c r="I39" s="199"/>
    </row>
    <row r="40" spans="1:9">
      <c r="A40" s="173" t="s">
        <v>71</v>
      </c>
      <c r="B40" s="174"/>
      <c r="C40" s="56"/>
      <c r="D40" s="57"/>
      <c r="E40" s="175"/>
      <c r="F40" s="175"/>
      <c r="G40" s="58"/>
      <c r="H40" s="59"/>
      <c r="I40" s="199"/>
    </row>
    <row r="41" spans="1:9">
      <c r="A41" s="173" t="s">
        <v>72</v>
      </c>
      <c r="B41" s="174"/>
      <c r="C41" s="60"/>
      <c r="D41" s="53"/>
      <c r="E41" s="176"/>
      <c r="F41" s="176"/>
      <c r="G41" s="58"/>
      <c r="H41" s="59"/>
      <c r="I41" s="199"/>
    </row>
    <row r="42" spans="1:9">
      <c r="A42" s="177" t="s">
        <v>73</v>
      </c>
      <c r="B42" s="178"/>
      <c r="C42" s="61"/>
      <c r="D42" s="62"/>
      <c r="E42" s="179"/>
      <c r="F42" s="176"/>
      <c r="G42" s="9"/>
      <c r="H42" s="59"/>
      <c r="I42" s="199"/>
    </row>
    <row r="43" spans="1:9">
      <c r="A43" s="180" t="s">
        <v>74</v>
      </c>
      <c r="B43" s="181"/>
      <c r="C43" s="63"/>
      <c r="D43" s="62"/>
      <c r="E43" s="179"/>
      <c r="F43" s="176"/>
      <c r="G43" s="9"/>
      <c r="H43" s="59"/>
      <c r="I43" s="199"/>
    </row>
    <row r="44" spans="1:9">
      <c r="A44" s="180" t="s">
        <v>75</v>
      </c>
      <c r="B44" s="181"/>
      <c r="C44" s="63"/>
      <c r="D44" s="64"/>
      <c r="E44" s="179"/>
      <c r="F44" s="176"/>
      <c r="G44" s="9"/>
      <c r="H44" s="59"/>
      <c r="I44" s="199"/>
    </row>
    <row r="45" spans="1:9">
      <c r="A45" s="180" t="s">
        <v>76</v>
      </c>
      <c r="B45" s="181"/>
      <c r="C45" s="65">
        <f>SUM(C39+C40+C41+C42+C43+C44)</f>
        <v>824730</v>
      </c>
      <c r="D45" s="66"/>
      <c r="E45" s="182"/>
      <c r="F45" s="183"/>
      <c r="G45" s="67"/>
      <c r="H45" s="68"/>
      <c r="I45" s="199"/>
    </row>
    <row r="46" spans="1:9">
      <c r="A46" s="214" t="s">
        <v>77</v>
      </c>
      <c r="B46" s="215"/>
      <c r="C46" s="215"/>
      <c r="D46" s="215"/>
      <c r="E46" s="215"/>
      <c r="F46" s="215"/>
      <c r="G46" s="215"/>
      <c r="H46" s="215"/>
      <c r="I46" s="199"/>
    </row>
    <row r="47" spans="1:9">
      <c r="A47" s="216"/>
      <c r="B47" s="217"/>
      <c r="C47" s="217"/>
      <c r="D47" s="217"/>
      <c r="E47" s="217"/>
      <c r="F47" s="217"/>
      <c r="G47" s="217"/>
      <c r="H47" s="217"/>
      <c r="I47" s="199"/>
    </row>
    <row r="48" spans="1:9" ht="23.5">
      <c r="A48" s="184" t="s">
        <v>34</v>
      </c>
      <c r="B48" s="185"/>
      <c r="C48" s="186" t="s">
        <v>78</v>
      </c>
      <c r="D48" s="187"/>
      <c r="E48" s="188" t="s">
        <v>79</v>
      </c>
      <c r="F48" s="189"/>
      <c r="G48" s="189"/>
      <c r="H48" s="189"/>
      <c r="I48" s="199"/>
    </row>
    <row r="49" spans="1:9" ht="18.5">
      <c r="A49" s="201"/>
      <c r="B49" s="202"/>
      <c r="C49" s="190" t="s">
        <v>80</v>
      </c>
      <c r="D49" s="191"/>
      <c r="E49" s="192">
        <f>SUM(B9:B12)</f>
        <v>2245</v>
      </c>
      <c r="F49" s="193"/>
      <c r="G49" s="193"/>
      <c r="H49" s="193"/>
      <c r="I49" s="199"/>
    </row>
    <row r="50" spans="1:9" ht="18.5">
      <c r="A50" s="203"/>
      <c r="B50" s="204"/>
      <c r="C50" s="190" t="s">
        <v>53</v>
      </c>
      <c r="D50" s="191"/>
      <c r="E50" s="192">
        <f>SUM(B6:B8)</f>
        <v>0</v>
      </c>
      <c r="F50" s="193"/>
      <c r="G50" s="193"/>
      <c r="H50" s="193"/>
      <c r="I50" s="199"/>
    </row>
    <row r="51" spans="1:9" ht="18.5">
      <c r="A51" s="203"/>
      <c r="B51" s="204"/>
      <c r="C51" s="190" t="s">
        <v>81</v>
      </c>
      <c r="D51" s="191"/>
      <c r="E51" s="192">
        <f>SUM(B13:B14)</f>
        <v>0</v>
      </c>
      <c r="F51" s="193"/>
      <c r="G51" s="193"/>
      <c r="H51" s="193"/>
      <c r="I51" s="199"/>
    </row>
    <row r="52" spans="1:9" ht="18.5">
      <c r="A52" s="203"/>
      <c r="B52" s="204"/>
      <c r="C52" s="194" t="s">
        <v>62</v>
      </c>
      <c r="D52" s="195"/>
      <c r="E52" s="196">
        <f>SUM(B17:B18)</f>
        <v>0</v>
      </c>
      <c r="F52" s="197"/>
      <c r="G52" s="197"/>
      <c r="H52" s="197"/>
      <c r="I52" s="199"/>
    </row>
    <row r="53" spans="1:9" ht="18.5">
      <c r="A53" s="203"/>
      <c r="B53" s="204"/>
      <c r="C53" s="194" t="s">
        <v>63</v>
      </c>
      <c r="D53" s="195"/>
      <c r="E53" s="196">
        <f>SUM(B19:B20)</f>
        <v>0</v>
      </c>
      <c r="F53" s="197"/>
      <c r="G53" s="197"/>
      <c r="H53" s="197"/>
      <c r="I53" s="199"/>
    </row>
    <row r="54" spans="1:9" ht="18.5">
      <c r="A54" s="203"/>
      <c r="B54" s="204"/>
      <c r="C54" s="194" t="s">
        <v>87</v>
      </c>
      <c r="D54" s="195"/>
      <c r="E54" s="196">
        <f>B29</f>
        <v>0</v>
      </c>
      <c r="F54" s="197"/>
      <c r="G54" s="197"/>
      <c r="H54" s="197"/>
      <c r="I54" s="199"/>
    </row>
    <row r="55" spans="1:9" ht="18.5">
      <c r="A55" s="203"/>
      <c r="B55" s="204"/>
      <c r="C55" s="194" t="s">
        <v>50</v>
      </c>
      <c r="D55" s="195"/>
      <c r="E55" s="196">
        <f t="shared" ref="E55:E61" si="11">B30</f>
        <v>0</v>
      </c>
      <c r="F55" s="197"/>
      <c r="G55" s="197"/>
      <c r="H55" s="197"/>
      <c r="I55" s="199"/>
    </row>
    <row r="56" spans="1:9" ht="18.5">
      <c r="A56" s="203"/>
      <c r="B56" s="204"/>
      <c r="C56" s="194" t="s">
        <v>88</v>
      </c>
      <c r="D56" s="195"/>
      <c r="E56" s="196">
        <f t="shared" si="11"/>
        <v>0</v>
      </c>
      <c r="F56" s="197"/>
      <c r="G56" s="197"/>
      <c r="H56" s="197"/>
      <c r="I56" s="199"/>
    </row>
    <row r="57" spans="1:9" ht="18.5">
      <c r="A57" s="203"/>
      <c r="B57" s="204"/>
      <c r="C57" s="194" t="s">
        <v>89</v>
      </c>
      <c r="D57" s="195"/>
      <c r="E57" s="196">
        <f t="shared" si="11"/>
        <v>0</v>
      </c>
      <c r="F57" s="197"/>
      <c r="G57" s="197"/>
      <c r="H57" s="197"/>
      <c r="I57" s="199"/>
    </row>
    <row r="58" spans="1:9" ht="18.5">
      <c r="A58" s="203"/>
      <c r="B58" s="204"/>
      <c r="C58" s="194" t="s">
        <v>89</v>
      </c>
      <c r="D58" s="195"/>
      <c r="E58" s="196">
        <f t="shared" si="11"/>
        <v>0</v>
      </c>
      <c r="F58" s="197"/>
      <c r="G58" s="197"/>
      <c r="H58" s="197"/>
      <c r="I58" s="199"/>
    </row>
    <row r="59" spans="1:9" ht="18.5">
      <c r="A59" s="203"/>
      <c r="B59" s="204"/>
      <c r="C59" s="194" t="s">
        <v>89</v>
      </c>
      <c r="D59" s="195"/>
      <c r="E59" s="196">
        <f t="shared" si="11"/>
        <v>0</v>
      </c>
      <c r="F59" s="197"/>
      <c r="G59" s="197"/>
      <c r="H59" s="197"/>
      <c r="I59" s="199"/>
    </row>
    <row r="60" spans="1:9" ht="18.5">
      <c r="A60" s="203"/>
      <c r="B60" s="204"/>
      <c r="C60" s="194" t="s">
        <v>89</v>
      </c>
      <c r="D60" s="195"/>
      <c r="E60" s="196">
        <f t="shared" si="11"/>
        <v>0</v>
      </c>
      <c r="F60" s="197"/>
      <c r="G60" s="197"/>
      <c r="H60" s="197"/>
      <c r="I60" s="199"/>
    </row>
    <row r="61" spans="1:9" ht="18.5">
      <c r="A61" s="203"/>
      <c r="B61" s="204"/>
      <c r="C61" s="194" t="s">
        <v>89</v>
      </c>
      <c r="D61" s="195"/>
      <c r="E61" s="196">
        <f t="shared" si="11"/>
        <v>0</v>
      </c>
      <c r="F61" s="197"/>
      <c r="G61" s="197"/>
      <c r="H61" s="197"/>
      <c r="I61" s="199"/>
    </row>
    <row r="62" spans="1:9" ht="32">
      <c r="A62" s="203"/>
      <c r="B62" s="204"/>
      <c r="C62" s="194" t="s">
        <v>83</v>
      </c>
      <c r="D62" s="195"/>
      <c r="E62" s="218">
        <f>SUM(E49:H61)</f>
        <v>2245</v>
      </c>
      <c r="F62" s="219"/>
      <c r="G62" s="219"/>
      <c r="H62" s="219"/>
      <c r="I62" s="199"/>
    </row>
    <row r="63" spans="1:9" ht="18.5">
      <c r="A63" s="205"/>
      <c r="B63" s="206"/>
      <c r="C63" s="220"/>
      <c r="D63" s="221"/>
      <c r="E63" s="222"/>
      <c r="F63" s="223"/>
      <c r="G63" s="223"/>
      <c r="H63" s="223"/>
      <c r="I63" s="199"/>
    </row>
    <row r="64" spans="1:9">
      <c r="A64" s="224"/>
      <c r="B64" s="225"/>
      <c r="C64" s="225"/>
      <c r="D64" s="225"/>
      <c r="E64" s="225"/>
      <c r="F64" s="225"/>
      <c r="G64" s="225"/>
      <c r="H64" s="225"/>
      <c r="I64" s="200"/>
    </row>
  </sheetData>
  <sheetProtection password="C8CD" sheet="1" objects="1" scenarios="1"/>
  <mergeCells count="66"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C53:D53"/>
    <mergeCell ref="E53:H53"/>
    <mergeCell ref="C54:D54"/>
    <mergeCell ref="E54:H54"/>
    <mergeCell ref="C55:D55"/>
    <mergeCell ref="E55:H55"/>
    <mergeCell ref="C50:D50"/>
    <mergeCell ref="E50:H50"/>
    <mergeCell ref="C51:D51"/>
    <mergeCell ref="E51:H51"/>
    <mergeCell ref="C52:D52"/>
    <mergeCell ref="E52:H52"/>
    <mergeCell ref="A48:B48"/>
    <mergeCell ref="C48:D48"/>
    <mergeCell ref="E48:H48"/>
    <mergeCell ref="C49:D49"/>
    <mergeCell ref="E49:H49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15:H15"/>
    <mergeCell ref="A38:B38"/>
    <mergeCell ref="E38:F38"/>
    <mergeCell ref="A39:B39"/>
    <mergeCell ref="E39:F3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214" t="s">
        <v>77</v>
      </c>
      <c r="B1" s="215"/>
      <c r="C1" s="215"/>
      <c r="D1" s="215"/>
      <c r="E1" s="215"/>
      <c r="F1" s="215"/>
      <c r="G1" s="248"/>
    </row>
    <row r="2" spans="1:7">
      <c r="A2" s="216"/>
      <c r="B2" s="217"/>
      <c r="C2" s="217"/>
      <c r="D2" s="217"/>
      <c r="E2" s="217"/>
      <c r="F2" s="217"/>
      <c r="G2" s="249"/>
    </row>
    <row r="3" spans="1:7" ht="28">
      <c r="A3" s="236" t="s">
        <v>78</v>
      </c>
      <c r="B3" s="237"/>
      <c r="C3" s="238"/>
      <c r="D3" s="236" t="s">
        <v>79</v>
      </c>
      <c r="E3" s="237"/>
      <c r="F3" s="237"/>
      <c r="G3" s="238"/>
    </row>
    <row r="4" spans="1:7" ht="41.5" customHeight="1">
      <c r="A4" s="239" t="s">
        <v>80</v>
      </c>
      <c r="B4" s="240"/>
      <c r="C4" s="241"/>
      <c r="D4" s="23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2245</v>
      </c>
      <c r="E4" s="234"/>
      <c r="F4" s="234"/>
      <c r="G4" s="235"/>
    </row>
    <row r="5" spans="1:7" ht="37" customHeight="1">
      <c r="A5" s="239" t="s">
        <v>53</v>
      </c>
      <c r="B5" s="240"/>
      <c r="C5" s="241"/>
      <c r="D5" s="23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4"/>
      <c r="F5" s="234"/>
      <c r="G5" s="235"/>
    </row>
    <row r="6" spans="1:7" ht="40" customHeight="1">
      <c r="A6" s="239" t="s">
        <v>57</v>
      </c>
      <c r="B6" s="240"/>
      <c r="C6" s="241"/>
      <c r="D6" s="23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4"/>
      <c r="F6" s="234"/>
      <c r="G6" s="235"/>
    </row>
    <row r="7" spans="1:7" ht="38.5" customHeight="1">
      <c r="A7" s="242" t="s">
        <v>62</v>
      </c>
      <c r="B7" s="243"/>
      <c r="C7" s="244"/>
      <c r="D7" s="23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4"/>
      <c r="F7" s="234"/>
      <c r="G7" s="235"/>
    </row>
    <row r="8" spans="1:7" ht="40" customHeight="1">
      <c r="A8" s="242" t="s">
        <v>63</v>
      </c>
      <c r="B8" s="243"/>
      <c r="C8" s="244"/>
      <c r="D8" s="23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4"/>
      <c r="F8" s="234"/>
      <c r="G8" s="235"/>
    </row>
    <row r="9" spans="1:7" ht="38.5" customHeight="1">
      <c r="A9" s="242" t="s">
        <v>89</v>
      </c>
      <c r="B9" s="243"/>
      <c r="C9" s="244"/>
      <c r="D9" s="23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4"/>
      <c r="F9" s="234"/>
      <c r="G9" s="235"/>
    </row>
    <row r="10" spans="1:7" ht="38" customHeight="1">
      <c r="A10" s="242" t="s">
        <v>89</v>
      </c>
      <c r="B10" s="243"/>
      <c r="C10" s="244"/>
      <c r="D10" s="23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4"/>
      <c r="F10" s="234"/>
      <c r="G10" s="235"/>
    </row>
    <row r="11" spans="1:7" ht="38.5" customHeight="1">
      <c r="A11" s="242" t="s">
        <v>89</v>
      </c>
      <c r="B11" s="243"/>
      <c r="C11" s="244"/>
      <c r="D11" s="23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4"/>
      <c r="F11" s="234"/>
      <c r="G11" s="235"/>
    </row>
    <row r="12" spans="1:7" ht="36.5" customHeight="1">
      <c r="A12" s="242" t="s">
        <v>89</v>
      </c>
      <c r="B12" s="243"/>
      <c r="C12" s="244"/>
      <c r="D12" s="23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4"/>
      <c r="F12" s="234"/>
      <c r="G12" s="235"/>
    </row>
    <row r="13" spans="1:7" ht="38" customHeight="1">
      <c r="A13" s="242" t="s">
        <v>89</v>
      </c>
      <c r="B13" s="243"/>
      <c r="C13" s="244"/>
      <c r="D13" s="23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4"/>
      <c r="F13" s="234"/>
      <c r="G13" s="235"/>
    </row>
    <row r="14" spans="1:7" ht="28.5">
      <c r="A14" s="242" t="s">
        <v>89</v>
      </c>
      <c r="B14" s="243"/>
      <c r="C14" s="244"/>
      <c r="D14" s="23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4"/>
      <c r="F14" s="234"/>
      <c r="G14" s="235"/>
    </row>
    <row r="15" spans="1:7" ht="28.5">
      <c r="A15" s="242" t="s">
        <v>89</v>
      </c>
      <c r="B15" s="243"/>
      <c r="C15" s="244"/>
      <c r="D15" s="23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4"/>
      <c r="F15" s="234"/>
      <c r="G15" s="235"/>
    </row>
    <row r="16" spans="1:7" ht="28.5">
      <c r="A16" s="242" t="s">
        <v>89</v>
      </c>
      <c r="B16" s="243"/>
      <c r="C16" s="244"/>
      <c r="D16" s="23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4"/>
      <c r="F16" s="234"/>
      <c r="G16" s="235"/>
    </row>
    <row r="17" spans="1:7" ht="28.5">
      <c r="A17" s="242" t="s">
        <v>83</v>
      </c>
      <c r="B17" s="243"/>
      <c r="C17" s="244"/>
      <c r="D17" s="245">
        <f>SUM(D4:D16)</f>
        <v>2245</v>
      </c>
      <c r="E17" s="246"/>
      <c r="F17" s="246"/>
      <c r="G17" s="247"/>
    </row>
  </sheetData>
  <sheetProtection password="C8CD" sheet="1" objects="1" scenarios="1"/>
  <mergeCells count="31"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  <mergeCell ref="A17:C17"/>
    <mergeCell ref="D17:G17"/>
    <mergeCell ref="A12:C12"/>
    <mergeCell ref="D12:G12"/>
    <mergeCell ref="A13:C13"/>
    <mergeCell ref="D13:G13"/>
    <mergeCell ref="A14:C14"/>
    <mergeCell ref="D14:G14"/>
    <mergeCell ref="D8:G8"/>
    <mergeCell ref="A3:C3"/>
    <mergeCell ref="D3:G3"/>
    <mergeCell ref="A4:C4"/>
    <mergeCell ref="D4:G4"/>
    <mergeCell ref="A5:C5"/>
    <mergeCell ref="D5:G5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2026-03-16T07:28:37Z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