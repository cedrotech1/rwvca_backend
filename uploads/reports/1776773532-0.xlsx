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RWVCA\Documents\"/>
    </mc:Choice>
  </mc:AlternateContent>
  <bookViews>
    <workbookView xWindow="0" yWindow="0" windowWidth="19200" windowHeight="8180" tabRatio="965" activeTab="9"/>
  </bookViews>
  <sheets>
    <sheet name="FINACHIAL REPORT" sheetId="1" r:id="rId1"/>
    <sheet name="GASHYUSHYA" sheetId="24" r:id="rId2"/>
    <sheet name="NGOMA" sheetId="28" r:id="rId3"/>
    <sheet name="GISAGARA" sheetId="27" r:id="rId4"/>
    <sheet name="NYAMAGABE" sheetId="26" r:id="rId5"/>
    <sheet name="NGORORERO" sheetId="25" r:id="rId6"/>
    <sheet name="GISOZI" sheetId="2" r:id="rId7"/>
    <sheet name="BISHENYI" sheetId="5" r:id="rId8"/>
    <sheet name="RWAMAGANA" sheetId="6" state="hidden" r:id="rId9"/>
    <sheet name="KIMIRONKO" sheetId="3" r:id="rId10"/>
    <sheet name="GAHANGA" sheetId="4" r:id="rId11"/>
    <sheet name="BUGESERA" sheetId="7" r:id="rId12"/>
    <sheet name="NYARUGENGE" sheetId="19" r:id="rId13"/>
    <sheet name="MUHANGA" sheetId="8" r:id="rId14"/>
    <sheet name="HUYE" sheetId="9" r:id="rId15"/>
    <sheet name="NYAMASHEKE" sheetId="11" r:id="rId16"/>
    <sheet name="KAYONZA" sheetId="15" r:id="rId17"/>
    <sheet name="RUHANGO" sheetId="22" r:id="rId18"/>
    <sheet name="KARONGI" sheetId="12" r:id="rId19"/>
    <sheet name="RUSIZI" sheetId="10" r:id="rId20"/>
    <sheet name="RUBAVU" sheetId="13" r:id="rId21"/>
    <sheet name="MUSANZE" sheetId="14" r:id="rId22"/>
    <sheet name="NYAGATARE" sheetId="16" r:id="rId23"/>
    <sheet name="KIREHE" sheetId="17" r:id="rId24"/>
    <sheet name="NYANZA" sheetId="18" r:id="rId25"/>
    <sheet name="GATSIBO" sheetId="23" r:id="rId26"/>
    <sheet name="ALL TIMBER SUMMARY" sheetId="21" r:id="rId2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1" i="28" l="1"/>
  <c r="E60" i="28"/>
  <c r="E59" i="28"/>
  <c r="E58" i="28"/>
  <c r="E57" i="28"/>
  <c r="E56" i="28"/>
  <c r="E55" i="28"/>
  <c r="E54" i="28"/>
  <c r="E53" i="28"/>
  <c r="E52" i="28"/>
  <c r="E51" i="28"/>
  <c r="E50" i="28"/>
  <c r="E49" i="28"/>
  <c r="E62" i="28" s="1"/>
  <c r="C45" i="28"/>
  <c r="G36" i="28"/>
  <c r="E36" i="28"/>
  <c r="F36" i="28" s="1"/>
  <c r="H36" i="28" s="1"/>
  <c r="G35" i="28"/>
  <c r="E35" i="28"/>
  <c r="F35" i="28" s="1"/>
  <c r="H35" i="28" s="1"/>
  <c r="G34" i="28"/>
  <c r="E34" i="28"/>
  <c r="F34" i="28" s="1"/>
  <c r="H34" i="28" s="1"/>
  <c r="G33" i="28"/>
  <c r="E33" i="28"/>
  <c r="F33" i="28" s="1"/>
  <c r="H33" i="28" s="1"/>
  <c r="G32" i="28"/>
  <c r="E32" i="28"/>
  <c r="F32" i="28" s="1"/>
  <c r="H32" i="28" s="1"/>
  <c r="G31" i="28"/>
  <c r="E31" i="28"/>
  <c r="F31" i="28" s="1"/>
  <c r="H31" i="28" s="1"/>
  <c r="G30" i="28"/>
  <c r="E30" i="28"/>
  <c r="F30" i="28" s="1"/>
  <c r="H30" i="28" s="1"/>
  <c r="G29" i="28"/>
  <c r="E29" i="28"/>
  <c r="F29" i="28" s="1"/>
  <c r="H29" i="28" s="1"/>
  <c r="G28" i="28"/>
  <c r="E28" i="28"/>
  <c r="F28" i="28" s="1"/>
  <c r="H28" i="28" s="1"/>
  <c r="G27" i="28"/>
  <c r="E27" i="28"/>
  <c r="F27" i="28" s="1"/>
  <c r="H27" i="28" s="1"/>
  <c r="G26" i="28"/>
  <c r="E26" i="28"/>
  <c r="F26" i="28" s="1"/>
  <c r="H26" i="28" s="1"/>
  <c r="G25" i="28"/>
  <c r="E25" i="28"/>
  <c r="F25" i="28" s="1"/>
  <c r="H25" i="28" s="1"/>
  <c r="G24" i="28"/>
  <c r="E24" i="28"/>
  <c r="F24" i="28" s="1"/>
  <c r="H24" i="28" s="1"/>
  <c r="G23" i="28"/>
  <c r="E23" i="28"/>
  <c r="F23" i="28" s="1"/>
  <c r="H23" i="28" s="1"/>
  <c r="G22" i="28"/>
  <c r="E22" i="28"/>
  <c r="F22" i="28" s="1"/>
  <c r="H22" i="28" s="1"/>
  <c r="G21" i="28"/>
  <c r="E21" i="28"/>
  <c r="F21" i="28" s="1"/>
  <c r="H21" i="28" s="1"/>
  <c r="G20" i="28"/>
  <c r="E20" i="28"/>
  <c r="F20" i="28" s="1"/>
  <c r="H20" i="28" s="1"/>
  <c r="G19" i="28"/>
  <c r="E19" i="28"/>
  <c r="F19" i="28" s="1"/>
  <c r="H19" i="28" s="1"/>
  <c r="G18" i="28"/>
  <c r="E18" i="28"/>
  <c r="F18" i="28" s="1"/>
  <c r="H18" i="28" s="1"/>
  <c r="G17" i="28"/>
  <c r="E17" i="28"/>
  <c r="F17" i="28" s="1"/>
  <c r="H17" i="28" s="1"/>
  <c r="G14" i="28"/>
  <c r="E14" i="28"/>
  <c r="F14" i="28" s="1"/>
  <c r="H14" i="28" s="1"/>
  <c r="G13" i="28"/>
  <c r="E13" i="28"/>
  <c r="F13" i="28" s="1"/>
  <c r="H13" i="28" s="1"/>
  <c r="G12" i="28"/>
  <c r="E12" i="28"/>
  <c r="F12" i="28" s="1"/>
  <c r="H12" i="28" s="1"/>
  <c r="G11" i="28"/>
  <c r="E11" i="28"/>
  <c r="F11" i="28" s="1"/>
  <c r="H11" i="28" s="1"/>
  <c r="G10" i="28"/>
  <c r="E10" i="28"/>
  <c r="F10" i="28" s="1"/>
  <c r="H10" i="28" s="1"/>
  <c r="G9" i="28"/>
  <c r="E9" i="28"/>
  <c r="F9" i="28" s="1"/>
  <c r="H9" i="28" s="1"/>
  <c r="G8" i="28"/>
  <c r="E8" i="28"/>
  <c r="F8" i="28" s="1"/>
  <c r="H8" i="28" s="1"/>
  <c r="G7" i="28"/>
  <c r="E7" i="28"/>
  <c r="F7" i="28" s="1"/>
  <c r="H7" i="28" s="1"/>
  <c r="G6" i="28"/>
  <c r="G37" i="28" s="1"/>
  <c r="E6" i="28"/>
  <c r="E37" i="28" s="1"/>
  <c r="E61" i="27"/>
  <c r="E60" i="27"/>
  <c r="E59" i="27"/>
  <c r="E58" i="27"/>
  <c r="E57" i="27"/>
  <c r="E56" i="27"/>
  <c r="E55" i="27"/>
  <c r="E54" i="27"/>
  <c r="E53" i="27"/>
  <c r="E52" i="27"/>
  <c r="E51" i="27"/>
  <c r="E50" i="27"/>
  <c r="E49" i="27"/>
  <c r="E62" i="27" s="1"/>
  <c r="C45" i="27"/>
  <c r="G36" i="27"/>
  <c r="E36" i="27"/>
  <c r="F36" i="27" s="1"/>
  <c r="H36" i="27" s="1"/>
  <c r="G35" i="27"/>
  <c r="E35" i="27"/>
  <c r="F35" i="27" s="1"/>
  <c r="H35" i="27" s="1"/>
  <c r="G34" i="27"/>
  <c r="E34" i="27"/>
  <c r="F34" i="27" s="1"/>
  <c r="H34" i="27" s="1"/>
  <c r="G33" i="27"/>
  <c r="E33" i="27"/>
  <c r="F33" i="27" s="1"/>
  <c r="H33" i="27" s="1"/>
  <c r="G32" i="27"/>
  <c r="E32" i="27"/>
  <c r="F32" i="27" s="1"/>
  <c r="H32" i="27" s="1"/>
  <c r="G31" i="27"/>
  <c r="E31" i="27"/>
  <c r="F31" i="27" s="1"/>
  <c r="H31" i="27" s="1"/>
  <c r="G30" i="27"/>
  <c r="E30" i="27"/>
  <c r="F30" i="27" s="1"/>
  <c r="H30" i="27" s="1"/>
  <c r="G29" i="27"/>
  <c r="E29" i="27"/>
  <c r="F29" i="27" s="1"/>
  <c r="H29" i="27" s="1"/>
  <c r="G28" i="27"/>
  <c r="E28" i="27"/>
  <c r="F28" i="27" s="1"/>
  <c r="H28" i="27" s="1"/>
  <c r="G27" i="27"/>
  <c r="E27" i="27"/>
  <c r="F27" i="27" s="1"/>
  <c r="H27" i="27" s="1"/>
  <c r="G26" i="27"/>
  <c r="E26" i="27"/>
  <c r="F26" i="27" s="1"/>
  <c r="H26" i="27" s="1"/>
  <c r="G25" i="27"/>
  <c r="E25" i="27"/>
  <c r="F25" i="27" s="1"/>
  <c r="H25" i="27" s="1"/>
  <c r="G24" i="27"/>
  <c r="E24" i="27"/>
  <c r="F24" i="27" s="1"/>
  <c r="H24" i="27" s="1"/>
  <c r="G23" i="27"/>
  <c r="E23" i="27"/>
  <c r="F23" i="27" s="1"/>
  <c r="H23" i="27" s="1"/>
  <c r="G22" i="27"/>
  <c r="E22" i="27"/>
  <c r="F22" i="27" s="1"/>
  <c r="H22" i="27" s="1"/>
  <c r="G21" i="27"/>
  <c r="E21" i="27"/>
  <c r="F21" i="27" s="1"/>
  <c r="H21" i="27" s="1"/>
  <c r="G20" i="27"/>
  <c r="E20" i="27"/>
  <c r="F20" i="27" s="1"/>
  <c r="H20" i="27" s="1"/>
  <c r="G19" i="27"/>
  <c r="E19" i="27"/>
  <c r="F19" i="27" s="1"/>
  <c r="H19" i="27" s="1"/>
  <c r="G18" i="27"/>
  <c r="E18" i="27"/>
  <c r="F18" i="27" s="1"/>
  <c r="H18" i="27" s="1"/>
  <c r="G17" i="27"/>
  <c r="E17" i="27"/>
  <c r="F17" i="27" s="1"/>
  <c r="H17" i="27" s="1"/>
  <c r="G14" i="27"/>
  <c r="E14" i="27"/>
  <c r="F14" i="27" s="1"/>
  <c r="H14" i="27" s="1"/>
  <c r="G13" i="27"/>
  <c r="E13" i="27"/>
  <c r="F13" i="27" s="1"/>
  <c r="H13" i="27" s="1"/>
  <c r="G12" i="27"/>
  <c r="E12" i="27"/>
  <c r="F12" i="27" s="1"/>
  <c r="H12" i="27" s="1"/>
  <c r="G11" i="27"/>
  <c r="E11" i="27"/>
  <c r="F11" i="27" s="1"/>
  <c r="H11" i="27" s="1"/>
  <c r="G10" i="27"/>
  <c r="E10" i="27"/>
  <c r="F10" i="27" s="1"/>
  <c r="H10" i="27" s="1"/>
  <c r="G9" i="27"/>
  <c r="E9" i="27"/>
  <c r="F9" i="27" s="1"/>
  <c r="H9" i="27" s="1"/>
  <c r="G8" i="27"/>
  <c r="E8" i="27"/>
  <c r="F8" i="27" s="1"/>
  <c r="H8" i="27" s="1"/>
  <c r="G7" i="27"/>
  <c r="E7" i="27"/>
  <c r="F7" i="27" s="1"/>
  <c r="H7" i="27" s="1"/>
  <c r="G6" i="27"/>
  <c r="G37" i="27" s="1"/>
  <c r="E6" i="27"/>
  <c r="E37" i="27" s="1"/>
  <c r="E61" i="26"/>
  <c r="E60" i="26"/>
  <c r="E59" i="26"/>
  <c r="E58" i="26"/>
  <c r="E57" i="26"/>
  <c r="E56" i="26"/>
  <c r="E55" i="26"/>
  <c r="E54" i="26"/>
  <c r="E53" i="26"/>
  <c r="E52" i="26"/>
  <c r="E51" i="26"/>
  <c r="E50" i="26"/>
  <c r="E49" i="26"/>
  <c r="E62" i="26" s="1"/>
  <c r="C45" i="26"/>
  <c r="G36" i="26"/>
  <c r="E36" i="26"/>
  <c r="F36" i="26" s="1"/>
  <c r="H36" i="26" s="1"/>
  <c r="G35" i="26"/>
  <c r="E35" i="26"/>
  <c r="F35" i="26" s="1"/>
  <c r="H35" i="26" s="1"/>
  <c r="G34" i="26"/>
  <c r="E34" i="26"/>
  <c r="F34" i="26" s="1"/>
  <c r="H34" i="26" s="1"/>
  <c r="G33" i="26"/>
  <c r="E33" i="26"/>
  <c r="F33" i="26" s="1"/>
  <c r="H33" i="26" s="1"/>
  <c r="G32" i="26"/>
  <c r="E32" i="26"/>
  <c r="F32" i="26" s="1"/>
  <c r="H32" i="26" s="1"/>
  <c r="G31" i="26"/>
  <c r="E31" i="26"/>
  <c r="F31" i="26" s="1"/>
  <c r="H31" i="26" s="1"/>
  <c r="G30" i="26"/>
  <c r="E30" i="26"/>
  <c r="F30" i="26" s="1"/>
  <c r="H30" i="26" s="1"/>
  <c r="G29" i="26"/>
  <c r="E29" i="26"/>
  <c r="F29" i="26" s="1"/>
  <c r="H29" i="26" s="1"/>
  <c r="G28" i="26"/>
  <c r="E28" i="26"/>
  <c r="F28" i="26" s="1"/>
  <c r="H28" i="26" s="1"/>
  <c r="G27" i="26"/>
  <c r="E27" i="26"/>
  <c r="F27" i="26" s="1"/>
  <c r="H27" i="26" s="1"/>
  <c r="G26" i="26"/>
  <c r="E26" i="26"/>
  <c r="F26" i="26" s="1"/>
  <c r="H26" i="26" s="1"/>
  <c r="G25" i="26"/>
  <c r="E25" i="26"/>
  <c r="F25" i="26" s="1"/>
  <c r="H25" i="26" s="1"/>
  <c r="G24" i="26"/>
  <c r="E24" i="26"/>
  <c r="F24" i="26" s="1"/>
  <c r="H24" i="26" s="1"/>
  <c r="G23" i="26"/>
  <c r="E23" i="26"/>
  <c r="F23" i="26" s="1"/>
  <c r="H23" i="26" s="1"/>
  <c r="G22" i="26"/>
  <c r="E22" i="26"/>
  <c r="F22" i="26" s="1"/>
  <c r="H22" i="26" s="1"/>
  <c r="G21" i="26"/>
  <c r="E21" i="26"/>
  <c r="F21" i="26" s="1"/>
  <c r="H21" i="26" s="1"/>
  <c r="G20" i="26"/>
  <c r="E20" i="26"/>
  <c r="F20" i="26" s="1"/>
  <c r="H20" i="26" s="1"/>
  <c r="G19" i="26"/>
  <c r="E19" i="26"/>
  <c r="F19" i="26" s="1"/>
  <c r="H19" i="26" s="1"/>
  <c r="G18" i="26"/>
  <c r="E18" i="26"/>
  <c r="F18" i="26" s="1"/>
  <c r="H18" i="26" s="1"/>
  <c r="G17" i="26"/>
  <c r="E17" i="26"/>
  <c r="F17" i="26" s="1"/>
  <c r="H17" i="26" s="1"/>
  <c r="G14" i="26"/>
  <c r="E14" i="26"/>
  <c r="F14" i="26" s="1"/>
  <c r="H14" i="26" s="1"/>
  <c r="G13" i="26"/>
  <c r="E13" i="26"/>
  <c r="F13" i="26" s="1"/>
  <c r="H13" i="26" s="1"/>
  <c r="G12" i="26"/>
  <c r="E12" i="26"/>
  <c r="F12" i="26" s="1"/>
  <c r="H12" i="26" s="1"/>
  <c r="G11" i="26"/>
  <c r="E11" i="26"/>
  <c r="F11" i="26" s="1"/>
  <c r="H11" i="26" s="1"/>
  <c r="G10" i="26"/>
  <c r="E10" i="26"/>
  <c r="F10" i="26" s="1"/>
  <c r="H10" i="26" s="1"/>
  <c r="G9" i="26"/>
  <c r="E9" i="26"/>
  <c r="F9" i="26" s="1"/>
  <c r="H9" i="26" s="1"/>
  <c r="G8" i="26"/>
  <c r="E8" i="26"/>
  <c r="F8" i="26" s="1"/>
  <c r="H8" i="26" s="1"/>
  <c r="G7" i="26"/>
  <c r="E7" i="26"/>
  <c r="F7" i="26" s="1"/>
  <c r="H7" i="26" s="1"/>
  <c r="G6" i="26"/>
  <c r="G37" i="26" s="1"/>
  <c r="E6" i="26"/>
  <c r="F6" i="26" s="1"/>
  <c r="E61" i="25"/>
  <c r="E60" i="25"/>
  <c r="E59" i="25"/>
  <c r="E58" i="25"/>
  <c r="E57" i="25"/>
  <c r="E56" i="25"/>
  <c r="E55" i="25"/>
  <c r="E54" i="25"/>
  <c r="E53" i="25"/>
  <c r="E52" i="25"/>
  <c r="E51" i="25"/>
  <c r="E50" i="25"/>
  <c r="E49" i="25"/>
  <c r="E62" i="25" s="1"/>
  <c r="C45" i="25"/>
  <c r="G36" i="25"/>
  <c r="E36" i="25"/>
  <c r="F36" i="25" s="1"/>
  <c r="H36" i="25" s="1"/>
  <c r="G35" i="25"/>
  <c r="E35" i="25"/>
  <c r="F35" i="25" s="1"/>
  <c r="H35" i="25" s="1"/>
  <c r="G34" i="25"/>
  <c r="E34" i="25"/>
  <c r="F34" i="25" s="1"/>
  <c r="H34" i="25" s="1"/>
  <c r="G33" i="25"/>
  <c r="E33" i="25"/>
  <c r="F33" i="25" s="1"/>
  <c r="H33" i="25" s="1"/>
  <c r="G32" i="25"/>
  <c r="E32" i="25"/>
  <c r="F32" i="25" s="1"/>
  <c r="H32" i="25" s="1"/>
  <c r="G31" i="25"/>
  <c r="E31" i="25"/>
  <c r="F31" i="25" s="1"/>
  <c r="H31" i="25" s="1"/>
  <c r="G30" i="25"/>
  <c r="E30" i="25"/>
  <c r="F30" i="25" s="1"/>
  <c r="H30" i="25" s="1"/>
  <c r="G29" i="25"/>
  <c r="E29" i="25"/>
  <c r="F29" i="25" s="1"/>
  <c r="H29" i="25" s="1"/>
  <c r="G28" i="25"/>
  <c r="E28" i="25"/>
  <c r="F28" i="25" s="1"/>
  <c r="H28" i="25" s="1"/>
  <c r="G27" i="25"/>
  <c r="E27" i="25"/>
  <c r="F27" i="25" s="1"/>
  <c r="H27" i="25" s="1"/>
  <c r="G26" i="25"/>
  <c r="E26" i="25"/>
  <c r="F26" i="25" s="1"/>
  <c r="H26" i="25" s="1"/>
  <c r="G25" i="25"/>
  <c r="E25" i="25"/>
  <c r="F25" i="25" s="1"/>
  <c r="H25" i="25" s="1"/>
  <c r="G24" i="25"/>
  <c r="E24" i="25"/>
  <c r="F24" i="25" s="1"/>
  <c r="H24" i="25" s="1"/>
  <c r="G23" i="25"/>
  <c r="E23" i="25"/>
  <c r="F23" i="25" s="1"/>
  <c r="H23" i="25" s="1"/>
  <c r="G22" i="25"/>
  <c r="E22" i="25"/>
  <c r="F22" i="25" s="1"/>
  <c r="H22" i="25" s="1"/>
  <c r="G21" i="25"/>
  <c r="E21" i="25"/>
  <c r="F21" i="25" s="1"/>
  <c r="H21" i="25" s="1"/>
  <c r="G20" i="25"/>
  <c r="E20" i="25"/>
  <c r="F20" i="25" s="1"/>
  <c r="H20" i="25" s="1"/>
  <c r="G19" i="25"/>
  <c r="E19" i="25"/>
  <c r="F19" i="25" s="1"/>
  <c r="H19" i="25" s="1"/>
  <c r="G18" i="25"/>
  <c r="E18" i="25"/>
  <c r="F18" i="25" s="1"/>
  <c r="H18" i="25" s="1"/>
  <c r="G17" i="25"/>
  <c r="E17" i="25"/>
  <c r="F17" i="25" s="1"/>
  <c r="H17" i="25" s="1"/>
  <c r="G14" i="25"/>
  <c r="E14" i="25"/>
  <c r="F14" i="25" s="1"/>
  <c r="H14" i="25" s="1"/>
  <c r="G13" i="25"/>
  <c r="E13" i="25"/>
  <c r="F13" i="25" s="1"/>
  <c r="H13" i="25" s="1"/>
  <c r="G12" i="25"/>
  <c r="E12" i="25"/>
  <c r="F12" i="25" s="1"/>
  <c r="H12" i="25" s="1"/>
  <c r="G11" i="25"/>
  <c r="E11" i="25"/>
  <c r="F11" i="25" s="1"/>
  <c r="H11" i="25" s="1"/>
  <c r="G10" i="25"/>
  <c r="E10" i="25"/>
  <c r="F10" i="25" s="1"/>
  <c r="H10" i="25" s="1"/>
  <c r="G9" i="25"/>
  <c r="E9" i="25"/>
  <c r="F9" i="25" s="1"/>
  <c r="H9" i="25" s="1"/>
  <c r="G8" i="25"/>
  <c r="E8" i="25"/>
  <c r="F8" i="25" s="1"/>
  <c r="H8" i="25" s="1"/>
  <c r="G7" i="25"/>
  <c r="E7" i="25"/>
  <c r="F7" i="25" s="1"/>
  <c r="H7" i="25" s="1"/>
  <c r="G6" i="25"/>
  <c r="G37" i="25" s="1"/>
  <c r="E6" i="25"/>
  <c r="E37" i="25" s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C45" i="24"/>
  <c r="G36" i="24"/>
  <c r="E36" i="24"/>
  <c r="F36" i="24" s="1"/>
  <c r="H36" i="24" s="1"/>
  <c r="G35" i="24"/>
  <c r="E35" i="24"/>
  <c r="F35" i="24" s="1"/>
  <c r="G34" i="24"/>
  <c r="E34" i="24"/>
  <c r="F34" i="24" s="1"/>
  <c r="H34" i="24" s="1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G30" i="24"/>
  <c r="E30" i="24"/>
  <c r="F30" i="24" s="1"/>
  <c r="H30" i="24" s="1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G19" i="24"/>
  <c r="E19" i="24"/>
  <c r="F19" i="24" s="1"/>
  <c r="G18" i="24"/>
  <c r="E18" i="24"/>
  <c r="F18" i="24" s="1"/>
  <c r="H18" i="24" s="1"/>
  <c r="G17" i="24"/>
  <c r="E17" i="24"/>
  <c r="F17" i="24" s="1"/>
  <c r="H17" i="24" s="1"/>
  <c r="G14" i="24"/>
  <c r="F14" i="24"/>
  <c r="E14" i="24"/>
  <c r="G13" i="24"/>
  <c r="E13" i="24"/>
  <c r="F13" i="24" s="1"/>
  <c r="H13" i="24" s="1"/>
  <c r="G12" i="24"/>
  <c r="F12" i="24"/>
  <c r="H12" i="24" s="1"/>
  <c r="E12" i="24"/>
  <c r="G11" i="24"/>
  <c r="E11" i="24"/>
  <c r="F11" i="24" s="1"/>
  <c r="H11" i="24" s="1"/>
  <c r="G10" i="24"/>
  <c r="E10" i="24"/>
  <c r="F10" i="24" s="1"/>
  <c r="H10" i="24" s="1"/>
  <c r="G9" i="24"/>
  <c r="F9" i="24"/>
  <c r="H9" i="24" s="1"/>
  <c r="E9" i="24"/>
  <c r="G8" i="24"/>
  <c r="E8" i="24"/>
  <c r="F8" i="24" s="1"/>
  <c r="H8" i="24" s="1"/>
  <c r="G7" i="24"/>
  <c r="E7" i="24"/>
  <c r="F7" i="24" s="1"/>
  <c r="H7" i="24" s="1"/>
  <c r="G6" i="24"/>
  <c r="E6" i="24"/>
  <c r="F6" i="24" s="1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G33" i="23"/>
  <c r="E33" i="23"/>
  <c r="F33" i="23" s="1"/>
  <c r="H33" i="23" s="1"/>
  <c r="G32" i="23"/>
  <c r="E32" i="23"/>
  <c r="F32" i="23" s="1"/>
  <c r="H32" i="23" s="1"/>
  <c r="G31" i="23"/>
  <c r="E31" i="23"/>
  <c r="F31" i="23" s="1"/>
  <c r="H31" i="23" s="1"/>
  <c r="G30" i="23"/>
  <c r="E30" i="23"/>
  <c r="F30" i="23" s="1"/>
  <c r="G29" i="23"/>
  <c r="E29" i="23"/>
  <c r="F29" i="23" s="1"/>
  <c r="H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G7" i="23"/>
  <c r="E7" i="23"/>
  <c r="F7" i="23" s="1"/>
  <c r="H7" i="23" s="1"/>
  <c r="G6" i="23"/>
  <c r="E6" i="23"/>
  <c r="F6" i="23" s="1"/>
  <c r="E61" i="18"/>
  <c r="E60" i="18"/>
  <c r="D15" i="21" s="1"/>
  <c r="E59" i="18"/>
  <c r="E58" i="18"/>
  <c r="E57" i="18"/>
  <c r="E56" i="18"/>
  <c r="E55" i="18"/>
  <c r="E54" i="18"/>
  <c r="E53" i="18"/>
  <c r="E52" i="18"/>
  <c r="E51" i="18"/>
  <c r="E50" i="18"/>
  <c r="D5" i="21" s="1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G33" i="18"/>
  <c r="E33" i="18"/>
  <c r="F33" i="18" s="1"/>
  <c r="H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G29" i="18"/>
  <c r="E29" i="18"/>
  <c r="F29" i="18" s="1"/>
  <c r="H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G7" i="18"/>
  <c r="E7" i="18"/>
  <c r="F7" i="18" s="1"/>
  <c r="H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G36" i="17"/>
  <c r="E36" i="17"/>
  <c r="F36" i="17" s="1"/>
  <c r="H36" i="17" s="1"/>
  <c r="G35" i="17"/>
  <c r="E35" i="17"/>
  <c r="F35" i="17" s="1"/>
  <c r="H35" i="17" s="1"/>
  <c r="G34" i="17"/>
  <c r="E34" i="17"/>
  <c r="F34" i="17" s="1"/>
  <c r="G33" i="17"/>
  <c r="E33" i="17"/>
  <c r="F33" i="17" s="1"/>
  <c r="H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G29" i="17"/>
  <c r="E29" i="17"/>
  <c r="F29" i="17" s="1"/>
  <c r="H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G11" i="17"/>
  <c r="E11" i="17"/>
  <c r="F11" i="17" s="1"/>
  <c r="H11" i="17" s="1"/>
  <c r="G10" i="17"/>
  <c r="E10" i="17"/>
  <c r="F10" i="17" s="1"/>
  <c r="G9" i="17"/>
  <c r="E9" i="17"/>
  <c r="F9" i="17" s="1"/>
  <c r="H9" i="17" s="1"/>
  <c r="G8" i="17"/>
  <c r="E8" i="17"/>
  <c r="F8" i="17" s="1"/>
  <c r="G7" i="17"/>
  <c r="E7" i="17"/>
  <c r="F7" i="17" s="1"/>
  <c r="H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G7" i="16"/>
  <c r="E7" i="16"/>
  <c r="F7" i="16" s="1"/>
  <c r="H7" i="16" s="1"/>
  <c r="G6" i="16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E36" i="15"/>
  <c r="F36" i="15" s="1"/>
  <c r="H36" i="15" s="1"/>
  <c r="G35" i="15"/>
  <c r="E35" i="15"/>
  <c r="F35" i="15" s="1"/>
  <c r="H35" i="15" s="1"/>
  <c r="G34" i="15"/>
  <c r="E34" i="15"/>
  <c r="F34" i="15" s="1"/>
  <c r="G33" i="15"/>
  <c r="E33" i="15"/>
  <c r="F33" i="15" s="1"/>
  <c r="G32" i="15"/>
  <c r="E32" i="15"/>
  <c r="F32" i="15" s="1"/>
  <c r="H32" i="15" s="1"/>
  <c r="G31" i="15"/>
  <c r="E31" i="15"/>
  <c r="F31" i="15" s="1"/>
  <c r="H31" i="15" s="1"/>
  <c r="G30" i="15"/>
  <c r="E30" i="15"/>
  <c r="F30" i="15" s="1"/>
  <c r="G29" i="15"/>
  <c r="E29" i="15"/>
  <c r="F29" i="15" s="1"/>
  <c r="H29" i="15" s="1"/>
  <c r="G28" i="15"/>
  <c r="E28" i="15"/>
  <c r="F28" i="15" s="1"/>
  <c r="H28" i="15" s="1"/>
  <c r="G27" i="15"/>
  <c r="E27" i="15"/>
  <c r="F27" i="15" s="1"/>
  <c r="H27" i="15" s="1"/>
  <c r="G26" i="15"/>
  <c r="E26" i="15"/>
  <c r="F26" i="15" s="1"/>
  <c r="G25" i="15"/>
  <c r="E25" i="15"/>
  <c r="F25" i="15" s="1"/>
  <c r="H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E20" i="15"/>
  <c r="F20" i="15" s="1"/>
  <c r="H20" i="15" s="1"/>
  <c r="G19" i="15"/>
  <c r="E19" i="15"/>
  <c r="F19" i="15" s="1"/>
  <c r="G18" i="15"/>
  <c r="E18" i="15"/>
  <c r="F18" i="15" s="1"/>
  <c r="H18" i="15" s="1"/>
  <c r="G17" i="15"/>
  <c r="E17" i="15"/>
  <c r="F17" i="15" s="1"/>
  <c r="H17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F11" i="15"/>
  <c r="H11" i="15" s="1"/>
  <c r="E11" i="15"/>
  <c r="G10" i="15"/>
  <c r="E10" i="15"/>
  <c r="F10" i="15" s="1"/>
  <c r="H10" i="15" s="1"/>
  <c r="G9" i="15"/>
  <c r="E9" i="15"/>
  <c r="F9" i="15" s="1"/>
  <c r="H9" i="15" s="1"/>
  <c r="G8" i="15"/>
  <c r="F8" i="15"/>
  <c r="H8" i="15" s="1"/>
  <c r="E8" i="15"/>
  <c r="G7" i="15"/>
  <c r="E7" i="15"/>
  <c r="F7" i="15" s="1"/>
  <c r="H7" i="15" s="1"/>
  <c r="G6" i="15"/>
  <c r="E6" i="15"/>
  <c r="F6" i="15" s="1"/>
  <c r="E61" i="11"/>
  <c r="E60" i="11"/>
  <c r="E59" i="11"/>
  <c r="E58" i="11"/>
  <c r="E57" i="11"/>
  <c r="E56" i="11"/>
  <c r="E55" i="11"/>
  <c r="D10" i="21" s="1"/>
  <c r="E54" i="11"/>
  <c r="D9" i="21" s="1"/>
  <c r="E53" i="11"/>
  <c r="E52" i="11"/>
  <c r="E51" i="11"/>
  <c r="E50" i="11"/>
  <c r="E49" i="11"/>
  <c r="C45" i="11"/>
  <c r="G36" i="11"/>
  <c r="E36" i="11"/>
  <c r="F36" i="11" s="1"/>
  <c r="H36" i="11" s="1"/>
  <c r="G35" i="11"/>
  <c r="E35" i="11"/>
  <c r="F35" i="11" s="1"/>
  <c r="G34" i="11"/>
  <c r="E34" i="11"/>
  <c r="F34" i="11" s="1"/>
  <c r="H34" i="11" s="1"/>
  <c r="G33" i="11"/>
  <c r="E33" i="11"/>
  <c r="F33" i="11" s="1"/>
  <c r="G32" i="11"/>
  <c r="E32" i="11"/>
  <c r="F32" i="11" s="1"/>
  <c r="H32" i="11" s="1"/>
  <c r="G31" i="11"/>
  <c r="E31" i="11"/>
  <c r="F31" i="11" s="1"/>
  <c r="G30" i="11"/>
  <c r="E30" i="11"/>
  <c r="F30" i="11" s="1"/>
  <c r="H30" i="11" s="1"/>
  <c r="G29" i="11"/>
  <c r="E29" i="11"/>
  <c r="F29" i="11" s="1"/>
  <c r="G28" i="11"/>
  <c r="E28" i="11"/>
  <c r="F28" i="11" s="1"/>
  <c r="H28" i="11" s="1"/>
  <c r="G27" i="11"/>
  <c r="E27" i="11"/>
  <c r="F27" i="11" s="1"/>
  <c r="G26" i="11"/>
  <c r="E26" i="11"/>
  <c r="F26" i="11" s="1"/>
  <c r="H26" i="11" s="1"/>
  <c r="G25" i="11"/>
  <c r="E25" i="11"/>
  <c r="F25" i="11" s="1"/>
  <c r="G24" i="11"/>
  <c r="E24" i="11"/>
  <c r="F24" i="11" s="1"/>
  <c r="H24" i="11" s="1"/>
  <c r="G23" i="11"/>
  <c r="E23" i="11"/>
  <c r="F23" i="11" s="1"/>
  <c r="G22" i="11"/>
  <c r="E22" i="11"/>
  <c r="F22" i="11" s="1"/>
  <c r="H22" i="11" s="1"/>
  <c r="G21" i="11"/>
  <c r="E21" i="11"/>
  <c r="F21" i="11" s="1"/>
  <c r="G20" i="11"/>
  <c r="E20" i="11"/>
  <c r="F20" i="11" s="1"/>
  <c r="H20" i="11" s="1"/>
  <c r="G19" i="11"/>
  <c r="E19" i="11"/>
  <c r="F19" i="11" s="1"/>
  <c r="G18" i="11"/>
  <c r="E18" i="11"/>
  <c r="F18" i="11" s="1"/>
  <c r="H18" i="11" s="1"/>
  <c r="G17" i="11"/>
  <c r="E17" i="11"/>
  <c r="F17" i="11" s="1"/>
  <c r="G14" i="11"/>
  <c r="E14" i="11"/>
  <c r="F14" i="11" s="1"/>
  <c r="H14" i="11" s="1"/>
  <c r="G13" i="11"/>
  <c r="E13" i="11"/>
  <c r="F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H36" i="10" s="1"/>
  <c r="G35" i="10"/>
  <c r="E35" i="10"/>
  <c r="F35" i="10" s="1"/>
  <c r="G34" i="10"/>
  <c r="E34" i="10"/>
  <c r="F34" i="10" s="1"/>
  <c r="H34" i="10" s="1"/>
  <c r="G33" i="10"/>
  <c r="E33" i="10"/>
  <c r="F33" i="10" s="1"/>
  <c r="H33" i="10" s="1"/>
  <c r="G32" i="10"/>
  <c r="E32" i="10"/>
  <c r="F32" i="10" s="1"/>
  <c r="H32" i="10" s="1"/>
  <c r="G31" i="10"/>
  <c r="E31" i="10"/>
  <c r="F31" i="10" s="1"/>
  <c r="G30" i="10"/>
  <c r="E30" i="10"/>
  <c r="F30" i="10" s="1"/>
  <c r="H30" i="10" s="1"/>
  <c r="G29" i="10"/>
  <c r="E29" i="10"/>
  <c r="F29" i="10" s="1"/>
  <c r="H29" i="10" s="1"/>
  <c r="G28" i="10"/>
  <c r="E28" i="10"/>
  <c r="F28" i="10" s="1"/>
  <c r="H28" i="10" s="1"/>
  <c r="G27" i="10"/>
  <c r="E27" i="10"/>
  <c r="F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G18" i="10"/>
  <c r="E18" i="10"/>
  <c r="F18" i="10" s="1"/>
  <c r="H18" i="10" s="1"/>
  <c r="G17" i="10"/>
  <c r="E17" i="10"/>
  <c r="F17" i="10" s="1"/>
  <c r="H17" i="10" s="1"/>
  <c r="G14" i="10"/>
  <c r="E14" i="10"/>
  <c r="F14" i="10" s="1"/>
  <c r="H14" i="10" s="1"/>
  <c r="G13" i="10"/>
  <c r="E13" i="10"/>
  <c r="F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G8" i="10"/>
  <c r="E8" i="10"/>
  <c r="F8" i="10" s="1"/>
  <c r="H8" i="10" s="1"/>
  <c r="G7" i="10"/>
  <c r="E7" i="10"/>
  <c r="F7" i="10" s="1"/>
  <c r="H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H36" i="9" s="1"/>
  <c r="G35" i="9"/>
  <c r="E35" i="9"/>
  <c r="F35" i="9" s="1"/>
  <c r="G34" i="9"/>
  <c r="E34" i="9"/>
  <c r="F34" i="9" s="1"/>
  <c r="H34" i="9" s="1"/>
  <c r="G33" i="9"/>
  <c r="E33" i="9"/>
  <c r="F33" i="9" s="1"/>
  <c r="H33" i="9" s="1"/>
  <c r="G32" i="9"/>
  <c r="E32" i="9"/>
  <c r="F32" i="9" s="1"/>
  <c r="H32" i="9" s="1"/>
  <c r="G31" i="9"/>
  <c r="E31" i="9"/>
  <c r="F31" i="9" s="1"/>
  <c r="G30" i="9"/>
  <c r="E30" i="9"/>
  <c r="F30" i="9" s="1"/>
  <c r="H30" i="9" s="1"/>
  <c r="G29" i="9"/>
  <c r="E29" i="9"/>
  <c r="F29" i="9" s="1"/>
  <c r="H29" i="9" s="1"/>
  <c r="G28" i="9"/>
  <c r="E28" i="9"/>
  <c r="F28" i="9" s="1"/>
  <c r="H28" i="9" s="1"/>
  <c r="G27" i="9"/>
  <c r="E27" i="9"/>
  <c r="F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G8" i="9"/>
  <c r="E8" i="9"/>
  <c r="F8" i="9" s="1"/>
  <c r="H8" i="9" s="1"/>
  <c r="G7" i="9"/>
  <c r="E7" i="9"/>
  <c r="F7" i="9" s="1"/>
  <c r="H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H36" i="22" s="1"/>
  <c r="G35" i="22"/>
  <c r="E35" i="22"/>
  <c r="F35" i="22" s="1"/>
  <c r="G34" i="22"/>
  <c r="E34" i="22"/>
  <c r="F34" i="22" s="1"/>
  <c r="H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H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H26" i="22" s="1"/>
  <c r="G25" i="22"/>
  <c r="E25" i="22"/>
  <c r="F25" i="22" s="1"/>
  <c r="G24" i="22"/>
  <c r="E24" i="22"/>
  <c r="F24" i="22" s="1"/>
  <c r="H24" i="22" s="1"/>
  <c r="G23" i="22"/>
  <c r="E23" i="22"/>
  <c r="F23" i="22" s="1"/>
  <c r="G22" i="22"/>
  <c r="E22" i="22"/>
  <c r="F22" i="22" s="1"/>
  <c r="H22" i="22" s="1"/>
  <c r="G21" i="22"/>
  <c r="E21" i="22"/>
  <c r="F21" i="22" s="1"/>
  <c r="G20" i="22"/>
  <c r="E20" i="22"/>
  <c r="F20" i="22" s="1"/>
  <c r="H20" i="22" s="1"/>
  <c r="G19" i="22"/>
  <c r="E19" i="22"/>
  <c r="F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E36" i="8"/>
  <c r="F36" i="8" s="1"/>
  <c r="H36" i="8" s="1"/>
  <c r="G35" i="8"/>
  <c r="E35" i="8"/>
  <c r="F35" i="8" s="1"/>
  <c r="H35" i="8" s="1"/>
  <c r="G34" i="8"/>
  <c r="E34" i="8"/>
  <c r="F34" i="8" s="1"/>
  <c r="H34" i="8" s="1"/>
  <c r="G33" i="8"/>
  <c r="F33" i="8"/>
  <c r="H33" i="8" s="1"/>
  <c r="E33" i="8"/>
  <c r="G32" i="8"/>
  <c r="E32" i="8"/>
  <c r="F32" i="8" s="1"/>
  <c r="H32" i="8" s="1"/>
  <c r="G31" i="8"/>
  <c r="E31" i="8"/>
  <c r="F31" i="8" s="1"/>
  <c r="H31" i="8" s="1"/>
  <c r="G30" i="8"/>
  <c r="E30" i="8"/>
  <c r="F30" i="8" s="1"/>
  <c r="H30" i="8" s="1"/>
  <c r="G29" i="8"/>
  <c r="E29" i="8"/>
  <c r="F29" i="8" s="1"/>
  <c r="H29" i="8" s="1"/>
  <c r="G28" i="8"/>
  <c r="F28" i="8"/>
  <c r="E28" i="8"/>
  <c r="G27" i="8"/>
  <c r="E27" i="8"/>
  <c r="F27" i="8" s="1"/>
  <c r="H27" i="8" s="1"/>
  <c r="G26" i="8"/>
  <c r="E26" i="8"/>
  <c r="F26" i="8" s="1"/>
  <c r="H26" i="8" s="1"/>
  <c r="G25" i="8"/>
  <c r="F25" i="8"/>
  <c r="E25" i="8"/>
  <c r="G24" i="8"/>
  <c r="E24" i="8"/>
  <c r="F24" i="8" s="1"/>
  <c r="H24" i="8" s="1"/>
  <c r="G23" i="8"/>
  <c r="E23" i="8"/>
  <c r="F23" i="8" s="1"/>
  <c r="H23" i="8" s="1"/>
  <c r="G22" i="8"/>
  <c r="E22" i="8"/>
  <c r="F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E17" i="8"/>
  <c r="F17" i="8" s="1"/>
  <c r="H17" i="8" s="1"/>
  <c r="G14" i="8"/>
  <c r="E14" i="8"/>
  <c r="F14" i="8" s="1"/>
  <c r="H14" i="8" s="1"/>
  <c r="G13" i="8"/>
  <c r="E13" i="8"/>
  <c r="F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G9" i="8"/>
  <c r="E9" i="8"/>
  <c r="F9" i="8" s="1"/>
  <c r="G8" i="8"/>
  <c r="E8" i="8"/>
  <c r="F8" i="8" s="1"/>
  <c r="H8" i="8" s="1"/>
  <c r="G7" i="8"/>
  <c r="E7" i="8"/>
  <c r="F7" i="8" s="1"/>
  <c r="H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G34" i="6"/>
  <c r="E34" i="6"/>
  <c r="F34" i="6" s="1"/>
  <c r="H34" i="6" s="1"/>
  <c r="G33" i="6"/>
  <c r="E33" i="6"/>
  <c r="F33" i="6" s="1"/>
  <c r="H33" i="6" s="1"/>
  <c r="G32" i="6"/>
  <c r="E32" i="6"/>
  <c r="F32" i="6" s="1"/>
  <c r="H32" i="6" s="1"/>
  <c r="G31" i="6"/>
  <c r="E31" i="6"/>
  <c r="F31" i="6" s="1"/>
  <c r="G30" i="6"/>
  <c r="E30" i="6"/>
  <c r="F30" i="6" s="1"/>
  <c r="H30" i="6" s="1"/>
  <c r="G29" i="6"/>
  <c r="E29" i="6"/>
  <c r="F29" i="6" s="1"/>
  <c r="H29" i="6" s="1"/>
  <c r="G28" i="6"/>
  <c r="E28" i="6"/>
  <c r="F28" i="6" s="1"/>
  <c r="H28" i="6" s="1"/>
  <c r="G27" i="6"/>
  <c r="E27" i="6"/>
  <c r="F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G18" i="6"/>
  <c r="E18" i="6"/>
  <c r="F18" i="6" s="1"/>
  <c r="G17" i="6"/>
  <c r="E17" i="6"/>
  <c r="F17" i="6" s="1"/>
  <c r="G14" i="6"/>
  <c r="E14" i="6"/>
  <c r="F14" i="6" s="1"/>
  <c r="H14" i="6" s="1"/>
  <c r="G13" i="6"/>
  <c r="E13" i="6"/>
  <c r="F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G9" i="6"/>
  <c r="E9" i="6"/>
  <c r="F9" i="6" s="1"/>
  <c r="G8" i="6"/>
  <c r="E8" i="6"/>
  <c r="F8" i="6" s="1"/>
  <c r="G7" i="6"/>
  <c r="E7" i="6"/>
  <c r="F7" i="6" s="1"/>
  <c r="H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G34" i="19"/>
  <c r="E34" i="19"/>
  <c r="F34" i="19" s="1"/>
  <c r="H34" i="19" s="1"/>
  <c r="G33" i="19"/>
  <c r="E33" i="19"/>
  <c r="F33" i="19" s="1"/>
  <c r="H33" i="19" s="1"/>
  <c r="G32" i="19"/>
  <c r="E32" i="19"/>
  <c r="F32" i="19" s="1"/>
  <c r="H32" i="19" s="1"/>
  <c r="G31" i="19"/>
  <c r="E31" i="19"/>
  <c r="F31" i="19" s="1"/>
  <c r="G30" i="19"/>
  <c r="E30" i="19"/>
  <c r="F30" i="19" s="1"/>
  <c r="H30" i="19" s="1"/>
  <c r="G29" i="19"/>
  <c r="E29" i="19"/>
  <c r="F29" i="19" s="1"/>
  <c r="H29" i="19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61" i="7"/>
  <c r="E60" i="7"/>
  <c r="E59" i="7"/>
  <c r="E58" i="7"/>
  <c r="E57" i="7"/>
  <c r="E56" i="7"/>
  <c r="D11" i="21" s="1"/>
  <c r="E55" i="7"/>
  <c r="E54" i="7"/>
  <c r="E53" i="7"/>
  <c r="E52" i="7"/>
  <c r="E51" i="7"/>
  <c r="E50" i="7"/>
  <c r="E49" i="7"/>
  <c r="C45" i="7"/>
  <c r="G36" i="7"/>
  <c r="E36" i="7"/>
  <c r="F36" i="7" s="1"/>
  <c r="H36" i="7" s="1"/>
  <c r="G35" i="7"/>
  <c r="E35" i="7"/>
  <c r="F35" i="7" s="1"/>
  <c r="G34" i="7"/>
  <c r="E34" i="7"/>
  <c r="F34" i="7" s="1"/>
  <c r="H34" i="7" s="1"/>
  <c r="G33" i="7"/>
  <c r="E33" i="7"/>
  <c r="F33" i="7" s="1"/>
  <c r="G32" i="7"/>
  <c r="E32" i="7"/>
  <c r="F32" i="7" s="1"/>
  <c r="H32" i="7" s="1"/>
  <c r="G31" i="7"/>
  <c r="E31" i="7"/>
  <c r="F31" i="7" s="1"/>
  <c r="G30" i="7"/>
  <c r="E30" i="7"/>
  <c r="F30" i="7" s="1"/>
  <c r="H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H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G9" i="7"/>
  <c r="E9" i="7"/>
  <c r="F9" i="7" s="1"/>
  <c r="G8" i="7"/>
  <c r="E8" i="7"/>
  <c r="F8" i="7" s="1"/>
  <c r="H8" i="7" s="1"/>
  <c r="G7" i="7"/>
  <c r="E7" i="7"/>
  <c r="F7" i="7" s="1"/>
  <c r="H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H34" i="4" s="1"/>
  <c r="G33" i="4"/>
  <c r="E33" i="4"/>
  <c r="F33" i="4" s="1"/>
  <c r="H33" i="4" s="1"/>
  <c r="G32" i="4"/>
  <c r="E32" i="4"/>
  <c r="F32" i="4" s="1"/>
  <c r="H32" i="4" s="1"/>
  <c r="G31" i="4"/>
  <c r="E31" i="4"/>
  <c r="F31" i="4" s="1"/>
  <c r="G30" i="4"/>
  <c r="E30" i="4"/>
  <c r="F30" i="4" s="1"/>
  <c r="H30" i="4" s="1"/>
  <c r="G29" i="4"/>
  <c r="E29" i="4"/>
  <c r="F29" i="4" s="1"/>
  <c r="H29" i="4" s="1"/>
  <c r="G28" i="4"/>
  <c r="E28" i="4"/>
  <c r="F28" i="4" s="1"/>
  <c r="H28" i="4" s="1"/>
  <c r="G27" i="4"/>
  <c r="E27" i="4"/>
  <c r="F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G18" i="4"/>
  <c r="E18" i="4"/>
  <c r="F18" i="4" s="1"/>
  <c r="H18" i="4" s="1"/>
  <c r="G17" i="4"/>
  <c r="E17" i="4"/>
  <c r="F17" i="4" s="1"/>
  <c r="G14" i="4"/>
  <c r="E14" i="4"/>
  <c r="F14" i="4" s="1"/>
  <c r="H14" i="4" s="1"/>
  <c r="G13" i="4"/>
  <c r="E13" i="4"/>
  <c r="F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G9" i="4"/>
  <c r="E9" i="4"/>
  <c r="F9" i="4" s="1"/>
  <c r="G8" i="4"/>
  <c r="E8" i="4"/>
  <c r="F8" i="4" s="1"/>
  <c r="H8" i="4" s="1"/>
  <c r="G7" i="4"/>
  <c r="E7" i="4"/>
  <c r="F7" i="4" s="1"/>
  <c r="H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H34" i="3" s="1"/>
  <c r="G33" i="3"/>
  <c r="E33" i="3"/>
  <c r="F33" i="3" s="1"/>
  <c r="H33" i="3" s="1"/>
  <c r="G32" i="3"/>
  <c r="E32" i="3"/>
  <c r="F32" i="3" s="1"/>
  <c r="H32" i="3" s="1"/>
  <c r="G31" i="3"/>
  <c r="E31" i="3"/>
  <c r="F31" i="3" s="1"/>
  <c r="G30" i="3"/>
  <c r="E30" i="3"/>
  <c r="F30" i="3" s="1"/>
  <c r="H30" i="3" s="1"/>
  <c r="G29" i="3"/>
  <c r="E29" i="3"/>
  <c r="F29" i="3" s="1"/>
  <c r="H29" i="3" s="1"/>
  <c r="G28" i="3"/>
  <c r="E28" i="3"/>
  <c r="F28" i="3" s="1"/>
  <c r="H28" i="3" s="1"/>
  <c r="G27" i="3"/>
  <c r="E27" i="3"/>
  <c r="F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G8" i="3"/>
  <c r="E8" i="3"/>
  <c r="F8" i="3" s="1"/>
  <c r="H8" i="3" s="1"/>
  <c r="G7" i="3"/>
  <c r="E7" i="3"/>
  <c r="F7" i="3" s="1"/>
  <c r="H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G34" i="5"/>
  <c r="E34" i="5"/>
  <c r="F34" i="5" s="1"/>
  <c r="H34" i="5" s="1"/>
  <c r="G33" i="5"/>
  <c r="E33" i="5"/>
  <c r="F33" i="5" s="1"/>
  <c r="H33" i="5" s="1"/>
  <c r="G32" i="5"/>
  <c r="E32" i="5"/>
  <c r="F32" i="5" s="1"/>
  <c r="H32" i="5" s="1"/>
  <c r="G31" i="5"/>
  <c r="E31" i="5"/>
  <c r="F31" i="5" s="1"/>
  <c r="G30" i="5"/>
  <c r="E30" i="5"/>
  <c r="F30" i="5" s="1"/>
  <c r="H30" i="5" s="1"/>
  <c r="G29" i="5"/>
  <c r="E29" i="5"/>
  <c r="F29" i="5" s="1"/>
  <c r="H29" i="5" s="1"/>
  <c r="G28" i="5"/>
  <c r="E28" i="5"/>
  <c r="F28" i="5" s="1"/>
  <c r="H28" i="5" s="1"/>
  <c r="G27" i="5"/>
  <c r="E27" i="5"/>
  <c r="F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G18" i="5"/>
  <c r="E18" i="5"/>
  <c r="F18" i="5" s="1"/>
  <c r="H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G9" i="5"/>
  <c r="E9" i="5"/>
  <c r="F9" i="5" s="1"/>
  <c r="G8" i="5"/>
  <c r="E8" i="5"/>
  <c r="F8" i="5" s="1"/>
  <c r="H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D4" i="21" s="1"/>
  <c r="C45" i="2"/>
  <c r="G36" i="2"/>
  <c r="E36" i="2"/>
  <c r="F36" i="2" s="1"/>
  <c r="H36" i="2" s="1"/>
  <c r="G35" i="2"/>
  <c r="E35" i="2"/>
  <c r="F35" i="2" s="1"/>
  <c r="G34" i="2"/>
  <c r="E34" i="2"/>
  <c r="F34" i="2" s="1"/>
  <c r="H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G30" i="2"/>
  <c r="E30" i="2"/>
  <c r="F30" i="2" s="1"/>
  <c r="H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G18" i="2"/>
  <c r="E18" i="2"/>
  <c r="F18" i="2" s="1"/>
  <c r="H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G9" i="2"/>
  <c r="E9" i="2"/>
  <c r="F9" i="2" s="1"/>
  <c r="G8" i="2"/>
  <c r="E8" i="2"/>
  <c r="F8" i="2" s="1"/>
  <c r="H8" i="2" s="1"/>
  <c r="G7" i="2"/>
  <c r="E7" i="2"/>
  <c r="F7" i="2" s="1"/>
  <c r="H7" i="2" s="1"/>
  <c r="G6" i="2"/>
  <c r="E6" i="2"/>
  <c r="F6" i="2" s="1"/>
  <c r="F6" i="28" l="1"/>
  <c r="F6" i="27"/>
  <c r="H6" i="26"/>
  <c r="H37" i="26" s="1"/>
  <c r="F37" i="26"/>
  <c r="E37" i="26"/>
  <c r="F6" i="25"/>
  <c r="D14" i="21"/>
  <c r="D8" i="21"/>
  <c r="G37" i="10"/>
  <c r="G37" i="24"/>
  <c r="C25" i="1" s="1"/>
  <c r="E62" i="7"/>
  <c r="D16" i="21"/>
  <c r="D12" i="21"/>
  <c r="G37" i="19"/>
  <c r="C23" i="1" s="1"/>
  <c r="H25" i="8"/>
  <c r="H28" i="8"/>
  <c r="H30" i="15"/>
  <c r="H34" i="15"/>
  <c r="H8" i="12"/>
  <c r="H12" i="12"/>
  <c r="H18" i="12"/>
  <c r="H22" i="12"/>
  <c r="H26" i="12"/>
  <c r="H30" i="12"/>
  <c r="H34" i="12"/>
  <c r="E62" i="12"/>
  <c r="H8" i="13"/>
  <c r="H12" i="13"/>
  <c r="H18" i="13"/>
  <c r="H22" i="13"/>
  <c r="H26" i="13"/>
  <c r="H30" i="13"/>
  <c r="H34" i="13"/>
  <c r="H8" i="14"/>
  <c r="H12" i="14"/>
  <c r="H18" i="14"/>
  <c r="H22" i="14"/>
  <c r="H26" i="14"/>
  <c r="H30" i="14"/>
  <c r="H34" i="14"/>
  <c r="H8" i="16"/>
  <c r="H12" i="16"/>
  <c r="H18" i="16"/>
  <c r="H22" i="16"/>
  <c r="H26" i="16"/>
  <c r="H30" i="16"/>
  <c r="H34" i="16"/>
  <c r="H8" i="17"/>
  <c r="H12" i="17"/>
  <c r="H18" i="17"/>
  <c r="H22" i="17"/>
  <c r="H26" i="17"/>
  <c r="H30" i="17"/>
  <c r="H34" i="17"/>
  <c r="H8" i="18"/>
  <c r="H12" i="18"/>
  <c r="H18" i="18"/>
  <c r="H22" i="18"/>
  <c r="H26" i="18"/>
  <c r="H30" i="18"/>
  <c r="H34" i="18"/>
  <c r="D13" i="21"/>
  <c r="H8" i="23"/>
  <c r="H12" i="23"/>
  <c r="H18" i="23"/>
  <c r="H22" i="23"/>
  <c r="H26" i="23"/>
  <c r="H30" i="23"/>
  <c r="H34" i="23"/>
  <c r="H31" i="24"/>
  <c r="H35" i="24"/>
  <c r="E62" i="3"/>
  <c r="H19" i="24"/>
  <c r="E62" i="9"/>
  <c r="E62" i="14"/>
  <c r="D6" i="21"/>
  <c r="H14" i="24"/>
  <c r="H23" i="24"/>
  <c r="E62" i="8"/>
  <c r="E62" i="16"/>
  <c r="H9" i="2"/>
  <c r="H13" i="2"/>
  <c r="H19" i="2"/>
  <c r="H23" i="2"/>
  <c r="H27" i="2"/>
  <c r="H31" i="2"/>
  <c r="H35" i="2"/>
  <c r="H9" i="5"/>
  <c r="H13" i="5"/>
  <c r="H19" i="5"/>
  <c r="H23" i="5"/>
  <c r="H27" i="5"/>
  <c r="H31" i="5"/>
  <c r="H35" i="5"/>
  <c r="H9" i="3"/>
  <c r="H13" i="3"/>
  <c r="H19" i="3"/>
  <c r="H23" i="3"/>
  <c r="H27" i="3"/>
  <c r="H31" i="3"/>
  <c r="H9" i="4"/>
  <c r="H13" i="4"/>
  <c r="H19" i="4"/>
  <c r="H23" i="4"/>
  <c r="H27" i="4"/>
  <c r="H31" i="4"/>
  <c r="H9" i="7"/>
  <c r="H13" i="7"/>
  <c r="H19" i="7"/>
  <c r="H23" i="7"/>
  <c r="H9" i="19"/>
  <c r="H13" i="19"/>
  <c r="H19" i="19"/>
  <c r="H23" i="19"/>
  <c r="H27" i="19"/>
  <c r="H31" i="19"/>
  <c r="H35" i="19"/>
  <c r="H9" i="6"/>
  <c r="H13" i="6"/>
  <c r="H23" i="6"/>
  <c r="H27" i="6"/>
  <c r="H31" i="6"/>
  <c r="H35" i="6"/>
  <c r="D7" i="21"/>
  <c r="H9" i="8"/>
  <c r="H13" i="8"/>
  <c r="H22" i="8"/>
  <c r="H9" i="22"/>
  <c r="H13" i="22"/>
  <c r="H19" i="22"/>
  <c r="H9" i="9"/>
  <c r="H13" i="9"/>
  <c r="H19" i="9"/>
  <c r="H23" i="9"/>
  <c r="H27" i="9"/>
  <c r="H31" i="9"/>
  <c r="H35" i="9"/>
  <c r="H9" i="10"/>
  <c r="H13" i="10"/>
  <c r="H19" i="10"/>
  <c r="H23" i="10"/>
  <c r="H27" i="10"/>
  <c r="H31" i="10"/>
  <c r="H35" i="10"/>
  <c r="H9" i="11"/>
  <c r="H13" i="11"/>
  <c r="H19" i="15"/>
  <c r="H26" i="15"/>
  <c r="H33" i="15"/>
  <c r="G37" i="14"/>
  <c r="C18" i="1" s="1"/>
  <c r="G37" i="16"/>
  <c r="C20" i="1" s="1"/>
  <c r="G37" i="17"/>
  <c r="C21" i="1" s="1"/>
  <c r="G37" i="18"/>
  <c r="C22" i="1" s="1"/>
  <c r="G37" i="23"/>
  <c r="C24" i="1" s="1"/>
  <c r="H20" i="24"/>
  <c r="H27" i="24"/>
  <c r="E62" i="24"/>
  <c r="H19" i="6"/>
  <c r="H18" i="6"/>
  <c r="H17" i="6"/>
  <c r="G37" i="6"/>
  <c r="C9" i="1" s="1"/>
  <c r="E62" i="6"/>
  <c r="H8" i="6"/>
  <c r="H10" i="2"/>
  <c r="C37" i="1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F37" i="23"/>
  <c r="B24" i="1" s="1"/>
  <c r="H6" i="23"/>
  <c r="H37" i="23" s="1"/>
  <c r="E37" i="23"/>
  <c r="F37" i="18"/>
  <c r="B22" i="1" s="1"/>
  <c r="H6" i="18"/>
  <c r="E37" i="18"/>
  <c r="F37" i="17"/>
  <c r="B21" i="1" s="1"/>
  <c r="H6" i="17"/>
  <c r="E37" i="17"/>
  <c r="F37" i="16"/>
  <c r="B20" i="1" s="1"/>
  <c r="H6" i="16"/>
  <c r="E37" i="16"/>
  <c r="F37" i="14"/>
  <c r="B18" i="1" s="1"/>
  <c r="H6" i="14"/>
  <c r="E37" i="14"/>
  <c r="F37" i="13"/>
  <c r="B17" i="1" s="1"/>
  <c r="H6" i="13"/>
  <c r="E37" i="13"/>
  <c r="F37" i="12"/>
  <c r="H6" i="12"/>
  <c r="E37" i="12"/>
  <c r="H6" i="15"/>
  <c r="F37" i="11"/>
  <c r="H6" i="11"/>
  <c r="E37" i="11"/>
  <c r="F37" i="10"/>
  <c r="H6" i="10"/>
  <c r="E37" i="10"/>
  <c r="F37" i="9"/>
  <c r="H6" i="9"/>
  <c r="E37" i="9"/>
  <c r="F37" i="22"/>
  <c r="H6" i="22"/>
  <c r="E37" i="22"/>
  <c r="F37" i="8"/>
  <c r="H6" i="8"/>
  <c r="E37" i="8"/>
  <c r="F37" i="6"/>
  <c r="B9" i="1" s="1"/>
  <c r="H6" i="6"/>
  <c r="E37" i="6"/>
  <c r="F37" i="19"/>
  <c r="B23" i="1" s="1"/>
  <c r="H6" i="19"/>
  <c r="H37" i="19" s="1"/>
  <c r="E37" i="19"/>
  <c r="F37" i="7"/>
  <c r="B10" i="1" s="1"/>
  <c r="H6" i="7"/>
  <c r="E37" i="7"/>
  <c r="F37" i="4"/>
  <c r="B6" i="1" s="1"/>
  <c r="H6" i="4"/>
  <c r="E37" i="4"/>
  <c r="F37" i="3"/>
  <c r="H6" i="3"/>
  <c r="E37" i="3"/>
  <c r="F37" i="5"/>
  <c r="B8" i="1" s="1"/>
  <c r="H6" i="5"/>
  <c r="E37" i="5"/>
  <c r="F37" i="2"/>
  <c r="H6" i="2"/>
  <c r="E37" i="2"/>
  <c r="H6" i="28" l="1"/>
  <c r="H37" i="28" s="1"/>
  <c r="F37" i="28"/>
  <c r="F37" i="27"/>
  <c r="H6" i="27"/>
  <c r="H37" i="27" s="1"/>
  <c r="F37" i="25"/>
  <c r="H6" i="25"/>
  <c r="H37" i="25" s="1"/>
  <c r="H37" i="13"/>
  <c r="H37" i="9"/>
  <c r="H37" i="11"/>
  <c r="H37" i="14"/>
  <c r="H37" i="7"/>
  <c r="H37" i="18"/>
  <c r="H37" i="2"/>
  <c r="H37" i="24"/>
  <c r="H37" i="8"/>
  <c r="H37" i="12"/>
  <c r="H37" i="4"/>
  <c r="H37" i="5"/>
  <c r="H37" i="15"/>
  <c r="H37" i="10"/>
  <c r="H37" i="16"/>
  <c r="H37" i="6"/>
  <c r="H37" i="17"/>
  <c r="H37" i="22"/>
  <c r="H37" i="3"/>
  <c r="G15" i="1" l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<sst xmlns="http://schemas.openxmlformats.org/spreadsheetml/2006/main" count="2011" uniqueCount="90">
  <si>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</si>
  <si>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</si>
  <si>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</si>
  <si>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</si>
  <si>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</si>
  <si>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</si>
  <si>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</si>
  <si>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</si>
  <si>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</si>
  <si>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</si>
  <si>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</si>
  <si>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</si>
  <si>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</si>
  <si>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</si>
  <si>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</si>
  <si>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</si>
  <si>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</si>
  <si>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</si>
  <si>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</si>
  <si>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</si>
  <si>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</si>
  <si>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</si>
  <si>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</si>
  <si>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</si>
  <si>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</si>
  <si>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</si>
  <si>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</si>
  <si>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</si>
  <si>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</si>
  <si>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</si>
  <si>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</si>
  <si>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</si>
  <si>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</si>
  <si>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</si>
  <si>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</si>
  <si>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</si>
  <si>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</si>
  <si>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</si>
  <si>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</si>
  <si>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</si>
  <si>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</si>
  <si>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</si>
  <si>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</si>
  <si>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</si>
  <si>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</si>
  <si>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</si>
  <si>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</si>
  <si>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</si>
  <si>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</si>
  <si>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</si>
  <si>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</si>
  <si>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</si>
  <si>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</si>
  <si>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</si>
  <si>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</si>
  <si>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</si>
  <si>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</si>
  <si>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</si>
  <si>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</si>
  <si>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</si>
  <si>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</si>
  <si>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</si>
  <si>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</si>
  <si>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</si>
  <si>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</si>
  <si>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</si>
  <si>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</si>
  <si>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</si>
  <si>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</si>
  <si>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</si>
  <si>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</si>
  <si>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</si>
  <si>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</si>
  <si>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</si>
  <si>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</si>
  <si>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</si>
  <si>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</si>
  <si>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</si>
  <si>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</si>
  <si>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</si>
  <si>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</si>
  <si>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</si>
  <si>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</si>
  <si>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</si>
  <si>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</si>
  <si>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QUARTERLY REPORT FROM 01/01/2026 TO  31/03/2026</t>
  </si>
  <si>
    <t>GEREVERIA</t>
  </si>
  <si>
    <t>WEEK  REPORT KIMIRONK</t>
  </si>
  <si>
    <t>WEEK  REPORT 13-19/04/2026</t>
  </si>
  <si>
    <t xml:space="preserve">Mucyumweru gishize cyo kuva kuwa13-19 mukwezi kwa Mata 2026 nakorewe facture na site ya GASHYUSHYA. Amafaranga bakiriye avuye kuri site ya kimironko ni: TOTAL MOMO yakiriwe na code 035657ya kimironko yishyuwe mbere ni 902,920FRW                 Amafaranga yanyuze kuri code ya Gashyushya   TOTAL MOMO=2,868,240       VAT=3,450,960.                                                   TOTAL=22.622,960.                         IMPAMVU Gashyushya ya nkoreye Facture nuko site ya kimironko bari baratwibye imachine Ikora  amafacture.murakoze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</si>
</sst>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9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8164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1796875" style="83" customWidth="1"/>
    <col min="5" max="5" width="21.7265625" style="83" customWidth="1"/>
    <col min="6" max="6" width="20.54296875" style="85" customWidth="1"/>
    <col min="7" max="7" width="20.1796875" style="85" customWidth="1"/>
    <col min="8" max="8" width="17" style="83" customWidth="1"/>
    <col min="9" max="9" width="16.81640625" style="83" customWidth="1"/>
    <col min="10" max="10" width="14.54296875" style="83" customWidth="1"/>
    <col min="11" max="11" width="8.81640625" style="83"/>
    <col min="12" max="12" width="19.81640625" style="83" customWidth="1"/>
    <col min="13" max="16384" width="8.81640625" style="83"/>
  </cols>
  <sheetData>
    <row r="1" spans="1:15" ht="51.5">
      <c r="A1" s="135" t="s">
        <v>37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82"/>
      <c r="M1" s="82"/>
      <c r="N1" s="82"/>
    </row>
    <row r="2" spans="1:15" ht="31" customHeight="1">
      <c r="A2" s="137" t="s">
        <v>36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82"/>
      <c r="M2" s="82"/>
      <c r="N2" s="82"/>
    </row>
    <row r="3" spans="1:15" ht="15" customHeight="1" thickBot="1">
      <c r="A3" s="137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3450960</v>
      </c>
      <c r="C7" s="48">
        <f>KIMIRONKO!G37</f>
        <v>320200</v>
      </c>
      <c r="D7" s="48">
        <f>KIMIRONKO!C43</f>
        <v>0</v>
      </c>
      <c r="E7" s="48">
        <f>KIMIRONKO!C44</f>
        <v>0</v>
      </c>
      <c r="F7" s="50">
        <f t="shared" si="0"/>
        <v>3771160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12360231</v>
      </c>
      <c r="C9" s="48">
        <f>RWAMAGANA!G37</f>
        <v>1363010</v>
      </c>
      <c r="D9" s="48">
        <f>RWAMAGANA!C43</f>
        <v>50000</v>
      </c>
      <c r="E9" s="48">
        <f>RWAMAGANA!C44</f>
        <v>100000</v>
      </c>
      <c r="F9" s="50">
        <f t="shared" si="0"/>
        <v>13723241</v>
      </c>
      <c r="G9" s="47">
        <f>RWAMAGANA!C41</f>
        <v>0</v>
      </c>
      <c r="H9" s="48">
        <f>RWAMAGANA!C39</f>
        <v>13723241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15811191</v>
      </c>
      <c r="C29" s="70">
        <f t="shared" si="1"/>
        <v>1683210</v>
      </c>
      <c r="D29" s="71">
        <f t="shared" si="1"/>
        <v>50000</v>
      </c>
      <c r="E29" s="70">
        <f t="shared" si="1"/>
        <v>100000</v>
      </c>
      <c r="F29" s="70">
        <f>SUM(F5:F28)</f>
        <v>17494401</v>
      </c>
      <c r="G29" s="71">
        <f>SUM(G5:G28)</f>
        <v>0</v>
      </c>
      <c r="H29" s="71">
        <f>SUM(H5:H28)</f>
        <v>13723241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29"/>
      <c r="B30" s="129"/>
      <c r="C30" s="129"/>
      <c r="D30" s="130"/>
      <c r="E30" s="120" t="s">
        <v>11</v>
      </c>
      <c r="F30" s="121"/>
      <c r="G30" s="121"/>
      <c r="H30" s="121"/>
      <c r="I30" s="122"/>
      <c r="J30" s="139"/>
      <c r="K30" s="140"/>
      <c r="L30" s="82"/>
    </row>
    <row r="31" spans="1:15" ht="19" thickBot="1">
      <c r="A31" s="116" t="s">
        <v>9</v>
      </c>
      <c r="B31" s="117"/>
      <c r="C31" s="117"/>
      <c r="D31" s="117"/>
      <c r="E31" s="123"/>
      <c r="F31" s="124"/>
      <c r="G31" s="124"/>
      <c r="H31" s="124"/>
      <c r="I31" s="125"/>
      <c r="J31" s="141"/>
      <c r="K31" s="142"/>
      <c r="L31" s="82"/>
    </row>
    <row r="32" spans="1:15" ht="15" thickBot="1">
      <c r="A32" s="131" t="s">
        <v>12</v>
      </c>
      <c r="B32" s="132"/>
      <c r="C32" s="133">
        <f>SUM(B29+C29)</f>
        <v>17494401</v>
      </c>
      <c r="D32" s="134"/>
      <c r="E32" s="123"/>
      <c r="F32" s="124"/>
      <c r="G32" s="124"/>
      <c r="H32" s="124"/>
      <c r="I32" s="125"/>
      <c r="J32" s="141"/>
      <c r="K32" s="142"/>
      <c r="L32" s="82"/>
    </row>
    <row r="33" spans="1:12" ht="15" thickBot="1">
      <c r="A33" s="131" t="s">
        <v>13</v>
      </c>
      <c r="B33" s="132"/>
      <c r="C33" s="118">
        <f>SUM(F29,G29)</f>
        <v>17494401</v>
      </c>
      <c r="D33" s="119"/>
      <c r="E33" s="123"/>
      <c r="F33" s="124"/>
      <c r="G33" s="124"/>
      <c r="H33" s="124"/>
      <c r="I33" s="125"/>
      <c r="J33" s="141"/>
      <c r="K33" s="142"/>
      <c r="L33" s="82"/>
    </row>
    <row r="34" spans="1:12" ht="15" thickBot="1">
      <c r="A34" s="155" t="s">
        <v>81</v>
      </c>
      <c r="B34" s="156"/>
      <c r="C34" s="118">
        <f>SUM(H29,J29,I29+G29)</f>
        <v>13723241</v>
      </c>
      <c r="D34" s="154"/>
      <c r="E34" s="123"/>
      <c r="F34" s="124"/>
      <c r="G34" s="124"/>
      <c r="H34" s="124"/>
      <c r="I34" s="125"/>
      <c r="J34" s="141"/>
      <c r="K34" s="142"/>
      <c r="L34" s="82"/>
    </row>
    <row r="35" spans="1:12" ht="15" thickBot="1">
      <c r="A35" s="131" t="s">
        <v>10</v>
      </c>
      <c r="B35" s="132"/>
      <c r="C35" s="118">
        <f>SUM(D29:E29)</f>
        <v>150000</v>
      </c>
      <c r="D35" s="154"/>
      <c r="E35" s="126"/>
      <c r="F35" s="127"/>
      <c r="G35" s="127"/>
      <c r="H35" s="127"/>
      <c r="I35" s="128"/>
      <c r="J35" s="141"/>
      <c r="K35" s="142"/>
      <c r="L35" s="82"/>
    </row>
    <row r="36" spans="1:12" ht="15" thickBot="1">
      <c r="A36" s="131" t="s">
        <v>83</v>
      </c>
      <c r="B36" s="132"/>
      <c r="C36" s="118">
        <f>SUM(H29+I29+J29+C35)</f>
        <v>13873241</v>
      </c>
      <c r="D36" s="154"/>
      <c r="E36" s="145" t="s">
        <v>35</v>
      </c>
      <c r="F36" s="146"/>
      <c r="G36" s="146"/>
      <c r="H36" s="146"/>
      <c r="I36" s="147"/>
      <c r="J36" s="141"/>
      <c r="K36" s="142"/>
      <c r="L36" s="82"/>
    </row>
    <row r="37" spans="1:12" ht="15" thickBot="1">
      <c r="A37" s="114" t="s">
        <v>14</v>
      </c>
      <c r="B37" s="115"/>
      <c r="C37" s="118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13873241</v>
      </c>
      <c r="D37" s="154"/>
      <c r="E37" s="148"/>
      <c r="F37" s="149"/>
      <c r="G37" s="149"/>
      <c r="H37" s="149"/>
      <c r="I37" s="150"/>
      <c r="J37" s="141"/>
      <c r="K37" s="142"/>
      <c r="L37" s="82"/>
    </row>
    <row r="38" spans="1:12" ht="26.5" thickBot="1">
      <c r="A38" s="151" t="s">
        <v>15</v>
      </c>
      <c r="B38" s="152"/>
      <c r="C38" s="152"/>
      <c r="D38" s="152"/>
      <c r="E38" s="152"/>
      <c r="F38" s="152"/>
      <c r="G38" s="152"/>
      <c r="H38" s="152"/>
      <c r="I38" s="153"/>
      <c r="J38" s="143"/>
      <c r="K38" s="144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8" workbookViewId="0">
      <selection activeCell="E62" sqref="E62:H62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9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30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84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84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84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84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84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84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84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84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8" workbookViewId="0">
      <selection activeCell="E62" sqref="E62:H62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9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30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84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84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84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84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84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84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84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84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6:H47"/>
    <mergeCell ref="A48:B48"/>
    <mergeCell ref="C48:D48"/>
    <mergeCell ref="E48:H48"/>
    <mergeCell ref="C56:D56"/>
    <mergeCell ref="E56:H56"/>
    <mergeCell ref="A49:B63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8" workbookViewId="0">
      <selection activeCell="E62" sqref="E62:H62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9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30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84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84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84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84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84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84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84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84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6:H47"/>
    <mergeCell ref="A48:B48"/>
    <mergeCell ref="C48:D48"/>
    <mergeCell ref="E48:H48"/>
    <mergeCell ref="C56:D56"/>
    <mergeCell ref="E56:H56"/>
    <mergeCell ref="A49:B63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8" workbookViewId="0">
      <selection activeCell="E62" sqref="E62:H62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9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30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84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84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84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84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84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84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84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84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6:H47"/>
    <mergeCell ref="A48:B48"/>
    <mergeCell ref="C48:D48"/>
    <mergeCell ref="E48:H48"/>
    <mergeCell ref="C56:D56"/>
    <mergeCell ref="E56:H56"/>
    <mergeCell ref="A49:B63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8" workbookViewId="0">
      <selection activeCell="E62" sqref="E62:H62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9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30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84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84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84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84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84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84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84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84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6:H47"/>
    <mergeCell ref="A48:B48"/>
    <mergeCell ref="C48:D48"/>
    <mergeCell ref="E48:H48"/>
    <mergeCell ref="C56:D56"/>
    <mergeCell ref="E56:H56"/>
    <mergeCell ref="A49:B63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ColWidth="8.7265625" defaultRowHeight="14.5"/>
  <cols>
    <col min="1" max="1" width="18.81640625" style="43" customWidth="1"/>
    <col min="2" max="2" width="21.81640625" style="43" customWidth="1"/>
    <col min="3" max="3" width="25" style="43" customWidth="1"/>
    <col min="4" max="4" width="15.453125" style="43" customWidth="1"/>
    <col min="5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6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8.5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s="89" customFormat="1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 ht="19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20.5" customHeight="1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3.15" customHeight="1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22" customHeight="1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22.5" customHeight="1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24.65" customHeight="1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22" customHeight="1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22" customHeight="1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22" customHeight="1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22" customHeight="1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8.7265625" defaultRowHeight="14.5"/>
  <cols>
    <col min="1" max="1" width="27.26953125" style="43" customWidth="1"/>
    <col min="2" max="2" width="19.453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54296875" style="43" customWidth="1"/>
    <col min="8" max="8" width="21.8164062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25"/>
    </row>
    <row r="2" spans="1:9" ht="24" customHeight="1" thickBot="1">
      <c r="A2" s="205"/>
      <c r="B2" s="206"/>
      <c r="C2" s="206"/>
      <c r="D2" s="206"/>
      <c r="E2" s="206"/>
      <c r="F2" s="206"/>
      <c r="G2" s="206"/>
      <c r="H2" s="206"/>
      <c r="I2" s="226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26"/>
    </row>
    <row r="4" spans="1:9" ht="23.15" customHeight="1" thickBot="1">
      <c r="A4" s="205"/>
      <c r="B4" s="206"/>
      <c r="C4" s="206"/>
      <c r="D4" s="206"/>
      <c r="E4" s="206"/>
      <c r="F4" s="206"/>
      <c r="G4" s="206"/>
      <c r="H4" s="206"/>
      <c r="I4" s="226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217">
        <v>2124</v>
      </c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26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26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26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26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26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26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26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26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6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6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26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26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26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26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26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26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26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26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26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26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26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26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26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26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26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26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27"/>
    </row>
  </sheetData>
  <sheetProtection password="C8CD" sheet="1" objects="1" scenarios="1"/>
  <mergeCells count="66"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  <mergeCell ref="A43:B43"/>
    <mergeCell ref="E43:F43"/>
    <mergeCell ref="A44:B44"/>
    <mergeCell ref="E44:F44"/>
    <mergeCell ref="A45:B45"/>
    <mergeCell ref="E45:F45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60:D60"/>
    <mergeCell ref="C61:D61"/>
    <mergeCell ref="E56:H56"/>
    <mergeCell ref="E57:H57"/>
    <mergeCell ref="E58:H58"/>
    <mergeCell ref="C57:D57"/>
    <mergeCell ref="C58:D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2:D62"/>
    <mergeCell ref="C63:D63"/>
    <mergeCell ref="A64:H64"/>
    <mergeCell ref="E62:H62"/>
    <mergeCell ref="E63:H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9" sqref="C39"/>
    </sheetView>
  </sheetViews>
  <sheetFormatPr defaultColWidth="8.7265625" defaultRowHeight="14.5"/>
  <cols>
    <col min="1" max="1" width="22.54296875" style="43" customWidth="1"/>
    <col min="2" max="2" width="26.453125" style="43" customWidth="1"/>
    <col min="3" max="3" width="18.8164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453125" style="43" customWidth="1"/>
    <col min="8" max="8" width="24.2695312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25"/>
    </row>
    <row r="2" spans="1:9" ht="24.65" customHeight="1" thickBot="1">
      <c r="A2" s="205"/>
      <c r="B2" s="206"/>
      <c r="C2" s="206"/>
      <c r="D2" s="206"/>
      <c r="E2" s="206"/>
      <c r="F2" s="206"/>
      <c r="G2" s="206"/>
      <c r="H2" s="206"/>
      <c r="I2" s="226"/>
    </row>
    <row r="3" spans="1:9" ht="14.5" customHeight="1">
      <c r="A3" s="210" t="s">
        <v>85</v>
      </c>
      <c r="B3" s="211"/>
      <c r="C3" s="211"/>
      <c r="D3" s="211"/>
      <c r="E3" s="211"/>
      <c r="F3" s="211"/>
      <c r="G3" s="211"/>
      <c r="H3" s="212"/>
      <c r="I3" s="226"/>
    </row>
    <row r="4" spans="1:9" ht="21" customHeight="1" thickBot="1">
      <c r="A4" s="205"/>
      <c r="B4" s="206"/>
      <c r="C4" s="206"/>
      <c r="D4" s="206"/>
      <c r="E4" s="206"/>
      <c r="F4" s="206"/>
      <c r="G4" s="206"/>
      <c r="H4" s="206"/>
      <c r="I4" s="226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>
        <v>620</v>
      </c>
      <c r="C8" s="217">
        <v>5900</v>
      </c>
      <c r="D8" s="218"/>
      <c r="E8" s="12">
        <f t="shared" si="0"/>
        <v>3658000</v>
      </c>
      <c r="F8" s="12">
        <f t="shared" si="1"/>
        <v>558000</v>
      </c>
      <c r="G8" s="12">
        <f>PRODUCT(B8*50)</f>
        <v>31000</v>
      </c>
      <c r="H8" s="100">
        <f t="shared" si="2"/>
        <v>589000</v>
      </c>
      <c r="I8" s="226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>
        <v>34693</v>
      </c>
      <c r="C10" s="217">
        <v>2124</v>
      </c>
      <c r="D10" s="218"/>
      <c r="E10" s="12">
        <f t="shared" si="0"/>
        <v>73687932</v>
      </c>
      <c r="F10" s="12">
        <f t="shared" si="1"/>
        <v>11240532</v>
      </c>
      <c r="G10" s="12">
        <f>PRODUCT(B10*30)</f>
        <v>1040790</v>
      </c>
      <c r="H10" s="100">
        <f t="shared" si="2"/>
        <v>12281322</v>
      </c>
      <c r="I10" s="226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>
        <v>1837</v>
      </c>
      <c r="C13" s="217">
        <v>1357</v>
      </c>
      <c r="D13" s="218"/>
      <c r="E13" s="12">
        <f t="shared" si="0"/>
        <v>2492809</v>
      </c>
      <c r="F13" s="12">
        <f t="shared" si="1"/>
        <v>380259</v>
      </c>
      <c r="G13" s="12">
        <f>PRODUCT(B13*20)</f>
        <v>36740</v>
      </c>
      <c r="H13" s="100">
        <f t="shared" si="2"/>
        <v>416999</v>
      </c>
      <c r="I13" s="226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86</v>
      </c>
      <c r="B17" s="26">
        <v>1008</v>
      </c>
      <c r="C17" s="26">
        <v>1180</v>
      </c>
      <c r="D17" s="26">
        <v>30</v>
      </c>
      <c r="E17" s="19">
        <f>PRODUCT(B17*C17)</f>
        <v>1189440</v>
      </c>
      <c r="F17" s="16">
        <f t="shared" ref="F17:F36" si="3">PRODUCT(E17*18)/118</f>
        <v>181440</v>
      </c>
      <c r="G17" s="94">
        <f>PRODUCT(B17*D17)</f>
        <v>30240</v>
      </c>
      <c r="H17" s="102">
        <f>SUM(F17:G17)</f>
        <v>211680</v>
      </c>
      <c r="I17" s="226"/>
    </row>
    <row r="18" spans="1:9" ht="15" thickBot="1">
      <c r="A18" s="34" t="s">
        <v>86</v>
      </c>
      <c r="B18" s="27">
        <v>944</v>
      </c>
      <c r="C18" s="27"/>
      <c r="D18" s="27">
        <v>210</v>
      </c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198240</v>
      </c>
      <c r="H18" s="103">
        <f t="shared" ref="H18:H22" si="6">SUM(F18:G18)</f>
        <v>198240</v>
      </c>
      <c r="I18" s="226"/>
    </row>
    <row r="19" spans="1:9" ht="15" thickBot="1">
      <c r="A19" s="35" t="s">
        <v>86</v>
      </c>
      <c r="B19" s="13">
        <v>130</v>
      </c>
      <c r="C19" s="13"/>
      <c r="D19" s="13">
        <v>200</v>
      </c>
      <c r="E19" s="20">
        <f t="shared" si="4"/>
        <v>0</v>
      </c>
      <c r="F19" s="17">
        <f t="shared" si="3"/>
        <v>0</v>
      </c>
      <c r="G19" s="15">
        <f t="shared" si="5"/>
        <v>26000</v>
      </c>
      <c r="H19" s="103">
        <f t="shared" si="6"/>
        <v>26000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81028181</v>
      </c>
      <c r="F37" s="24">
        <f>SUM(F5:F36)</f>
        <v>12360231</v>
      </c>
      <c r="G37" s="24">
        <f t="shared" ref="G37:H37" si="10">SUM(G5:G36)</f>
        <v>1363010</v>
      </c>
      <c r="H37" s="24">
        <f t="shared" si="10"/>
        <v>13723241</v>
      </c>
      <c r="I37" s="226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26"/>
    </row>
    <row r="39" spans="1:9" ht="15" customHeight="1" thickBot="1">
      <c r="A39" s="197" t="s">
        <v>68</v>
      </c>
      <c r="B39" s="198"/>
      <c r="C39" s="55">
        <v>13723241</v>
      </c>
      <c r="D39" s="58"/>
      <c r="E39" s="199"/>
      <c r="F39" s="199"/>
      <c r="G39" s="61"/>
      <c r="H39" s="108"/>
      <c r="I39" s="226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26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26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26"/>
    </row>
    <row r="43" spans="1:9" ht="15" thickBot="1">
      <c r="A43" s="179" t="s">
        <v>75</v>
      </c>
      <c r="B43" s="180"/>
      <c r="C43" s="90">
        <v>50000</v>
      </c>
      <c r="D43" s="56"/>
      <c r="E43" s="195"/>
      <c r="F43" s="196"/>
      <c r="G43" s="11"/>
      <c r="H43" s="109"/>
      <c r="I43" s="226"/>
    </row>
    <row r="44" spans="1:9" ht="15" thickBot="1">
      <c r="A44" s="179" t="s">
        <v>76</v>
      </c>
      <c r="B44" s="180"/>
      <c r="C44" s="90">
        <v>100000</v>
      </c>
      <c r="D44" s="57"/>
      <c r="E44" s="195"/>
      <c r="F44" s="196"/>
      <c r="G44" s="11"/>
      <c r="H44" s="109"/>
      <c r="I44" s="226"/>
    </row>
    <row r="45" spans="1:9" ht="15" thickBot="1">
      <c r="A45" s="179" t="s">
        <v>77</v>
      </c>
      <c r="B45" s="180"/>
      <c r="C45" s="91">
        <f>SUM(C39+C40+C41+C42+C43+C44)</f>
        <v>13873241</v>
      </c>
      <c r="D45" s="92"/>
      <c r="E45" s="181"/>
      <c r="F45" s="182"/>
      <c r="G45" s="93"/>
      <c r="H45" s="110"/>
      <c r="I45" s="226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6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6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26"/>
    </row>
    <row r="49" spans="1:9" ht="19" thickBot="1">
      <c r="A49" s="169"/>
      <c r="B49" s="170"/>
      <c r="C49" s="175" t="s">
        <v>61</v>
      </c>
      <c r="D49" s="176"/>
      <c r="E49" s="177">
        <f>SUM(B9:B12)</f>
        <v>34693</v>
      </c>
      <c r="F49" s="178"/>
      <c r="G49" s="178"/>
      <c r="H49" s="178"/>
      <c r="I49" s="226"/>
    </row>
    <row r="50" spans="1:9" ht="19" thickBot="1">
      <c r="A50" s="171"/>
      <c r="B50" s="172"/>
      <c r="C50" s="175" t="s">
        <v>46</v>
      </c>
      <c r="D50" s="176"/>
      <c r="E50" s="177">
        <f>SUM(B6:B8)</f>
        <v>620</v>
      </c>
      <c r="F50" s="178"/>
      <c r="G50" s="178"/>
      <c r="H50" s="178"/>
      <c r="I50" s="226"/>
    </row>
    <row r="51" spans="1:9" ht="19" thickBot="1">
      <c r="A51" s="171"/>
      <c r="B51" s="172"/>
      <c r="C51" s="175" t="s">
        <v>62</v>
      </c>
      <c r="D51" s="176"/>
      <c r="E51" s="177">
        <f>SUM(B13:B14)</f>
        <v>1837</v>
      </c>
      <c r="F51" s="178"/>
      <c r="G51" s="178"/>
      <c r="H51" s="178"/>
      <c r="I51" s="226"/>
    </row>
    <row r="52" spans="1:9" ht="19" thickBot="1">
      <c r="A52" s="171"/>
      <c r="B52" s="172"/>
      <c r="C52" s="157" t="s">
        <v>63</v>
      </c>
      <c r="D52" s="158"/>
      <c r="E52" s="159">
        <f>SUM(B17:B18)</f>
        <v>1952</v>
      </c>
      <c r="F52" s="160"/>
      <c r="G52" s="160"/>
      <c r="H52" s="160"/>
      <c r="I52" s="226"/>
    </row>
    <row r="53" spans="1:9" ht="19" thickBot="1">
      <c r="A53" s="171"/>
      <c r="B53" s="172"/>
      <c r="C53" s="157" t="s">
        <v>64</v>
      </c>
      <c r="D53" s="158"/>
      <c r="E53" s="159">
        <f>SUM(B19:B20)</f>
        <v>130</v>
      </c>
      <c r="F53" s="160"/>
      <c r="G53" s="160"/>
      <c r="H53" s="160"/>
      <c r="I53" s="226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26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26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26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26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26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26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26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26"/>
    </row>
    <row r="62" spans="1:9" ht="32.5" thickBot="1">
      <c r="A62" s="171"/>
      <c r="B62" s="172"/>
      <c r="C62" s="157" t="s">
        <v>65</v>
      </c>
      <c r="D62" s="158"/>
      <c r="E62" s="167">
        <f>SUM(E49:H61)</f>
        <v>39232</v>
      </c>
      <c r="F62" s="168"/>
      <c r="G62" s="168"/>
      <c r="H62" s="168"/>
      <c r="I62" s="226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26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46" workbookViewId="0">
      <selection activeCell="A49" sqref="A49:B63"/>
    </sheetView>
  </sheetViews>
  <sheetFormatPr defaultColWidth="8.7265625" defaultRowHeight="14.5"/>
  <cols>
    <col min="1" max="1" width="21.1796875" style="43" customWidth="1"/>
    <col min="2" max="2" width="17.453125" style="43" customWidth="1"/>
    <col min="3" max="3" width="20.26953125" style="43" customWidth="1"/>
    <col min="4" max="4" width="14.81640625" style="43" customWidth="1"/>
    <col min="5" max="5" width="28.453125" style="43" customWidth="1"/>
    <col min="6" max="6" width="22.1796875" style="43" customWidth="1"/>
    <col min="7" max="7" width="16.54296875" style="43" customWidth="1"/>
    <col min="8" max="8" width="26.54296875" style="43" customWidth="1"/>
    <col min="9" max="16384" width="8.7265625" style="43"/>
  </cols>
  <sheetData>
    <row r="1" spans="1:9" ht="14.5" customHeight="1">
      <c r="A1" s="203" t="s">
        <v>87</v>
      </c>
      <c r="B1" s="204"/>
      <c r="C1" s="204"/>
      <c r="D1" s="204"/>
      <c r="E1" s="204"/>
      <c r="F1" s="204"/>
      <c r="G1" s="204"/>
      <c r="H1" s="204"/>
      <c r="I1" s="225"/>
    </row>
    <row r="2" spans="1:9" ht="15" customHeight="1" thickBot="1">
      <c r="A2" s="205"/>
      <c r="B2" s="206"/>
      <c r="C2" s="206"/>
      <c r="D2" s="206"/>
      <c r="E2" s="206"/>
      <c r="F2" s="206"/>
      <c r="G2" s="206"/>
      <c r="H2" s="206"/>
      <c r="I2" s="226"/>
    </row>
    <row r="3" spans="1:9" ht="14.5" customHeight="1">
      <c r="A3" s="210" t="s">
        <v>88</v>
      </c>
      <c r="B3" s="211"/>
      <c r="C3" s="211"/>
      <c r="D3" s="211"/>
      <c r="E3" s="211"/>
      <c r="F3" s="211"/>
      <c r="G3" s="211"/>
      <c r="H3" s="212"/>
      <c r="I3" s="226"/>
    </row>
    <row r="4" spans="1:9" ht="15" customHeight="1" thickBot="1">
      <c r="A4" s="205"/>
      <c r="B4" s="206"/>
      <c r="C4" s="206"/>
      <c r="D4" s="206"/>
      <c r="E4" s="206"/>
      <c r="F4" s="206"/>
      <c r="G4" s="206"/>
      <c r="H4" s="206"/>
      <c r="I4" s="226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>
        <v>10140</v>
      </c>
      <c r="C10" s="217">
        <v>2124</v>
      </c>
      <c r="D10" s="218"/>
      <c r="E10" s="12">
        <f t="shared" si="0"/>
        <v>21537360</v>
      </c>
      <c r="F10" s="12">
        <f t="shared" si="1"/>
        <v>3285360</v>
      </c>
      <c r="G10" s="12">
        <f>PRODUCT(B10*30)</f>
        <v>304200</v>
      </c>
      <c r="H10" s="100">
        <f t="shared" si="2"/>
        <v>3589560</v>
      </c>
      <c r="I10" s="226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>
        <v>800</v>
      </c>
      <c r="C13" s="217">
        <v>1357</v>
      </c>
      <c r="D13" s="218"/>
      <c r="E13" s="12">
        <f t="shared" si="0"/>
        <v>1085600</v>
      </c>
      <c r="F13" s="12">
        <f t="shared" si="1"/>
        <v>165600</v>
      </c>
      <c r="G13" s="12">
        <f>PRODUCT(B13*20)</f>
        <v>16000</v>
      </c>
      <c r="H13" s="100">
        <f t="shared" si="2"/>
        <v>181600</v>
      </c>
      <c r="I13" s="226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22622960</v>
      </c>
      <c r="F37" s="24">
        <f>SUM(F5:F36)</f>
        <v>3450960</v>
      </c>
      <c r="G37" s="24">
        <f t="shared" ref="G37:H37" si="10">SUM(G5:G36)</f>
        <v>320200</v>
      </c>
      <c r="H37" s="24">
        <f t="shared" si="10"/>
        <v>3771160</v>
      </c>
      <c r="I37" s="226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26"/>
    </row>
    <row r="39" spans="1:9" ht="15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26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26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26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26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26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26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26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6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6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26"/>
    </row>
    <row r="49" spans="1:9" ht="19" thickBot="1">
      <c r="A49" s="169" t="s">
        <v>89</v>
      </c>
      <c r="B49" s="170"/>
      <c r="C49" s="175" t="s">
        <v>61</v>
      </c>
      <c r="D49" s="176"/>
      <c r="E49" s="177">
        <f>SUM(B9:B12)</f>
        <v>10140</v>
      </c>
      <c r="F49" s="178"/>
      <c r="G49" s="178"/>
      <c r="H49" s="178"/>
      <c r="I49" s="226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26"/>
    </row>
    <row r="51" spans="1:9" ht="19" thickBot="1">
      <c r="A51" s="171"/>
      <c r="B51" s="172"/>
      <c r="C51" s="175" t="s">
        <v>62</v>
      </c>
      <c r="D51" s="176"/>
      <c r="E51" s="177">
        <f>SUM(B13:B14)</f>
        <v>800</v>
      </c>
      <c r="F51" s="178"/>
      <c r="G51" s="178"/>
      <c r="H51" s="178"/>
      <c r="I51" s="226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26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26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26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26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26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26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26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26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26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26"/>
    </row>
    <row r="62" spans="1:9" ht="32.5" thickBot="1">
      <c r="A62" s="171"/>
      <c r="B62" s="172"/>
      <c r="C62" s="157" t="s">
        <v>65</v>
      </c>
      <c r="D62" s="158"/>
      <c r="E62" s="167">
        <f>SUM(E49:H61)</f>
        <v>10940</v>
      </c>
      <c r="F62" s="168"/>
      <c r="G62" s="168"/>
      <c r="H62" s="168"/>
      <c r="I62" s="226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26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27"/>
    </row>
  </sheetData>
  <sheetProtection password="C8CD" sheet="1" objects="1" scenarios="1"/>
  <mergeCells count="66">
    <mergeCell ref="C60:D60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E57:H57"/>
    <mergeCell ref="E58:H58"/>
    <mergeCell ref="E59:H59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5429687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25"/>
    </row>
    <row r="2" spans="1:9" ht="15" customHeight="1" thickBot="1">
      <c r="A2" s="205"/>
      <c r="B2" s="206"/>
      <c r="C2" s="206"/>
      <c r="D2" s="206"/>
      <c r="E2" s="206"/>
      <c r="F2" s="206"/>
      <c r="G2" s="206"/>
      <c r="H2" s="206"/>
      <c r="I2" s="226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26"/>
    </row>
    <row r="4" spans="1:9" ht="15" customHeight="1" thickBot="1">
      <c r="A4" s="205"/>
      <c r="B4" s="206"/>
      <c r="C4" s="206"/>
      <c r="D4" s="206"/>
      <c r="E4" s="206"/>
      <c r="F4" s="206"/>
      <c r="G4" s="206"/>
      <c r="H4" s="206"/>
      <c r="I4" s="226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26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26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26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26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26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26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26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26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6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6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26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26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26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26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26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26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26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26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26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26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26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26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26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26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26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26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1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15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1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15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ColWidth="8.7265625" defaultRowHeight="14.5"/>
  <cols>
    <col min="1" max="1" width="24" style="43" customWidth="1"/>
    <col min="2" max="2" width="15.81640625" style="43" customWidth="1"/>
    <col min="3" max="3" width="18.54296875" style="43" customWidth="1"/>
    <col min="4" max="4" width="11.7265625" style="43" customWidth="1"/>
    <col min="5" max="5" width="24.17968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25"/>
    </row>
    <row r="2" spans="1:9" ht="23.15" customHeight="1" thickBot="1">
      <c r="A2" s="205"/>
      <c r="B2" s="206"/>
      <c r="C2" s="206"/>
      <c r="D2" s="206"/>
      <c r="E2" s="206"/>
      <c r="F2" s="206"/>
      <c r="G2" s="206"/>
      <c r="H2" s="206"/>
      <c r="I2" s="226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26"/>
    </row>
    <row r="4" spans="1:9" ht="26.15" customHeight="1" thickBot="1">
      <c r="A4" s="205"/>
      <c r="B4" s="206"/>
      <c r="C4" s="206"/>
      <c r="D4" s="206"/>
      <c r="E4" s="206"/>
      <c r="F4" s="206"/>
      <c r="G4" s="206"/>
      <c r="H4" s="206"/>
      <c r="I4" s="226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26"/>
    </row>
    <row r="39" spans="1:9" ht="15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26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26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26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26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26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26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26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6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6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26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26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26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26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26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26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26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26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26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26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26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26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26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26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26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26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27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C60:D60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38:F38"/>
    <mergeCell ref="E39:F39"/>
    <mergeCell ref="A40:B40"/>
    <mergeCell ref="E40:F40"/>
    <mergeCell ref="A41:B41"/>
    <mergeCell ref="E41:F41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1796875" customWidth="1"/>
    <col min="8" max="8" width="21.81640625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4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1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C60:D60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E57:H57"/>
    <mergeCell ref="E58:H58"/>
    <mergeCell ref="E59:H59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8.81640625" customWidth="1"/>
    <col min="2" max="2" width="16.1796875" customWidth="1"/>
    <col min="3" max="3" width="20.8164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3.1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0.5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s="43" customFormat="1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4.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customHeight="1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4:F44"/>
    <mergeCell ref="E48:H48"/>
    <mergeCell ref="E49:H49"/>
    <mergeCell ref="A46:H47"/>
    <mergeCell ref="E50:H50"/>
    <mergeCell ref="E51:H51"/>
    <mergeCell ref="E52:H52"/>
    <mergeCell ref="E53:H53"/>
    <mergeCell ref="E54:H54"/>
    <mergeCell ref="E55:H55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5429687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453125" style="43" customWidth="1"/>
    <col min="8" max="8" width="19.8164062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25"/>
    </row>
    <row r="2" spans="1:9" ht="21" customHeight="1" thickBot="1">
      <c r="A2" s="205"/>
      <c r="B2" s="206"/>
      <c r="C2" s="206"/>
      <c r="D2" s="206"/>
      <c r="E2" s="206"/>
      <c r="F2" s="206"/>
      <c r="G2" s="206"/>
      <c r="H2" s="206"/>
      <c r="I2" s="226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26"/>
    </row>
    <row r="4" spans="1:9" ht="25.5" customHeight="1" thickBot="1">
      <c r="A4" s="205"/>
      <c r="B4" s="206"/>
      <c r="C4" s="206"/>
      <c r="D4" s="206"/>
      <c r="E4" s="206"/>
      <c r="F4" s="206"/>
      <c r="G4" s="206"/>
      <c r="H4" s="206"/>
      <c r="I4" s="226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9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26"/>
    </row>
    <row r="39" spans="1:9" ht="19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26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26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26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26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26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26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26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6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6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26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26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26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26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26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26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26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26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26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26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26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26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26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26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26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26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1796875" customWidth="1"/>
    <col min="5" max="5" width="18.26953125" customWidth="1"/>
    <col min="6" max="6" width="15.453125" customWidth="1"/>
    <col min="7" max="7" width="22.81640625" customWidth="1"/>
    <col min="8" max="8" width="19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2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2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s="43" customFormat="1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C60:D60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E57:H57"/>
    <mergeCell ref="E58:H58"/>
    <mergeCell ref="E59:H59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4.54296875" style="43" customWidth="1"/>
    <col min="2" max="2" width="15.81640625" style="43" customWidth="1"/>
    <col min="3" max="3" width="21.1796875" style="43" customWidth="1"/>
    <col min="4" max="4" width="18.1796875" style="43" customWidth="1"/>
    <col min="5" max="5" width="21.1796875" style="43" customWidth="1"/>
    <col min="6" max="6" width="18.5429687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25"/>
    </row>
    <row r="2" spans="1:9" ht="34.5" customHeight="1" thickBot="1">
      <c r="A2" s="205"/>
      <c r="B2" s="206"/>
      <c r="C2" s="206"/>
      <c r="D2" s="206"/>
      <c r="E2" s="206"/>
      <c r="F2" s="206"/>
      <c r="G2" s="206"/>
      <c r="H2" s="206"/>
      <c r="I2" s="226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26"/>
    </row>
    <row r="4" spans="1:9" ht="27" customHeight="1" thickBot="1">
      <c r="A4" s="205"/>
      <c r="B4" s="206"/>
      <c r="C4" s="206"/>
      <c r="D4" s="206"/>
      <c r="E4" s="206"/>
      <c r="F4" s="206"/>
      <c r="G4" s="206"/>
      <c r="H4" s="206"/>
      <c r="I4" s="226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26"/>
    </row>
    <row r="39" spans="1:9" ht="14.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26"/>
    </row>
    <row r="40" spans="1:9" ht="15" customHeight="1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26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26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26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26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26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26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6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6"/>
    </row>
    <row r="48" spans="1:9" ht="29.15" customHeight="1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26"/>
    </row>
    <row r="49" spans="1:9" ht="15" customHeight="1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26"/>
    </row>
    <row r="50" spans="1:9" ht="19" customHeight="1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26"/>
    </row>
    <row r="51" spans="1:9" ht="19" customHeight="1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26"/>
    </row>
    <row r="52" spans="1:9" ht="19" customHeight="1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26"/>
    </row>
    <row r="53" spans="1:9" ht="19" customHeight="1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26"/>
    </row>
    <row r="54" spans="1:9" ht="19" customHeight="1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26"/>
    </row>
    <row r="55" spans="1:9" ht="19" customHeight="1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26"/>
    </row>
    <row r="56" spans="1:9" ht="19" customHeight="1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26"/>
    </row>
    <row r="57" spans="1:9" ht="19" customHeight="1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26"/>
    </row>
    <row r="58" spans="1:9" ht="19" customHeight="1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26"/>
    </row>
    <row r="59" spans="1:9" ht="19" customHeight="1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26"/>
    </row>
    <row r="60" spans="1:9" ht="19" customHeight="1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26"/>
    </row>
    <row r="61" spans="1:9" ht="19" customHeight="1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26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26"/>
    </row>
    <row r="63" spans="1:9" ht="19" customHeight="1" thickBot="1">
      <c r="A63" s="173"/>
      <c r="B63" s="174"/>
      <c r="C63" s="161"/>
      <c r="D63" s="162"/>
      <c r="E63" s="163"/>
      <c r="F63" s="164"/>
      <c r="G63" s="164"/>
      <c r="H63" s="164"/>
      <c r="I63" s="226"/>
    </row>
    <row r="64" spans="1:9" ht="14.5" customHeight="1" thickBot="1">
      <c r="A64" s="165"/>
      <c r="B64" s="166"/>
      <c r="C64" s="166"/>
      <c r="D64" s="166"/>
      <c r="E64" s="166"/>
      <c r="F64" s="166"/>
      <c r="G64" s="166"/>
      <c r="H64" s="166"/>
      <c r="I64" s="227"/>
    </row>
  </sheetData>
  <sheetProtection password="C8CD" sheet="1" objects="1" scenarios="1"/>
  <mergeCells count="66">
    <mergeCell ref="E61:H61"/>
    <mergeCell ref="E62:H62"/>
    <mergeCell ref="E63:H63"/>
    <mergeCell ref="C61:D61"/>
    <mergeCell ref="C62:D62"/>
    <mergeCell ref="C63:D63"/>
    <mergeCell ref="E57:H57"/>
    <mergeCell ref="C57:D57"/>
    <mergeCell ref="E58:H58"/>
    <mergeCell ref="E59:H59"/>
    <mergeCell ref="E60:H60"/>
    <mergeCell ref="C58:D58"/>
    <mergeCell ref="C59:D59"/>
    <mergeCell ref="C60:D60"/>
    <mergeCell ref="E52:H52"/>
    <mergeCell ref="E53:H53"/>
    <mergeCell ref="E54:H54"/>
    <mergeCell ref="E55:H55"/>
    <mergeCell ref="E56:H56"/>
    <mergeCell ref="C52:D52"/>
    <mergeCell ref="C53:D53"/>
    <mergeCell ref="C54:D54"/>
    <mergeCell ref="C55:D55"/>
    <mergeCell ref="C56:D56"/>
    <mergeCell ref="E49:H49"/>
    <mergeCell ref="E50:H50"/>
    <mergeCell ref="E51:H51"/>
    <mergeCell ref="C50:D50"/>
    <mergeCell ref="C51:D5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7:D7"/>
    <mergeCell ref="C8:D8"/>
    <mergeCell ref="C9:D9"/>
    <mergeCell ref="C10:D10"/>
    <mergeCell ref="C11:D11"/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81640625" style="43" customWidth="1"/>
    <col min="2" max="2" width="14.453125" style="43" customWidth="1"/>
    <col min="3" max="3" width="20" style="43" customWidth="1"/>
    <col min="4" max="4" width="14.1796875" style="43" customWidth="1"/>
    <col min="5" max="5" width="20.1796875" style="43" customWidth="1"/>
    <col min="6" max="6" width="15.26953125" style="43" customWidth="1"/>
    <col min="7" max="7" width="16.1796875" style="43" customWidth="1"/>
    <col min="8" max="8" width="19.8164062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1.6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4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4.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customHeight="1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C60:D60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E57:H57"/>
    <mergeCell ref="E58:H58"/>
    <mergeCell ref="E59:H59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1796875" style="43" customWidth="1"/>
    <col min="5" max="5" width="20.54296875" style="43" customWidth="1"/>
    <col min="6" max="6" width="22.81640625" style="43" customWidth="1"/>
    <col min="7" max="7" width="21.1796875" style="43" customWidth="1"/>
    <col min="8" max="8" width="19.8164062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25"/>
    </row>
    <row r="2" spans="1:9" ht="15" customHeight="1" thickBot="1">
      <c r="A2" s="205"/>
      <c r="B2" s="206"/>
      <c r="C2" s="206"/>
      <c r="D2" s="206"/>
      <c r="E2" s="206"/>
      <c r="F2" s="206"/>
      <c r="G2" s="206"/>
      <c r="H2" s="206"/>
      <c r="I2" s="226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26"/>
    </row>
    <row r="4" spans="1:9" ht="15" customHeight="1" thickBot="1">
      <c r="A4" s="205"/>
      <c r="B4" s="206"/>
      <c r="C4" s="206"/>
      <c r="D4" s="206"/>
      <c r="E4" s="206"/>
      <c r="F4" s="206"/>
      <c r="G4" s="206"/>
      <c r="H4" s="206"/>
      <c r="I4" s="226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26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26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26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26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26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26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26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26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6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6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26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26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26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26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26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26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26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26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26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26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26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26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26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26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26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26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19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1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228"/>
      <c r="D63" s="229"/>
      <c r="E63" s="230"/>
      <c r="F63" s="231"/>
      <c r="G63" s="231"/>
      <c r="H63" s="231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RowHeight="14.5"/>
  <cols>
    <col min="1" max="1" width="19.81640625" customWidth="1"/>
    <col min="2" max="2" width="15.1796875" customWidth="1"/>
    <col min="3" max="3" width="25.1796875" customWidth="1"/>
    <col min="4" max="4" width="18.81640625" customWidth="1"/>
    <col min="5" max="5" width="17.81640625" customWidth="1"/>
    <col min="6" max="6" width="18.1796875" customWidth="1"/>
    <col min="7" max="7" width="21.7265625" customWidth="1"/>
    <col min="8" max="8" width="22.453125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0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0.5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228"/>
      <c r="D63" s="229"/>
      <c r="E63" s="230"/>
      <c r="F63" s="231"/>
      <c r="G63" s="231"/>
      <c r="H63" s="231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4.6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1.65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228"/>
      <c r="D63" s="229"/>
      <c r="E63" s="230"/>
      <c r="F63" s="231"/>
      <c r="G63" s="231"/>
      <c r="H63" s="231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7.6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1.65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228"/>
      <c r="D63" s="229"/>
      <c r="E63" s="230"/>
      <c r="F63" s="231"/>
      <c r="G63" s="231"/>
      <c r="H63" s="231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E49:H49"/>
    <mergeCell ref="E51:H51"/>
    <mergeCell ref="E52:H52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52:D52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3:D53"/>
    <mergeCell ref="C54:D54"/>
    <mergeCell ref="C55:D55"/>
    <mergeCell ref="C56:D56"/>
    <mergeCell ref="E56:H56"/>
    <mergeCell ref="E53:H53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0" workbookViewId="0">
      <selection activeCell="C39" sqref="C39:C44"/>
    </sheetView>
  </sheetViews>
  <sheetFormatPr defaultColWidth="8.7265625" defaultRowHeight="14.5"/>
  <cols>
    <col min="1" max="1" width="22.81640625" style="43" customWidth="1"/>
    <col min="2" max="2" width="16.1796875" style="43" customWidth="1"/>
    <col min="3" max="3" width="23.81640625" style="43" customWidth="1"/>
    <col min="4" max="4" width="18.26953125" style="43" customWidth="1"/>
    <col min="5" max="5" width="16.81640625" style="43" customWidth="1"/>
    <col min="6" max="6" width="20.54296875" style="43" customWidth="1"/>
    <col min="7" max="7" width="18.81640625" style="43" customWidth="1"/>
    <col min="8" max="8" width="24.5429687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0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2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228"/>
      <c r="D63" s="229"/>
      <c r="E63" s="230"/>
      <c r="F63" s="231"/>
      <c r="G63" s="231"/>
      <c r="H63" s="231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 formatCells="0"/>
  <mergeCells count="66"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53:H53"/>
    <mergeCell ref="E48:H48"/>
    <mergeCell ref="E49:H49"/>
    <mergeCell ref="E54:H54"/>
    <mergeCell ref="E55:H55"/>
    <mergeCell ref="E50:H50"/>
    <mergeCell ref="E51:H51"/>
    <mergeCell ref="E52:H5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E56:H56"/>
    <mergeCell ref="C57:D57"/>
    <mergeCell ref="E57:H57"/>
    <mergeCell ref="C58:D58"/>
    <mergeCell ref="E58:H58"/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11" sqref="D11:G11"/>
    </sheetView>
  </sheetViews>
  <sheetFormatPr defaultRowHeight="14.5"/>
  <cols>
    <col min="3" max="3" width="53" customWidth="1"/>
    <col min="7" max="7" width="47.54296875" customWidth="1"/>
  </cols>
  <sheetData>
    <row r="1" spans="1:7">
      <c r="A1" s="183" t="s">
        <v>57</v>
      </c>
      <c r="B1" s="184"/>
      <c r="C1" s="184"/>
      <c r="D1" s="184"/>
      <c r="E1" s="184"/>
      <c r="F1" s="184"/>
      <c r="G1" s="238"/>
    </row>
    <row r="2" spans="1:7" ht="15" thickBot="1">
      <c r="A2" s="185"/>
      <c r="B2" s="186"/>
      <c r="C2" s="186"/>
      <c r="D2" s="186"/>
      <c r="E2" s="186"/>
      <c r="F2" s="186"/>
      <c r="G2" s="239"/>
    </row>
    <row r="3" spans="1:7" ht="28.5" thickBot="1">
      <c r="A3" s="240" t="s">
        <v>58</v>
      </c>
      <c r="B3" s="241"/>
      <c r="C3" s="242"/>
      <c r="D3" s="240" t="s">
        <v>59</v>
      </c>
      <c r="E3" s="241"/>
      <c r="F3" s="241"/>
      <c r="G3" s="242"/>
    </row>
    <row r="4" spans="1:7" ht="41.5" customHeight="1" thickBot="1">
      <c r="A4" s="232" t="s">
        <v>61</v>
      </c>
      <c r="B4" s="233"/>
      <c r="C4" s="234"/>
      <c r="D4" s="235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44833</v>
      </c>
      <c r="E4" s="236"/>
      <c r="F4" s="236"/>
      <c r="G4" s="237"/>
    </row>
    <row r="5" spans="1:7" ht="37" customHeight="1" thickBot="1">
      <c r="A5" s="232" t="s">
        <v>46</v>
      </c>
      <c r="B5" s="233"/>
      <c r="C5" s="234"/>
      <c r="D5" s="235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620</v>
      </c>
      <c r="E5" s="236"/>
      <c r="F5" s="236"/>
      <c r="G5" s="237"/>
    </row>
    <row r="6" spans="1:7" ht="40" customHeight="1" thickBot="1">
      <c r="A6" s="232" t="s">
        <v>60</v>
      </c>
      <c r="B6" s="233"/>
      <c r="C6" s="234"/>
      <c r="D6" s="235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2637</v>
      </c>
      <c r="E6" s="236"/>
      <c r="F6" s="236"/>
      <c r="G6" s="237"/>
    </row>
    <row r="7" spans="1:7" ht="38.5" customHeight="1" thickBot="1">
      <c r="A7" s="243" t="s">
        <v>63</v>
      </c>
      <c r="B7" s="244"/>
      <c r="C7" s="245"/>
      <c r="D7" s="235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1952</v>
      </c>
      <c r="E7" s="236"/>
      <c r="F7" s="236"/>
      <c r="G7" s="237"/>
    </row>
    <row r="8" spans="1:7" ht="40" customHeight="1" thickBot="1">
      <c r="A8" s="243" t="s">
        <v>64</v>
      </c>
      <c r="B8" s="244"/>
      <c r="C8" s="245"/>
      <c r="D8" s="235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130</v>
      </c>
      <c r="E8" s="236"/>
      <c r="F8" s="236"/>
      <c r="G8" s="237"/>
    </row>
    <row r="9" spans="1:7" ht="38.5" customHeight="1" thickBot="1">
      <c r="A9" s="243" t="s">
        <v>84</v>
      </c>
      <c r="B9" s="244"/>
      <c r="C9" s="245"/>
      <c r="D9" s="235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6"/>
      <c r="F9" s="236"/>
      <c r="G9" s="237"/>
    </row>
    <row r="10" spans="1:7" ht="38.15" customHeight="1" thickBot="1">
      <c r="A10" s="243" t="s">
        <v>84</v>
      </c>
      <c r="B10" s="244"/>
      <c r="C10" s="245"/>
      <c r="D10" s="235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6"/>
      <c r="F10" s="236"/>
      <c r="G10" s="237"/>
    </row>
    <row r="11" spans="1:7" ht="38.5" customHeight="1" thickBot="1">
      <c r="A11" s="243" t="s">
        <v>84</v>
      </c>
      <c r="B11" s="244"/>
      <c r="C11" s="245"/>
      <c r="D11" s="235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6"/>
      <c r="F11" s="236"/>
      <c r="G11" s="237"/>
    </row>
    <row r="12" spans="1:7" ht="36.65" customHeight="1" thickBot="1">
      <c r="A12" s="243" t="s">
        <v>84</v>
      </c>
      <c r="B12" s="244"/>
      <c r="C12" s="245"/>
      <c r="D12" s="235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6"/>
      <c r="F12" s="236"/>
      <c r="G12" s="237"/>
    </row>
    <row r="13" spans="1:7" ht="38.15" customHeight="1" thickBot="1">
      <c r="A13" s="243" t="s">
        <v>84</v>
      </c>
      <c r="B13" s="244"/>
      <c r="C13" s="245"/>
      <c r="D13" s="235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6"/>
      <c r="F13" s="236"/>
      <c r="G13" s="237"/>
    </row>
    <row r="14" spans="1:7" ht="29" thickBot="1">
      <c r="A14" s="243" t="s">
        <v>84</v>
      </c>
      <c r="B14" s="244"/>
      <c r="C14" s="245"/>
      <c r="D14" s="235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6"/>
      <c r="F14" s="236"/>
      <c r="G14" s="237"/>
    </row>
    <row r="15" spans="1:7" ht="29" thickBot="1">
      <c r="A15" s="243" t="s">
        <v>84</v>
      </c>
      <c r="B15" s="244"/>
      <c r="C15" s="245"/>
      <c r="D15" s="235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6"/>
      <c r="F15" s="236"/>
      <c r="G15" s="237"/>
    </row>
    <row r="16" spans="1:7" ht="29" thickBot="1">
      <c r="A16" s="243" t="s">
        <v>84</v>
      </c>
      <c r="B16" s="244"/>
      <c r="C16" s="245"/>
      <c r="D16" s="235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6"/>
      <c r="F16" s="236"/>
      <c r="G16" s="237"/>
    </row>
    <row r="17" spans="1:7" ht="29" thickBot="1">
      <c r="A17" s="243" t="s">
        <v>65</v>
      </c>
      <c r="B17" s="244"/>
      <c r="C17" s="245"/>
      <c r="D17" s="246">
        <f>SUM(D4:D16)</f>
        <v>50172</v>
      </c>
      <c r="E17" s="247"/>
      <c r="F17" s="247"/>
      <c r="G17" s="248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FINACHIAL REPORT</vt:lpstr>
      <vt:lpstr>GASHYUSHYA</vt:lpstr>
      <vt:lpstr>NGOMA</vt:lpstr>
      <vt:lpstr>GISAGARA</vt:lpstr>
      <vt:lpstr>NYAMAGABE</vt:lpstr>
      <vt:lpstr>NGORORERO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2023-12-29T10:10:15Z</dcterms:created>
  <dcterms:modified xsi:type="dcterms:W3CDTF">2026-04-21T11:41:04Z</dcterms:modified>
</cp:coreProperties>
</file>