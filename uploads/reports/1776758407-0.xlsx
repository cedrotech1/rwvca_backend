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<sst xmlns="http://schemas.openxmlformats.org/spreadsheetml/2006/main" count="45" uniqueCount="37">
  <si>
    <t>NAME OF TIMBER</t>
  </si>
  <si>
    <t>TOTAL COST</t>
  </si>
  <si>
    <t>TVA</t>
  </si>
  <si>
    <t>MSF</t>
  </si>
  <si>
    <t>TVA+MSF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</si>
  <si>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</si>
  <si>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</si>
  <si>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</si>
  <si>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</si>
  <si>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</si>
  <si>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</si>
  <si>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</si>
  <si>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</si>
  <si>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</si>
  <si>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</si>
  <si>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</si>
  <si>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</si>
  <si>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</si>
  <si>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</si>
  <si>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</si>
  <si>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</si>
  <si>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</si>
  <si>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</si>
  <si>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</si>
  <si>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</si>
  <si>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</si>
  <si>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</si>
  <si>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</si>
  <si>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</si>
  <si>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</si>
  <si>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</si>
  <si>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IMISAVE</t>
  </si>
  <si>
    <t xml:space="preserve"> </t>
  </si>
  <si>
    <t>RUSIZI QUATARLY REPORT FROM JANUARY UP TO MARCH</t>
  </si>
  <si>
    <t>CYPRESS</t>
  </si>
  <si>
    <t>MADR [CADELEMA]</t>
  </si>
  <si>
    <t>OTHER M S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</si>
</sst>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3" zoomScale="120" zoomScaleNormal="120" workbookViewId="0">
      <selection activeCell="C23" sqref="C23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28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33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22</v>
      </c>
      <c r="C5" s="55" t="s">
        <v>5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18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19</v>
      </c>
      <c r="B7" s="6">
        <v>280</v>
      </c>
      <c r="C7" s="53">
        <v>6000</v>
      </c>
      <c r="D7" s="54"/>
      <c r="E7" s="7">
        <f t="shared" ref="E7:E14" si="3">PRODUCT(B7*C7)</f>
        <v>1680000</v>
      </c>
      <c r="F7" s="7">
        <f t="shared" ref="F7:F22" si="4">PRODUCT(E7*18)/118</f>
        <v>256271.18644067796</v>
      </c>
      <c r="G7" s="7">
        <f>PRODUCT(B7*50)</f>
        <v>14000</v>
      </c>
      <c r="H7" s="8">
        <f t="shared" ref="H7:H14" si="5">SUM(F7:G7)</f>
        <v>270271.18644067796</v>
      </c>
    </row>
    <row r="8" spans="1:8" x14ac:dyDescent="0.25">
      <c r="A8" s="9" t="s">
        <v>23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24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25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26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26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27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27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6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22</v>
      </c>
      <c r="C16" s="14" t="s">
        <v>7</v>
      </c>
      <c r="D16" s="14" t="s">
        <v>3</v>
      </c>
      <c r="E16" s="15" t="s">
        <v>1</v>
      </c>
      <c r="F16" s="15" t="s">
        <v>9</v>
      </c>
      <c r="G16" s="15" t="s">
        <v>3</v>
      </c>
      <c r="H16" s="16" t="s">
        <v>10</v>
      </c>
    </row>
    <row r="17" spans="1:9" x14ac:dyDescent="0.25">
      <c r="A17" s="17" t="s">
        <v>29</v>
      </c>
      <c r="B17" s="18">
        <v>10890</v>
      </c>
      <c r="C17" s="18">
        <v>2124</v>
      </c>
      <c r="D17" s="18">
        <v>40</v>
      </c>
      <c r="E17" s="11">
        <f>PRODUCT(B17*C17)</f>
        <v>23130360</v>
      </c>
      <c r="F17" s="11">
        <f t="shared" si="4"/>
        <v>3528360</v>
      </c>
      <c r="G17" s="11">
        <f>PRODUCT(B17*D17)</f>
        <v>435600</v>
      </c>
      <c r="H17" s="12">
        <f>SUM(F17:G17)</f>
        <v>3963960</v>
      </c>
    </row>
    <row r="18" spans="1:9" x14ac:dyDescent="0.25">
      <c r="A18" s="19" t="s">
        <v>26</v>
      </c>
      <c r="B18" s="20">
        <v>2704</v>
      </c>
      <c r="C18" s="20">
        <v>1357</v>
      </c>
      <c r="D18" s="20">
        <v>30</v>
      </c>
      <c r="E18" s="11">
        <f t="shared" ref="E18:E22" si="6">PRODUCT(B18*C18)</f>
        <v>3669328</v>
      </c>
      <c r="F18" s="11">
        <f t="shared" si="4"/>
        <v>559728</v>
      </c>
      <c r="G18" s="11">
        <f t="shared" ref="G18:G22" si="7">PRODUCT(B18*D18)</f>
        <v>81120</v>
      </c>
      <c r="H18" s="12">
        <f t="shared" ref="H18:H22" si="8">SUM(F18:G18)</f>
        <v>640848</v>
      </c>
    </row>
    <row r="19" spans="1:9" x14ac:dyDescent="0.25">
      <c r="A19" s="21" t="s">
        <v>31</v>
      </c>
      <c r="B19" s="22">
        <v>550</v>
      </c>
      <c r="C19" s="22">
        <v>1500</v>
      </c>
      <c r="D19" s="22">
        <v>40</v>
      </c>
      <c r="E19" s="11">
        <f t="shared" si="6"/>
        <v>825000</v>
      </c>
      <c r="F19" s="11">
        <f t="shared" si="4"/>
        <v>125847.45762711864</v>
      </c>
      <c r="G19" s="11">
        <f t="shared" si="7"/>
        <v>22000</v>
      </c>
      <c r="H19" s="12">
        <f t="shared" si="8"/>
        <v>147847.45762711862</v>
      </c>
    </row>
    <row r="20" spans="1:9" x14ac:dyDescent="0.25">
      <c r="A20" s="21" t="s">
        <v>34</v>
      </c>
      <c r="B20" s="22">
        <v>100</v>
      </c>
      <c r="C20" s="22">
        <v>1000</v>
      </c>
      <c r="D20" s="22">
        <v>40</v>
      </c>
      <c r="E20" s="11">
        <f t="shared" si="6"/>
        <v>100000</v>
      </c>
      <c r="F20" s="11">
        <f t="shared" si="4"/>
        <v>15254.237288135593</v>
      </c>
      <c r="G20" s="11">
        <f t="shared" si="7"/>
        <v>4000</v>
      </c>
      <c r="H20" s="12">
        <f t="shared" si="8"/>
        <v>19254.237288135591</v>
      </c>
    </row>
    <row r="21" spans="1:9" x14ac:dyDescent="0.25">
      <c r="A21" s="21" t="s">
        <v>35</v>
      </c>
      <c r="B21" s="22">
        <v>87</v>
      </c>
      <c r="C21" s="22">
        <v>2500</v>
      </c>
      <c r="D21" s="22">
        <v>40</v>
      </c>
      <c r="E21" s="11">
        <f t="shared" si="6"/>
        <v>217500</v>
      </c>
      <c r="F21" s="11">
        <f t="shared" si="4"/>
        <v>33177.966101694918</v>
      </c>
      <c r="G21" s="11">
        <f t="shared" si="7"/>
        <v>3480</v>
      </c>
      <c r="H21" s="12">
        <f t="shared" si="8"/>
        <v>36657.966101694918</v>
      </c>
    </row>
    <row r="22" spans="1:9" x14ac:dyDescent="0.25">
      <c r="A22" s="21" t="s">
        <v>36</v>
      </c>
      <c r="B22" s="22">
        <v>2727</v>
      </c>
      <c r="C22" s="22"/>
      <c r="D22" s="22">
        <v>100</v>
      </c>
      <c r="E22" s="11">
        <f t="shared" si="6"/>
        <v>0</v>
      </c>
      <c r="F22" s="11">
        <f t="shared" si="4"/>
        <v>0</v>
      </c>
      <c r="G22" s="11">
        <f t="shared" si="7"/>
        <v>272700</v>
      </c>
      <c r="H22" s="12">
        <f t="shared" si="8"/>
        <v>272700</v>
      </c>
    </row>
    <row r="23" spans="1:9" ht="15.75" thickBot="1" x14ac:dyDescent="0.3">
      <c r="A23" s="25" t="s">
        <v>8</v>
      </c>
      <c r="B23" s="26"/>
      <c r="C23" s="26"/>
      <c r="D23" s="26"/>
      <c r="E23" s="27">
        <f>SUM(E6:E22)</f>
        <v>29622188</v>
      </c>
      <c r="F23" s="27">
        <f>SUM(F6:F22)</f>
        <v>4518638.8474576278</v>
      </c>
      <c r="G23" s="27">
        <f>SUM(G6:G22)</f>
        <v>832900</v>
      </c>
      <c r="H23" s="28">
        <f>SUM(F23:G23)</f>
        <v>5351538.8474576278</v>
      </c>
    </row>
    <row r="24" spans="1:9" ht="15.75" thickBot="1" x14ac:dyDescent="0.3">
      <c r="A24" s="57" t="s">
        <v>12</v>
      </c>
      <c r="B24" s="58"/>
      <c r="C24" s="32">
        <v>5351539</v>
      </c>
      <c r="D24" s="30"/>
      <c r="E24" s="65" t="s">
        <v>20</v>
      </c>
      <c r="F24" s="65"/>
      <c r="G24" s="65"/>
      <c r="H24" s="65"/>
      <c r="I24" s="31"/>
    </row>
    <row r="25" spans="1:9" ht="15.75" thickBot="1" x14ac:dyDescent="0.3">
      <c r="A25" s="57" t="s">
        <v>16</v>
      </c>
      <c r="B25" s="58"/>
      <c r="C25" s="33"/>
      <c r="D25" s="64"/>
      <c r="E25" s="66" t="s">
        <v>13</v>
      </c>
      <c r="F25" s="67"/>
      <c r="G25" s="32" t="s">
        <v>14</v>
      </c>
      <c r="H25" s="29" t="s">
        <v>15</v>
      </c>
      <c r="I25" s="31"/>
    </row>
    <row r="26" spans="1:9" ht="15.75" thickBot="1" x14ac:dyDescent="0.3">
      <c r="A26" s="57" t="s">
        <v>21</v>
      </c>
      <c r="B26" s="58"/>
      <c r="C26" s="32"/>
      <c r="D26" s="64"/>
      <c r="E26" s="68" t="s">
        <v>32</v>
      </c>
      <c r="F26" s="69"/>
      <c r="G26" s="35"/>
      <c r="H26" s="36"/>
      <c r="I26" s="31"/>
    </row>
    <row r="27" spans="1:9" ht="15.75" thickBot="1" x14ac:dyDescent="0.3">
      <c r="A27" s="57" t="s">
        <v>17</v>
      </c>
      <c r="B27" s="58"/>
      <c r="C27" s="32" t="s">
        <v>30</v>
      </c>
      <c r="D27" s="64"/>
      <c r="E27" s="70"/>
      <c r="F27" s="71"/>
      <c r="G27" s="34"/>
      <c r="H27" s="37"/>
      <c r="I27" s="31"/>
    </row>
    <row r="28" spans="1:9" x14ac:dyDescent="0.25">
      <c r="B28" s="23" t="s">
        <v>11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2026-04-21T07:14:58Z</dcterms:modified>
</cp:coreProperties>
</file>