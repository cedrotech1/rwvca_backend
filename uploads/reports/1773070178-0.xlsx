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200" windowHeight="6800" tabRatio="965" firstSheet="1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/>
  <c r="D15"/>
  <c r="D14"/>
  <c r="D13"/>
  <c r="D12"/>
  <c r="D11"/>
  <c r="D10"/>
  <c r="D9"/>
  <c r="D8"/>
  <c r="D7"/>
  <c r="D6"/>
  <c r="D5"/>
  <c r="E62" i="24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23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8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7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6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4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3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0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2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22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5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1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9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8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19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7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4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3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2" i="6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61" i="5"/>
  <c r="E60"/>
  <c r="E59"/>
  <c r="E58"/>
  <c r="E57"/>
  <c r="E56"/>
  <c r="E55"/>
  <c r="E54"/>
  <c r="E53"/>
  <c r="E52"/>
  <c r="E51"/>
  <c r="E50"/>
  <c r="E49"/>
  <c r="E62" s="1"/>
  <c r="C45"/>
  <c r="C37" i="1" s="1"/>
  <c r="H36" i="5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G18"/>
  <c r="F18"/>
  <c r="H18" s="1"/>
  <c r="E18"/>
  <c r="H17"/>
  <c r="G17"/>
  <c r="F17"/>
  <c r="E17"/>
  <c r="H14"/>
  <c r="G14"/>
  <c r="F14"/>
  <c r="E14"/>
  <c r="G13"/>
  <c r="F13"/>
  <c r="H13" s="1"/>
  <c r="E13"/>
  <c r="H12"/>
  <c r="G12"/>
  <c r="F12"/>
  <c r="E12"/>
  <c r="G11"/>
  <c r="F11"/>
  <c r="H11" s="1"/>
  <c r="E11"/>
  <c r="G10"/>
  <c r="E10"/>
  <c r="F10" s="1"/>
  <c r="H9"/>
  <c r="G9"/>
  <c r="F9"/>
  <c r="E9"/>
  <c r="H8"/>
  <c r="G8"/>
  <c r="F8"/>
  <c r="E8"/>
  <c r="H7"/>
  <c r="G7"/>
  <c r="F7"/>
  <c r="E7"/>
  <c r="H6"/>
  <c r="G6"/>
  <c r="F6"/>
  <c r="E6"/>
  <c r="E62" i="2"/>
  <c r="E61"/>
  <c r="E60"/>
  <c r="E59"/>
  <c r="E58"/>
  <c r="E57"/>
  <c r="E56"/>
  <c r="E55"/>
  <c r="E54"/>
  <c r="E53"/>
  <c r="E52"/>
  <c r="E51"/>
  <c r="E50"/>
  <c r="E49"/>
  <c r="C45"/>
  <c r="H37"/>
  <c r="G37"/>
  <c r="F37"/>
  <c r="E37"/>
  <c r="H36"/>
  <c r="G36"/>
  <c r="F36"/>
  <c r="E36"/>
  <c r="H35"/>
  <c r="G35"/>
  <c r="F35"/>
  <c r="E35"/>
  <c r="H34"/>
  <c r="G34"/>
  <c r="F34"/>
  <c r="E34"/>
  <c r="H33"/>
  <c r="G33"/>
  <c r="F33"/>
  <c r="E33"/>
  <c r="H32"/>
  <c r="G32"/>
  <c r="F32"/>
  <c r="E32"/>
  <c r="H31"/>
  <c r="G31"/>
  <c r="F31"/>
  <c r="E31"/>
  <c r="H30"/>
  <c r="G30"/>
  <c r="F30"/>
  <c r="E30"/>
  <c r="H29"/>
  <c r="G29"/>
  <c r="F29"/>
  <c r="E29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F28" i="1"/>
  <c r="F27"/>
  <c r="F26"/>
  <c r="J25"/>
  <c r="I25"/>
  <c r="H25"/>
  <c r="G25"/>
  <c r="E25"/>
  <c r="D25"/>
  <c r="C25"/>
  <c r="B25"/>
  <c r="F25" s="1"/>
  <c r="J24"/>
  <c r="I24"/>
  <c r="H24"/>
  <c r="G24"/>
  <c r="E24"/>
  <c r="D24"/>
  <c r="C24"/>
  <c r="B24"/>
  <c r="F24" s="1"/>
  <c r="J23"/>
  <c r="I23"/>
  <c r="H23"/>
  <c r="G23"/>
  <c r="E23"/>
  <c r="D23"/>
  <c r="C23"/>
  <c r="B23"/>
  <c r="F23" s="1"/>
  <c r="J22"/>
  <c r="I22"/>
  <c r="H22"/>
  <c r="G22"/>
  <c r="E22"/>
  <c r="D22"/>
  <c r="C22"/>
  <c r="B22"/>
  <c r="F22" s="1"/>
  <c r="J21"/>
  <c r="I21"/>
  <c r="H21"/>
  <c r="G21"/>
  <c r="E21"/>
  <c r="D21"/>
  <c r="C21"/>
  <c r="B21"/>
  <c r="F21" s="1"/>
  <c r="J20"/>
  <c r="I20"/>
  <c r="H20"/>
  <c r="G20"/>
  <c r="E20"/>
  <c r="D20"/>
  <c r="C20"/>
  <c r="B20"/>
  <c r="F20" s="1"/>
  <c r="J19"/>
  <c r="I19"/>
  <c r="H19"/>
  <c r="G19"/>
  <c r="E19"/>
  <c r="D19"/>
  <c r="C19"/>
  <c r="B19"/>
  <c r="F19" s="1"/>
  <c r="J18"/>
  <c r="I18"/>
  <c r="H18"/>
  <c r="G18"/>
  <c r="E18"/>
  <c r="D18"/>
  <c r="C18"/>
  <c r="B18"/>
  <c r="F18" s="1"/>
  <c r="J17"/>
  <c r="I17"/>
  <c r="H17"/>
  <c r="G17"/>
  <c r="E17"/>
  <c r="D17"/>
  <c r="C17"/>
  <c r="B17"/>
  <c r="F17" s="1"/>
  <c r="J16"/>
  <c r="I16"/>
  <c r="H16"/>
  <c r="G16"/>
  <c r="E16"/>
  <c r="D16"/>
  <c r="C16"/>
  <c r="B16"/>
  <c r="F16" s="1"/>
  <c r="J15"/>
  <c r="I15"/>
  <c r="H15"/>
  <c r="G15"/>
  <c r="E15"/>
  <c r="D15"/>
  <c r="C15"/>
  <c r="B15"/>
  <c r="F15" s="1"/>
  <c r="J14"/>
  <c r="I14"/>
  <c r="H14"/>
  <c r="G14"/>
  <c r="E14"/>
  <c r="D14"/>
  <c r="C14"/>
  <c r="B14"/>
  <c r="F14" s="1"/>
  <c r="J13"/>
  <c r="I13"/>
  <c r="H13"/>
  <c r="G13"/>
  <c r="E13"/>
  <c r="D13"/>
  <c r="C13"/>
  <c r="B13"/>
  <c r="F13" s="1"/>
  <c r="J12"/>
  <c r="I12"/>
  <c r="H12"/>
  <c r="G12"/>
  <c r="E12"/>
  <c r="D12"/>
  <c r="C12"/>
  <c r="B12"/>
  <c r="F12" s="1"/>
  <c r="J11"/>
  <c r="I11"/>
  <c r="H11"/>
  <c r="G11"/>
  <c r="E11"/>
  <c r="D11"/>
  <c r="C11"/>
  <c r="B11"/>
  <c r="F11" s="1"/>
  <c r="J10"/>
  <c r="I10"/>
  <c r="H10"/>
  <c r="G10"/>
  <c r="E10"/>
  <c r="D10"/>
  <c r="C10"/>
  <c r="B10"/>
  <c r="F10" s="1"/>
  <c r="J9"/>
  <c r="I9"/>
  <c r="H9"/>
  <c r="G9"/>
  <c r="E9"/>
  <c r="D9"/>
  <c r="C9"/>
  <c r="B9"/>
  <c r="F9" s="1"/>
  <c r="J8"/>
  <c r="I8"/>
  <c r="H8"/>
  <c r="G8"/>
  <c r="E8"/>
  <c r="D8"/>
  <c r="J7"/>
  <c r="I7"/>
  <c r="H7"/>
  <c r="G7"/>
  <c r="E7"/>
  <c r="D7"/>
  <c r="C7"/>
  <c r="B7"/>
  <c r="F7" s="1"/>
  <c r="J6"/>
  <c r="I6"/>
  <c r="H6"/>
  <c r="G6"/>
  <c r="F6"/>
  <c r="E6"/>
  <c r="D6"/>
  <c r="C6"/>
  <c r="B6"/>
  <c r="J5"/>
  <c r="J29" s="1"/>
  <c r="I5"/>
  <c r="I29" s="1"/>
  <c r="H5"/>
  <c r="G5"/>
  <c r="G29" s="1"/>
  <c r="E5"/>
  <c r="E29" s="1"/>
  <c r="D5"/>
  <c r="D29" s="1"/>
  <c r="C5"/>
  <c r="B5"/>
  <c r="H29" l="1"/>
  <c r="C34" s="1"/>
  <c r="G37" i="5"/>
  <c r="C8" i="1" s="1"/>
  <c r="C29" s="1"/>
  <c r="D4" i="21"/>
  <c r="D17" s="1"/>
  <c r="F37" i="5"/>
  <c r="B8" i="1" s="1"/>
  <c r="H10" i="5"/>
  <c r="H37" s="1"/>
  <c r="E37"/>
  <c r="C35" i="1"/>
  <c r="F5"/>
  <c r="C36" l="1"/>
  <c r="F8"/>
  <c r="F29" s="1"/>
  <c r="C33" s="1"/>
  <c r="B29"/>
  <c r="C32" s="1"/>
</calcChain>
</file>

<file path=xl/sharedStrings.xml><?xml version="1.0" encoding="utf-8"?>
<sst xmlns="http://schemas.openxmlformats.org/spreadsheetml/2006/main" count="1698" uniqueCount="88">
  <si>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</si>
  <si>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</si>
  <si>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</si>
  <si>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</si>
  <si>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</si>
  <si>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</si>
  <si>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</si>
  <si>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</si>
  <si>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</si>
  <si>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</si>
  <si>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</si>
  <si>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</si>
  <si>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</si>
  <si>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</si>
  <si>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</si>
  <si>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</si>
  <si>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</si>
  <si>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</si>
  <si>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</si>
  <si>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</si>
  <si>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</si>
  <si>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</si>
  <si>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</si>
  <si>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</si>
  <si>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</si>
  <si>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</si>
  <si>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</si>
  <si>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</si>
  <si>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</si>
  <si>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</si>
  <si>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</si>
  <si>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</si>
  <si>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</si>
  <si>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</si>
  <si>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</si>
  <si>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</si>
  <si>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</si>
  <si>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</si>
  <si>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</si>
  <si>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</si>
  <si>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</si>
  <si>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</si>
  <si>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</si>
  <si>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</si>
  <si>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</si>
  <si>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</si>
  <si>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</si>
  <si>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</si>
  <si>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</si>
  <si>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</si>
  <si>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</si>
  <si>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</si>
  <si>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</si>
  <si>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</si>
  <si>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</si>
  <si>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</si>
  <si>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</si>
  <si>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</si>
  <si>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</si>
  <si>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</si>
  <si>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</si>
  <si>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</si>
  <si>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</si>
  <si>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</si>
  <si>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</si>
  <si>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</si>
  <si>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</si>
  <si>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</si>
  <si>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</si>
  <si>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</si>
  <si>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</si>
  <si>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</si>
  <si>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</si>
  <si>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</si>
  <si>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</si>
  <si>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</si>
  <si>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</si>
  <si>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</si>
  <si>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</si>
  <si>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</si>
  <si>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</si>
  <si>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</si>
  <si>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</si>
  <si>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</si>
  <si>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</si>
  <si>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>OTHER TYPE OF TIMBER</t>
  </si>
  <si>
    <t>WEEKLY REPORT FROM 02-08/3/2026</t>
  </si>
  <si>
    <t>IBIPANDE BYA PINUS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</si>
</sst>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5" fontId="8" fillId="2" borderId="11" xfId="1" applyNumberFormat="1" applyFont="1" applyFill="1" applyBorder="1" applyProtection="1">
      <protection locked="0"/>
    </xf>
    <xf numFmtId="165" fontId="8" fillId="3" borderId="11" xfId="1" applyNumberFormat="1" applyFont="1" applyFill="1" applyBorder="1" applyProtection="1">
      <protection locked="0"/>
    </xf>
    <xf numFmtId="165" fontId="8" fillId="3" borderId="8" xfId="1" applyNumberFormat="1" applyFont="1" applyFill="1" applyBorder="1" applyProtection="1">
      <protection locked="0"/>
    </xf>
    <xf numFmtId="165" fontId="8" fillId="2" borderId="12" xfId="1" applyNumberFormat="1" applyFont="1" applyFill="1" applyBorder="1" applyProtection="1">
      <protection locked="0"/>
    </xf>
    <xf numFmtId="165" fontId="9" fillId="0" borderId="13" xfId="1" applyNumberFormat="1" applyFont="1" applyBorder="1" applyProtection="1">
      <protection locked="0"/>
    </xf>
    <xf numFmtId="165" fontId="8" fillId="0" borderId="15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hidden="1"/>
    </xf>
    <xf numFmtId="165" fontId="8" fillId="2" borderId="16" xfId="1" applyNumberFormat="1" applyFont="1" applyFill="1" applyBorder="1" applyProtection="1">
      <protection locked="0"/>
    </xf>
    <xf numFmtId="165" fontId="9" fillId="0" borderId="17" xfId="1" applyNumberFormat="1" applyFont="1" applyBorder="1" applyProtection="1">
      <protection locked="0"/>
    </xf>
    <xf numFmtId="165" fontId="8" fillId="0" borderId="19" xfId="1" applyNumberFormat="1" applyFont="1" applyBorder="1" applyProtection="1">
      <protection hidden="1"/>
    </xf>
    <xf numFmtId="165" fontId="8" fillId="0" borderId="18" xfId="1" applyNumberFormat="1" applyFont="1" applyBorder="1" applyProtection="1">
      <protection hidden="1"/>
    </xf>
    <xf numFmtId="165" fontId="10" fillId="2" borderId="16" xfId="1" applyNumberFormat="1" applyFont="1" applyFill="1" applyBorder="1" applyProtection="1">
      <protection locked="0"/>
    </xf>
    <xf numFmtId="165" fontId="11" fillId="2" borderId="16" xfId="1" applyNumberFormat="1" applyFont="1" applyFill="1" applyBorder="1" applyProtection="1">
      <protection locked="0"/>
    </xf>
    <xf numFmtId="165" fontId="8" fillId="2" borderId="11" xfId="1" applyNumberFormat="1" applyFont="1" applyFill="1" applyBorder="1" applyAlignment="1" applyProtection="1">
      <alignment horizontal="center"/>
      <protection locked="0"/>
    </xf>
    <xf numFmtId="165" fontId="8" fillId="0" borderId="11" xfId="1" applyNumberFormat="1" applyFont="1" applyBorder="1" applyAlignment="1" applyProtection="1">
      <alignment horizontal="center"/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8" xfId="1" applyNumberFormat="1" applyFont="1" applyBorder="1" applyProtection="1">
      <protection locked="0"/>
    </xf>
    <xf numFmtId="165" fontId="10" fillId="2" borderId="20" xfId="1" applyNumberFormat="1" applyFont="1" applyFill="1" applyBorder="1" applyAlignment="1" applyProtection="1">
      <alignment horizontal="left"/>
      <protection locked="0"/>
    </xf>
    <xf numFmtId="165" fontId="9" fillId="0" borderId="21" xfId="1" applyNumberFormat="1" applyFont="1" applyBorder="1" applyAlignment="1" applyProtection="1">
      <alignment horizontal="center"/>
      <protection locked="0"/>
    </xf>
    <xf numFmtId="165" fontId="8" fillId="0" borderId="22" xfId="1" applyNumberFormat="1" applyFont="1" applyBorder="1" applyProtection="1">
      <protection hidden="1"/>
    </xf>
    <xf numFmtId="165" fontId="8" fillId="0" borderId="21" xfId="1" applyNumberFormat="1" applyFont="1" applyBorder="1" applyProtection="1">
      <protection hidden="1"/>
    </xf>
    <xf numFmtId="165" fontId="8" fillId="0" borderId="23" xfId="1" applyNumberFormat="1" applyFont="1" applyBorder="1" applyProtection="1">
      <protection hidden="1"/>
    </xf>
    <xf numFmtId="165" fontId="8" fillId="0" borderId="1" xfId="1" applyNumberFormat="1" applyFont="1" applyBorder="1" applyProtection="1">
      <protection hidden="1"/>
    </xf>
    <xf numFmtId="165" fontId="10" fillId="2" borderId="24" xfId="1" applyNumberFormat="1" applyFont="1" applyFill="1" applyBorder="1" applyAlignment="1" applyProtection="1">
      <alignment horizontal="left"/>
      <protection locked="0"/>
    </xf>
    <xf numFmtId="165" fontId="9" fillId="0" borderId="16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Protection="1">
      <protection hidden="1"/>
    </xf>
    <xf numFmtId="165" fontId="8" fillId="0" borderId="16" xfId="1" applyNumberFormat="1" applyFont="1" applyBorder="1" applyProtection="1">
      <protection hidden="1"/>
    </xf>
    <xf numFmtId="165" fontId="8" fillId="0" borderId="1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hidden="1"/>
    </xf>
    <xf numFmtId="165" fontId="10" fillId="2" borderId="24" xfId="1" applyNumberFormat="1" applyFont="1" applyFill="1" applyBorder="1" applyProtection="1">
      <protection locked="0"/>
    </xf>
    <xf numFmtId="165" fontId="9" fillId="0" borderId="16" xfId="1" applyNumberFormat="1" applyFont="1" applyBorder="1" applyProtection="1">
      <protection locked="0"/>
    </xf>
    <xf numFmtId="165" fontId="8" fillId="0" borderId="26" xfId="1" applyNumberFormat="1" applyFont="1" applyBorder="1" applyProtection="1">
      <protection hidden="1"/>
    </xf>
    <xf numFmtId="165" fontId="8" fillId="0" borderId="10" xfId="1" applyNumberFormat="1" applyFont="1" applyBorder="1" applyProtection="1">
      <protection hidden="1"/>
    </xf>
    <xf numFmtId="165" fontId="8" fillId="2" borderId="24" xfId="1" applyNumberFormat="1" applyFont="1" applyFill="1" applyBorder="1" applyProtection="1">
      <protection locked="0"/>
    </xf>
    <xf numFmtId="165" fontId="9" fillId="0" borderId="12" xfId="1" applyNumberFormat="1" applyFont="1" applyBorder="1" applyAlignment="1" applyProtection="1">
      <alignment horizontal="center"/>
      <protection locked="0"/>
    </xf>
    <xf numFmtId="165" fontId="8" fillId="2" borderId="27" xfId="1" applyNumberFormat="1" applyFont="1" applyFill="1" applyBorder="1" applyProtection="1">
      <protection locked="0"/>
    </xf>
    <xf numFmtId="165" fontId="9" fillId="0" borderId="28" xfId="1" applyNumberFormat="1" applyFont="1" applyBorder="1" applyProtection="1">
      <protection locked="0"/>
    </xf>
    <xf numFmtId="165" fontId="8" fillId="0" borderId="29" xfId="1" applyNumberFormat="1" applyFont="1" applyBorder="1" applyProtection="1">
      <protection hidden="1"/>
    </xf>
    <xf numFmtId="165" fontId="8" fillId="0" borderId="28" xfId="1" applyNumberFormat="1" applyFont="1" applyBorder="1" applyProtection="1">
      <protection hidden="1"/>
    </xf>
    <xf numFmtId="165" fontId="8" fillId="0" borderId="30" xfId="1" applyNumberFormat="1" applyFont="1" applyBorder="1" applyProtection="1">
      <protection hidden="1"/>
    </xf>
    <xf numFmtId="165" fontId="8" fillId="0" borderId="4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hidden="1"/>
    </xf>
    <xf numFmtId="165" fontId="9" fillId="0" borderId="31" xfId="1" applyNumberFormat="1" applyFont="1" applyBorder="1" applyProtection="1">
      <protection locked="0"/>
    </xf>
    <xf numFmtId="165" fontId="8" fillId="2" borderId="33" xfId="1" applyNumberFormat="1" applyFont="1" applyFill="1" applyBorder="1" applyAlignment="1" applyProtection="1">
      <alignment vertical="center"/>
      <protection locked="0"/>
    </xf>
    <xf numFmtId="165" fontId="9" fillId="2" borderId="34" xfId="1" applyNumberFormat="1" applyFont="1" applyFill="1" applyBorder="1" applyProtection="1">
      <protection locked="0"/>
    </xf>
    <xf numFmtId="165" fontId="8" fillId="2" borderId="35" xfId="1" applyNumberFormat="1" applyFont="1" applyFill="1" applyBorder="1" applyProtection="1">
      <protection hidden="1"/>
    </xf>
    <xf numFmtId="165" fontId="11" fillId="3" borderId="38" xfId="1" applyNumberFormat="1" applyFont="1" applyFill="1" applyBorder="1" applyProtection="1">
      <protection locked="0"/>
    </xf>
    <xf numFmtId="165" fontId="9" fillId="2" borderId="2" xfId="1" applyNumberFormat="1" applyFont="1" applyFill="1" applyBorder="1" applyProtection="1">
      <protection locked="0"/>
    </xf>
    <xf numFmtId="165" fontId="9" fillId="3" borderId="11" xfId="1" applyNumberFormat="1" applyFont="1" applyFill="1" applyBorder="1" applyProtection="1">
      <protection locked="0"/>
    </xf>
    <xf numFmtId="165" fontId="11" fillId="3" borderId="8" xfId="1" applyNumberFormat="1" applyFont="1" applyFill="1" applyBorder="1" applyProtection="1">
      <protection locked="0"/>
    </xf>
    <xf numFmtId="165" fontId="9" fillId="0" borderId="30" xfId="1" applyNumberFormat="1" applyFont="1" applyBorder="1" applyProtection="1">
      <protection locked="0"/>
    </xf>
    <xf numFmtId="165" fontId="10" fillId="2" borderId="1" xfId="1" applyNumberFormat="1" applyFont="1" applyFill="1" applyBorder="1" applyProtection="1">
      <protection locked="0"/>
    </xf>
    <xf numFmtId="165" fontId="9" fillId="0" borderId="15" xfId="1" applyNumberFormat="1" applyFont="1" applyBorder="1" applyProtection="1">
      <protection locked="0"/>
    </xf>
    <xf numFmtId="165" fontId="9" fillId="0" borderId="14" xfId="1" applyNumberFormat="1" applyFont="1" applyBorder="1" applyProtection="1">
      <protection locked="0"/>
    </xf>
    <xf numFmtId="165" fontId="9" fillId="0" borderId="10" xfId="1" applyNumberFormat="1" applyFont="1" applyBorder="1" applyProtection="1">
      <protection locked="0"/>
    </xf>
    <xf numFmtId="165" fontId="10" fillId="2" borderId="7" xfId="1" applyNumberFormat="1" applyFont="1" applyFill="1" applyBorder="1" applyProtection="1">
      <protection locked="0"/>
    </xf>
    <xf numFmtId="165" fontId="9" fillId="0" borderId="19" xfId="1" applyNumberFormat="1" applyFont="1" applyBorder="1" applyProtection="1">
      <protection locked="0"/>
    </xf>
    <xf numFmtId="165" fontId="9" fillId="0" borderId="18" xfId="1" applyNumberFormat="1" applyFont="1" applyBorder="1" applyProtection="1">
      <protection locked="0"/>
    </xf>
    <xf numFmtId="165" fontId="9" fillId="0" borderId="7" xfId="1" applyNumberFormat="1" applyFont="1" applyBorder="1" applyProtection="1">
      <protection locked="0"/>
    </xf>
    <xf numFmtId="165" fontId="9" fillId="0" borderId="1" xfId="1" applyNumberFormat="1" applyFont="1" applyBorder="1" applyProtection="1">
      <protection locked="0"/>
    </xf>
    <xf numFmtId="165" fontId="10" fillId="2" borderId="11" xfId="1" applyNumberFormat="1" applyFont="1" applyFill="1" applyBorder="1" applyProtection="1">
      <protection locked="0"/>
    </xf>
    <xf numFmtId="165" fontId="9" fillId="0" borderId="9" xfId="1" applyNumberFormat="1" applyFont="1" applyBorder="1" applyAlignment="1" applyProtection="1">
      <protection locked="0"/>
    </xf>
    <xf numFmtId="165" fontId="10" fillId="2" borderId="12" xfId="1" applyNumberFormat="1" applyFont="1" applyFill="1" applyBorder="1" applyProtection="1">
      <protection locked="0"/>
    </xf>
    <xf numFmtId="165" fontId="9" fillId="0" borderId="6" xfId="1" applyNumberFormat="1" applyFont="1" applyBorder="1" applyAlignment="1" applyProtection="1">
      <protection hidden="1"/>
    </xf>
    <xf numFmtId="165" fontId="10" fillId="2" borderId="31" xfId="1" applyNumberFormat="1" applyFont="1" applyFill="1" applyBorder="1" applyAlignment="1" applyProtection="1">
      <protection locked="0"/>
    </xf>
    <xf numFmtId="165" fontId="9" fillId="0" borderId="40" xfId="1" applyNumberFormat="1" applyFont="1" applyBorder="1" applyAlignment="1" applyProtection="1">
      <protection locked="0"/>
    </xf>
    <xf numFmtId="165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5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5" fontId="16" fillId="0" borderId="0" xfId="1" applyNumberFormat="1" applyFont="1" applyProtection="1">
      <protection locked="0"/>
    </xf>
    <xf numFmtId="165" fontId="0" fillId="0" borderId="0" xfId="1" applyNumberFormat="1" applyFont="1" applyProtection="1">
      <protection locked="0"/>
    </xf>
    <xf numFmtId="165" fontId="16" fillId="0" borderId="10" xfId="1" applyNumberFormat="1" applyFont="1" applyBorder="1" applyProtection="1">
      <protection locked="0"/>
    </xf>
    <xf numFmtId="165" fontId="16" fillId="0" borderId="26" xfId="1" applyNumberFormat="1" applyFont="1" applyBorder="1" applyProtection="1">
      <protection locked="0"/>
    </xf>
    <xf numFmtId="165" fontId="16" fillId="2" borderId="1" xfId="1" applyNumberFormat="1" applyFont="1" applyFill="1" applyBorder="1" applyProtection="1">
      <protection locked="0"/>
    </xf>
    <xf numFmtId="165" fontId="16" fillId="6" borderId="1" xfId="1" applyNumberFormat="1" applyFont="1" applyFill="1" applyBorder="1" applyProtection="1">
      <protection locked="0"/>
    </xf>
    <xf numFmtId="165" fontId="16" fillId="6" borderId="23" xfId="1" applyNumberFormat="1" applyFont="1" applyFill="1" applyBorder="1" applyProtection="1">
      <protection locked="0"/>
    </xf>
    <xf numFmtId="165" fontId="16" fillId="6" borderId="3" xfId="1" applyNumberFormat="1" applyFont="1" applyFill="1" applyBorder="1" applyProtection="1">
      <protection locked="0"/>
    </xf>
    <xf numFmtId="165" fontId="16" fillId="6" borderId="11" xfId="1" applyNumberFormat="1" applyFont="1" applyFill="1" applyBorder="1" applyProtection="1">
      <protection locked="0"/>
    </xf>
    <xf numFmtId="165" fontId="16" fillId="2" borderId="20" xfId="1" applyNumberFormat="1" applyFont="1" applyFill="1" applyBorder="1" applyProtection="1">
      <protection locked="0"/>
    </xf>
    <xf numFmtId="165" fontId="16" fillId="0" borderId="20" xfId="1" applyNumberFormat="1" applyFont="1" applyBorder="1" applyProtection="1">
      <protection hidden="1"/>
    </xf>
    <xf numFmtId="165" fontId="16" fillId="0" borderId="21" xfId="1" applyNumberFormat="1" applyFont="1" applyBorder="1" applyProtection="1">
      <protection hidden="1"/>
    </xf>
    <xf numFmtId="165" fontId="16" fillId="0" borderId="11" xfId="1" applyNumberFormat="1" applyFont="1" applyBorder="1" applyProtection="1">
      <protection hidden="1"/>
    </xf>
    <xf numFmtId="165" fontId="16" fillId="2" borderId="24" xfId="1" applyNumberFormat="1" applyFont="1" applyFill="1" applyBorder="1" applyProtection="1">
      <protection locked="0"/>
    </xf>
    <xf numFmtId="165" fontId="16" fillId="0" borderId="24" xfId="1" applyNumberFormat="1" applyFont="1" applyBorder="1" applyProtection="1">
      <protection hidden="1"/>
    </xf>
    <xf numFmtId="165" fontId="16" fillId="0" borderId="16" xfId="1" applyNumberFormat="1" applyFont="1" applyBorder="1" applyProtection="1">
      <protection hidden="1"/>
    </xf>
    <xf numFmtId="165" fontId="16" fillId="0" borderId="31" xfId="1" applyNumberFormat="1" applyFont="1" applyBorder="1" applyProtection="1">
      <protection hidden="1"/>
    </xf>
    <xf numFmtId="165" fontId="0" fillId="2" borderId="24" xfId="1" applyNumberFormat="1" applyFont="1" applyFill="1" applyBorder="1" applyProtection="1">
      <protection locked="0"/>
    </xf>
    <xf numFmtId="165" fontId="16" fillId="0" borderId="24" xfId="1" applyNumberFormat="1" applyFont="1" applyBorder="1" applyProtection="1">
      <protection locked="0"/>
    </xf>
    <xf numFmtId="165" fontId="16" fillId="0" borderId="16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16" xfId="1" applyNumberFormat="1" applyFont="1" applyBorder="1" applyProtection="1">
      <protection locked="0"/>
    </xf>
    <xf numFmtId="165" fontId="0" fillId="2" borderId="32" xfId="1" applyNumberFormat="1" applyFont="1" applyFill="1" applyBorder="1" applyProtection="1">
      <protection locked="0"/>
    </xf>
    <xf numFmtId="165" fontId="16" fillId="0" borderId="32" xfId="1" applyNumberFormat="1" applyFont="1" applyBorder="1" applyProtection="1">
      <protection locked="0"/>
    </xf>
    <xf numFmtId="165" fontId="16" fillId="0" borderId="31" xfId="1" applyNumberFormat="1" applyFont="1" applyBorder="1" applyProtection="1">
      <protection locked="0"/>
    </xf>
    <xf numFmtId="165" fontId="0" fillId="0" borderId="44" xfId="1" applyNumberFormat="1" applyFont="1" applyBorder="1" applyProtection="1">
      <protection locked="0"/>
    </xf>
    <xf numFmtId="165" fontId="0" fillId="0" borderId="31" xfId="1" applyNumberFormat="1" applyFont="1" applyBorder="1" applyProtection="1">
      <protection locked="0"/>
    </xf>
    <xf numFmtId="165" fontId="20" fillId="2" borderId="4" xfId="1" applyNumberFormat="1" applyFont="1" applyFill="1" applyBorder="1" applyProtection="1">
      <protection locked="0"/>
    </xf>
    <xf numFmtId="165" fontId="20" fillId="2" borderId="4" xfId="1" applyNumberFormat="1" applyFont="1" applyFill="1" applyBorder="1" applyProtection="1">
      <protection hidden="1"/>
    </xf>
    <xf numFmtId="165" fontId="20" fillId="2" borderId="30" xfId="1" applyNumberFormat="1" applyFont="1" applyFill="1" applyBorder="1" applyProtection="1">
      <protection hidden="1"/>
    </xf>
    <xf numFmtId="165" fontId="20" fillId="2" borderId="5" xfId="1" applyNumberFormat="1" applyFont="1" applyFill="1" applyBorder="1" applyProtection="1">
      <protection hidden="1"/>
    </xf>
    <xf numFmtId="165" fontId="0" fillId="0" borderId="0" xfId="1" applyNumberFormat="1" applyFont="1" applyBorder="1" applyProtection="1">
      <protection locked="0"/>
    </xf>
    <xf numFmtId="165" fontId="16" fillId="0" borderId="0" xfId="1" applyNumberFormat="1" applyFont="1" applyBorder="1" applyProtection="1">
      <protection locked="0"/>
    </xf>
    <xf numFmtId="165" fontId="25" fillId="6" borderId="2" xfId="1" applyNumberFormat="1" applyFont="1" applyFill="1" applyBorder="1" applyProtection="1">
      <protection locked="0"/>
    </xf>
    <xf numFmtId="165" fontId="0" fillId="2" borderId="26" xfId="1" applyNumberFormat="1" applyFont="1" applyFill="1" applyBorder="1" applyAlignment="1" applyProtection="1">
      <alignment horizontal="center"/>
      <protection locked="0"/>
    </xf>
    <xf numFmtId="165" fontId="16" fillId="6" borderId="0" xfId="1" applyNumberFormat="1" applyFont="1" applyFill="1" applyBorder="1" applyProtection="1">
      <protection locked="0"/>
    </xf>
    <xf numFmtId="165" fontId="16" fillId="0" borderId="47" xfId="1" applyNumberFormat="1" applyFont="1" applyBorder="1" applyProtection="1">
      <protection hidden="1"/>
    </xf>
    <xf numFmtId="165" fontId="16" fillId="0" borderId="48" xfId="1" applyNumberFormat="1" applyFont="1" applyBorder="1" applyProtection="1">
      <protection hidden="1"/>
    </xf>
    <xf numFmtId="165" fontId="0" fillId="0" borderId="48" xfId="1" applyNumberFormat="1" applyFont="1" applyBorder="1" applyProtection="1">
      <protection locked="0"/>
    </xf>
    <xf numFmtId="165" fontId="0" fillId="0" borderId="49" xfId="1" applyNumberFormat="1" applyFont="1" applyBorder="1" applyProtection="1">
      <protection locked="0"/>
    </xf>
    <xf numFmtId="165" fontId="16" fillId="2" borderId="26" xfId="1" applyNumberFormat="1" applyFont="1" applyFill="1" applyBorder="1" applyProtection="1">
      <protection hidden="1"/>
    </xf>
    <xf numFmtId="165" fontId="20" fillId="2" borderId="0" xfId="1" applyNumberFormat="1" applyFont="1" applyFill="1" applyBorder="1" applyProtection="1">
      <protection locked="0"/>
    </xf>
    <xf numFmtId="165" fontId="18" fillId="2" borderId="10" xfId="1" applyNumberFormat="1" applyFont="1" applyFill="1" applyBorder="1" applyAlignment="1" applyProtection="1">
      <alignment horizontal="center"/>
      <protection locked="0"/>
    </xf>
    <xf numFmtId="165" fontId="18" fillId="2" borderId="0" xfId="1" applyNumberFormat="1" applyFont="1" applyFill="1" applyBorder="1" applyAlignment="1" applyProtection="1">
      <alignment horizontal="center"/>
      <protection locked="0"/>
    </xf>
    <xf numFmtId="165" fontId="0" fillId="6" borderId="8" xfId="1" applyNumberFormat="1" applyFont="1" applyFill="1" applyBorder="1" applyAlignment="1" applyProtection="1">
      <alignment horizontal="center"/>
      <protection locked="0"/>
    </xf>
    <xf numFmtId="165" fontId="0" fillId="6" borderId="9" xfId="1" applyNumberFormat="1" applyFont="1" applyFill="1" applyBorder="1" applyAlignment="1" applyProtection="1">
      <alignment horizontal="center"/>
      <protection locked="0"/>
    </xf>
    <xf numFmtId="165" fontId="22" fillId="3" borderId="7" xfId="1" applyNumberFormat="1" applyFont="1" applyFill="1" applyBorder="1" applyAlignment="1" applyProtection="1">
      <alignment horizontal="center"/>
      <protection locked="0"/>
    </xf>
    <xf numFmtId="165" fontId="22" fillId="3" borderId="8" xfId="1" applyNumberFormat="1" applyFont="1" applyFill="1" applyBorder="1" applyAlignment="1" applyProtection="1">
      <alignment horizontal="center"/>
      <protection locked="0"/>
    </xf>
    <xf numFmtId="165" fontId="21" fillId="0" borderId="33" xfId="1" applyNumberFormat="1" applyFont="1" applyBorder="1" applyAlignment="1" applyProtection="1">
      <alignment horizontal="left"/>
      <protection locked="0"/>
    </xf>
    <xf numFmtId="165" fontId="21" fillId="0" borderId="39" xfId="1" applyNumberFormat="1" applyFont="1" applyBorder="1" applyAlignment="1" applyProtection="1">
      <alignment horizontal="left"/>
      <protection locked="0"/>
    </xf>
    <xf numFmtId="165" fontId="0" fillId="0" borderId="1" xfId="1" applyNumberFormat="1" applyFont="1" applyBorder="1" applyAlignment="1" applyProtection="1">
      <alignment horizontal="center"/>
      <protection hidden="1"/>
    </xf>
    <xf numFmtId="165" fontId="0" fillId="0" borderId="2" xfId="1" applyNumberFormat="1" applyFont="1" applyBorder="1" applyAlignment="1" applyProtection="1">
      <alignment horizontal="center"/>
      <protection hidden="1"/>
    </xf>
    <xf numFmtId="165" fontId="0" fillId="0" borderId="7" xfId="1" applyNumberFormat="1" applyFont="1" applyBorder="1" applyAlignment="1" applyProtection="1">
      <alignment horizontal="center"/>
      <protection hidden="1"/>
    </xf>
    <xf numFmtId="165" fontId="0" fillId="0" borderId="8" xfId="1" applyNumberFormat="1" applyFont="1" applyBorder="1" applyAlignment="1" applyProtection="1">
      <alignment horizontal="center"/>
      <protection hidden="1"/>
    </xf>
    <xf numFmtId="165" fontId="21" fillId="0" borderId="7" xfId="1" applyNumberFormat="1" applyFont="1" applyBorder="1" applyAlignment="1" applyProtection="1">
      <alignment horizontal="left"/>
      <protection locked="0"/>
    </xf>
    <xf numFmtId="165" fontId="21" fillId="0" borderId="9" xfId="1" applyNumberFormat="1" applyFont="1" applyBorder="1" applyAlignment="1" applyProtection="1">
      <alignment horizontal="left"/>
      <protection locked="0"/>
    </xf>
    <xf numFmtId="165" fontId="0" fillId="0" borderId="9" xfId="1" applyNumberFormat="1" applyFont="1" applyBorder="1" applyAlignment="1" applyProtection="1">
      <alignment horizontal="center"/>
      <protection hidden="1"/>
    </xf>
    <xf numFmtId="165" fontId="21" fillId="0" borderId="45" xfId="1" applyNumberFormat="1" applyFont="1" applyBorder="1" applyAlignment="1" applyProtection="1">
      <alignment horizontal="center"/>
      <protection locked="0"/>
    </xf>
    <xf numFmtId="165" fontId="21" fillId="0" borderId="46" xfId="1" applyNumberFormat="1" applyFont="1" applyBorder="1" applyAlignment="1" applyProtection="1">
      <alignment horizontal="center"/>
      <protection locked="0"/>
    </xf>
    <xf numFmtId="165" fontId="24" fillId="2" borderId="7" xfId="1" applyNumberFormat="1" applyFont="1" applyFill="1" applyBorder="1" applyAlignment="1" applyProtection="1">
      <alignment horizontal="center"/>
      <protection locked="0"/>
    </xf>
    <xf numFmtId="165" fontId="24" fillId="2" borderId="8" xfId="1" applyNumberFormat="1" applyFont="1" applyFill="1" applyBorder="1" applyAlignment="1" applyProtection="1">
      <alignment horizontal="center"/>
      <protection locked="0"/>
    </xf>
    <xf numFmtId="165" fontId="24" fillId="2" borderId="9" xfId="1" applyNumberFormat="1" applyFont="1" applyFill="1" applyBorder="1" applyAlignment="1" applyProtection="1">
      <alignment horizontal="center"/>
      <protection locked="0"/>
    </xf>
    <xf numFmtId="165" fontId="19" fillId="2" borderId="10" xfId="1" applyNumberFormat="1" applyFont="1" applyFill="1" applyBorder="1" applyAlignment="1" applyProtection="1">
      <alignment horizontal="center" vertical="center"/>
      <protection locked="0"/>
    </xf>
    <xf numFmtId="165" fontId="19" fillId="2" borderId="0" xfId="1" applyNumberFormat="1" applyFont="1" applyFill="1" applyBorder="1" applyAlignment="1" applyProtection="1">
      <alignment horizontal="center" vertical="center"/>
      <protection locked="0"/>
    </xf>
    <xf numFmtId="165" fontId="0" fillId="2" borderId="1" xfId="1" applyNumberFormat="1" applyFont="1" applyFill="1" applyBorder="1" applyAlignment="1" applyProtection="1">
      <alignment horizontal="center"/>
      <protection locked="0"/>
    </xf>
    <xf numFmtId="165" fontId="0" fillId="2" borderId="3" xfId="1" applyNumberFormat="1" applyFont="1" applyFill="1" applyBorder="1" applyAlignment="1" applyProtection="1">
      <alignment horizontal="center"/>
      <protection locked="0"/>
    </xf>
    <xf numFmtId="165" fontId="0" fillId="2" borderId="10" xfId="1" applyNumberFormat="1" applyFont="1" applyFill="1" applyBorder="1" applyAlignment="1" applyProtection="1">
      <alignment horizontal="center"/>
      <protection locked="0"/>
    </xf>
    <xf numFmtId="165" fontId="0" fillId="2" borderId="43" xfId="1" applyNumberFormat="1" applyFont="1" applyFill="1" applyBorder="1" applyAlignment="1" applyProtection="1">
      <alignment horizontal="center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6" xfId="1" applyNumberFormat="1" applyFont="1" applyFill="1" applyBorder="1" applyAlignment="1" applyProtection="1">
      <alignment horizontal="center"/>
      <protection locked="0"/>
    </xf>
    <xf numFmtId="165" fontId="23" fillId="0" borderId="1" xfId="1" applyNumberFormat="1" applyFont="1" applyBorder="1" applyAlignment="1" applyProtection="1">
      <alignment horizontal="left"/>
      <protection locked="0"/>
    </xf>
    <xf numFmtId="165" fontId="23" fillId="0" borderId="2" xfId="1" applyNumberFormat="1" applyFont="1" applyBorder="1" applyAlignment="1" applyProtection="1">
      <alignment horizontal="left"/>
      <protection locked="0"/>
    </xf>
    <xf numFmtId="165" fontId="23" fillId="0" borderId="3" xfId="1" applyNumberFormat="1" applyFont="1" applyBorder="1" applyAlignment="1" applyProtection="1">
      <alignment horizontal="left"/>
      <protection locked="0"/>
    </xf>
    <xf numFmtId="165" fontId="23" fillId="0" borderId="4" xfId="1" applyNumberFormat="1" applyFont="1" applyBorder="1" applyAlignment="1" applyProtection="1">
      <alignment horizontal="left"/>
      <protection locked="0"/>
    </xf>
    <xf numFmtId="165" fontId="23" fillId="0" borderId="5" xfId="1" applyNumberFormat="1" applyFont="1" applyBorder="1" applyAlignment="1" applyProtection="1">
      <alignment horizontal="left"/>
      <protection locked="0"/>
    </xf>
    <xf numFmtId="165" fontId="23" fillId="0" borderId="6" xfId="1" applyNumberFormat="1" applyFont="1" applyBorder="1" applyAlignment="1" applyProtection="1">
      <alignment horizontal="left"/>
      <protection locked="0"/>
    </xf>
    <xf numFmtId="165" fontId="21" fillId="0" borderId="1" xfId="1" applyNumberFormat="1" applyFont="1" applyBorder="1" applyAlignment="1" applyProtection="1">
      <alignment horizontal="left" vertical="top"/>
      <protection locked="0"/>
    </xf>
    <xf numFmtId="165" fontId="21" fillId="0" borderId="2" xfId="1" applyNumberFormat="1" applyFont="1" applyBorder="1" applyAlignment="1" applyProtection="1">
      <alignment horizontal="left" vertical="top"/>
      <protection locked="0"/>
    </xf>
    <xf numFmtId="165" fontId="21" fillId="0" borderId="3" xfId="1" applyNumberFormat="1" applyFont="1" applyBorder="1" applyAlignment="1" applyProtection="1">
      <alignment horizontal="left" vertical="top"/>
      <protection locked="0"/>
    </xf>
    <xf numFmtId="165" fontId="21" fillId="0" borderId="10" xfId="1" applyNumberFormat="1" applyFont="1" applyBorder="1" applyAlignment="1" applyProtection="1">
      <alignment horizontal="left" vertical="top"/>
      <protection locked="0"/>
    </xf>
    <xf numFmtId="165" fontId="21" fillId="0" borderId="0" xfId="1" applyNumberFormat="1" applyFont="1" applyBorder="1" applyAlignment="1" applyProtection="1">
      <alignment horizontal="left" vertical="top"/>
      <protection locked="0"/>
    </xf>
    <xf numFmtId="165" fontId="21" fillId="0" borderId="43" xfId="1" applyNumberFormat="1" applyFont="1" applyBorder="1" applyAlignment="1" applyProtection="1">
      <alignment horizontal="left" vertical="top"/>
      <protection locked="0"/>
    </xf>
    <xf numFmtId="165" fontId="21" fillId="0" borderId="4" xfId="1" applyNumberFormat="1" applyFont="1" applyBorder="1" applyAlignment="1" applyProtection="1">
      <alignment horizontal="left" vertical="top"/>
      <protection locked="0"/>
    </xf>
    <xf numFmtId="165" fontId="21" fillId="0" borderId="5" xfId="1" applyNumberFormat="1" applyFont="1" applyBorder="1" applyAlignment="1" applyProtection="1">
      <alignment horizontal="left" vertical="top"/>
      <protection locked="0"/>
    </xf>
    <xf numFmtId="165" fontId="21" fillId="0" borderId="6" xfId="1" applyNumberFormat="1" applyFont="1" applyBorder="1" applyAlignment="1" applyProtection="1">
      <alignment horizontal="left" vertical="top"/>
      <protection locked="0"/>
    </xf>
    <xf numFmtId="165" fontId="8" fillId="3" borderId="7" xfId="1" applyNumberFormat="1" applyFont="1" applyFill="1" applyBorder="1" applyAlignment="1" applyProtection="1">
      <alignment horizontal="center"/>
      <protection locked="0"/>
    </xf>
    <xf numFmtId="165" fontId="8" fillId="3" borderId="9" xfId="1" applyNumberFormat="1" applyFont="1" applyFill="1" applyBorder="1" applyAlignment="1" applyProtection="1">
      <alignment horizontal="center"/>
      <protection locked="0"/>
    </xf>
    <xf numFmtId="165" fontId="9" fillId="0" borderId="14" xfId="1" applyNumberFormat="1" applyFont="1" applyBorder="1" applyAlignment="1" applyProtection="1">
      <alignment horizontal="center"/>
      <protection locked="0"/>
    </xf>
    <xf numFmtId="165" fontId="9" fillId="0" borderId="13" xfId="1" applyNumberFormat="1" applyFont="1" applyBorder="1" applyAlignment="1" applyProtection="1">
      <alignment horizontal="center"/>
      <protection locked="0"/>
    </xf>
    <xf numFmtId="165" fontId="9" fillId="0" borderId="18" xfId="1" applyNumberFormat="1" applyFont="1" applyBorder="1" applyAlignment="1" applyProtection="1">
      <alignment horizontal="center"/>
      <protection locked="0"/>
    </xf>
    <xf numFmtId="165" fontId="9" fillId="0" borderId="17" xfId="1" applyNumberFormat="1" applyFont="1" applyBorder="1" applyAlignment="1" applyProtection="1">
      <alignment horizontal="center"/>
      <protection locked="0"/>
    </xf>
    <xf numFmtId="165" fontId="12" fillId="3" borderId="7" xfId="1" applyNumberFormat="1" applyFont="1" applyFill="1" applyBorder="1" applyAlignment="1" applyProtection="1">
      <alignment horizontal="center"/>
      <protection locked="0"/>
    </xf>
    <xf numFmtId="165" fontId="12" fillId="3" borderId="8" xfId="1" applyNumberFormat="1" applyFont="1" applyFill="1" applyBorder="1" applyAlignment="1" applyProtection="1">
      <alignment horizontal="center"/>
      <protection locked="0"/>
    </xf>
    <xf numFmtId="165" fontId="10" fillId="3" borderId="36" xfId="1" applyNumberFormat="1" applyFont="1" applyFill="1" applyBorder="1" applyAlignment="1" applyProtection="1">
      <alignment horizontal="center" vertical="center"/>
      <protection locked="0"/>
    </xf>
    <xf numFmtId="165" fontId="8" fillId="3" borderId="37" xfId="1" applyNumberFormat="1" applyFont="1" applyFill="1" applyBorder="1" applyAlignment="1" applyProtection="1">
      <alignment horizontal="center" vertical="center"/>
      <protection locked="0"/>
    </xf>
    <xf numFmtId="165" fontId="9" fillId="3" borderId="33" xfId="1" applyNumberFormat="1" applyFont="1" applyFill="1" applyBorder="1" applyAlignment="1" applyProtection="1">
      <alignment horizontal="center"/>
      <protection locked="0"/>
    </xf>
    <xf numFmtId="165" fontId="9" fillId="3" borderId="39" xfId="1" applyNumberFormat="1" applyFont="1" applyFill="1" applyBorder="1" applyAlignment="1" applyProtection="1">
      <alignment horizontal="center"/>
      <protection locked="0"/>
    </xf>
    <xf numFmtId="165" fontId="8" fillId="0" borderId="4" xfId="1" applyNumberFormat="1" applyFont="1" applyBorder="1" applyAlignment="1" applyProtection="1">
      <alignment horizontal="left"/>
      <protection locked="0"/>
    </xf>
    <xf numFmtId="165" fontId="8" fillId="0" borderId="6" xfId="1" applyNumberFormat="1" applyFont="1" applyBorder="1" applyAlignment="1" applyProtection="1">
      <alignment horizontal="left"/>
      <protection locked="0"/>
    </xf>
    <xf numFmtId="165" fontId="9" fillId="0" borderId="15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left"/>
      <protection locked="0"/>
    </xf>
    <xf numFmtId="165" fontId="8" fillId="0" borderId="9" xfId="1" applyNumberFormat="1" applyFont="1" applyBorder="1" applyAlignment="1" applyProtection="1">
      <alignment horizontal="left"/>
      <protection locked="0"/>
    </xf>
    <xf numFmtId="165" fontId="9" fillId="0" borderId="19" xfId="1" applyNumberFormat="1" applyFont="1" applyBorder="1" applyAlignment="1" applyProtection="1">
      <alignment horizontal="center"/>
      <protection locked="0"/>
    </xf>
    <xf numFmtId="165" fontId="9" fillId="0" borderId="19" xfId="1" applyNumberFormat="1" applyFont="1" applyBorder="1" applyAlignment="1" applyProtection="1">
      <alignment horizontal="left"/>
      <protection locked="0"/>
    </xf>
    <xf numFmtId="165" fontId="8" fillId="0" borderId="1" xfId="1" applyNumberFormat="1" applyFont="1" applyBorder="1" applyAlignment="1" applyProtection="1">
      <alignment horizontal="left"/>
      <protection locked="0"/>
    </xf>
    <xf numFmtId="165" fontId="8" fillId="0" borderId="3" xfId="1" applyNumberFormat="1" applyFont="1" applyBorder="1" applyAlignment="1" applyProtection="1">
      <alignment horizontal="left"/>
      <protection locked="0"/>
    </xf>
    <xf numFmtId="165" fontId="9" fillId="0" borderId="17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9" xfId="1" applyNumberFormat="1" applyFont="1" applyBorder="1" applyAlignment="1" applyProtection="1">
      <alignment horizontal="left"/>
      <protection locked="0"/>
    </xf>
    <xf numFmtId="165" fontId="9" fillId="0" borderId="40" xfId="1" applyNumberFormat="1" applyFont="1" applyBorder="1" applyAlignment="1" applyProtection="1">
      <alignment horizontal="left"/>
      <protection locked="0"/>
    </xf>
    <xf numFmtId="165" fontId="9" fillId="0" borderId="41" xfId="1" applyNumberFormat="1" applyFont="1" applyBorder="1" applyAlignment="1" applyProtection="1">
      <alignment horizontal="left"/>
      <protection locked="0"/>
    </xf>
    <xf numFmtId="165" fontId="10" fillId="2" borderId="7" xfId="1" applyNumberFormat="1" applyFont="1" applyFill="1" applyBorder="1" applyAlignment="1" applyProtection="1">
      <alignment horizontal="center"/>
      <protection locked="0"/>
    </xf>
    <xf numFmtId="165" fontId="8" fillId="2" borderId="9" xfId="1" applyNumberFormat="1" applyFont="1" applyFill="1" applyBorder="1" applyAlignment="1" applyProtection="1">
      <alignment horizontal="center"/>
      <protection locked="0"/>
    </xf>
    <xf numFmtId="165" fontId="13" fillId="2" borderId="8" xfId="1" applyNumberFormat="1" applyFont="1" applyFill="1" applyBorder="1" applyAlignment="1" applyProtection="1">
      <protection locked="0"/>
    </xf>
    <xf numFmtId="165" fontId="13" fillId="2" borderId="9" xfId="1" applyNumberFormat="1" applyFont="1" applyFill="1" applyBorder="1" applyAlignment="1" applyProtection="1">
      <protection locked="0"/>
    </xf>
    <xf numFmtId="165" fontId="13" fillId="2" borderId="7" xfId="1" applyNumberFormat="1" applyFont="1" applyFill="1" applyBorder="1" applyAlignment="1" applyProtection="1">
      <alignment horizontal="center"/>
      <protection locked="0"/>
    </xf>
    <xf numFmtId="165" fontId="13" fillId="2" borderId="8" xfId="1" applyNumberFormat="1" applyFont="1" applyFill="1" applyBorder="1" applyAlignment="1" applyProtection="1">
      <alignment horizontal="center"/>
      <protection locked="0"/>
    </xf>
    <xf numFmtId="165" fontId="15" fillId="2" borderId="8" xfId="1" applyNumberFormat="1" applyFont="1" applyFill="1" applyBorder="1" applyAlignment="1" applyProtection="1">
      <protection locked="0"/>
    </xf>
    <xf numFmtId="165" fontId="15" fillId="2" borderId="9" xfId="1" applyNumberFormat="1" applyFont="1" applyFill="1" applyBorder="1" applyAlignment="1" applyProtection="1">
      <protection locked="0"/>
    </xf>
    <xf numFmtId="165" fontId="15" fillId="0" borderId="7" xfId="1" applyNumberFormat="1" applyFont="1" applyBorder="1" applyAlignment="1" applyProtection="1">
      <alignment horizontal="center"/>
      <protection hidden="1"/>
    </xf>
    <xf numFmtId="165" fontId="15" fillId="0" borderId="8" xfId="1" applyNumberFormat="1" applyFont="1" applyBorder="1" applyAlignment="1" applyProtection="1">
      <alignment horizontal="center"/>
      <protection hidden="1"/>
    </xf>
    <xf numFmtId="165" fontId="16" fillId="2" borderId="8" xfId="1" applyNumberFormat="1" applyFont="1" applyFill="1" applyBorder="1" applyAlignment="1" applyProtection="1">
      <protection locked="0"/>
    </xf>
    <xf numFmtId="165" fontId="16" fillId="2" borderId="9" xfId="1" applyNumberFormat="1" applyFont="1" applyFill="1" applyBorder="1" applyAlignment="1" applyProtection="1">
      <protection locked="0"/>
    </xf>
    <xf numFmtId="165" fontId="16" fillId="0" borderId="7" xfId="1" applyNumberFormat="1" applyFont="1" applyBorder="1" applyAlignment="1" applyProtection="1">
      <alignment horizontal="center"/>
      <protection hidden="1"/>
    </xf>
    <xf numFmtId="165" fontId="16" fillId="0" borderId="8" xfId="1" applyNumberFormat="1" applyFont="1" applyBorder="1" applyAlignment="1" applyProtection="1">
      <alignment horizontal="center"/>
      <protection hidden="1"/>
    </xf>
    <xf numFmtId="165" fontId="17" fillId="0" borderId="7" xfId="1" applyNumberFormat="1" applyFont="1" applyBorder="1" applyAlignment="1" applyProtection="1">
      <alignment horizontal="center" vertical="center"/>
      <protection hidden="1"/>
    </xf>
    <xf numFmtId="165" fontId="17" fillId="0" borderId="8" xfId="1" applyNumberFormat="1" applyFont="1" applyBorder="1" applyAlignment="1" applyProtection="1">
      <alignment horizontal="center" vertical="center"/>
      <protection hidden="1"/>
    </xf>
    <xf numFmtId="165" fontId="16" fillId="2" borderId="2" xfId="1" applyNumberFormat="1" applyFont="1" applyFill="1" applyBorder="1" applyAlignment="1" applyProtection="1">
      <protection locked="0"/>
    </xf>
    <xf numFmtId="165" fontId="16" fillId="2" borderId="3" xfId="1" applyNumberFormat="1" applyFont="1" applyFill="1" applyBorder="1" applyAlignment="1" applyProtection="1">
      <protection locked="0"/>
    </xf>
    <xf numFmtId="165" fontId="0" fillId="0" borderId="1" xfId="1" applyNumberFormat="1" applyFont="1" applyBorder="1" applyAlignment="1" applyProtection="1">
      <alignment horizontal="center"/>
      <protection locked="0"/>
    </xf>
    <xf numFmtId="165" fontId="0" fillId="0" borderId="2" xfId="1" applyNumberFormat="1" applyFont="1" applyBorder="1" applyAlignment="1" applyProtection="1">
      <alignment horizontal="center"/>
      <protection locked="0"/>
    </xf>
    <xf numFmtId="165" fontId="8" fillId="2" borderId="7" xfId="1" applyNumberFormat="1" applyFont="1" applyFill="1" applyBorder="1" applyAlignment="1" applyProtection="1">
      <alignment horizontal="center"/>
      <protection locked="0"/>
    </xf>
    <xf numFmtId="165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5" fontId="14" fillId="4" borderId="1" xfId="1" applyNumberFormat="1" applyFont="1" applyFill="1" applyBorder="1" applyAlignment="1" applyProtection="1">
      <alignment horizontal="left" vertical="top" wrapText="1"/>
      <protection locked="0"/>
    </xf>
    <xf numFmtId="165" fontId="14" fillId="4" borderId="3" xfId="1" applyNumberFormat="1" applyFont="1" applyFill="1" applyBorder="1" applyAlignment="1" applyProtection="1">
      <alignment horizontal="left" vertical="top" wrapText="1"/>
      <protection locked="0"/>
    </xf>
    <xf numFmtId="165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5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5" fontId="14" fillId="4" borderId="4" xfId="1" applyNumberFormat="1" applyFont="1" applyFill="1" applyBorder="1" applyAlignment="1" applyProtection="1">
      <alignment horizontal="left" vertical="top" wrapText="1"/>
      <protection locked="0"/>
    </xf>
    <xf numFmtId="165" fontId="14" fillId="4" borderId="6" xfId="1" applyNumberFormat="1" applyFont="1" applyFill="1" applyBorder="1" applyAlignment="1" applyProtection="1">
      <alignment horizontal="left" vertical="top" wrapText="1"/>
      <protection locked="0"/>
    </xf>
    <xf numFmtId="165" fontId="7" fillId="2" borderId="1" xfId="1" applyNumberFormat="1" applyFont="1" applyFill="1" applyBorder="1" applyAlignment="1" applyProtection="1">
      <alignment horizontal="center"/>
      <protection locked="0"/>
    </xf>
    <xf numFmtId="165" fontId="7" fillId="2" borderId="2" xfId="1" applyNumberFormat="1" applyFont="1" applyFill="1" applyBorder="1" applyAlignment="1" applyProtection="1">
      <alignment horizontal="center"/>
      <protection locked="0"/>
    </xf>
    <xf numFmtId="165" fontId="7" fillId="2" borderId="4" xfId="1" applyNumberFormat="1" applyFont="1" applyFill="1" applyBorder="1" applyAlignment="1" applyProtection="1">
      <alignment horizontal="center"/>
      <protection locked="0"/>
    </xf>
    <xf numFmtId="165" fontId="7" fillId="2" borderId="5" xfId="1" applyNumberFormat="1" applyFont="1" applyFill="1" applyBorder="1" applyAlignment="1" applyProtection="1">
      <alignment horizontal="center"/>
      <protection locked="0"/>
    </xf>
    <xf numFmtId="165" fontId="7" fillId="2" borderId="10" xfId="1" applyNumberFormat="1" applyFont="1" applyFill="1" applyBorder="1" applyAlignment="1" applyProtection="1">
      <alignment horizontal="center"/>
      <protection locked="0"/>
    </xf>
    <xf numFmtId="165" fontId="7" fillId="2" borderId="0" xfId="1" applyNumberFormat="1" applyFont="1" applyFill="1" applyAlignment="1" applyProtection="1">
      <alignment horizontal="center"/>
      <protection locked="0"/>
    </xf>
    <xf numFmtId="165" fontId="7" fillId="2" borderId="0" xfId="1" applyNumberFormat="1" applyFont="1" applyFill="1" applyBorder="1" applyAlignment="1" applyProtection="1">
      <alignment horizontal="center"/>
      <protection locked="0"/>
    </xf>
    <xf numFmtId="165" fontId="1" fillId="0" borderId="1" xfId="1" applyNumberFormat="1" applyFont="1" applyBorder="1" applyAlignment="1" applyProtection="1">
      <alignment horizontal="center"/>
      <protection locked="0"/>
    </xf>
    <xf numFmtId="165" fontId="1" fillId="0" borderId="2" xfId="1" applyNumberFormat="1" applyFont="1" applyBorder="1" applyAlignment="1" applyProtection="1">
      <alignment horizontal="center"/>
      <protection locked="0"/>
    </xf>
    <xf numFmtId="165" fontId="1" fillId="0" borderId="4" xfId="1" applyNumberFormat="1" applyFont="1" applyBorder="1" applyAlignment="1" applyProtection="1">
      <alignment horizontal="center"/>
      <protection locked="0"/>
    </xf>
    <xf numFmtId="165" fontId="1" fillId="0" borderId="5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5" fontId="16" fillId="2" borderId="2" xfId="1" applyNumberFormat="1" applyFont="1" applyFill="1" applyBorder="1" applyAlignment="1"/>
    <xf numFmtId="165" fontId="16" fillId="2" borderId="3" xfId="1" applyNumberFormat="1" applyFont="1" applyFill="1" applyBorder="1" applyAlignment="1"/>
    <xf numFmtId="165" fontId="0" fillId="0" borderId="1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2" fillId="2" borderId="7" xfId="1" applyNumberFormat="1" applyFont="1" applyFill="1" applyBorder="1" applyAlignment="1" applyProtection="1">
      <alignment horizontal="center"/>
      <protection locked="0"/>
    </xf>
    <xf numFmtId="165" fontId="2" fillId="2" borderId="8" xfId="1" applyNumberFormat="1" applyFont="1" applyFill="1" applyBorder="1" applyAlignment="1" applyProtection="1">
      <alignment horizontal="center"/>
      <protection locked="0"/>
    </xf>
    <xf numFmtId="165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5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5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5" fontId="1" fillId="0" borderId="3" xfId="1" applyNumberFormat="1" applyFont="1" applyBorder="1" applyAlignment="1" applyProtection="1">
      <alignment horizontal="center"/>
      <protection locked="0"/>
    </xf>
    <xf numFmtId="165" fontId="1" fillId="0" borderId="6" xfId="1" applyNumberFormat="1" applyFont="1" applyBorder="1" applyAlignment="1" applyProtection="1">
      <alignment horizontal="center"/>
      <protection locked="0"/>
    </xf>
    <xf numFmtId="165" fontId="8" fillId="2" borderId="24" xfId="1" applyNumberFormat="1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03"/>
      <c r="M1" s="103"/>
      <c r="N1" s="103"/>
    </row>
    <row r="2" spans="1:15" ht="31" customHeight="1">
      <c r="A2" s="134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03"/>
      <c r="M2" s="103"/>
      <c r="N2" s="103"/>
    </row>
    <row r="3" spans="1:15" ht="15" customHeigh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994362.71186440683</v>
      </c>
      <c r="C8" s="87">
        <f>BISHENYI!G37</f>
        <v>86600</v>
      </c>
      <c r="D8" s="87">
        <f>BISHENYI!C43</f>
        <v>0</v>
      </c>
      <c r="E8" s="87">
        <f>BISHENYI!C44</f>
        <v>0</v>
      </c>
      <c r="F8" s="84">
        <f t="shared" si="0"/>
        <v>1080962.7118644067</v>
      </c>
      <c r="G8" s="86">
        <f>BISHENYI!C41</f>
        <v>0</v>
      </c>
      <c r="H8" s="87">
        <f>BISHENYI!C39</f>
        <v>1080963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1962900</v>
      </c>
      <c r="C25" s="87">
        <f>GASHYUSHYA!G37</f>
        <v>256750</v>
      </c>
      <c r="D25" s="87">
        <f>GASHYUSHYA!C43</f>
        <v>0</v>
      </c>
      <c r="E25" s="87">
        <f>GASHYUSHYA!C44</f>
        <v>0</v>
      </c>
      <c r="F25" s="84">
        <f t="shared" si="0"/>
        <v>2219650</v>
      </c>
      <c r="G25" s="87">
        <f>GASHYUSHYA!C41</f>
        <v>0</v>
      </c>
      <c r="H25" s="88">
        <f>GASHYUSHYA!C39</f>
        <v>0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2957262.7118644067</v>
      </c>
      <c r="C29" s="101">
        <f t="shared" si="1"/>
        <v>343350</v>
      </c>
      <c r="D29" s="102">
        <f t="shared" si="1"/>
        <v>0</v>
      </c>
      <c r="E29" s="101">
        <f t="shared" si="1"/>
        <v>0</v>
      </c>
      <c r="F29" s="101">
        <f t="shared" si="1"/>
        <v>3300612.7118644067</v>
      </c>
      <c r="G29" s="102">
        <f t="shared" si="1"/>
        <v>0</v>
      </c>
      <c r="H29" s="102">
        <f t="shared" si="1"/>
        <v>1080963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16"/>
      <c r="B30" s="116"/>
      <c r="C30" s="116"/>
      <c r="D30" s="117"/>
      <c r="E30" s="148" t="s">
        <v>33</v>
      </c>
      <c r="F30" s="149"/>
      <c r="G30" s="149"/>
      <c r="H30" s="149"/>
      <c r="I30" s="150"/>
      <c r="J30" s="136"/>
      <c r="K30" s="137"/>
      <c r="L30" s="103"/>
    </row>
    <row r="31" spans="1:15">
      <c r="A31" s="118" t="s">
        <v>34</v>
      </c>
      <c r="B31" s="119"/>
      <c r="C31" s="119"/>
      <c r="D31" s="119"/>
      <c r="E31" s="151"/>
      <c r="F31" s="152"/>
      <c r="G31" s="152"/>
      <c r="H31" s="152"/>
      <c r="I31" s="153"/>
      <c r="J31" s="138"/>
      <c r="K31" s="139"/>
      <c r="L31" s="103"/>
    </row>
    <row r="32" spans="1:15" ht="14.5">
      <c r="A32" s="120" t="s">
        <v>35</v>
      </c>
      <c r="B32" s="121"/>
      <c r="C32" s="122">
        <f>SUM(B29+C29)</f>
        <v>3300612.7118644067</v>
      </c>
      <c r="D32" s="123"/>
      <c r="E32" s="151"/>
      <c r="F32" s="152"/>
      <c r="G32" s="152"/>
      <c r="H32" s="152"/>
      <c r="I32" s="153"/>
      <c r="J32" s="138"/>
      <c r="K32" s="139"/>
      <c r="L32" s="103"/>
    </row>
    <row r="33" spans="1:12" ht="14.5">
      <c r="A33" s="120" t="s">
        <v>36</v>
      </c>
      <c r="B33" s="121"/>
      <c r="C33" s="124">
        <f>SUM(F29,G29)</f>
        <v>3300612.7118644067</v>
      </c>
      <c r="D33" s="125"/>
      <c r="E33" s="151"/>
      <c r="F33" s="152"/>
      <c r="G33" s="152"/>
      <c r="H33" s="152"/>
      <c r="I33" s="153"/>
      <c r="J33" s="138"/>
      <c r="K33" s="139"/>
      <c r="L33" s="103"/>
    </row>
    <row r="34" spans="1:12" ht="14.5">
      <c r="A34" s="126" t="s">
        <v>37</v>
      </c>
      <c r="B34" s="127"/>
      <c r="C34" s="124">
        <f>SUM(H29,J29,I29+G29)</f>
        <v>1080963</v>
      </c>
      <c r="D34" s="128"/>
      <c r="E34" s="151"/>
      <c r="F34" s="152"/>
      <c r="G34" s="152"/>
      <c r="H34" s="152"/>
      <c r="I34" s="153"/>
      <c r="J34" s="138"/>
      <c r="K34" s="139"/>
      <c r="L34" s="103"/>
    </row>
    <row r="35" spans="1:12" ht="14.5">
      <c r="A35" s="120" t="s">
        <v>38</v>
      </c>
      <c r="B35" s="121"/>
      <c r="C35" s="124">
        <f>SUM(D29:E29)</f>
        <v>0</v>
      </c>
      <c r="D35" s="128"/>
      <c r="E35" s="154"/>
      <c r="F35" s="155"/>
      <c r="G35" s="155"/>
      <c r="H35" s="155"/>
      <c r="I35" s="156"/>
      <c r="J35" s="138"/>
      <c r="K35" s="139"/>
      <c r="L35" s="103"/>
    </row>
    <row r="36" spans="1:12" ht="14.5">
      <c r="A36" s="120" t="s">
        <v>39</v>
      </c>
      <c r="B36" s="121"/>
      <c r="C36" s="124">
        <f>SUM(H29+I29+J29+C35)</f>
        <v>1080963</v>
      </c>
      <c r="D36" s="128"/>
      <c r="E36" s="142" t="s">
        <v>40</v>
      </c>
      <c r="F36" s="143"/>
      <c r="G36" s="143"/>
      <c r="H36" s="143"/>
      <c r="I36" s="144"/>
      <c r="J36" s="138"/>
      <c r="K36" s="139"/>
      <c r="L36" s="103"/>
    </row>
    <row r="37" spans="1:12" ht="14.5">
      <c r="A37" s="129" t="s">
        <v>41</v>
      </c>
      <c r="B37" s="130"/>
      <c r="C37" s="124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1080963</v>
      </c>
      <c r="D37" s="128"/>
      <c r="E37" s="145"/>
      <c r="F37" s="146"/>
      <c r="G37" s="146"/>
      <c r="H37" s="146"/>
      <c r="I37" s="147"/>
      <c r="J37" s="138"/>
      <c r="K37" s="139"/>
      <c r="L37" s="103"/>
    </row>
    <row r="38" spans="1:12" ht="26">
      <c r="A38" s="131" t="s">
        <v>42</v>
      </c>
      <c r="B38" s="132"/>
      <c r="C38" s="132"/>
      <c r="D38" s="132"/>
      <c r="E38" s="132"/>
      <c r="F38" s="132"/>
      <c r="G38" s="132"/>
      <c r="H38" s="132"/>
      <c r="I38" s="133"/>
      <c r="J38" s="140"/>
      <c r="K38" s="141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36:B36"/>
    <mergeCell ref="C36:D36"/>
    <mergeCell ref="A37:B37"/>
    <mergeCell ref="C37:D37"/>
    <mergeCell ref="A38:I38"/>
    <mergeCell ref="E36:I37"/>
    <mergeCell ref="A33:B33"/>
    <mergeCell ref="C33:D33"/>
    <mergeCell ref="A34:B34"/>
    <mergeCell ref="C34:D34"/>
    <mergeCell ref="A35:B35"/>
    <mergeCell ref="C35:D35"/>
    <mergeCell ref="A1:K1"/>
    <mergeCell ref="A30:D30"/>
    <mergeCell ref="A31:D31"/>
    <mergeCell ref="A32:B32"/>
    <mergeCell ref="C32:D32"/>
    <mergeCell ref="A2:K3"/>
    <mergeCell ref="J30:K38"/>
    <mergeCell ref="E30:I3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6.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8.5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s="71" customFormat="1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9.5" customHeight="1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 ht="20.5" customHeight="1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" customHeight="1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22" customHeight="1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22.5" customHeight="1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24.5" customHeight="1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22" customHeight="1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22" customHeight="1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22" customHeight="1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22" customHeight="1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3" workbookViewId="0">
      <selection activeCell="E28" sqref="E28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25"/>
    </row>
    <row r="2" spans="1:9" ht="24" customHeight="1">
      <c r="A2" s="216"/>
      <c r="B2" s="217"/>
      <c r="C2" s="217"/>
      <c r="D2" s="217"/>
      <c r="E2" s="217"/>
      <c r="F2" s="217"/>
      <c r="G2" s="217"/>
      <c r="H2" s="217"/>
      <c r="I2" s="226"/>
    </row>
    <row r="3" spans="1:9" ht="14.5" customHeight="1">
      <c r="A3" s="218" t="s">
        <v>86</v>
      </c>
      <c r="B3" s="219"/>
      <c r="C3" s="219"/>
      <c r="D3" s="219"/>
      <c r="E3" s="219"/>
      <c r="F3" s="219"/>
      <c r="G3" s="219"/>
      <c r="H3" s="220"/>
      <c r="I3" s="226"/>
    </row>
    <row r="4" spans="1:9" ht="23" customHeight="1">
      <c r="A4" s="216"/>
      <c r="B4" s="217"/>
      <c r="C4" s="217"/>
      <c r="D4" s="217"/>
      <c r="E4" s="217"/>
      <c r="F4" s="217"/>
      <c r="G4" s="217"/>
      <c r="H4" s="217"/>
      <c r="I4" s="22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2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6"/>
    </row>
    <row r="11" spans="1:9">
      <c r="A11" s="12" t="s">
        <v>56</v>
      </c>
      <c r="B11" s="9">
        <v>2570</v>
      </c>
      <c r="C11" s="161">
        <v>2360</v>
      </c>
      <c r="D11" s="162"/>
      <c r="E11" s="10">
        <f t="shared" si="0"/>
        <v>6065200</v>
      </c>
      <c r="F11" s="10">
        <f t="shared" si="1"/>
        <v>925200</v>
      </c>
      <c r="G11" s="10">
        <f>PRODUCT(B11*30)</f>
        <v>77100</v>
      </c>
      <c r="H11" s="11">
        <f t="shared" si="2"/>
        <v>1002300</v>
      </c>
      <c r="I11" s="22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6"/>
    </row>
    <row r="13" spans="1:9">
      <c r="A13" s="12" t="s">
        <v>57</v>
      </c>
      <c r="B13" s="9">
        <v>100</v>
      </c>
      <c r="C13" s="161">
        <v>1534</v>
      </c>
      <c r="D13" s="162"/>
      <c r="E13" s="10">
        <f t="shared" si="0"/>
        <v>153400</v>
      </c>
      <c r="F13" s="10">
        <f t="shared" si="1"/>
        <v>23400</v>
      </c>
      <c r="G13" s="10">
        <f>PRODUCT(B13*20)</f>
        <v>2000</v>
      </c>
      <c r="H13" s="11">
        <f t="shared" si="2"/>
        <v>25400</v>
      </c>
      <c r="I13" s="22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6"/>
    </row>
    <row r="18" spans="1:9">
      <c r="A18" s="249" t="s">
        <v>87</v>
      </c>
      <c r="B18" s="25">
        <v>150</v>
      </c>
      <c r="C18" s="25">
        <v>2000</v>
      </c>
      <c r="D18" s="25">
        <v>50</v>
      </c>
      <c r="E18" s="26">
        <f t="shared" ref="E18:E23" si="4">PRODUCT(B18*C18)</f>
        <v>300000</v>
      </c>
      <c r="F18" s="27">
        <f t="shared" si="3"/>
        <v>45762.711864406781</v>
      </c>
      <c r="G18" s="28">
        <f t="shared" ref="G18:G23" si="5">PRODUCT(B18*D18)</f>
        <v>7500</v>
      </c>
      <c r="H18" s="29">
        <f t="shared" ref="H18:H23" si="6">SUM(F18:G18)</f>
        <v>53262.711864406781</v>
      </c>
      <c r="I18" s="22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6518600</v>
      </c>
      <c r="F37" s="47">
        <f>SUM(F5:F36)</f>
        <v>994362.71186440683</v>
      </c>
      <c r="G37" s="47">
        <f t="shared" ref="G37:H37" si="10">SUM(G5:G36)</f>
        <v>86600</v>
      </c>
      <c r="H37" s="47">
        <f t="shared" si="10"/>
        <v>1080962.7118644067</v>
      </c>
      <c r="I37" s="22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5" customHeight="1">
      <c r="A39" s="169" t="s">
        <v>70</v>
      </c>
      <c r="B39" s="170"/>
      <c r="C39" s="52">
        <v>1080963</v>
      </c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26"/>
    </row>
    <row r="45" spans="1:9">
      <c r="A45" s="179" t="s">
        <v>76</v>
      </c>
      <c r="B45" s="180"/>
      <c r="C45" s="65">
        <f>SUM(C39+C40+C41+C42+C43+C44)</f>
        <v>1080963</v>
      </c>
      <c r="D45" s="66"/>
      <c r="E45" s="181"/>
      <c r="F45" s="182"/>
      <c r="G45" s="67"/>
      <c r="H45" s="68"/>
      <c r="I45" s="226"/>
    </row>
    <row r="46" spans="1:9" ht="14.5" customHeight="1">
      <c r="A46" s="221" t="s">
        <v>77</v>
      </c>
      <c r="B46" s="222"/>
      <c r="C46" s="222"/>
      <c r="D46" s="222"/>
      <c r="E46" s="222"/>
      <c r="F46" s="222"/>
      <c r="G46" s="222"/>
      <c r="H46" s="222"/>
      <c r="I46" s="226"/>
    </row>
    <row r="47" spans="1:9" ht="15" customHeight="1">
      <c r="A47" s="223"/>
      <c r="B47" s="224"/>
      <c r="C47" s="224"/>
      <c r="D47" s="224"/>
      <c r="E47" s="224"/>
      <c r="F47" s="224"/>
      <c r="G47" s="224"/>
      <c r="H47" s="224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2570</v>
      </c>
      <c r="F49" s="192"/>
      <c r="G49" s="192"/>
      <c r="H49" s="192"/>
      <c r="I49" s="22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100</v>
      </c>
      <c r="F51" s="192"/>
      <c r="G51" s="192"/>
      <c r="H51" s="192"/>
      <c r="I51" s="226"/>
    </row>
    <row r="52" spans="1:9" ht="18.5">
      <c r="A52" s="210"/>
      <c r="B52" s="211"/>
      <c r="C52" s="193" t="s">
        <v>62</v>
      </c>
      <c r="D52" s="194"/>
      <c r="E52" s="195">
        <f>SUM(B17:B18)</f>
        <v>150</v>
      </c>
      <c r="F52" s="196"/>
      <c r="G52" s="196"/>
      <c r="H52" s="196"/>
      <c r="I52" s="22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2820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25"/>
    </row>
    <row r="2" spans="1:9" ht="24.5" customHeight="1">
      <c r="A2" s="216"/>
      <c r="B2" s="217"/>
      <c r="C2" s="217"/>
      <c r="D2" s="217"/>
      <c r="E2" s="217"/>
      <c r="F2" s="217"/>
      <c r="G2" s="217"/>
      <c r="H2" s="217"/>
      <c r="I2" s="22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26"/>
    </row>
    <row r="4" spans="1:9" ht="21" customHeight="1">
      <c r="A4" s="216"/>
      <c r="B4" s="217"/>
      <c r="C4" s="217"/>
      <c r="D4" s="217"/>
      <c r="E4" s="217"/>
      <c r="F4" s="217"/>
      <c r="G4" s="217"/>
      <c r="H4" s="217"/>
      <c r="I4" s="22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2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6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2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25"/>
    </row>
    <row r="2" spans="1:9" ht="15" customHeight="1">
      <c r="A2" s="216"/>
      <c r="B2" s="217"/>
      <c r="C2" s="217"/>
      <c r="D2" s="217"/>
      <c r="E2" s="217"/>
      <c r="F2" s="217"/>
      <c r="G2" s="217"/>
      <c r="H2" s="217"/>
      <c r="I2" s="22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26"/>
    </row>
    <row r="4" spans="1:9" ht="15" customHeight="1">
      <c r="A4" s="216"/>
      <c r="B4" s="217"/>
      <c r="C4" s="217"/>
      <c r="D4" s="217"/>
      <c r="E4" s="217"/>
      <c r="F4" s="217"/>
      <c r="G4" s="217"/>
      <c r="H4" s="217"/>
      <c r="I4" s="22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2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 ht="14.5" customHeight="1">
      <c r="A46" s="221" t="s">
        <v>77</v>
      </c>
      <c r="B46" s="222"/>
      <c r="C46" s="222"/>
      <c r="D46" s="222"/>
      <c r="E46" s="222"/>
      <c r="F46" s="222"/>
      <c r="G46" s="222"/>
      <c r="H46" s="222"/>
      <c r="I46" s="226"/>
    </row>
    <row r="47" spans="1:9" ht="15" customHeight="1">
      <c r="A47" s="223"/>
      <c r="B47" s="224"/>
      <c r="C47" s="224"/>
      <c r="D47" s="224"/>
      <c r="E47" s="224"/>
      <c r="F47" s="224"/>
      <c r="G47" s="224"/>
      <c r="H47" s="224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25"/>
    </row>
    <row r="2" spans="1:9" ht="15" customHeight="1">
      <c r="A2" s="216"/>
      <c r="B2" s="217"/>
      <c r="C2" s="217"/>
      <c r="D2" s="217"/>
      <c r="E2" s="217"/>
      <c r="F2" s="217"/>
      <c r="G2" s="217"/>
      <c r="H2" s="217"/>
      <c r="I2" s="22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26"/>
    </row>
    <row r="4" spans="1:9" ht="15" customHeight="1">
      <c r="A4" s="216"/>
      <c r="B4" s="217"/>
      <c r="C4" s="217"/>
      <c r="D4" s="217"/>
      <c r="E4" s="217"/>
      <c r="F4" s="217"/>
      <c r="G4" s="217"/>
      <c r="H4" s="217"/>
      <c r="I4" s="22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2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6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2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1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15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1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15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25"/>
    </row>
    <row r="2" spans="1:9" ht="23" customHeight="1">
      <c r="A2" s="216"/>
      <c r="B2" s="217"/>
      <c r="C2" s="217"/>
      <c r="D2" s="217"/>
      <c r="E2" s="217"/>
      <c r="F2" s="217"/>
      <c r="G2" s="217"/>
      <c r="H2" s="217"/>
      <c r="I2" s="22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26"/>
    </row>
    <row r="4" spans="1:9" ht="26" customHeight="1">
      <c r="A4" s="216"/>
      <c r="B4" s="217"/>
      <c r="C4" s="217"/>
      <c r="D4" s="217"/>
      <c r="E4" s="217"/>
      <c r="F4" s="217"/>
      <c r="G4" s="217"/>
      <c r="H4" s="217"/>
      <c r="I4" s="22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2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 ht="14.5" customHeight="1">
      <c r="A46" s="221" t="s">
        <v>77</v>
      </c>
      <c r="B46" s="222"/>
      <c r="C46" s="222"/>
      <c r="D46" s="222"/>
      <c r="E46" s="222"/>
      <c r="F46" s="222"/>
      <c r="G46" s="222"/>
      <c r="H46" s="222"/>
      <c r="I46" s="226"/>
    </row>
    <row r="47" spans="1:9" ht="15" customHeight="1">
      <c r="A47" s="223"/>
      <c r="B47" s="224"/>
      <c r="C47" s="224"/>
      <c r="D47" s="224"/>
      <c r="E47" s="224"/>
      <c r="F47" s="224"/>
      <c r="G47" s="224"/>
      <c r="H47" s="224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4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1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4.5" customHeight="1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 ht="15" customHeight="1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3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0.5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s="69" customFormat="1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06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4.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 ht="15" customHeight="1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4.5" customHeight="1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 ht="15" customHeight="1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25"/>
    </row>
    <row r="2" spans="1:9" ht="21" customHeight="1">
      <c r="A2" s="216"/>
      <c r="B2" s="217"/>
      <c r="C2" s="217"/>
      <c r="D2" s="217"/>
      <c r="E2" s="217"/>
      <c r="F2" s="217"/>
      <c r="G2" s="217"/>
      <c r="H2" s="217"/>
      <c r="I2" s="22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26"/>
    </row>
    <row r="4" spans="1:9" ht="25.5" customHeight="1">
      <c r="A4" s="216"/>
      <c r="B4" s="217"/>
      <c r="C4" s="217"/>
      <c r="D4" s="217"/>
      <c r="E4" s="217"/>
      <c r="F4" s="217"/>
      <c r="G4" s="217"/>
      <c r="H4" s="217"/>
      <c r="I4" s="22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2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 ht="19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9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2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2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2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s="69" customFormat="1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06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4.5" customHeight="1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 ht="15" customHeight="1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25"/>
    </row>
    <row r="2" spans="1:9" ht="34.5" customHeight="1">
      <c r="A2" s="216"/>
      <c r="B2" s="217"/>
      <c r="C2" s="217"/>
      <c r="D2" s="217"/>
      <c r="E2" s="217"/>
      <c r="F2" s="217"/>
      <c r="G2" s="217"/>
      <c r="H2" s="217"/>
      <c r="I2" s="22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26"/>
    </row>
    <row r="4" spans="1:9" ht="27" customHeight="1">
      <c r="A4" s="216"/>
      <c r="B4" s="217"/>
      <c r="C4" s="217"/>
      <c r="D4" s="217"/>
      <c r="E4" s="217"/>
      <c r="F4" s="217"/>
      <c r="G4" s="217"/>
      <c r="H4" s="217"/>
      <c r="I4" s="22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2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4.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 ht="15" customHeight="1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 ht="14.5" customHeight="1">
      <c r="A46" s="221" t="s">
        <v>77</v>
      </c>
      <c r="B46" s="222"/>
      <c r="C46" s="222"/>
      <c r="D46" s="222"/>
      <c r="E46" s="222"/>
      <c r="F46" s="222"/>
      <c r="G46" s="222"/>
      <c r="H46" s="222"/>
      <c r="I46" s="226"/>
    </row>
    <row r="47" spans="1:9" ht="15" customHeight="1">
      <c r="A47" s="223"/>
      <c r="B47" s="224"/>
      <c r="C47" s="224"/>
      <c r="D47" s="224"/>
      <c r="E47" s="224"/>
      <c r="F47" s="224"/>
      <c r="G47" s="224"/>
      <c r="H47" s="224"/>
      <c r="I47" s="226"/>
    </row>
    <row r="48" spans="1:9" ht="29" customHeight="1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5" customHeight="1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9" customHeight="1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26"/>
    </row>
    <row r="51" spans="1:9" ht="19" customHeight="1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9" customHeight="1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26"/>
    </row>
    <row r="53" spans="1:9" ht="19" customHeight="1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26"/>
    </row>
    <row r="54" spans="1:9" ht="19" customHeight="1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26"/>
    </row>
    <row r="55" spans="1:9" ht="19" customHeight="1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9" customHeight="1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9" customHeight="1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9" customHeight="1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9" customHeight="1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9" customHeight="1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9" customHeight="1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9" customHeight="1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 ht="14.5" customHeight="1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1.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4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4.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 ht="15" customHeight="1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 ht="14.5" customHeight="1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 ht="15" customHeight="1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25"/>
    </row>
    <row r="2" spans="1:9" ht="15" customHeight="1">
      <c r="A2" s="216"/>
      <c r="B2" s="217"/>
      <c r="C2" s="217"/>
      <c r="D2" s="217"/>
      <c r="E2" s="217"/>
      <c r="F2" s="217"/>
      <c r="G2" s="217"/>
      <c r="H2" s="217"/>
      <c r="I2" s="22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26"/>
    </row>
    <row r="4" spans="1:9" ht="15" customHeight="1">
      <c r="A4" s="216"/>
      <c r="B4" s="217"/>
      <c r="C4" s="217"/>
      <c r="D4" s="217"/>
      <c r="E4" s="217"/>
      <c r="F4" s="217"/>
      <c r="G4" s="217"/>
      <c r="H4" s="217"/>
      <c r="I4" s="22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2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2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6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2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2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2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2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2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2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2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2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2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2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2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2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2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2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2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2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2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2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2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2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2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2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2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2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2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2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2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19.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1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0.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0.5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4.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1.5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7.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1.5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0.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 ht="14.5" customHeight="1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22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/>
      <c r="C11" s="161"/>
      <c r="D11" s="162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06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06"/>
    </row>
    <row r="38" spans="1:9" ht="14.5" customHeight="1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 ht="15" customHeight="1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82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82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82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82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82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82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82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82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0</v>
      </c>
      <c r="F62" s="198"/>
      <c r="G62" s="198"/>
      <c r="H62" s="198"/>
      <c r="I62" s="206"/>
    </row>
    <row r="63" spans="1:9" ht="18.5">
      <c r="A63" s="212"/>
      <c r="B63" s="213"/>
      <c r="C63" s="228"/>
      <c r="D63" s="229"/>
      <c r="E63" s="230"/>
      <c r="F63" s="231"/>
      <c r="G63" s="231"/>
      <c r="H63" s="231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 formatCells="0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11" sqref="E11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4" t="s">
        <v>43</v>
      </c>
      <c r="B1" s="215"/>
      <c r="C1" s="215"/>
      <c r="D1" s="215"/>
      <c r="E1" s="215"/>
      <c r="F1" s="215"/>
      <c r="G1" s="215"/>
      <c r="H1" s="215"/>
      <c r="I1" s="205"/>
    </row>
    <row r="2" spans="1:9" ht="29.5" customHeight="1">
      <c r="A2" s="216"/>
      <c r="B2" s="217"/>
      <c r="C2" s="217"/>
      <c r="D2" s="217"/>
      <c r="E2" s="217"/>
      <c r="F2" s="217"/>
      <c r="G2" s="217"/>
      <c r="H2" s="217"/>
      <c r="I2" s="206"/>
    </row>
    <row r="3" spans="1:9">
      <c r="A3" s="218" t="s">
        <v>44</v>
      </c>
      <c r="B3" s="219"/>
      <c r="C3" s="219"/>
      <c r="D3" s="219"/>
      <c r="E3" s="219"/>
      <c r="F3" s="219"/>
      <c r="G3" s="219"/>
      <c r="H3" s="220"/>
      <c r="I3" s="206"/>
    </row>
    <row r="4" spans="1:9" ht="30" customHeight="1">
      <c r="A4" s="216"/>
      <c r="B4" s="217"/>
      <c r="C4" s="217"/>
      <c r="D4" s="217"/>
      <c r="E4" s="217"/>
      <c r="F4" s="217"/>
      <c r="G4" s="217"/>
      <c r="H4" s="217"/>
      <c r="I4" s="206"/>
    </row>
    <row r="5" spans="1:9">
      <c r="A5" s="1" t="s">
        <v>45</v>
      </c>
      <c r="B5" s="2" t="s">
        <v>46</v>
      </c>
      <c r="C5" s="157" t="s">
        <v>47</v>
      </c>
      <c r="D5" s="158"/>
      <c r="E5" s="2" t="s">
        <v>48</v>
      </c>
      <c r="F5" s="3" t="s">
        <v>49</v>
      </c>
      <c r="G5" s="2" t="s">
        <v>50</v>
      </c>
      <c r="H5" s="3" t="s">
        <v>7</v>
      </c>
      <c r="I5" s="206"/>
    </row>
    <row r="6" spans="1:9">
      <c r="A6" s="4" t="s">
        <v>51</v>
      </c>
      <c r="B6" s="5"/>
      <c r="C6" s="159"/>
      <c r="D6" s="160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06"/>
    </row>
    <row r="7" spans="1:9">
      <c r="A7" s="4" t="s">
        <v>52</v>
      </c>
      <c r="B7" s="5"/>
      <c r="C7" s="159"/>
      <c r="D7" s="160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06"/>
    </row>
    <row r="8" spans="1:9">
      <c r="A8" s="8" t="s">
        <v>53</v>
      </c>
      <c r="B8" s="9"/>
      <c r="C8" s="161"/>
      <c r="D8" s="162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06"/>
    </row>
    <row r="9" spans="1:9">
      <c r="A9" s="8" t="s">
        <v>54</v>
      </c>
      <c r="B9" s="9"/>
      <c r="C9" s="161"/>
      <c r="D9" s="162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06"/>
    </row>
    <row r="10" spans="1:9">
      <c r="A10" s="8" t="s">
        <v>55</v>
      </c>
      <c r="B10" s="9"/>
      <c r="C10" s="161"/>
      <c r="D10" s="162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06"/>
    </row>
    <row r="11" spans="1:9">
      <c r="A11" s="12" t="s">
        <v>56</v>
      </c>
      <c r="B11" s="9">
        <v>5280</v>
      </c>
      <c r="C11" s="161">
        <v>2124</v>
      </c>
      <c r="D11" s="162"/>
      <c r="E11" s="10">
        <f t="shared" si="0"/>
        <v>11214720</v>
      </c>
      <c r="F11" s="10">
        <f t="shared" si="1"/>
        <v>1710720</v>
      </c>
      <c r="G11" s="10">
        <f>PRODUCT(B11*30)</f>
        <v>158400</v>
      </c>
      <c r="H11" s="11">
        <f t="shared" si="2"/>
        <v>1869120</v>
      </c>
      <c r="I11" s="206"/>
    </row>
    <row r="12" spans="1:9">
      <c r="A12" s="12" t="s">
        <v>56</v>
      </c>
      <c r="B12" s="9"/>
      <c r="C12" s="161"/>
      <c r="D12" s="162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06"/>
    </row>
    <row r="13" spans="1:9">
      <c r="A13" s="12" t="s">
        <v>57</v>
      </c>
      <c r="B13" s="9"/>
      <c r="C13" s="161"/>
      <c r="D13" s="162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06"/>
    </row>
    <row r="14" spans="1:9">
      <c r="A14" s="13" t="s">
        <v>57</v>
      </c>
      <c r="B14" s="9"/>
      <c r="C14" s="161"/>
      <c r="D14" s="162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06"/>
    </row>
    <row r="15" spans="1:9" ht="26">
      <c r="A15" s="163" t="s">
        <v>58</v>
      </c>
      <c r="B15" s="164"/>
      <c r="C15" s="164"/>
      <c r="D15" s="164"/>
      <c r="E15" s="164"/>
      <c r="F15" s="164"/>
      <c r="G15" s="164"/>
      <c r="H15" s="164"/>
      <c r="I15" s="206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06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06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06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06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06"/>
    </row>
    <row r="21" spans="1:9">
      <c r="A21" s="34" t="s">
        <v>84</v>
      </c>
      <c r="B21" s="31">
        <v>467</v>
      </c>
      <c r="C21" s="31">
        <v>3540</v>
      </c>
      <c r="D21" s="31">
        <v>50</v>
      </c>
      <c r="E21" s="26">
        <f t="shared" si="4"/>
        <v>1653180</v>
      </c>
      <c r="F21" s="27">
        <f t="shared" si="3"/>
        <v>252180</v>
      </c>
      <c r="G21" s="28">
        <f t="shared" si="5"/>
        <v>23350</v>
      </c>
      <c r="H21" s="29">
        <f t="shared" si="6"/>
        <v>275530</v>
      </c>
      <c r="I21" s="206"/>
    </row>
    <row r="22" spans="1:9">
      <c r="A22" s="34" t="s">
        <v>50</v>
      </c>
      <c r="B22" s="31">
        <v>750</v>
      </c>
      <c r="C22" s="31"/>
      <c r="D22" s="31">
        <v>100</v>
      </c>
      <c r="E22" s="26">
        <f t="shared" si="4"/>
        <v>0</v>
      </c>
      <c r="F22" s="27">
        <f t="shared" si="3"/>
        <v>0</v>
      </c>
      <c r="G22" s="32">
        <f t="shared" si="5"/>
        <v>75000</v>
      </c>
      <c r="H22" s="33">
        <f t="shared" si="6"/>
        <v>75000</v>
      </c>
      <c r="I22" s="206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06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06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06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06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06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06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06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06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06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06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06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06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06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06"/>
    </row>
    <row r="37" spans="1:9">
      <c r="A37" s="45" t="s">
        <v>65</v>
      </c>
      <c r="B37" s="46"/>
      <c r="C37" s="46"/>
      <c r="D37" s="46"/>
      <c r="E37" s="47">
        <f>SUM(E5:E36)</f>
        <v>12867900</v>
      </c>
      <c r="F37" s="47">
        <f>SUM(F5:F36)</f>
        <v>1962900</v>
      </c>
      <c r="G37" s="47">
        <f t="shared" ref="G37:H37" si="10">SUM(G5:G36)</f>
        <v>256750</v>
      </c>
      <c r="H37" s="47">
        <f t="shared" si="10"/>
        <v>2219650</v>
      </c>
      <c r="I37" s="206"/>
    </row>
    <row r="38" spans="1:9">
      <c r="A38" s="165" t="s">
        <v>66</v>
      </c>
      <c r="B38" s="166"/>
      <c r="C38" s="48" t="s">
        <v>67</v>
      </c>
      <c r="D38" s="49"/>
      <c r="E38" s="167" t="s">
        <v>68</v>
      </c>
      <c r="F38" s="168"/>
      <c r="G38" s="50" t="s">
        <v>69</v>
      </c>
      <c r="H38" s="51" t="s">
        <v>67</v>
      </c>
      <c r="I38" s="206"/>
    </row>
    <row r="39" spans="1:9">
      <c r="A39" s="169" t="s">
        <v>70</v>
      </c>
      <c r="B39" s="170"/>
      <c r="C39" s="52"/>
      <c r="D39" s="53"/>
      <c r="E39" s="171"/>
      <c r="F39" s="171"/>
      <c r="G39" s="54"/>
      <c r="H39" s="55"/>
      <c r="I39" s="206"/>
    </row>
    <row r="40" spans="1:9">
      <c r="A40" s="172" t="s">
        <v>71</v>
      </c>
      <c r="B40" s="173"/>
      <c r="C40" s="56"/>
      <c r="D40" s="57"/>
      <c r="E40" s="174"/>
      <c r="F40" s="174"/>
      <c r="G40" s="58"/>
      <c r="H40" s="59"/>
      <c r="I40" s="206"/>
    </row>
    <row r="41" spans="1:9">
      <c r="A41" s="172" t="s">
        <v>72</v>
      </c>
      <c r="B41" s="173"/>
      <c r="C41" s="60"/>
      <c r="D41" s="53"/>
      <c r="E41" s="175"/>
      <c r="F41" s="175"/>
      <c r="G41" s="58"/>
      <c r="H41" s="59"/>
      <c r="I41" s="206"/>
    </row>
    <row r="42" spans="1:9">
      <c r="A42" s="176" t="s">
        <v>73</v>
      </c>
      <c r="B42" s="177"/>
      <c r="C42" s="61"/>
      <c r="D42" s="62"/>
      <c r="E42" s="178"/>
      <c r="F42" s="175"/>
      <c r="G42" s="9"/>
      <c r="H42" s="59"/>
      <c r="I42" s="206"/>
    </row>
    <row r="43" spans="1:9">
      <c r="A43" s="179" t="s">
        <v>74</v>
      </c>
      <c r="B43" s="180"/>
      <c r="C43" s="63"/>
      <c r="D43" s="62"/>
      <c r="E43" s="178"/>
      <c r="F43" s="175"/>
      <c r="G43" s="9"/>
      <c r="H43" s="59"/>
      <c r="I43" s="206"/>
    </row>
    <row r="44" spans="1:9">
      <c r="A44" s="179" t="s">
        <v>75</v>
      </c>
      <c r="B44" s="180"/>
      <c r="C44" s="63"/>
      <c r="D44" s="64"/>
      <c r="E44" s="178"/>
      <c r="F44" s="175"/>
      <c r="G44" s="9"/>
      <c r="H44" s="59"/>
      <c r="I44" s="206"/>
    </row>
    <row r="45" spans="1:9">
      <c r="A45" s="179" t="s">
        <v>76</v>
      </c>
      <c r="B45" s="180"/>
      <c r="C45" s="65">
        <f>SUM(C39+C40+C41+C42+C43+C44)</f>
        <v>0</v>
      </c>
      <c r="D45" s="66"/>
      <c r="E45" s="181"/>
      <c r="F45" s="182"/>
      <c r="G45" s="67"/>
      <c r="H45" s="68"/>
      <c r="I45" s="206"/>
    </row>
    <row r="46" spans="1:9">
      <c r="A46" s="221" t="s">
        <v>77</v>
      </c>
      <c r="B46" s="222"/>
      <c r="C46" s="222"/>
      <c r="D46" s="222"/>
      <c r="E46" s="222"/>
      <c r="F46" s="222"/>
      <c r="G46" s="222"/>
      <c r="H46" s="222"/>
      <c r="I46" s="206"/>
    </row>
    <row r="47" spans="1:9">
      <c r="A47" s="223"/>
      <c r="B47" s="224"/>
      <c r="C47" s="224"/>
      <c r="D47" s="224"/>
      <c r="E47" s="224"/>
      <c r="F47" s="224"/>
      <c r="G47" s="224"/>
      <c r="H47" s="224"/>
      <c r="I47" s="206"/>
    </row>
    <row r="48" spans="1:9" ht="23.5">
      <c r="A48" s="183" t="s">
        <v>34</v>
      </c>
      <c r="B48" s="184"/>
      <c r="C48" s="185" t="s">
        <v>78</v>
      </c>
      <c r="D48" s="186"/>
      <c r="E48" s="187" t="s">
        <v>79</v>
      </c>
      <c r="F48" s="188"/>
      <c r="G48" s="188"/>
      <c r="H48" s="188"/>
      <c r="I48" s="206"/>
    </row>
    <row r="49" spans="1:9" ht="18.5">
      <c r="A49" s="208"/>
      <c r="B49" s="209"/>
      <c r="C49" s="189" t="s">
        <v>80</v>
      </c>
      <c r="D49" s="190"/>
      <c r="E49" s="191">
        <f>SUM(B9:B12)</f>
        <v>5280</v>
      </c>
      <c r="F49" s="192"/>
      <c r="G49" s="192"/>
      <c r="H49" s="192"/>
      <c r="I49" s="206"/>
    </row>
    <row r="50" spans="1:9" ht="18.5">
      <c r="A50" s="210"/>
      <c r="B50" s="211"/>
      <c r="C50" s="189" t="s">
        <v>53</v>
      </c>
      <c r="D50" s="190"/>
      <c r="E50" s="191">
        <f>SUM(B6:B8)</f>
        <v>0</v>
      </c>
      <c r="F50" s="192"/>
      <c r="G50" s="192"/>
      <c r="H50" s="192"/>
      <c r="I50" s="206"/>
    </row>
    <row r="51" spans="1:9" ht="18.5">
      <c r="A51" s="210"/>
      <c r="B51" s="211"/>
      <c r="C51" s="189" t="s">
        <v>81</v>
      </c>
      <c r="D51" s="190"/>
      <c r="E51" s="191">
        <f>SUM(B13:B14)</f>
        <v>0</v>
      </c>
      <c r="F51" s="192"/>
      <c r="G51" s="192"/>
      <c r="H51" s="192"/>
      <c r="I51" s="206"/>
    </row>
    <row r="52" spans="1:9" ht="18.5">
      <c r="A52" s="210"/>
      <c r="B52" s="211"/>
      <c r="C52" s="193" t="s">
        <v>62</v>
      </c>
      <c r="D52" s="194"/>
      <c r="E52" s="195">
        <f>SUM(B17:B18)</f>
        <v>0</v>
      </c>
      <c r="F52" s="196"/>
      <c r="G52" s="196"/>
      <c r="H52" s="196"/>
      <c r="I52" s="206"/>
    </row>
    <row r="53" spans="1:9" ht="18.5">
      <c r="A53" s="210"/>
      <c r="B53" s="211"/>
      <c r="C53" s="193" t="s">
        <v>63</v>
      </c>
      <c r="D53" s="194"/>
      <c r="E53" s="195">
        <f>SUM(B19:B20)</f>
        <v>0</v>
      </c>
      <c r="F53" s="196"/>
      <c r="G53" s="196"/>
      <c r="H53" s="196"/>
      <c r="I53" s="206"/>
    </row>
    <row r="54" spans="1:9" ht="18.5">
      <c r="A54" s="210"/>
      <c r="B54" s="211"/>
      <c r="C54" s="193" t="s">
        <v>85</v>
      </c>
      <c r="D54" s="194"/>
      <c r="E54" s="195">
        <f>B29</f>
        <v>0</v>
      </c>
      <c r="F54" s="196"/>
      <c r="G54" s="196"/>
      <c r="H54" s="196"/>
      <c r="I54" s="206"/>
    </row>
    <row r="55" spans="1:9" ht="18.5">
      <c r="A55" s="210"/>
      <c r="B55" s="211"/>
      <c r="C55" s="193" t="s">
        <v>85</v>
      </c>
      <c r="D55" s="194"/>
      <c r="E55" s="195">
        <f t="shared" ref="E55:E61" si="11">B30</f>
        <v>0</v>
      </c>
      <c r="F55" s="196"/>
      <c r="G55" s="196"/>
      <c r="H55" s="196"/>
      <c r="I55" s="206"/>
    </row>
    <row r="56" spans="1:9" ht="18.5">
      <c r="A56" s="210"/>
      <c r="B56" s="211"/>
      <c r="C56" s="193" t="s">
        <v>85</v>
      </c>
      <c r="D56" s="194"/>
      <c r="E56" s="195">
        <f t="shared" si="11"/>
        <v>0</v>
      </c>
      <c r="F56" s="196"/>
      <c r="G56" s="196"/>
      <c r="H56" s="196"/>
      <c r="I56" s="206"/>
    </row>
    <row r="57" spans="1:9" ht="18.5">
      <c r="A57" s="210"/>
      <c r="B57" s="211"/>
      <c r="C57" s="193" t="s">
        <v>85</v>
      </c>
      <c r="D57" s="194"/>
      <c r="E57" s="195">
        <f t="shared" si="11"/>
        <v>0</v>
      </c>
      <c r="F57" s="196"/>
      <c r="G57" s="196"/>
      <c r="H57" s="196"/>
      <c r="I57" s="206"/>
    </row>
    <row r="58" spans="1:9" ht="18.5">
      <c r="A58" s="210"/>
      <c r="B58" s="211"/>
      <c r="C58" s="193" t="s">
        <v>85</v>
      </c>
      <c r="D58" s="194"/>
      <c r="E58" s="195">
        <f t="shared" si="11"/>
        <v>0</v>
      </c>
      <c r="F58" s="196"/>
      <c r="G58" s="196"/>
      <c r="H58" s="196"/>
      <c r="I58" s="206"/>
    </row>
    <row r="59" spans="1:9" ht="18.5">
      <c r="A59" s="210"/>
      <c r="B59" s="211"/>
      <c r="C59" s="193" t="s">
        <v>85</v>
      </c>
      <c r="D59" s="194"/>
      <c r="E59" s="195">
        <f t="shared" si="11"/>
        <v>0</v>
      </c>
      <c r="F59" s="196"/>
      <c r="G59" s="196"/>
      <c r="H59" s="196"/>
      <c r="I59" s="206"/>
    </row>
    <row r="60" spans="1:9" ht="18.5">
      <c r="A60" s="210"/>
      <c r="B60" s="211"/>
      <c r="C60" s="193" t="s">
        <v>85</v>
      </c>
      <c r="D60" s="194"/>
      <c r="E60" s="195">
        <f t="shared" si="11"/>
        <v>0</v>
      </c>
      <c r="F60" s="196"/>
      <c r="G60" s="196"/>
      <c r="H60" s="196"/>
      <c r="I60" s="206"/>
    </row>
    <row r="61" spans="1:9" ht="18.5">
      <c r="A61" s="210"/>
      <c r="B61" s="211"/>
      <c r="C61" s="193" t="s">
        <v>85</v>
      </c>
      <c r="D61" s="194"/>
      <c r="E61" s="195">
        <f t="shared" si="11"/>
        <v>0</v>
      </c>
      <c r="F61" s="196"/>
      <c r="G61" s="196"/>
      <c r="H61" s="196"/>
      <c r="I61" s="206"/>
    </row>
    <row r="62" spans="1:9" ht="32">
      <c r="A62" s="210"/>
      <c r="B62" s="211"/>
      <c r="C62" s="193" t="s">
        <v>83</v>
      </c>
      <c r="D62" s="194"/>
      <c r="E62" s="197">
        <f>SUM(E49:H61)</f>
        <v>5280</v>
      </c>
      <c r="F62" s="198"/>
      <c r="G62" s="198"/>
      <c r="H62" s="198"/>
      <c r="I62" s="206"/>
    </row>
    <row r="63" spans="1:9" ht="18.5">
      <c r="A63" s="212"/>
      <c r="B63" s="213"/>
      <c r="C63" s="199"/>
      <c r="D63" s="200"/>
      <c r="E63" s="201"/>
      <c r="F63" s="202"/>
      <c r="G63" s="202"/>
      <c r="H63" s="202"/>
      <c r="I63" s="206"/>
    </row>
    <row r="64" spans="1:9">
      <c r="A64" s="203"/>
      <c r="B64" s="204"/>
      <c r="C64" s="204"/>
      <c r="D64" s="204"/>
      <c r="E64" s="204"/>
      <c r="F64" s="204"/>
      <c r="G64" s="204"/>
      <c r="H64" s="204"/>
      <c r="I64" s="207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221" t="s">
        <v>77</v>
      </c>
      <c r="B1" s="222"/>
      <c r="C1" s="222"/>
      <c r="D1" s="222"/>
      <c r="E1" s="222"/>
      <c r="F1" s="222"/>
      <c r="G1" s="247"/>
    </row>
    <row r="2" spans="1:7">
      <c r="A2" s="223"/>
      <c r="B2" s="224"/>
      <c r="C2" s="224"/>
      <c r="D2" s="224"/>
      <c r="E2" s="224"/>
      <c r="F2" s="224"/>
      <c r="G2" s="248"/>
    </row>
    <row r="3" spans="1:7" ht="28">
      <c r="A3" s="232" t="s">
        <v>78</v>
      </c>
      <c r="B3" s="233"/>
      <c r="C3" s="234"/>
      <c r="D3" s="232" t="s">
        <v>79</v>
      </c>
      <c r="E3" s="233"/>
      <c r="F3" s="233"/>
      <c r="G3" s="234"/>
    </row>
    <row r="4" spans="1:7" ht="41.5" customHeight="1">
      <c r="A4" s="235" t="s">
        <v>80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7850</v>
      </c>
      <c r="E4" s="239"/>
      <c r="F4" s="239"/>
      <c r="G4" s="240"/>
    </row>
    <row r="5" spans="1:7" ht="37" customHeight="1">
      <c r="A5" s="235" t="s">
        <v>53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>
      <c r="A6" s="235" t="s">
        <v>57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100</v>
      </c>
      <c r="E6" s="239"/>
      <c r="F6" s="239"/>
      <c r="G6" s="240"/>
    </row>
    <row r="7" spans="1:7" ht="38.5" customHeight="1">
      <c r="A7" s="241" t="s">
        <v>62</v>
      </c>
      <c r="B7" s="242"/>
      <c r="C7" s="243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150</v>
      </c>
      <c r="E7" s="239"/>
      <c r="F7" s="239"/>
      <c r="G7" s="240"/>
    </row>
    <row r="8" spans="1:7" ht="40" customHeight="1">
      <c r="A8" s="241" t="s">
        <v>63</v>
      </c>
      <c r="B8" s="242"/>
      <c r="C8" s="243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>
      <c r="A9" s="241" t="s">
        <v>85</v>
      </c>
      <c r="B9" s="242"/>
      <c r="C9" s="243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>
      <c r="A10" s="241" t="s">
        <v>85</v>
      </c>
      <c r="B10" s="242"/>
      <c r="C10" s="243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41" t="s">
        <v>85</v>
      </c>
      <c r="B11" s="242"/>
      <c r="C11" s="243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>
      <c r="A12" s="241" t="s">
        <v>85</v>
      </c>
      <c r="B12" s="242"/>
      <c r="C12" s="243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>
      <c r="A13" s="241" t="s">
        <v>85</v>
      </c>
      <c r="B13" s="242"/>
      <c r="C13" s="243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41" t="s">
        <v>85</v>
      </c>
      <c r="B14" s="242"/>
      <c r="C14" s="243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41" t="s">
        <v>85</v>
      </c>
      <c r="B15" s="242"/>
      <c r="C15" s="243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41" t="s">
        <v>85</v>
      </c>
      <c r="B16" s="242"/>
      <c r="C16" s="243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41" t="s">
        <v>83</v>
      </c>
      <c r="B17" s="242"/>
      <c r="C17" s="243"/>
      <c r="D17" s="244">
        <f>SUM(D4:D16)</f>
        <v>8100</v>
      </c>
      <c r="E17" s="245"/>
      <c r="F17" s="245"/>
      <c r="G17" s="246"/>
    </row>
  </sheetData>
  <sheetProtection password="C8CD" sheet="1" objects="1" scenarios="1"/>
  <mergeCells count="31">
    <mergeCell ref="A1:G2"/>
    <mergeCell ref="A15:C15"/>
    <mergeCell ref="D15:G15"/>
    <mergeCell ref="A16:C16"/>
    <mergeCell ref="D16:G16"/>
    <mergeCell ref="A17:C17"/>
    <mergeCell ref="D17:G17"/>
    <mergeCell ref="A12:C12"/>
    <mergeCell ref="D12:G12"/>
    <mergeCell ref="A13:C13"/>
    <mergeCell ref="D13:G13"/>
    <mergeCell ref="A14:C14"/>
    <mergeCell ref="D14:G14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  <mergeCell ref="D8:G8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2023-12-29T10:10:00Z</dcterms:created>
  <dcterms:modified xsi:type="dcterms:W3CDTF">2026-03-10T01:26:27Z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13D4B3C2F8784E0BBEC572EC23B0BABC_13</vt:lpwstr>
  </property>
  <property fmtid="{D5CDD505-2E9C-101B-9397-08002B2CF9AE}" pid="3" name="KSOProductBuildVer">
    <vt:lpwstr>1033-12.2.0.23155</vt:lpwstr>
  </property>
</Properties>
</file>