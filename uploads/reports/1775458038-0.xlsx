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90" yWindow="490" windowWidth="18880" windowHeight="6740" firstSheet="1" activeTab="6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24519"/>
</workbook>
</file>

<file path=xl/calcChain.xml><?xml version="1.0" encoding="utf-8"?>
<calcChain xmlns="http://schemas.openxmlformats.org/spreadsheetml/2006/main">
  <c r="E53" i="25"/>
  <c r="E52"/>
  <c r="E51"/>
  <c r="E50"/>
  <c r="E49"/>
  <c r="E48"/>
  <c r="E47"/>
  <c r="E46"/>
  <c r="E45"/>
  <c r="E44"/>
  <c r="E43"/>
  <c r="E42"/>
  <c r="E41"/>
  <c r="E54" s="1"/>
  <c r="E53" i="24"/>
  <c r="E52"/>
  <c r="E51"/>
  <c r="E50"/>
  <c r="E49"/>
  <c r="E48"/>
  <c r="E47"/>
  <c r="E46"/>
  <c r="E45"/>
  <c r="E44"/>
  <c r="E43"/>
  <c r="E42"/>
  <c r="E4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29" s="1"/>
  <c r="E6"/>
  <c r="E29" s="1"/>
  <c r="E53" i="23"/>
  <c r="E52"/>
  <c r="E51"/>
  <c r="E50"/>
  <c r="E49"/>
  <c r="E48"/>
  <c r="E47"/>
  <c r="E46"/>
  <c r="E45"/>
  <c r="E44"/>
  <c r="E43"/>
  <c r="E42"/>
  <c r="E41"/>
  <c r="E54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29" s="1"/>
  <c r="E6"/>
  <c r="E29" s="1"/>
  <c r="E53" i="22"/>
  <c r="E52"/>
  <c r="E51"/>
  <c r="E50"/>
  <c r="E49"/>
  <c r="E48"/>
  <c r="E47"/>
  <c r="E46"/>
  <c r="E45"/>
  <c r="E44"/>
  <c r="E43"/>
  <c r="E42"/>
  <c r="E41"/>
  <c r="E54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29" s="1"/>
  <c r="C20" i="1" s="1"/>
  <c r="E6" i="22"/>
  <c r="E29" s="1"/>
  <c r="E53" i="21"/>
  <c r="E52"/>
  <c r="E51"/>
  <c r="E50"/>
  <c r="E49"/>
  <c r="E48"/>
  <c r="E47"/>
  <c r="E46"/>
  <c r="E45"/>
  <c r="E44"/>
  <c r="E43"/>
  <c r="E42"/>
  <c r="E41"/>
  <c r="E54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29" s="1"/>
  <c r="E6"/>
  <c r="E29" s="1"/>
  <c r="E53" i="20"/>
  <c r="E52"/>
  <c r="E51"/>
  <c r="E50"/>
  <c r="E49"/>
  <c r="E48"/>
  <c r="E47"/>
  <c r="E46"/>
  <c r="E45"/>
  <c r="E44"/>
  <c r="E43"/>
  <c r="E42"/>
  <c r="E41"/>
  <c r="E54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29" s="1"/>
  <c r="E6"/>
  <c r="E29" s="1"/>
  <c r="E61" i="19"/>
  <c r="E60"/>
  <c r="E59"/>
  <c r="E58"/>
  <c r="E57"/>
  <c r="E56"/>
  <c r="E55"/>
  <c r="E54"/>
  <c r="E53"/>
  <c r="E52"/>
  <c r="E51"/>
  <c r="E50"/>
  <c r="E49"/>
  <c r="E62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E6"/>
  <c r="F6" s="1"/>
  <c r="E53" i="18"/>
  <c r="E52"/>
  <c r="E51"/>
  <c r="E50"/>
  <c r="E49"/>
  <c r="E48"/>
  <c r="E47"/>
  <c r="E46"/>
  <c r="E45"/>
  <c r="E44"/>
  <c r="E43"/>
  <c r="E42"/>
  <c r="E41"/>
  <c r="E54" s="1"/>
  <c r="G28"/>
  <c r="E28"/>
  <c r="F28" s="1"/>
  <c r="G27"/>
  <c r="E27"/>
  <c r="F27" s="1"/>
  <c r="G26"/>
  <c r="E26"/>
  <c r="F26" s="1"/>
  <c r="G25"/>
  <c r="E25"/>
  <c r="F25" s="1"/>
  <c r="G24"/>
  <c r="E24"/>
  <c r="F24" s="1"/>
  <c r="G23"/>
  <c r="E23"/>
  <c r="F23" s="1"/>
  <c r="G22"/>
  <c r="E22"/>
  <c r="F22" s="1"/>
  <c r="G21"/>
  <c r="E21"/>
  <c r="F21" s="1"/>
  <c r="G20"/>
  <c r="E20"/>
  <c r="F20" s="1"/>
  <c r="G19"/>
  <c r="E19"/>
  <c r="F19" s="1"/>
  <c r="G18"/>
  <c r="E18"/>
  <c r="F18" s="1"/>
  <c r="G17"/>
  <c r="E17"/>
  <c r="F17" s="1"/>
  <c r="G14"/>
  <c r="E14"/>
  <c r="F14" s="1"/>
  <c r="G13"/>
  <c r="E13"/>
  <c r="F13" s="1"/>
  <c r="G12"/>
  <c r="E12"/>
  <c r="F12" s="1"/>
  <c r="G11"/>
  <c r="E11"/>
  <c r="F11" s="1"/>
  <c r="G10"/>
  <c r="E10"/>
  <c r="F10" s="1"/>
  <c r="G9"/>
  <c r="E9"/>
  <c r="F9" s="1"/>
  <c r="G8"/>
  <c r="E8"/>
  <c r="F8" s="1"/>
  <c r="G7"/>
  <c r="G29" s="1"/>
  <c r="C19" i="1" s="1"/>
  <c r="E7" i="18"/>
  <c r="F7" s="1"/>
  <c r="G6"/>
  <c r="E6"/>
  <c r="E61" i="17"/>
  <c r="E60"/>
  <c r="E59"/>
  <c r="E58"/>
  <c r="E57"/>
  <c r="E56"/>
  <c r="E55"/>
  <c r="E54"/>
  <c r="E53"/>
  <c r="E52"/>
  <c r="E51"/>
  <c r="E50"/>
  <c r="E49"/>
  <c r="E62" s="1"/>
  <c r="G14"/>
  <c r="E14"/>
  <c r="F14" s="1"/>
  <c r="H14" s="1"/>
  <c r="G13"/>
  <c r="E13"/>
  <c r="F13" s="1"/>
  <c r="G12"/>
  <c r="E12"/>
  <c r="F12" s="1"/>
  <c r="H12" s="1"/>
  <c r="G11"/>
  <c r="E11"/>
  <c r="F11" s="1"/>
  <c r="G10"/>
  <c r="E10"/>
  <c r="F10" s="1"/>
  <c r="H10" s="1"/>
  <c r="G9"/>
  <c r="E9"/>
  <c r="F9" s="1"/>
  <c r="G8"/>
  <c r="E8"/>
  <c r="F8" s="1"/>
  <c r="H8" s="1"/>
  <c r="G7"/>
  <c r="G37" s="1"/>
  <c r="C15" i="1" s="1"/>
  <c r="E7" i="17"/>
  <c r="F7" s="1"/>
  <c r="G6"/>
  <c r="E6"/>
  <c r="F6" s="1"/>
  <c r="E61" i="16"/>
  <c r="E60"/>
  <c r="E59"/>
  <c r="E58"/>
  <c r="E57"/>
  <c r="E56"/>
  <c r="E55"/>
  <c r="E54"/>
  <c r="E53"/>
  <c r="E52"/>
  <c r="E51"/>
  <c r="E50"/>
  <c r="E49"/>
  <c r="G14"/>
  <c r="E14"/>
  <c r="F14" s="1"/>
  <c r="G13"/>
  <c r="E13"/>
  <c r="F13" s="1"/>
  <c r="G12"/>
  <c r="E12"/>
  <c r="F12" s="1"/>
  <c r="G11"/>
  <c r="E11"/>
  <c r="F11" s="1"/>
  <c r="G10"/>
  <c r="E10"/>
  <c r="F10" s="1"/>
  <c r="G9"/>
  <c r="E9"/>
  <c r="F9" s="1"/>
  <c r="G8"/>
  <c r="E8"/>
  <c r="F8" s="1"/>
  <c r="G7"/>
  <c r="E7"/>
  <c r="F7" s="1"/>
  <c r="G6"/>
  <c r="G37" s="1"/>
  <c r="C14" i="1" s="1"/>
  <c r="E6" i="16"/>
  <c r="F6" s="1"/>
  <c r="E61" i="15"/>
  <c r="E60"/>
  <c r="E59"/>
  <c r="E58"/>
  <c r="E57"/>
  <c r="E56"/>
  <c r="E55"/>
  <c r="E54"/>
  <c r="E53"/>
  <c r="E52"/>
  <c r="E51"/>
  <c r="E50"/>
  <c r="E49"/>
  <c r="G14"/>
  <c r="E14"/>
  <c r="F14" s="1"/>
  <c r="G13"/>
  <c r="E13"/>
  <c r="F13" s="1"/>
  <c r="H13" s="1"/>
  <c r="G12"/>
  <c r="E12"/>
  <c r="F12" s="1"/>
  <c r="G11"/>
  <c r="E11"/>
  <c r="F11" s="1"/>
  <c r="H11" s="1"/>
  <c r="G10"/>
  <c r="E10"/>
  <c r="F10" s="1"/>
  <c r="G9"/>
  <c r="E9"/>
  <c r="F9" s="1"/>
  <c r="H9" s="1"/>
  <c r="G8"/>
  <c r="E8"/>
  <c r="F8" s="1"/>
  <c r="G7"/>
  <c r="E7"/>
  <c r="F7" s="1"/>
  <c r="H7" s="1"/>
  <c r="G6"/>
  <c r="G37" s="1"/>
  <c r="C13" i="1" s="1"/>
  <c r="E6" i="15"/>
  <c r="F6" s="1"/>
  <c r="E61" i="14"/>
  <c r="E60"/>
  <c r="E59"/>
  <c r="E58"/>
  <c r="E57"/>
  <c r="E56"/>
  <c r="E55"/>
  <c r="E54"/>
  <c r="E53"/>
  <c r="E52"/>
  <c r="E51"/>
  <c r="E50"/>
  <c r="E49"/>
  <c r="G14"/>
  <c r="E14"/>
  <c r="F14" s="1"/>
  <c r="G13"/>
  <c r="E13"/>
  <c r="F13" s="1"/>
  <c r="G12"/>
  <c r="E12"/>
  <c r="F12" s="1"/>
  <c r="G11"/>
  <c r="E11"/>
  <c r="F11" s="1"/>
  <c r="G10"/>
  <c r="E10"/>
  <c r="F10" s="1"/>
  <c r="G9"/>
  <c r="E9"/>
  <c r="F9" s="1"/>
  <c r="G8"/>
  <c r="E8"/>
  <c r="F8" s="1"/>
  <c r="G7"/>
  <c r="G37" s="1"/>
  <c r="C12" i="1" s="1"/>
  <c r="E7" i="14"/>
  <c r="F7" s="1"/>
  <c r="G6"/>
  <c r="E6"/>
  <c r="F6" s="1"/>
  <c r="E61" i="13"/>
  <c r="E60"/>
  <c r="E59"/>
  <c r="E58"/>
  <c r="E57"/>
  <c r="E56"/>
  <c r="E55"/>
  <c r="E54"/>
  <c r="E53"/>
  <c r="E52"/>
  <c r="E51"/>
  <c r="E50"/>
  <c r="E49"/>
  <c r="E62" s="1"/>
  <c r="G14"/>
  <c r="E14"/>
  <c r="F14" s="1"/>
  <c r="H14" s="1"/>
  <c r="G13"/>
  <c r="E13"/>
  <c r="F13" s="1"/>
  <c r="G12"/>
  <c r="E12"/>
  <c r="F12" s="1"/>
  <c r="H12" s="1"/>
  <c r="G11"/>
  <c r="E11"/>
  <c r="F11" s="1"/>
  <c r="G10"/>
  <c r="E10"/>
  <c r="F10" s="1"/>
  <c r="H10" s="1"/>
  <c r="G9"/>
  <c r="E9"/>
  <c r="F9" s="1"/>
  <c r="G8"/>
  <c r="E8"/>
  <c r="F8" s="1"/>
  <c r="H8" s="1"/>
  <c r="G7"/>
  <c r="G37" s="1"/>
  <c r="C11" i="1" s="1"/>
  <c r="E7" i="13"/>
  <c r="F7" s="1"/>
  <c r="G6"/>
  <c r="E6"/>
  <c r="F6" s="1"/>
  <c r="E53" i="12"/>
  <c r="E52"/>
  <c r="E51"/>
  <c r="E50"/>
  <c r="E49"/>
  <c r="E48"/>
  <c r="E47"/>
  <c r="E46"/>
  <c r="E45"/>
  <c r="E44"/>
  <c r="E43"/>
  <c r="E42"/>
  <c r="E41"/>
  <c r="E54" s="1"/>
  <c r="G28"/>
  <c r="E28"/>
  <c r="F28" s="1"/>
  <c r="G27"/>
  <c r="E27"/>
  <c r="F27" s="1"/>
  <c r="G26"/>
  <c r="E26"/>
  <c r="F26" s="1"/>
  <c r="G25"/>
  <c r="E25"/>
  <c r="F25" s="1"/>
  <c r="G24"/>
  <c r="E24"/>
  <c r="F24" s="1"/>
  <c r="G23"/>
  <c r="E23"/>
  <c r="F23" s="1"/>
  <c r="G22"/>
  <c r="E22"/>
  <c r="F22" s="1"/>
  <c r="G21"/>
  <c r="E21"/>
  <c r="F21" s="1"/>
  <c r="G20"/>
  <c r="E20"/>
  <c r="F20" s="1"/>
  <c r="G19"/>
  <c r="E19"/>
  <c r="F19" s="1"/>
  <c r="G18"/>
  <c r="E18"/>
  <c r="F18" s="1"/>
  <c r="G17"/>
  <c r="E17"/>
  <c r="F17" s="1"/>
  <c r="G14"/>
  <c r="E14"/>
  <c r="F14" s="1"/>
  <c r="G13"/>
  <c r="E13"/>
  <c r="F13" s="1"/>
  <c r="G12"/>
  <c r="E12"/>
  <c r="F12" s="1"/>
  <c r="G11"/>
  <c r="E11"/>
  <c r="F11" s="1"/>
  <c r="G10"/>
  <c r="E10"/>
  <c r="F10" s="1"/>
  <c r="G9"/>
  <c r="E9"/>
  <c r="F9" s="1"/>
  <c r="G8"/>
  <c r="E8"/>
  <c r="F8" s="1"/>
  <c r="G7"/>
  <c r="E7"/>
  <c r="F7" s="1"/>
  <c r="G6"/>
  <c r="G29" s="1"/>
  <c r="C9" i="1" s="1"/>
  <c r="E6" i="12"/>
  <c r="F6" s="1"/>
  <c r="E53" i="11"/>
  <c r="E52"/>
  <c r="E51"/>
  <c r="E50"/>
  <c r="E49"/>
  <c r="E48"/>
  <c r="E47"/>
  <c r="E46"/>
  <c r="E45"/>
  <c r="E44"/>
  <c r="E43"/>
  <c r="E42"/>
  <c r="E41"/>
  <c r="G28"/>
  <c r="E28"/>
  <c r="F28" s="1"/>
  <c r="G27"/>
  <c r="E27"/>
  <c r="F27" s="1"/>
  <c r="H27" s="1"/>
  <c r="G26"/>
  <c r="E26"/>
  <c r="F26" s="1"/>
  <c r="G25"/>
  <c r="E25"/>
  <c r="F25" s="1"/>
  <c r="H25" s="1"/>
  <c r="G24"/>
  <c r="E24"/>
  <c r="F24" s="1"/>
  <c r="G23"/>
  <c r="E23"/>
  <c r="F23" s="1"/>
  <c r="H23" s="1"/>
  <c r="G22"/>
  <c r="E22"/>
  <c r="F22" s="1"/>
  <c r="G21"/>
  <c r="E21"/>
  <c r="F21" s="1"/>
  <c r="H21" s="1"/>
  <c r="G20"/>
  <c r="E20"/>
  <c r="F20" s="1"/>
  <c r="G19"/>
  <c r="E19"/>
  <c r="F19" s="1"/>
  <c r="H19" s="1"/>
  <c r="G18"/>
  <c r="E18"/>
  <c r="F18" s="1"/>
  <c r="G17"/>
  <c r="E17"/>
  <c r="F17" s="1"/>
  <c r="H17" s="1"/>
  <c r="G14"/>
  <c r="E14"/>
  <c r="F14" s="1"/>
  <c r="G13"/>
  <c r="E13"/>
  <c r="F13" s="1"/>
  <c r="H13" s="1"/>
  <c r="G12"/>
  <c r="E12"/>
  <c r="F12" s="1"/>
  <c r="G11"/>
  <c r="E11"/>
  <c r="F11" s="1"/>
  <c r="H11" s="1"/>
  <c r="G10"/>
  <c r="E10"/>
  <c r="F10" s="1"/>
  <c r="G9"/>
  <c r="E9"/>
  <c r="F9" s="1"/>
  <c r="H9" s="1"/>
  <c r="G8"/>
  <c r="E8"/>
  <c r="F8" s="1"/>
  <c r="G7"/>
  <c r="E7"/>
  <c r="F7" s="1"/>
  <c r="H7" s="1"/>
  <c r="G6"/>
  <c r="G29" s="1"/>
  <c r="C23" i="1" s="1"/>
  <c r="E6" i="11"/>
  <c r="F6" s="1"/>
  <c r="E53" i="10"/>
  <c r="E52"/>
  <c r="E51"/>
  <c r="E50"/>
  <c r="E49"/>
  <c r="E48"/>
  <c r="E47"/>
  <c r="E46"/>
  <c r="E45"/>
  <c r="E44"/>
  <c r="E43"/>
  <c r="E42"/>
  <c r="E41"/>
  <c r="G28"/>
  <c r="E28"/>
  <c r="F28" s="1"/>
  <c r="G27"/>
  <c r="E27"/>
  <c r="F27" s="1"/>
  <c r="G26"/>
  <c r="E26"/>
  <c r="F26" s="1"/>
  <c r="G25"/>
  <c r="E25"/>
  <c r="F25" s="1"/>
  <c r="G24"/>
  <c r="E24"/>
  <c r="F24" s="1"/>
  <c r="G23"/>
  <c r="E23"/>
  <c r="F23" s="1"/>
  <c r="G22"/>
  <c r="E22"/>
  <c r="F22" s="1"/>
  <c r="H21"/>
  <c r="G21"/>
  <c r="F21"/>
  <c r="E21"/>
  <c r="H20"/>
  <c r="G20"/>
  <c r="F20"/>
  <c r="E20"/>
  <c r="H19"/>
  <c r="G19"/>
  <c r="F19"/>
  <c r="E19"/>
  <c r="H18"/>
  <c r="G18"/>
  <c r="F18"/>
  <c r="E18"/>
  <c r="H17"/>
  <c r="G17"/>
  <c r="F17"/>
  <c r="E17"/>
  <c r="H14"/>
  <c r="G14"/>
  <c r="F14"/>
  <c r="E14"/>
  <c r="H13"/>
  <c r="G13"/>
  <c r="F13"/>
  <c r="E13"/>
  <c r="H12"/>
  <c r="G12"/>
  <c r="F12"/>
  <c r="E12"/>
  <c r="H11"/>
  <c r="G11"/>
  <c r="F11"/>
  <c r="E11"/>
  <c r="G10"/>
  <c r="E10"/>
  <c r="F10" s="1"/>
  <c r="H10" s="1"/>
  <c r="H9"/>
  <c r="G9"/>
  <c r="F9"/>
  <c r="E9"/>
  <c r="H8"/>
  <c r="G8"/>
  <c r="F8"/>
  <c r="E8"/>
  <c r="H7"/>
  <c r="G7"/>
  <c r="F7"/>
  <c r="E7"/>
  <c r="H6"/>
  <c r="G6"/>
  <c r="F6"/>
  <c r="E6"/>
  <c r="E53" i="9"/>
  <c r="E52"/>
  <c r="E51"/>
  <c r="E50"/>
  <c r="E49"/>
  <c r="E48"/>
  <c r="E47"/>
  <c r="E46"/>
  <c r="E45"/>
  <c r="E44"/>
  <c r="E43"/>
  <c r="E42"/>
  <c r="E54" s="1"/>
  <c r="E41"/>
  <c r="G28"/>
  <c r="F28"/>
  <c r="H28" s="1"/>
  <c r="E28"/>
  <c r="G27"/>
  <c r="F27"/>
  <c r="H27" s="1"/>
  <c r="E27"/>
  <c r="G26"/>
  <c r="F26"/>
  <c r="H26" s="1"/>
  <c r="E26"/>
  <c r="G25"/>
  <c r="F25"/>
  <c r="H25" s="1"/>
  <c r="E25"/>
  <c r="G24"/>
  <c r="F24"/>
  <c r="H24" s="1"/>
  <c r="E24"/>
  <c r="G23"/>
  <c r="F23"/>
  <c r="H23" s="1"/>
  <c r="E23"/>
  <c r="G22"/>
  <c r="F22"/>
  <c r="H22" s="1"/>
  <c r="E22"/>
  <c r="G21"/>
  <c r="F21"/>
  <c r="H21" s="1"/>
  <c r="E21"/>
  <c r="G20"/>
  <c r="F20"/>
  <c r="H20" s="1"/>
  <c r="E20"/>
  <c r="G19"/>
  <c r="F19"/>
  <c r="H19" s="1"/>
  <c r="E19"/>
  <c r="G18"/>
  <c r="F18"/>
  <c r="H18" s="1"/>
  <c r="E18"/>
  <c r="G17"/>
  <c r="F17"/>
  <c r="H17" s="1"/>
  <c r="E17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F10"/>
  <c r="H10" s="1"/>
  <c r="E10"/>
  <c r="G9"/>
  <c r="F9"/>
  <c r="H9" s="1"/>
  <c r="E9"/>
  <c r="G8"/>
  <c r="F8"/>
  <c r="H8" s="1"/>
  <c r="E8"/>
  <c r="G7"/>
  <c r="F7"/>
  <c r="H7" s="1"/>
  <c r="E7"/>
  <c r="G6"/>
  <c r="G29" s="1"/>
  <c r="C6" i="1" s="1"/>
  <c r="F6" i="9"/>
  <c r="H6" s="1"/>
  <c r="E6"/>
  <c r="E29" s="1"/>
  <c r="E61" i="8"/>
  <c r="E60"/>
  <c r="E59"/>
  <c r="E58"/>
  <c r="E57"/>
  <c r="E56"/>
  <c r="E55"/>
  <c r="E54"/>
  <c r="E53"/>
  <c r="E52"/>
  <c r="E51"/>
  <c r="E50"/>
  <c r="E49"/>
  <c r="C45"/>
  <c r="G14"/>
  <c r="E14"/>
  <c r="F14" s="1"/>
  <c r="H14" s="1"/>
  <c r="G13"/>
  <c r="E13"/>
  <c r="F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53" i="7"/>
  <c r="E52"/>
  <c r="E51"/>
  <c r="E50"/>
  <c r="E49"/>
  <c r="E48"/>
  <c r="E47"/>
  <c r="E46"/>
  <c r="E45"/>
  <c r="E44"/>
  <c r="E43"/>
  <c r="E42"/>
  <c r="E41"/>
  <c r="C37"/>
  <c r="H28"/>
  <c r="G28"/>
  <c r="F28"/>
  <c r="E28"/>
  <c r="H27"/>
  <c r="G27"/>
  <c r="F27"/>
  <c r="E27"/>
  <c r="H26"/>
  <c r="G26"/>
  <c r="F26"/>
  <c r="E26"/>
  <c r="H25"/>
  <c r="G25"/>
  <c r="F25"/>
  <c r="E25"/>
  <c r="H24"/>
  <c r="G24"/>
  <c r="F24"/>
  <c r="E24"/>
  <c r="H23"/>
  <c r="G23"/>
  <c r="F23"/>
  <c r="E23"/>
  <c r="H22"/>
  <c r="G22"/>
  <c r="F22"/>
  <c r="E22"/>
  <c r="H21"/>
  <c r="G21"/>
  <c r="F21"/>
  <c r="E21"/>
  <c r="H20"/>
  <c r="G20"/>
  <c r="F20"/>
  <c r="E20"/>
  <c r="G19"/>
  <c r="E19"/>
  <c r="F19" s="1"/>
  <c r="G18"/>
  <c r="E18"/>
  <c r="F18" s="1"/>
  <c r="G17"/>
  <c r="H17" s="1"/>
  <c r="H14"/>
  <c r="G14"/>
  <c r="F14"/>
  <c r="E14"/>
  <c r="G13"/>
  <c r="F13"/>
  <c r="H13" s="1"/>
  <c r="E13"/>
  <c r="H12"/>
  <c r="G12"/>
  <c r="F12"/>
  <c r="E12"/>
  <c r="H11"/>
  <c r="G11"/>
  <c r="F11"/>
  <c r="E11"/>
  <c r="G10"/>
  <c r="E10"/>
  <c r="F10" s="1"/>
  <c r="H10" s="1"/>
  <c r="H9"/>
  <c r="G9"/>
  <c r="F9"/>
  <c r="E9"/>
  <c r="H8"/>
  <c r="G8"/>
  <c r="F8"/>
  <c r="E8"/>
  <c r="G7"/>
  <c r="E7"/>
  <c r="F7" s="1"/>
  <c r="H7" s="1"/>
  <c r="G6"/>
  <c r="E6"/>
  <c r="F6" s="1"/>
  <c r="H6" s="1"/>
  <c r="E61" i="6"/>
  <c r="E60"/>
  <c r="E59"/>
  <c r="E58"/>
  <c r="E57"/>
  <c r="E56"/>
  <c r="E55"/>
  <c r="E54"/>
  <c r="E53"/>
  <c r="E52"/>
  <c r="E51"/>
  <c r="E50"/>
  <c r="E49"/>
  <c r="C45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G37" s="1"/>
  <c r="C5" i="1" s="1"/>
  <c r="F6" i="6"/>
  <c r="H6" s="1"/>
  <c r="E6"/>
  <c r="E53" i="5"/>
  <c r="E52"/>
  <c r="E51"/>
  <c r="E50"/>
  <c r="E49"/>
  <c r="E48"/>
  <c r="E47"/>
  <c r="E46"/>
  <c r="E45"/>
  <c r="E44"/>
  <c r="E43"/>
  <c r="E42"/>
  <c r="E41"/>
  <c r="E54" s="1"/>
  <c r="E53" i="4"/>
  <c r="E52"/>
  <c r="E51"/>
  <c r="E50"/>
  <c r="E49"/>
  <c r="E48"/>
  <c r="E47"/>
  <c r="E46"/>
  <c r="E45"/>
  <c r="E44"/>
  <c r="E43"/>
  <c r="E42"/>
  <c r="E54" s="1"/>
  <c r="E41"/>
  <c r="E53" i="3"/>
  <c r="E52"/>
  <c r="E51"/>
  <c r="E50"/>
  <c r="E49"/>
  <c r="E48"/>
  <c r="E47"/>
  <c r="E46"/>
  <c r="E45"/>
  <c r="E44"/>
  <c r="E43"/>
  <c r="E42"/>
  <c r="E41"/>
  <c r="E54" s="1"/>
  <c r="E53" i="2"/>
  <c r="E52"/>
  <c r="E51"/>
  <c r="E50"/>
  <c r="E49"/>
  <c r="E48"/>
  <c r="E47"/>
  <c r="E46"/>
  <c r="E45"/>
  <c r="E44"/>
  <c r="E43"/>
  <c r="E42"/>
  <c r="E54" s="1"/>
  <c r="E41"/>
  <c r="C35" i="1"/>
  <c r="E29"/>
  <c r="D29"/>
  <c r="F28"/>
  <c r="F27"/>
  <c r="F26"/>
  <c r="F25"/>
  <c r="J24"/>
  <c r="I24"/>
  <c r="H24"/>
  <c r="G24"/>
  <c r="C24"/>
  <c r="B24"/>
  <c r="F24" s="1"/>
  <c r="J23"/>
  <c r="I23"/>
  <c r="H23"/>
  <c r="G23"/>
  <c r="J22"/>
  <c r="I22"/>
  <c r="H22"/>
  <c r="G22"/>
  <c r="C22"/>
  <c r="J21"/>
  <c r="I21"/>
  <c r="H21"/>
  <c r="G21"/>
  <c r="C21"/>
  <c r="J20"/>
  <c r="I20"/>
  <c r="H20"/>
  <c r="G20"/>
  <c r="J19"/>
  <c r="I19"/>
  <c r="H19"/>
  <c r="G19"/>
  <c r="J18"/>
  <c r="I18"/>
  <c r="H18"/>
  <c r="G18"/>
  <c r="C18"/>
  <c r="J17"/>
  <c r="I17"/>
  <c r="H17"/>
  <c r="G17"/>
  <c r="C17"/>
  <c r="J16"/>
  <c r="I16"/>
  <c r="H16"/>
  <c r="G16"/>
  <c r="C16"/>
  <c r="J15"/>
  <c r="I15"/>
  <c r="H15"/>
  <c r="G15"/>
  <c r="J14"/>
  <c r="I14"/>
  <c r="H14"/>
  <c r="G14"/>
  <c r="J13"/>
  <c r="I13"/>
  <c r="H13"/>
  <c r="G13"/>
  <c r="J12"/>
  <c r="I12"/>
  <c r="H12"/>
  <c r="G12"/>
  <c r="J11"/>
  <c r="I11"/>
  <c r="H11"/>
  <c r="G11"/>
  <c r="J10"/>
  <c r="I10"/>
  <c r="H10"/>
  <c r="G10"/>
  <c r="J9"/>
  <c r="I9"/>
  <c r="H9"/>
  <c r="G9"/>
  <c r="J8"/>
  <c r="I8"/>
  <c r="H8"/>
  <c r="G8"/>
  <c r="J7"/>
  <c r="I7"/>
  <c r="H7"/>
  <c r="G7"/>
  <c r="J6"/>
  <c r="I6"/>
  <c r="H6"/>
  <c r="G6"/>
  <c r="J5"/>
  <c r="I5"/>
  <c r="H5"/>
  <c r="G5"/>
  <c r="H18" i="7" l="1"/>
  <c r="H19"/>
  <c r="G29"/>
  <c r="C8" i="1" s="1"/>
  <c r="E29" i="7"/>
  <c r="F29"/>
  <c r="B8" i="1" s="1"/>
  <c r="H13" i="8"/>
  <c r="E62"/>
  <c r="H10"/>
  <c r="G37"/>
  <c r="C7" i="1" s="1"/>
  <c r="H29"/>
  <c r="C34" s="1"/>
  <c r="C37" s="1"/>
  <c r="I29"/>
  <c r="G29"/>
  <c r="J29"/>
  <c r="G29" i="10"/>
  <c r="C10" i="1" s="1"/>
  <c r="E54" i="7"/>
  <c r="E37" i="6"/>
  <c r="E62"/>
  <c r="F37" i="8"/>
  <c r="B7" i="1" s="1"/>
  <c r="F7" s="1"/>
  <c r="H6" i="8"/>
  <c r="H37" i="6"/>
  <c r="F37" i="13"/>
  <c r="B11" i="1" s="1"/>
  <c r="F11" s="1"/>
  <c r="H6" i="13"/>
  <c r="F37" i="17"/>
  <c r="B15" i="1" s="1"/>
  <c r="F15" s="1"/>
  <c r="H6" i="17"/>
  <c r="H6" i="12"/>
  <c r="F29"/>
  <c r="F29" i="11"/>
  <c r="H6"/>
  <c r="F37" i="15"/>
  <c r="B13" i="1" s="1"/>
  <c r="F13" s="1"/>
  <c r="H6" i="15"/>
  <c r="E37" i="8"/>
  <c r="F29" i="9"/>
  <c r="E37" i="15"/>
  <c r="D9" i="26"/>
  <c r="H27" i="10"/>
  <c r="H12" i="12"/>
  <c r="H18"/>
  <c r="H24"/>
  <c r="H28"/>
  <c r="H7" i="14"/>
  <c r="H11"/>
  <c r="H8" i="16"/>
  <c r="H14"/>
  <c r="H11" i="18"/>
  <c r="H17"/>
  <c r="H23"/>
  <c r="D4" i="26"/>
  <c r="D8"/>
  <c r="D16"/>
  <c r="F29" i="10"/>
  <c r="H8" i="11"/>
  <c r="H10"/>
  <c r="H12"/>
  <c r="H14"/>
  <c r="H18"/>
  <c r="H20"/>
  <c r="H22"/>
  <c r="H24"/>
  <c r="H26"/>
  <c r="H28"/>
  <c r="E54"/>
  <c r="H7" i="13"/>
  <c r="H9"/>
  <c r="H11"/>
  <c r="H13"/>
  <c r="E37"/>
  <c r="H8" i="15"/>
  <c r="H10"/>
  <c r="H12"/>
  <c r="H14"/>
  <c r="E62"/>
  <c r="H7" i="17"/>
  <c r="H9"/>
  <c r="H11"/>
  <c r="H13"/>
  <c r="E37"/>
  <c r="D7" i="26"/>
  <c r="D11"/>
  <c r="D15"/>
  <c r="H6" i="16"/>
  <c r="F37"/>
  <c r="B14" i="1" s="1"/>
  <c r="F14" s="1"/>
  <c r="H6" i="14"/>
  <c r="F37"/>
  <c r="B12" i="1" s="1"/>
  <c r="F12" s="1"/>
  <c r="E29" i="18"/>
  <c r="F6"/>
  <c r="F37" i="19"/>
  <c r="B16" i="1" s="1"/>
  <c r="F16" s="1"/>
  <c r="H6" i="19"/>
  <c r="H37" s="1"/>
  <c r="E29" i="11"/>
  <c r="D5" i="26"/>
  <c r="D13"/>
  <c r="F37" i="6"/>
  <c r="B5" i="1" s="1"/>
  <c r="H23" i="10"/>
  <c r="H25"/>
  <c r="E29"/>
  <c r="H8" i="12"/>
  <c r="H10"/>
  <c r="H14"/>
  <c r="H20"/>
  <c r="H22"/>
  <c r="H26"/>
  <c r="H9" i="14"/>
  <c r="H13"/>
  <c r="E37"/>
  <c r="H10" i="16"/>
  <c r="H12"/>
  <c r="E62"/>
  <c r="H7" i="18"/>
  <c r="H9"/>
  <c r="H13"/>
  <c r="H19"/>
  <c r="H21"/>
  <c r="H25"/>
  <c r="H27"/>
  <c r="E37" i="19"/>
  <c r="D12" i="26"/>
  <c r="H22" i="10"/>
  <c r="H24"/>
  <c r="H26"/>
  <c r="H28"/>
  <c r="E54"/>
  <c r="H7" i="12"/>
  <c r="H9"/>
  <c r="H11"/>
  <c r="H13"/>
  <c r="H17"/>
  <c r="H19"/>
  <c r="H21"/>
  <c r="H23"/>
  <c r="H25"/>
  <c r="H27"/>
  <c r="E29"/>
  <c r="H8" i="14"/>
  <c r="H10"/>
  <c r="H12"/>
  <c r="H14"/>
  <c r="E62"/>
  <c r="H7" i="16"/>
  <c r="H9"/>
  <c r="H11"/>
  <c r="H13"/>
  <c r="E37"/>
  <c r="H8" i="18"/>
  <c r="H10"/>
  <c r="H12"/>
  <c r="H14"/>
  <c r="H18"/>
  <c r="H20"/>
  <c r="H22"/>
  <c r="H24"/>
  <c r="H26"/>
  <c r="H28"/>
  <c r="D6" i="26"/>
  <c r="D10"/>
  <c r="D14"/>
  <c r="F6" i="20"/>
  <c r="F6" i="22"/>
  <c r="F6" i="24"/>
  <c r="E54"/>
  <c r="F6" i="21"/>
  <c r="F6" i="23"/>
  <c r="F8" i="1" l="1"/>
  <c r="H29" i="7"/>
  <c r="H37" i="8"/>
  <c r="C29" i="1"/>
  <c r="H29" i="10"/>
  <c r="B10" i="1"/>
  <c r="F10" s="1"/>
  <c r="H29" i="12"/>
  <c r="B9" i="1"/>
  <c r="F9" s="1"/>
  <c r="H6" i="20"/>
  <c r="F29"/>
  <c r="H29" i="11"/>
  <c r="B23" i="1"/>
  <c r="F23" s="1"/>
  <c r="H37" i="13"/>
  <c r="D17" i="26"/>
  <c r="F29" i="21"/>
  <c r="H6"/>
  <c r="F5" i="1"/>
  <c r="H29" i="9"/>
  <c r="B6" i="1"/>
  <c r="F6" s="1"/>
  <c r="H37" i="14"/>
  <c r="H37" i="16"/>
  <c r="H37" i="17"/>
  <c r="F29" i="23"/>
  <c r="H6"/>
  <c r="H6" i="22"/>
  <c r="F29"/>
  <c r="H6" i="24"/>
  <c r="F29"/>
  <c r="H6" i="18"/>
  <c r="F29"/>
  <c r="H37" i="15"/>
  <c r="H29" i="20" l="1"/>
  <c r="B17" i="1"/>
  <c r="F17" s="1"/>
  <c r="H29" i="24"/>
  <c r="B22" i="1"/>
  <c r="F22" s="1"/>
  <c r="H29" i="18"/>
  <c r="B19" i="1"/>
  <c r="F19" s="1"/>
  <c r="H29" i="22"/>
  <c r="B20" i="1"/>
  <c r="F20" s="1"/>
  <c r="H29" i="21"/>
  <c r="B18" i="1"/>
  <c r="F18" s="1"/>
  <c r="H29" i="23"/>
  <c r="B21" i="1"/>
  <c r="F21" s="1"/>
  <c r="F29" l="1"/>
  <c r="C33" s="1"/>
  <c r="C36" s="1"/>
  <c r="B29"/>
  <c r="C32" s="1"/>
</calcChain>
</file>

<file path=xl/sharedStrings.xml><?xml version="1.0" encoding="utf-8"?>
<sst xmlns="http://schemas.openxmlformats.org/spreadsheetml/2006/main" count="1779" uniqueCount="88">
  <si>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</si>
  <si>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</si>
  <si>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</si>
  <si>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</si>
  <si>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</si>
  <si>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</si>
  <si>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</si>
  <si>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</si>
  <si>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</si>
  <si>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</si>
  <si>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</si>
  <si>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</si>
  <si>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</si>
  <si>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</si>
  <si>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</si>
  <si>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</si>
  <si>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</si>
  <si>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</si>
  <si>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</si>
  <si>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</si>
  <si>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</si>
  <si>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</si>
  <si>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</si>
  <si>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</si>
  <si>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</si>
  <si>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</si>
  <si>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</si>
  <si>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</si>
  <si>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</si>
  <si>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</si>
  <si>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</si>
  <si>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</si>
  <si>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</si>
  <si>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</si>
  <si>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</si>
  <si>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</si>
  <si>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</si>
  <si>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</si>
  <si>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</si>
  <si>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</si>
  <si>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</si>
  <si>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</si>
  <si>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</si>
  <si>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</si>
  <si>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</si>
  <si>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</si>
  <si>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</si>
  <si>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</si>
  <si>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</si>
  <si>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</si>
  <si>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</si>
  <si>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</si>
  <si>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</si>
  <si>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</si>
  <si>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</si>
  <si>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</si>
  <si>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</si>
  <si>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</si>
  <si>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</si>
  <si>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</si>
  <si>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</si>
  <si>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</si>
  <si>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</si>
  <si>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</si>
  <si>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</si>
  <si>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</si>
  <si>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</si>
  <si>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</si>
  <si>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</si>
  <si>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</si>
  <si>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</si>
  <si>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</si>
  <si>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</si>
  <si>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</si>
  <si>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</si>
  <si>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</si>
  <si>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</si>
  <si>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</si>
  <si>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</si>
  <si>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</si>
  <si>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</si>
  <si>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</si>
  <si>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</si>
  <si>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</si>
  <si>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IBIPANDE BYA PINUS</t>
  </si>
  <si>
    <t>DECHETS OF PLANCHE</t>
  </si>
  <si>
    <t xml:space="preserve">IBIPANDE </t>
  </si>
  <si>
    <t>QUATARY REPORT FROM JANUARY TO MARCH 2026</t>
  </si>
</sst>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0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0" fontId="2" fillId="0" borderId="48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0" fontId="2" fillId="0" borderId="38" xfId="0" applyFont="1" applyBorder="1"/>
    <xf numFmtId="164" fontId="3" fillId="0" borderId="42" xfId="0" applyNumberFormat="1" applyFont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2" fillId="2" borderId="42" xfId="0" applyNumberFormat="1" applyFont="1" applyFill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0" fontId="18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6" fillId="4" borderId="42" xfId="0" applyNumberFormat="1" applyFont="1" applyFill="1" applyBorder="1" applyAlignment="1">
      <alignment horizontal="center"/>
    </xf>
    <xf numFmtId="0" fontId="14" fillId="0" borderId="42" xfId="0" applyFont="1" applyBorder="1" applyAlignment="1">
      <alignment horizontal="left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0" fontId="15" fillId="0" borderId="24" xfId="0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164" fontId="15" fillId="0" borderId="59" xfId="0" applyNumberFormat="1" applyFont="1" applyBorder="1" applyAlignment="1">
      <alignment horizontal="left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7" fillId="0" borderId="39" xfId="0" applyNumberFormat="1" applyFont="1" applyBorder="1" applyAlignment="1">
      <alignment horizontal="center"/>
    </xf>
    <xf numFmtId="164" fontId="15" fillId="0" borderId="42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24" fillId="0" borderId="42" xfId="0" applyNumberFormat="1" applyFont="1" applyBorder="1" applyAlignment="1">
      <alignment horizontal="center"/>
    </xf>
    <xf numFmtId="164" fontId="25" fillId="2" borderId="42" xfId="0" applyNumberFormat="1" applyFont="1" applyFill="1" applyBorder="1" applyAlignment="1">
      <alignment horizontal="center"/>
    </xf>
    <xf numFmtId="0" fontId="23" fillId="2" borderId="42" xfId="0" applyFont="1" applyFill="1" applyBorder="1" applyAlignment="1">
      <alignment horizontal="left"/>
    </xf>
    <xf numFmtId="0" fontId="20" fillId="2" borderId="42" xfId="0" applyFont="1" applyFill="1" applyBorder="1" applyAlignment="1">
      <alignment horizontal="left"/>
    </xf>
    <xf numFmtId="164" fontId="22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O238"/>
  <sheetViews>
    <sheetView topLeftCell="A45"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02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4"/>
      <c r="L1" s="1"/>
      <c r="M1" s="1"/>
      <c r="N1" s="1"/>
      <c r="O1" s="1"/>
    </row>
    <row r="2" spans="1:15" ht="30.75" customHeight="1">
      <c r="A2" s="105" t="s">
        <v>1</v>
      </c>
      <c r="B2" s="106"/>
      <c r="C2" s="106"/>
      <c r="D2" s="106"/>
      <c r="E2" s="106"/>
      <c r="F2" s="106"/>
      <c r="G2" s="106"/>
      <c r="H2" s="106"/>
      <c r="I2" s="106"/>
      <c r="J2" s="106"/>
      <c r="K2" s="107"/>
      <c r="L2" s="1"/>
      <c r="M2" s="1"/>
      <c r="N2" s="1"/>
      <c r="O2" s="1"/>
    </row>
    <row r="3" spans="1:15" ht="15" customHeight="1">
      <c r="A3" s="108"/>
      <c r="B3" s="109"/>
      <c r="C3" s="109"/>
      <c r="D3" s="109"/>
      <c r="E3" s="109"/>
      <c r="F3" s="109"/>
      <c r="G3" s="109"/>
      <c r="H3" s="109"/>
      <c r="I3" s="109"/>
      <c r="J3" s="109"/>
      <c r="K3" s="110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162000</v>
      </c>
      <c r="C5" s="12">
        <f>GISOZI!G37</f>
        <v>15000</v>
      </c>
      <c r="D5" s="13"/>
      <c r="E5" s="12"/>
      <c r="F5" s="14">
        <f t="shared" ref="F5:F28" si="0">SUM(B5:C5)</f>
        <v>177000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0</v>
      </c>
      <c r="C7" s="18">
        <f>KIMIRONKO!G37</f>
        <v>0</v>
      </c>
      <c r="D7" s="19"/>
      <c r="E7" s="18"/>
      <c r="F7" s="14">
        <f t="shared" si="0"/>
        <v>0</v>
      </c>
      <c r="G7" s="18">
        <f>KIMIRONKO!C41</f>
        <v>0</v>
      </c>
      <c r="H7" s="18">
        <f>KIMIRONKO!C39</f>
        <v>0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15558068.135593221</v>
      </c>
      <c r="C8" s="18">
        <f>BISHENYI!G29</f>
        <v>1297180</v>
      </c>
      <c r="D8" s="19"/>
      <c r="E8" s="18"/>
      <c r="F8" s="14">
        <f t="shared" si="0"/>
        <v>16855248.135593221</v>
      </c>
      <c r="G8" s="17">
        <f>BISHENYI!C33</f>
        <v>0</v>
      </c>
      <c r="H8" s="18">
        <f>BISHENYI!C31</f>
        <v>16855468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162000</v>
      </c>
      <c r="C10" s="18">
        <f>BUGESERA!G29</f>
        <v>15000</v>
      </c>
      <c r="D10" s="19"/>
      <c r="E10" s="18"/>
      <c r="F10" s="14">
        <f t="shared" si="0"/>
        <v>177000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15882068.135593221</v>
      </c>
      <c r="C29" s="33">
        <f t="shared" si="1"/>
        <v>1327180</v>
      </c>
      <c r="D29" s="34">
        <f t="shared" si="1"/>
        <v>0</v>
      </c>
      <c r="E29" s="33">
        <f t="shared" si="1"/>
        <v>0</v>
      </c>
      <c r="F29" s="33">
        <f t="shared" si="1"/>
        <v>17209248.135593221</v>
      </c>
      <c r="G29" s="34">
        <f t="shared" si="1"/>
        <v>0</v>
      </c>
      <c r="H29" s="34">
        <f t="shared" si="1"/>
        <v>16855468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29"/>
      <c r="B30" s="121"/>
      <c r="C30" s="121"/>
      <c r="D30" s="122"/>
      <c r="E30" s="124" t="s">
        <v>32</v>
      </c>
      <c r="F30" s="118"/>
      <c r="G30" s="118"/>
      <c r="H30" s="118"/>
      <c r="I30" s="112"/>
      <c r="J30" s="111"/>
      <c r="K30" s="112"/>
      <c r="L30" s="1"/>
      <c r="M30" s="1"/>
      <c r="N30" s="1"/>
      <c r="O30" s="1"/>
    </row>
    <row r="31" spans="1:15" ht="18" customHeight="1">
      <c r="A31" s="127" t="s">
        <v>33</v>
      </c>
      <c r="B31" s="121"/>
      <c r="C31" s="121"/>
      <c r="D31" s="128"/>
      <c r="E31" s="113"/>
      <c r="F31" s="125"/>
      <c r="G31" s="125"/>
      <c r="H31" s="125"/>
      <c r="I31" s="114"/>
      <c r="J31" s="113"/>
      <c r="K31" s="114"/>
      <c r="L31" s="1"/>
      <c r="M31" s="1"/>
      <c r="N31" s="1"/>
      <c r="O31" s="1"/>
    </row>
    <row r="32" spans="1:15" ht="18" customHeight="1">
      <c r="A32" s="130" t="s">
        <v>34</v>
      </c>
      <c r="B32" s="122"/>
      <c r="C32" s="126">
        <f>SUM(B29:C29)</f>
        <v>17209248.135593221</v>
      </c>
      <c r="D32" s="118"/>
      <c r="E32" s="113"/>
      <c r="F32" s="125"/>
      <c r="G32" s="125"/>
      <c r="H32" s="125"/>
      <c r="I32" s="114"/>
      <c r="J32" s="113"/>
      <c r="K32" s="114"/>
      <c r="L32" s="1"/>
      <c r="M32" s="1"/>
      <c r="N32" s="1"/>
      <c r="O32" s="1"/>
    </row>
    <row r="33" spans="1:15" ht="18" customHeight="1">
      <c r="A33" s="130" t="s">
        <v>35</v>
      </c>
      <c r="B33" s="122"/>
      <c r="C33" s="123">
        <f>SUM(F29,G29)</f>
        <v>17209248.135593221</v>
      </c>
      <c r="D33" s="121"/>
      <c r="E33" s="113"/>
      <c r="F33" s="125"/>
      <c r="G33" s="125"/>
      <c r="H33" s="125"/>
      <c r="I33" s="114"/>
      <c r="J33" s="113"/>
      <c r="K33" s="114"/>
      <c r="L33" s="1"/>
      <c r="M33" s="1"/>
      <c r="N33" s="1"/>
      <c r="O33" s="1"/>
    </row>
    <row r="34" spans="1:15" ht="18" customHeight="1">
      <c r="A34" s="130" t="s">
        <v>36</v>
      </c>
      <c r="B34" s="122"/>
      <c r="C34" s="123">
        <f>SUM(H29,J29,I29)</f>
        <v>16855468</v>
      </c>
      <c r="D34" s="122"/>
      <c r="E34" s="113"/>
      <c r="F34" s="125"/>
      <c r="G34" s="125"/>
      <c r="H34" s="125"/>
      <c r="I34" s="114"/>
      <c r="J34" s="113"/>
      <c r="K34" s="114"/>
      <c r="L34" s="1"/>
      <c r="M34" s="1"/>
      <c r="N34" s="1"/>
      <c r="O34" s="1"/>
    </row>
    <row r="35" spans="1:15" ht="18" customHeight="1">
      <c r="A35" s="130" t="s">
        <v>37</v>
      </c>
      <c r="B35" s="122"/>
      <c r="C35" s="123">
        <f>SUM(D29:E29)</f>
        <v>0</v>
      </c>
      <c r="D35" s="122"/>
      <c r="E35" s="115"/>
      <c r="F35" s="119"/>
      <c r="G35" s="119"/>
      <c r="H35" s="119"/>
      <c r="I35" s="116"/>
      <c r="J35" s="113"/>
      <c r="K35" s="114"/>
      <c r="L35" s="1"/>
      <c r="M35" s="1"/>
      <c r="N35" s="1"/>
      <c r="O35" s="1"/>
    </row>
    <row r="36" spans="1:15" ht="18" customHeight="1">
      <c r="A36" s="130" t="s">
        <v>38</v>
      </c>
      <c r="B36" s="122"/>
      <c r="C36" s="123">
        <f>SUM(C33,C35)</f>
        <v>17209248.135593221</v>
      </c>
      <c r="D36" s="122"/>
      <c r="E36" s="117" t="s">
        <v>39</v>
      </c>
      <c r="F36" s="118"/>
      <c r="G36" s="118"/>
      <c r="H36" s="118"/>
      <c r="I36" s="112"/>
      <c r="J36" s="113"/>
      <c r="K36" s="114"/>
      <c r="L36" s="1"/>
      <c r="M36" s="1"/>
      <c r="N36" s="1"/>
      <c r="O36" s="1"/>
    </row>
    <row r="37" spans="1:15" ht="18" customHeight="1">
      <c r="A37" s="131" t="s">
        <v>40</v>
      </c>
      <c r="B37" s="116"/>
      <c r="C37" s="123">
        <f>SUM(C34:C35)</f>
        <v>16855468</v>
      </c>
      <c r="D37" s="122"/>
      <c r="E37" s="115"/>
      <c r="F37" s="119"/>
      <c r="G37" s="119"/>
      <c r="H37" s="119"/>
      <c r="I37" s="116"/>
      <c r="J37" s="113"/>
      <c r="K37" s="114"/>
      <c r="L37" s="1"/>
      <c r="M37" s="1"/>
      <c r="N37" s="1"/>
      <c r="O37" s="1"/>
    </row>
    <row r="38" spans="1:15" ht="18" customHeight="1">
      <c r="A38" s="120" t="s">
        <v>41</v>
      </c>
      <c r="B38" s="121"/>
      <c r="C38" s="121"/>
      <c r="D38" s="121"/>
      <c r="E38" s="121"/>
      <c r="F38" s="121"/>
      <c r="G38" s="121"/>
      <c r="H38" s="121"/>
      <c r="I38" s="122"/>
      <c r="J38" s="115"/>
      <c r="K38" s="116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0"/>
  <sheetViews>
    <sheetView workbookViewId="0">
      <selection activeCell="C9" sqref="C9:D9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36" t="s">
        <v>42</v>
      </c>
      <c r="B1" s="118"/>
      <c r="C1" s="118"/>
      <c r="D1" s="118"/>
      <c r="E1" s="118"/>
      <c r="F1" s="118"/>
      <c r="G1" s="118"/>
      <c r="H1" s="112"/>
      <c r="I1" s="37"/>
      <c r="J1" s="37"/>
      <c r="K1" s="37"/>
    </row>
    <row r="2" spans="1:11" ht="14.25" customHeight="1">
      <c r="A2" s="115"/>
      <c r="B2" s="119"/>
      <c r="C2" s="119"/>
      <c r="D2" s="119"/>
      <c r="E2" s="119"/>
      <c r="F2" s="119"/>
      <c r="G2" s="119"/>
      <c r="H2" s="116"/>
      <c r="I2" s="37"/>
      <c r="J2" s="37"/>
      <c r="K2" s="37"/>
    </row>
    <row r="3" spans="1:11" ht="14.25" customHeight="1">
      <c r="A3" s="143" t="s">
        <v>43</v>
      </c>
      <c r="B3" s="106"/>
      <c r="C3" s="106"/>
      <c r="D3" s="106"/>
      <c r="E3" s="106"/>
      <c r="F3" s="106"/>
      <c r="G3" s="106"/>
      <c r="H3" s="144"/>
      <c r="I3" s="37"/>
      <c r="J3" s="37"/>
      <c r="K3" s="37"/>
    </row>
    <row r="4" spans="1:11" ht="14.25" customHeight="1">
      <c r="A4" s="115"/>
      <c r="B4" s="119"/>
      <c r="C4" s="119"/>
      <c r="D4" s="119"/>
      <c r="E4" s="119"/>
      <c r="F4" s="119"/>
      <c r="G4" s="119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6"/>
      <c r="D6" s="147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6"/>
      <c r="D7" s="147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>
        <v>500</v>
      </c>
      <c r="C8" s="137">
        <v>2124</v>
      </c>
      <c r="D8" s="138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37"/>
      <c r="D9" s="138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37"/>
      <c r="D10" s="138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37"/>
      <c r="D11" s="138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37"/>
      <c r="D12" s="138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37"/>
      <c r="D13" s="138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37"/>
      <c r="D14" s="138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48" t="s">
        <v>65</v>
      </c>
      <c r="B30" s="149"/>
      <c r="C30" s="77" t="s">
        <v>66</v>
      </c>
      <c r="D30" s="78"/>
      <c r="E30" s="150" t="s">
        <v>67</v>
      </c>
      <c r="F30" s="122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2" t="s">
        <v>69</v>
      </c>
      <c r="B31" s="116"/>
      <c r="C31" s="81"/>
      <c r="D31" s="82"/>
      <c r="E31" s="146"/>
      <c r="F31" s="147"/>
      <c r="G31" s="83"/>
      <c r="H31" s="84"/>
      <c r="I31" s="37"/>
      <c r="J31" s="37"/>
      <c r="K31" s="37"/>
    </row>
    <row r="32" spans="1:11" ht="14.25" customHeight="1">
      <c r="A32" s="142" t="s">
        <v>70</v>
      </c>
      <c r="B32" s="122"/>
      <c r="C32" s="85"/>
      <c r="D32" s="86"/>
      <c r="E32" s="137"/>
      <c r="F32" s="138"/>
      <c r="G32" s="87"/>
      <c r="H32" s="88"/>
      <c r="I32" s="37"/>
      <c r="J32" s="37"/>
      <c r="K32" s="37"/>
    </row>
    <row r="33" spans="1:11" ht="14.25" customHeight="1">
      <c r="A33" s="142" t="s">
        <v>71</v>
      </c>
      <c r="B33" s="122"/>
      <c r="C33" s="89"/>
      <c r="D33" s="82"/>
      <c r="E33" s="153"/>
      <c r="F33" s="138"/>
      <c r="G33" s="87"/>
      <c r="H33" s="88"/>
      <c r="I33" s="37"/>
      <c r="J33" s="37"/>
      <c r="K33" s="37"/>
    </row>
    <row r="34" spans="1:11" ht="14.25" customHeight="1">
      <c r="A34" s="154" t="s">
        <v>72</v>
      </c>
      <c r="B34" s="112"/>
      <c r="C34" s="90"/>
      <c r="D34" s="74"/>
      <c r="E34" s="155"/>
      <c r="F34" s="138"/>
      <c r="G34" s="47"/>
      <c r="H34" s="88"/>
      <c r="I34" s="37"/>
      <c r="J34" s="37"/>
      <c r="K34" s="37"/>
    </row>
    <row r="35" spans="1:11" ht="14.25" customHeight="1">
      <c r="A35" s="142" t="s">
        <v>73</v>
      </c>
      <c r="B35" s="122"/>
      <c r="C35" s="91"/>
      <c r="D35" s="74"/>
      <c r="E35" s="151"/>
      <c r="F35" s="138"/>
      <c r="G35" s="47"/>
      <c r="H35" s="88"/>
      <c r="I35" s="37"/>
      <c r="J35" s="37"/>
      <c r="K35" s="37"/>
    </row>
    <row r="36" spans="1:11" ht="14.25" customHeight="1">
      <c r="A36" s="142" t="s">
        <v>74</v>
      </c>
      <c r="B36" s="122"/>
      <c r="C36" s="92"/>
      <c r="D36" s="93"/>
      <c r="E36" s="151"/>
      <c r="F36" s="138"/>
      <c r="G36" s="47"/>
      <c r="H36" s="88"/>
      <c r="I36" s="37"/>
      <c r="J36" s="37"/>
      <c r="K36" s="37"/>
    </row>
    <row r="37" spans="1:11" ht="14.25" customHeight="1">
      <c r="A37" s="142" t="s">
        <v>75</v>
      </c>
      <c r="B37" s="122"/>
      <c r="C37" s="94">
        <v>0</v>
      </c>
      <c r="D37" s="95"/>
      <c r="E37" s="156"/>
      <c r="F37" s="157"/>
      <c r="G37" s="96"/>
      <c r="H37" s="97"/>
      <c r="I37" s="37"/>
      <c r="J37" s="37"/>
      <c r="K37" s="37"/>
    </row>
    <row r="38" spans="1:11" ht="14.25" customHeight="1">
      <c r="A38" s="158" t="s">
        <v>76</v>
      </c>
      <c r="B38" s="118"/>
      <c r="C38" s="118"/>
      <c r="D38" s="118"/>
      <c r="E38" s="118"/>
      <c r="F38" s="118"/>
      <c r="G38" s="118"/>
      <c r="H38" s="112"/>
      <c r="I38" s="37"/>
      <c r="J38" s="37"/>
      <c r="K38" s="37"/>
    </row>
    <row r="39" spans="1:11" ht="15" customHeight="1">
      <c r="A39" s="115"/>
      <c r="B39" s="119"/>
      <c r="C39" s="119"/>
      <c r="D39" s="119"/>
      <c r="E39" s="119"/>
      <c r="F39" s="119"/>
      <c r="G39" s="119"/>
      <c r="H39" s="116"/>
      <c r="I39" s="37"/>
      <c r="J39" s="37"/>
      <c r="K39" s="37"/>
    </row>
    <row r="40" spans="1:11" ht="14.25" customHeight="1">
      <c r="A40" s="98"/>
      <c r="B40" s="133" t="s">
        <v>77</v>
      </c>
      <c r="C40" s="121"/>
      <c r="D40" s="122"/>
      <c r="E40" s="133" t="s">
        <v>78</v>
      </c>
      <c r="F40" s="121"/>
      <c r="G40" s="121"/>
      <c r="H40" s="122"/>
      <c r="I40" s="37"/>
      <c r="J40" s="37"/>
      <c r="K40" s="37"/>
    </row>
    <row r="41" spans="1:11" ht="14.25" customHeight="1">
      <c r="A41" s="98"/>
      <c r="B41" s="139" t="s">
        <v>79</v>
      </c>
      <c r="C41" s="121"/>
      <c r="D41" s="122"/>
      <c r="E41" s="159">
        <f>SUM(B9:B12)</f>
        <v>0</v>
      </c>
      <c r="F41" s="121"/>
      <c r="G41" s="121"/>
      <c r="H41" s="122"/>
      <c r="I41" s="37"/>
      <c r="J41" s="37"/>
      <c r="K41" s="37"/>
    </row>
    <row r="42" spans="1:11" ht="14.25" customHeight="1">
      <c r="A42" s="98"/>
      <c r="B42" s="139" t="s">
        <v>52</v>
      </c>
      <c r="C42" s="121"/>
      <c r="D42" s="122"/>
      <c r="E42" s="159">
        <f>SUM(B6:B8)</f>
        <v>500</v>
      </c>
      <c r="F42" s="121"/>
      <c r="G42" s="121"/>
      <c r="H42" s="122"/>
      <c r="I42" s="37"/>
      <c r="J42" s="37"/>
      <c r="K42" s="37"/>
    </row>
    <row r="43" spans="1:11" ht="14.25" customHeight="1">
      <c r="A43" s="98"/>
      <c r="B43" s="139" t="s">
        <v>80</v>
      </c>
      <c r="C43" s="121"/>
      <c r="D43" s="122"/>
      <c r="E43" s="140">
        <f>SUM(B13:B14)</f>
        <v>0</v>
      </c>
      <c r="F43" s="125"/>
      <c r="G43" s="125"/>
      <c r="H43" s="114"/>
      <c r="I43" s="37"/>
      <c r="J43" s="37"/>
      <c r="K43" s="37"/>
    </row>
    <row r="44" spans="1:11" ht="14.25" customHeight="1">
      <c r="A44" s="37"/>
      <c r="B44" s="132" t="s">
        <v>61</v>
      </c>
      <c r="C44" s="121"/>
      <c r="D44" s="122"/>
      <c r="E44" s="123">
        <f>SUM(B17:B18)</f>
        <v>0</v>
      </c>
      <c r="F44" s="121"/>
      <c r="G44" s="121"/>
      <c r="H44" s="122"/>
      <c r="I44" s="37"/>
      <c r="J44" s="37"/>
      <c r="K44" s="37"/>
    </row>
    <row r="45" spans="1:11" ht="14.25" customHeight="1">
      <c r="A45" s="37"/>
      <c r="B45" s="132" t="s">
        <v>62</v>
      </c>
      <c r="C45" s="121"/>
      <c r="D45" s="122"/>
      <c r="E45" s="123">
        <f>SUM(B19:B20)</f>
        <v>0</v>
      </c>
      <c r="F45" s="121"/>
      <c r="G45" s="121"/>
      <c r="H45" s="122"/>
      <c r="I45" s="37"/>
      <c r="J45" s="37"/>
      <c r="K45" s="37"/>
    </row>
    <row r="46" spans="1:11" ht="14.25" customHeight="1">
      <c r="A46" s="37"/>
      <c r="B46" s="132" t="s">
        <v>81</v>
      </c>
      <c r="C46" s="121"/>
      <c r="D46" s="122"/>
      <c r="E46" s="123">
        <f t="shared" ref="E46:E53" si="0">B21</f>
        <v>0</v>
      </c>
      <c r="F46" s="121"/>
      <c r="G46" s="121"/>
      <c r="H46" s="122"/>
      <c r="I46" s="37"/>
      <c r="J46" s="37"/>
      <c r="K46" s="37"/>
    </row>
    <row r="47" spans="1:11" ht="14.25" customHeight="1">
      <c r="A47" s="37"/>
      <c r="B47" s="132" t="s">
        <v>81</v>
      </c>
      <c r="C47" s="121"/>
      <c r="D47" s="122"/>
      <c r="E47" s="123">
        <f t="shared" si="0"/>
        <v>0</v>
      </c>
      <c r="F47" s="121"/>
      <c r="G47" s="121"/>
      <c r="H47" s="122"/>
      <c r="I47" s="37"/>
      <c r="J47" s="37"/>
      <c r="K47" s="37"/>
    </row>
    <row r="48" spans="1:11" ht="14.25" customHeight="1">
      <c r="A48" s="37"/>
      <c r="B48" s="132" t="s">
        <v>81</v>
      </c>
      <c r="C48" s="121"/>
      <c r="D48" s="122"/>
      <c r="E48" s="123">
        <f t="shared" si="0"/>
        <v>0</v>
      </c>
      <c r="F48" s="121"/>
      <c r="G48" s="121"/>
      <c r="H48" s="122"/>
      <c r="I48" s="37"/>
      <c r="J48" s="37"/>
      <c r="K48" s="37"/>
    </row>
    <row r="49" spans="1:11" ht="14.25" customHeight="1">
      <c r="A49" s="37"/>
      <c r="B49" s="132" t="s">
        <v>81</v>
      </c>
      <c r="C49" s="121"/>
      <c r="D49" s="122"/>
      <c r="E49" s="123">
        <f t="shared" si="0"/>
        <v>0</v>
      </c>
      <c r="F49" s="121"/>
      <c r="G49" s="121"/>
      <c r="H49" s="122"/>
      <c r="I49" s="37"/>
      <c r="J49" s="37"/>
      <c r="K49" s="37"/>
    </row>
    <row r="50" spans="1:11" ht="14.25" customHeight="1">
      <c r="A50" s="37"/>
      <c r="B50" s="132" t="s">
        <v>81</v>
      </c>
      <c r="C50" s="121"/>
      <c r="D50" s="122"/>
      <c r="E50" s="123">
        <f t="shared" si="0"/>
        <v>0</v>
      </c>
      <c r="F50" s="121"/>
      <c r="G50" s="121"/>
      <c r="H50" s="122"/>
      <c r="I50" s="37"/>
      <c r="J50" s="37"/>
      <c r="K50" s="37"/>
    </row>
    <row r="51" spans="1:11" ht="14.25" customHeight="1">
      <c r="A51" s="37"/>
      <c r="B51" s="132" t="s">
        <v>81</v>
      </c>
      <c r="C51" s="121"/>
      <c r="D51" s="122"/>
      <c r="E51" s="123">
        <f t="shared" si="0"/>
        <v>0</v>
      </c>
      <c r="F51" s="121"/>
      <c r="G51" s="121"/>
      <c r="H51" s="122"/>
      <c r="I51" s="37"/>
      <c r="J51" s="37"/>
      <c r="K51" s="37"/>
    </row>
    <row r="52" spans="1:11" ht="14.25" customHeight="1">
      <c r="A52" s="37"/>
      <c r="B52" s="132" t="s">
        <v>81</v>
      </c>
      <c r="C52" s="121"/>
      <c r="D52" s="122"/>
      <c r="E52" s="123">
        <f t="shared" si="0"/>
        <v>0</v>
      </c>
      <c r="F52" s="121"/>
      <c r="G52" s="121"/>
      <c r="H52" s="122"/>
      <c r="I52" s="37"/>
      <c r="J52" s="37"/>
      <c r="K52" s="37"/>
    </row>
    <row r="53" spans="1:11" ht="14.25" customHeight="1">
      <c r="A53" s="37"/>
      <c r="B53" s="132" t="s">
        <v>81</v>
      </c>
      <c r="C53" s="121"/>
      <c r="D53" s="122"/>
      <c r="E53" s="123">
        <f t="shared" si="0"/>
        <v>0</v>
      </c>
      <c r="F53" s="121"/>
      <c r="G53" s="121"/>
      <c r="H53" s="122"/>
      <c r="I53" s="37"/>
      <c r="J53" s="37"/>
      <c r="K53" s="37"/>
    </row>
    <row r="54" spans="1:11" ht="14.25" customHeight="1">
      <c r="A54" s="37"/>
      <c r="B54" s="132" t="s">
        <v>82</v>
      </c>
      <c r="C54" s="121"/>
      <c r="D54" s="122"/>
      <c r="E54" s="134">
        <f>SUM(E41:H53)</f>
        <v>500</v>
      </c>
      <c r="F54" s="121"/>
      <c r="G54" s="121"/>
      <c r="H54" s="122"/>
      <c r="I54" s="37"/>
      <c r="J54" s="37"/>
      <c r="K54" s="37"/>
    </row>
    <row r="55" spans="1:11" ht="14.25" customHeight="1">
      <c r="A55" s="37"/>
      <c r="B55" s="132"/>
      <c r="C55" s="121"/>
      <c r="D55" s="122"/>
      <c r="E55" s="135"/>
      <c r="F55" s="121"/>
      <c r="G55" s="121"/>
      <c r="H55" s="122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0"/>
  <sheetViews>
    <sheetView workbookViewId="0">
      <selection activeCell="C13" sqref="C13:D13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36" t="s">
        <v>42</v>
      </c>
      <c r="B1" s="118"/>
      <c r="C1" s="118"/>
      <c r="D1" s="118"/>
      <c r="E1" s="118"/>
      <c r="F1" s="118"/>
      <c r="G1" s="118"/>
      <c r="H1" s="112"/>
      <c r="I1" s="37"/>
      <c r="J1" s="37"/>
      <c r="K1" s="37"/>
    </row>
    <row r="2" spans="1:11" ht="14.25" customHeight="1">
      <c r="A2" s="115"/>
      <c r="B2" s="119"/>
      <c r="C2" s="119"/>
      <c r="D2" s="119"/>
      <c r="E2" s="119"/>
      <c r="F2" s="119"/>
      <c r="G2" s="119"/>
      <c r="H2" s="116"/>
      <c r="I2" s="37"/>
      <c r="J2" s="37"/>
      <c r="K2" s="37"/>
    </row>
    <row r="3" spans="1:11" ht="14.25" customHeight="1">
      <c r="A3" s="143" t="s">
        <v>43</v>
      </c>
      <c r="B3" s="106"/>
      <c r="C3" s="106"/>
      <c r="D3" s="106"/>
      <c r="E3" s="106"/>
      <c r="F3" s="106"/>
      <c r="G3" s="106"/>
      <c r="H3" s="144"/>
      <c r="I3" s="37"/>
      <c r="J3" s="37"/>
      <c r="K3" s="37"/>
    </row>
    <row r="4" spans="1:11" ht="14.25" customHeight="1">
      <c r="A4" s="115"/>
      <c r="B4" s="119"/>
      <c r="C4" s="119"/>
      <c r="D4" s="119"/>
      <c r="E4" s="119"/>
      <c r="F4" s="119"/>
      <c r="G4" s="119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6"/>
      <c r="D6" s="147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6"/>
      <c r="D7" s="147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37"/>
      <c r="D8" s="138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37"/>
      <c r="D9" s="138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>
        <v>500</v>
      </c>
      <c r="C10" s="137">
        <v>2124</v>
      </c>
      <c r="D10" s="138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37"/>
      <c r="D11" s="138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37"/>
      <c r="D12" s="138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37"/>
      <c r="D13" s="138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37"/>
      <c r="D14" s="138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48" t="s">
        <v>65</v>
      </c>
      <c r="B30" s="149"/>
      <c r="C30" s="77" t="s">
        <v>66</v>
      </c>
      <c r="D30" s="78"/>
      <c r="E30" s="150" t="s">
        <v>67</v>
      </c>
      <c r="F30" s="122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2" t="s">
        <v>69</v>
      </c>
      <c r="B31" s="116"/>
      <c r="C31" s="81"/>
      <c r="D31" s="82"/>
      <c r="E31" s="146"/>
      <c r="F31" s="147"/>
      <c r="G31" s="83"/>
      <c r="H31" s="84"/>
      <c r="I31" s="37"/>
      <c r="J31" s="37"/>
      <c r="K31" s="37"/>
    </row>
    <row r="32" spans="1:11" ht="14.25" customHeight="1">
      <c r="A32" s="142" t="s">
        <v>70</v>
      </c>
      <c r="B32" s="122"/>
      <c r="C32" s="85"/>
      <c r="D32" s="86"/>
      <c r="E32" s="137"/>
      <c r="F32" s="138"/>
      <c r="G32" s="87"/>
      <c r="H32" s="88"/>
      <c r="I32" s="37"/>
      <c r="J32" s="37"/>
      <c r="K32" s="37"/>
    </row>
    <row r="33" spans="1:11" ht="14.25" customHeight="1">
      <c r="A33" s="142" t="s">
        <v>71</v>
      </c>
      <c r="B33" s="122"/>
      <c r="C33" s="89"/>
      <c r="D33" s="82"/>
      <c r="E33" s="153"/>
      <c r="F33" s="138"/>
      <c r="G33" s="87"/>
      <c r="H33" s="88"/>
      <c r="I33" s="37"/>
      <c r="J33" s="37"/>
      <c r="K33" s="37"/>
    </row>
    <row r="34" spans="1:11" ht="14.25" customHeight="1">
      <c r="A34" s="154" t="s">
        <v>72</v>
      </c>
      <c r="B34" s="112"/>
      <c r="C34" s="90"/>
      <c r="D34" s="74"/>
      <c r="E34" s="155"/>
      <c r="F34" s="138"/>
      <c r="G34" s="47"/>
      <c r="H34" s="88"/>
      <c r="I34" s="37"/>
      <c r="J34" s="37"/>
      <c r="K34" s="37"/>
    </row>
    <row r="35" spans="1:11" ht="14.25" customHeight="1">
      <c r="A35" s="142" t="s">
        <v>73</v>
      </c>
      <c r="B35" s="122"/>
      <c r="C35" s="91"/>
      <c r="D35" s="74"/>
      <c r="E35" s="151"/>
      <c r="F35" s="138"/>
      <c r="G35" s="47"/>
      <c r="H35" s="88"/>
      <c r="I35" s="37"/>
      <c r="J35" s="37"/>
      <c r="K35" s="37"/>
    </row>
    <row r="36" spans="1:11" ht="14.25" customHeight="1">
      <c r="A36" s="142" t="s">
        <v>74</v>
      </c>
      <c r="B36" s="122"/>
      <c r="C36" s="92"/>
      <c r="D36" s="93"/>
      <c r="E36" s="151"/>
      <c r="F36" s="138"/>
      <c r="G36" s="47"/>
      <c r="H36" s="88"/>
      <c r="I36" s="37"/>
      <c r="J36" s="37"/>
      <c r="K36" s="37"/>
    </row>
    <row r="37" spans="1:11" ht="14.25" customHeight="1">
      <c r="A37" s="142" t="s">
        <v>75</v>
      </c>
      <c r="B37" s="122"/>
      <c r="C37" s="94">
        <v>0</v>
      </c>
      <c r="D37" s="95"/>
      <c r="E37" s="156"/>
      <c r="F37" s="157"/>
      <c r="G37" s="96"/>
      <c r="H37" s="97"/>
      <c r="I37" s="37"/>
      <c r="J37" s="37"/>
      <c r="K37" s="37"/>
    </row>
    <row r="38" spans="1:11" ht="14.25" customHeight="1">
      <c r="A38" s="158" t="s">
        <v>76</v>
      </c>
      <c r="B38" s="118"/>
      <c r="C38" s="118"/>
      <c r="D38" s="118"/>
      <c r="E38" s="118"/>
      <c r="F38" s="118"/>
      <c r="G38" s="118"/>
      <c r="H38" s="112"/>
      <c r="I38" s="37"/>
      <c r="J38" s="37"/>
      <c r="K38" s="37"/>
    </row>
    <row r="39" spans="1:11" ht="15" customHeight="1">
      <c r="A39" s="115"/>
      <c r="B39" s="119"/>
      <c r="C39" s="119"/>
      <c r="D39" s="119"/>
      <c r="E39" s="119"/>
      <c r="F39" s="119"/>
      <c r="G39" s="119"/>
      <c r="H39" s="116"/>
      <c r="I39" s="37"/>
      <c r="J39" s="37"/>
      <c r="K39" s="37"/>
    </row>
    <row r="40" spans="1:11" ht="14.25" customHeight="1">
      <c r="A40" s="98"/>
      <c r="B40" s="133" t="s">
        <v>77</v>
      </c>
      <c r="C40" s="121"/>
      <c r="D40" s="122"/>
      <c r="E40" s="133" t="s">
        <v>78</v>
      </c>
      <c r="F40" s="121"/>
      <c r="G40" s="121"/>
      <c r="H40" s="122"/>
      <c r="I40" s="37"/>
      <c r="J40" s="37"/>
      <c r="K40" s="37"/>
    </row>
    <row r="41" spans="1:11" ht="14.25" customHeight="1">
      <c r="A41" s="98"/>
      <c r="B41" s="139" t="s">
        <v>79</v>
      </c>
      <c r="C41" s="121"/>
      <c r="D41" s="122"/>
      <c r="E41" s="159">
        <f>SUM(B9:B12)</f>
        <v>500</v>
      </c>
      <c r="F41" s="121"/>
      <c r="G41" s="121"/>
      <c r="H41" s="122"/>
      <c r="I41" s="37"/>
      <c r="J41" s="37"/>
      <c r="K41" s="37"/>
    </row>
    <row r="42" spans="1:11" ht="14.25" customHeight="1">
      <c r="A42" s="98"/>
      <c r="B42" s="139" t="s">
        <v>52</v>
      </c>
      <c r="C42" s="121"/>
      <c r="D42" s="122"/>
      <c r="E42" s="159">
        <f>SUM(B6:B8)</f>
        <v>0</v>
      </c>
      <c r="F42" s="121"/>
      <c r="G42" s="121"/>
      <c r="H42" s="122"/>
      <c r="I42" s="37"/>
      <c r="J42" s="37"/>
      <c r="K42" s="37"/>
    </row>
    <row r="43" spans="1:11" ht="14.25" customHeight="1">
      <c r="A43" s="98"/>
      <c r="B43" s="139" t="s">
        <v>80</v>
      </c>
      <c r="C43" s="121"/>
      <c r="D43" s="122"/>
      <c r="E43" s="140">
        <f>SUM(B13:B14)</f>
        <v>0</v>
      </c>
      <c r="F43" s="125"/>
      <c r="G43" s="125"/>
      <c r="H43" s="114"/>
      <c r="I43" s="37"/>
      <c r="J43" s="37"/>
      <c r="K43" s="37"/>
    </row>
    <row r="44" spans="1:11" ht="14.25" customHeight="1">
      <c r="A44" s="37"/>
      <c r="B44" s="132" t="s">
        <v>61</v>
      </c>
      <c r="C44" s="121"/>
      <c r="D44" s="122"/>
      <c r="E44" s="123">
        <f>SUM(B17:B18)</f>
        <v>0</v>
      </c>
      <c r="F44" s="121"/>
      <c r="G44" s="121"/>
      <c r="H44" s="122"/>
      <c r="I44" s="37"/>
      <c r="J44" s="37"/>
      <c r="K44" s="37"/>
    </row>
    <row r="45" spans="1:11" ht="14.25" customHeight="1">
      <c r="A45" s="37"/>
      <c r="B45" s="132" t="s">
        <v>62</v>
      </c>
      <c r="C45" s="121"/>
      <c r="D45" s="122"/>
      <c r="E45" s="123">
        <f>SUM(B19:B20)</f>
        <v>0</v>
      </c>
      <c r="F45" s="121"/>
      <c r="G45" s="121"/>
      <c r="H45" s="122"/>
      <c r="I45" s="37"/>
      <c r="J45" s="37"/>
      <c r="K45" s="37"/>
    </row>
    <row r="46" spans="1:11" ht="14.25" customHeight="1">
      <c r="A46" s="37"/>
      <c r="B46" s="132" t="s">
        <v>81</v>
      </c>
      <c r="C46" s="121"/>
      <c r="D46" s="122"/>
      <c r="E46" s="123">
        <f t="shared" ref="E46:E53" si="0">B21</f>
        <v>0</v>
      </c>
      <c r="F46" s="121"/>
      <c r="G46" s="121"/>
      <c r="H46" s="122"/>
      <c r="I46" s="37"/>
      <c r="J46" s="37"/>
      <c r="K46" s="37"/>
    </row>
    <row r="47" spans="1:11" ht="14.25" customHeight="1">
      <c r="A47" s="37"/>
      <c r="B47" s="132" t="s">
        <v>81</v>
      </c>
      <c r="C47" s="121"/>
      <c r="D47" s="122"/>
      <c r="E47" s="123">
        <f t="shared" si="0"/>
        <v>0</v>
      </c>
      <c r="F47" s="121"/>
      <c r="G47" s="121"/>
      <c r="H47" s="122"/>
      <c r="I47" s="37"/>
      <c r="J47" s="37"/>
      <c r="K47" s="37"/>
    </row>
    <row r="48" spans="1:11" ht="14.25" customHeight="1">
      <c r="A48" s="37"/>
      <c r="B48" s="132" t="s">
        <v>81</v>
      </c>
      <c r="C48" s="121"/>
      <c r="D48" s="122"/>
      <c r="E48" s="123">
        <f t="shared" si="0"/>
        <v>0</v>
      </c>
      <c r="F48" s="121"/>
      <c r="G48" s="121"/>
      <c r="H48" s="122"/>
      <c r="I48" s="37"/>
      <c r="J48" s="37"/>
      <c r="K48" s="37"/>
    </row>
    <row r="49" spans="1:11" ht="14.25" customHeight="1">
      <c r="A49" s="37"/>
      <c r="B49" s="132" t="s">
        <v>81</v>
      </c>
      <c r="C49" s="121"/>
      <c r="D49" s="122"/>
      <c r="E49" s="123">
        <f t="shared" si="0"/>
        <v>0</v>
      </c>
      <c r="F49" s="121"/>
      <c r="G49" s="121"/>
      <c r="H49" s="122"/>
      <c r="I49" s="37"/>
      <c r="J49" s="37"/>
      <c r="K49" s="37"/>
    </row>
    <row r="50" spans="1:11" ht="14.25" customHeight="1">
      <c r="A50" s="37"/>
      <c r="B50" s="132" t="s">
        <v>81</v>
      </c>
      <c r="C50" s="121"/>
      <c r="D50" s="122"/>
      <c r="E50" s="123">
        <f t="shared" si="0"/>
        <v>0</v>
      </c>
      <c r="F50" s="121"/>
      <c r="G50" s="121"/>
      <c r="H50" s="122"/>
      <c r="I50" s="37"/>
      <c r="J50" s="37"/>
      <c r="K50" s="37"/>
    </row>
    <row r="51" spans="1:11" ht="14.25" customHeight="1">
      <c r="A51" s="37"/>
      <c r="B51" s="132" t="s">
        <v>81</v>
      </c>
      <c r="C51" s="121"/>
      <c r="D51" s="122"/>
      <c r="E51" s="123">
        <f t="shared" si="0"/>
        <v>0</v>
      </c>
      <c r="F51" s="121"/>
      <c r="G51" s="121"/>
      <c r="H51" s="122"/>
      <c r="I51" s="37"/>
      <c r="J51" s="37"/>
      <c r="K51" s="37"/>
    </row>
    <row r="52" spans="1:11" ht="14.25" customHeight="1">
      <c r="A52" s="37"/>
      <c r="B52" s="132" t="s">
        <v>81</v>
      </c>
      <c r="C52" s="121"/>
      <c r="D52" s="122"/>
      <c r="E52" s="123">
        <f t="shared" si="0"/>
        <v>0</v>
      </c>
      <c r="F52" s="121"/>
      <c r="G52" s="121"/>
      <c r="H52" s="122"/>
      <c r="I52" s="37"/>
      <c r="J52" s="37"/>
      <c r="K52" s="37"/>
    </row>
    <row r="53" spans="1:11" ht="14.25" customHeight="1">
      <c r="A53" s="37"/>
      <c r="B53" s="132" t="s">
        <v>81</v>
      </c>
      <c r="C53" s="121"/>
      <c r="D53" s="122"/>
      <c r="E53" s="123">
        <f t="shared" si="0"/>
        <v>0</v>
      </c>
      <c r="F53" s="121"/>
      <c r="G53" s="121"/>
      <c r="H53" s="122"/>
      <c r="I53" s="37"/>
      <c r="J53" s="37"/>
      <c r="K53" s="37"/>
    </row>
    <row r="54" spans="1:11" ht="14.25" customHeight="1">
      <c r="A54" s="37"/>
      <c r="B54" s="132" t="s">
        <v>82</v>
      </c>
      <c r="C54" s="121"/>
      <c r="D54" s="122"/>
      <c r="E54" s="134">
        <f>SUM(E41:H53)</f>
        <v>500</v>
      </c>
      <c r="F54" s="121"/>
      <c r="G54" s="121"/>
      <c r="H54" s="122"/>
      <c r="I54" s="37"/>
      <c r="J54" s="37"/>
      <c r="K54" s="37"/>
    </row>
    <row r="55" spans="1:11" ht="14.25" customHeight="1">
      <c r="A55" s="37"/>
      <c r="B55" s="132"/>
      <c r="C55" s="121"/>
      <c r="D55" s="122"/>
      <c r="E55" s="135"/>
      <c r="F55" s="121"/>
      <c r="G55" s="121"/>
      <c r="H55" s="122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36" t="s">
        <v>42</v>
      </c>
      <c r="B1" s="118"/>
      <c r="C1" s="118"/>
      <c r="D1" s="118"/>
      <c r="E1" s="118"/>
      <c r="F1" s="118"/>
      <c r="G1" s="118"/>
      <c r="H1" s="112"/>
      <c r="I1" s="37"/>
      <c r="J1" s="37"/>
      <c r="K1" s="37"/>
    </row>
    <row r="2" spans="1:11" ht="14.25" customHeight="1">
      <c r="A2" s="115"/>
      <c r="B2" s="119"/>
      <c r="C2" s="119"/>
      <c r="D2" s="119"/>
      <c r="E2" s="119"/>
      <c r="F2" s="119"/>
      <c r="G2" s="119"/>
      <c r="H2" s="116"/>
      <c r="I2" s="37"/>
      <c r="J2" s="37"/>
      <c r="K2" s="37"/>
    </row>
    <row r="3" spans="1:11" ht="14.25" customHeight="1">
      <c r="A3" s="143" t="s">
        <v>43</v>
      </c>
      <c r="B3" s="106"/>
      <c r="C3" s="106"/>
      <c r="D3" s="106"/>
      <c r="E3" s="106"/>
      <c r="F3" s="106"/>
      <c r="G3" s="106"/>
      <c r="H3" s="144"/>
      <c r="I3" s="37"/>
      <c r="J3" s="37"/>
      <c r="K3" s="37"/>
    </row>
    <row r="4" spans="1:11" ht="14.25" customHeight="1">
      <c r="A4" s="115"/>
      <c r="B4" s="119"/>
      <c r="C4" s="119"/>
      <c r="D4" s="119"/>
      <c r="E4" s="119"/>
      <c r="F4" s="119"/>
      <c r="G4" s="119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6"/>
      <c r="D6" s="147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6"/>
      <c r="D7" s="147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37"/>
      <c r="D8" s="138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37"/>
      <c r="D9" s="138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37"/>
      <c r="D10" s="138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37"/>
      <c r="D11" s="138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37"/>
      <c r="D12" s="138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37"/>
      <c r="D13" s="138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37"/>
      <c r="D14" s="138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48" t="s">
        <v>65</v>
      </c>
      <c r="B30" s="149"/>
      <c r="C30" s="77" t="s">
        <v>66</v>
      </c>
      <c r="D30" s="78"/>
      <c r="E30" s="150" t="s">
        <v>67</v>
      </c>
      <c r="F30" s="122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2" t="s">
        <v>69</v>
      </c>
      <c r="B31" s="116"/>
      <c r="C31" s="81"/>
      <c r="D31" s="82"/>
      <c r="E31" s="146"/>
      <c r="F31" s="147"/>
      <c r="G31" s="83"/>
      <c r="H31" s="84"/>
      <c r="I31" s="37"/>
      <c r="J31" s="37"/>
      <c r="K31" s="37"/>
    </row>
    <row r="32" spans="1:11" ht="14.25" customHeight="1">
      <c r="A32" s="142" t="s">
        <v>70</v>
      </c>
      <c r="B32" s="122"/>
      <c r="C32" s="85"/>
      <c r="D32" s="86"/>
      <c r="E32" s="137"/>
      <c r="F32" s="138"/>
      <c r="G32" s="87"/>
      <c r="H32" s="88"/>
      <c r="I32" s="37"/>
      <c r="J32" s="37"/>
      <c r="K32" s="37"/>
    </row>
    <row r="33" spans="1:11" ht="14.25" customHeight="1">
      <c r="A33" s="142" t="s">
        <v>71</v>
      </c>
      <c r="B33" s="122"/>
      <c r="C33" s="89"/>
      <c r="D33" s="82"/>
      <c r="E33" s="153"/>
      <c r="F33" s="138"/>
      <c r="G33" s="87"/>
      <c r="H33" s="88"/>
      <c r="I33" s="37"/>
      <c r="J33" s="37"/>
      <c r="K33" s="37"/>
    </row>
    <row r="34" spans="1:11" ht="14.25" customHeight="1">
      <c r="A34" s="154" t="s">
        <v>72</v>
      </c>
      <c r="B34" s="112"/>
      <c r="C34" s="90"/>
      <c r="D34" s="74"/>
      <c r="E34" s="155"/>
      <c r="F34" s="138"/>
      <c r="G34" s="47"/>
      <c r="H34" s="88"/>
      <c r="I34" s="37"/>
      <c r="J34" s="37"/>
      <c r="K34" s="37"/>
    </row>
    <row r="35" spans="1:11" ht="14.25" customHeight="1">
      <c r="A35" s="142" t="s">
        <v>73</v>
      </c>
      <c r="B35" s="122"/>
      <c r="C35" s="91"/>
      <c r="D35" s="74"/>
      <c r="E35" s="151"/>
      <c r="F35" s="138"/>
      <c r="G35" s="47"/>
      <c r="H35" s="88"/>
      <c r="I35" s="37"/>
      <c r="J35" s="37"/>
      <c r="K35" s="37"/>
    </row>
    <row r="36" spans="1:11" ht="14.25" customHeight="1">
      <c r="A36" s="142" t="s">
        <v>74</v>
      </c>
      <c r="B36" s="122"/>
      <c r="C36" s="92"/>
      <c r="D36" s="93"/>
      <c r="E36" s="151"/>
      <c r="F36" s="138"/>
      <c r="G36" s="47"/>
      <c r="H36" s="88"/>
      <c r="I36" s="37"/>
      <c r="J36" s="37"/>
      <c r="K36" s="37"/>
    </row>
    <row r="37" spans="1:11" ht="14.25" customHeight="1">
      <c r="A37" s="142" t="s">
        <v>75</v>
      </c>
      <c r="B37" s="122"/>
      <c r="C37" s="94">
        <v>0</v>
      </c>
      <c r="D37" s="95"/>
      <c r="E37" s="156"/>
      <c r="F37" s="157"/>
      <c r="G37" s="96"/>
      <c r="H37" s="97"/>
      <c r="I37" s="37"/>
      <c r="J37" s="37"/>
      <c r="K37" s="37"/>
    </row>
    <row r="38" spans="1:11" ht="14.25" customHeight="1">
      <c r="A38" s="158" t="s">
        <v>76</v>
      </c>
      <c r="B38" s="118"/>
      <c r="C38" s="118"/>
      <c r="D38" s="118"/>
      <c r="E38" s="118"/>
      <c r="F38" s="118"/>
      <c r="G38" s="118"/>
      <c r="H38" s="112"/>
      <c r="I38" s="37"/>
      <c r="J38" s="37"/>
      <c r="K38" s="37"/>
    </row>
    <row r="39" spans="1:11" ht="15" customHeight="1">
      <c r="A39" s="115"/>
      <c r="B39" s="119"/>
      <c r="C39" s="119"/>
      <c r="D39" s="119"/>
      <c r="E39" s="119"/>
      <c r="F39" s="119"/>
      <c r="G39" s="119"/>
      <c r="H39" s="116"/>
      <c r="I39" s="37"/>
      <c r="J39" s="37"/>
      <c r="K39" s="37"/>
    </row>
    <row r="40" spans="1:11" ht="14.25" customHeight="1">
      <c r="A40" s="98"/>
      <c r="B40" s="133" t="s">
        <v>77</v>
      </c>
      <c r="C40" s="121"/>
      <c r="D40" s="122"/>
      <c r="E40" s="133" t="s">
        <v>78</v>
      </c>
      <c r="F40" s="121"/>
      <c r="G40" s="121"/>
      <c r="H40" s="122"/>
      <c r="I40" s="37"/>
      <c r="J40" s="37"/>
      <c r="K40" s="37"/>
    </row>
    <row r="41" spans="1:11" ht="14.25" customHeight="1">
      <c r="A41" s="98"/>
      <c r="B41" s="139" t="s">
        <v>79</v>
      </c>
      <c r="C41" s="121"/>
      <c r="D41" s="122"/>
      <c r="E41" s="159">
        <f>SUM(B9:B12)</f>
        <v>0</v>
      </c>
      <c r="F41" s="121"/>
      <c r="G41" s="121"/>
      <c r="H41" s="122"/>
      <c r="I41" s="37"/>
      <c r="J41" s="37"/>
      <c r="K41" s="37"/>
    </row>
    <row r="42" spans="1:11" ht="14.25" customHeight="1">
      <c r="A42" s="98"/>
      <c r="B42" s="139" t="s">
        <v>52</v>
      </c>
      <c r="C42" s="121"/>
      <c r="D42" s="122"/>
      <c r="E42" s="159">
        <f>SUM(B6:B8)</f>
        <v>0</v>
      </c>
      <c r="F42" s="121"/>
      <c r="G42" s="121"/>
      <c r="H42" s="122"/>
      <c r="I42" s="37"/>
      <c r="J42" s="37"/>
      <c r="K42" s="37"/>
    </row>
    <row r="43" spans="1:11" ht="14.25" customHeight="1">
      <c r="A43" s="98"/>
      <c r="B43" s="139" t="s">
        <v>80</v>
      </c>
      <c r="C43" s="121"/>
      <c r="D43" s="122"/>
      <c r="E43" s="140">
        <f>SUM(B13:B14)</f>
        <v>0</v>
      </c>
      <c r="F43" s="125"/>
      <c r="G43" s="125"/>
      <c r="H43" s="114"/>
      <c r="I43" s="37"/>
      <c r="J43" s="37"/>
      <c r="K43" s="37"/>
    </row>
    <row r="44" spans="1:11" ht="14.25" customHeight="1">
      <c r="A44" s="37"/>
      <c r="B44" s="132" t="s">
        <v>61</v>
      </c>
      <c r="C44" s="121"/>
      <c r="D44" s="122"/>
      <c r="E44" s="123">
        <f>SUM(B17:B18)</f>
        <v>0</v>
      </c>
      <c r="F44" s="121"/>
      <c r="G44" s="121"/>
      <c r="H44" s="122"/>
      <c r="I44" s="37"/>
      <c r="J44" s="37"/>
      <c r="K44" s="37"/>
    </row>
    <row r="45" spans="1:11" ht="14.25" customHeight="1">
      <c r="A45" s="37"/>
      <c r="B45" s="132" t="s">
        <v>62</v>
      </c>
      <c r="C45" s="121"/>
      <c r="D45" s="122"/>
      <c r="E45" s="123">
        <f>SUM(B19:B20)</f>
        <v>0</v>
      </c>
      <c r="F45" s="121"/>
      <c r="G45" s="121"/>
      <c r="H45" s="122"/>
      <c r="I45" s="37"/>
      <c r="J45" s="37"/>
      <c r="K45" s="37"/>
    </row>
    <row r="46" spans="1:11" ht="14.25" customHeight="1">
      <c r="A46" s="37"/>
      <c r="B46" s="132" t="s">
        <v>81</v>
      </c>
      <c r="C46" s="121"/>
      <c r="D46" s="122"/>
      <c r="E46" s="123">
        <f t="shared" ref="E46:E53" si="0">B21</f>
        <v>0</v>
      </c>
      <c r="F46" s="121"/>
      <c r="G46" s="121"/>
      <c r="H46" s="122"/>
      <c r="I46" s="37"/>
      <c r="J46" s="37"/>
      <c r="K46" s="37"/>
    </row>
    <row r="47" spans="1:11" ht="14.25" customHeight="1">
      <c r="A47" s="37"/>
      <c r="B47" s="132" t="s">
        <v>81</v>
      </c>
      <c r="C47" s="121"/>
      <c r="D47" s="122"/>
      <c r="E47" s="123">
        <f t="shared" si="0"/>
        <v>0</v>
      </c>
      <c r="F47" s="121"/>
      <c r="G47" s="121"/>
      <c r="H47" s="122"/>
      <c r="I47" s="37"/>
      <c r="J47" s="37"/>
      <c r="K47" s="37"/>
    </row>
    <row r="48" spans="1:11" ht="14.25" customHeight="1">
      <c r="A48" s="37"/>
      <c r="B48" s="132" t="s">
        <v>81</v>
      </c>
      <c r="C48" s="121"/>
      <c r="D48" s="122"/>
      <c r="E48" s="123">
        <f t="shared" si="0"/>
        <v>0</v>
      </c>
      <c r="F48" s="121"/>
      <c r="G48" s="121"/>
      <c r="H48" s="122"/>
      <c r="I48" s="37"/>
      <c r="J48" s="37"/>
      <c r="K48" s="37"/>
    </row>
    <row r="49" spans="1:11" ht="14.25" customHeight="1">
      <c r="A49" s="37"/>
      <c r="B49" s="132" t="s">
        <v>81</v>
      </c>
      <c r="C49" s="121"/>
      <c r="D49" s="122"/>
      <c r="E49" s="123">
        <f t="shared" si="0"/>
        <v>0</v>
      </c>
      <c r="F49" s="121"/>
      <c r="G49" s="121"/>
      <c r="H49" s="122"/>
      <c r="I49" s="37"/>
      <c r="J49" s="37"/>
      <c r="K49" s="37"/>
    </row>
    <row r="50" spans="1:11" ht="14.25" customHeight="1">
      <c r="A50" s="37"/>
      <c r="B50" s="132" t="s">
        <v>81</v>
      </c>
      <c r="C50" s="121"/>
      <c r="D50" s="122"/>
      <c r="E50" s="123">
        <f t="shared" si="0"/>
        <v>0</v>
      </c>
      <c r="F50" s="121"/>
      <c r="G50" s="121"/>
      <c r="H50" s="122"/>
      <c r="I50" s="37"/>
      <c r="J50" s="37"/>
      <c r="K50" s="37"/>
    </row>
    <row r="51" spans="1:11" ht="14.25" customHeight="1">
      <c r="A51" s="37"/>
      <c r="B51" s="132" t="s">
        <v>81</v>
      </c>
      <c r="C51" s="121"/>
      <c r="D51" s="122"/>
      <c r="E51" s="123">
        <f t="shared" si="0"/>
        <v>0</v>
      </c>
      <c r="F51" s="121"/>
      <c r="G51" s="121"/>
      <c r="H51" s="122"/>
      <c r="I51" s="37"/>
      <c r="J51" s="37"/>
      <c r="K51" s="37"/>
    </row>
    <row r="52" spans="1:11" ht="14.25" customHeight="1">
      <c r="A52" s="37"/>
      <c r="B52" s="132" t="s">
        <v>81</v>
      </c>
      <c r="C52" s="121"/>
      <c r="D52" s="122"/>
      <c r="E52" s="123">
        <f t="shared" si="0"/>
        <v>0</v>
      </c>
      <c r="F52" s="121"/>
      <c r="G52" s="121"/>
      <c r="H52" s="122"/>
      <c r="I52" s="37"/>
      <c r="J52" s="37"/>
      <c r="K52" s="37"/>
    </row>
    <row r="53" spans="1:11" ht="14.25" customHeight="1">
      <c r="A53" s="37"/>
      <c r="B53" s="132" t="s">
        <v>81</v>
      </c>
      <c r="C53" s="121"/>
      <c r="D53" s="122"/>
      <c r="E53" s="123">
        <f t="shared" si="0"/>
        <v>0</v>
      </c>
      <c r="F53" s="121"/>
      <c r="G53" s="121"/>
      <c r="H53" s="122"/>
      <c r="I53" s="37"/>
      <c r="J53" s="37"/>
      <c r="K53" s="37"/>
    </row>
    <row r="54" spans="1:11" ht="14.25" customHeight="1">
      <c r="A54" s="37"/>
      <c r="B54" s="132" t="s">
        <v>82</v>
      </c>
      <c r="C54" s="121"/>
      <c r="D54" s="122"/>
      <c r="E54" s="134">
        <f>SUM(E41:H53)</f>
        <v>0</v>
      </c>
      <c r="F54" s="121"/>
      <c r="G54" s="121"/>
      <c r="H54" s="122"/>
      <c r="I54" s="37"/>
      <c r="J54" s="37"/>
      <c r="K54" s="37"/>
    </row>
    <row r="55" spans="1:11" ht="14.25" customHeight="1">
      <c r="A55" s="37"/>
      <c r="B55" s="132"/>
      <c r="C55" s="121"/>
      <c r="D55" s="122"/>
      <c r="E55" s="135"/>
      <c r="F55" s="121"/>
      <c r="G55" s="121"/>
      <c r="H55" s="122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36" t="s">
        <v>42</v>
      </c>
      <c r="B1" s="118"/>
      <c r="C1" s="118"/>
      <c r="D1" s="118"/>
      <c r="E1" s="118"/>
      <c r="F1" s="118"/>
      <c r="G1" s="118"/>
      <c r="H1" s="112"/>
      <c r="I1" s="37"/>
      <c r="J1" s="37"/>
      <c r="K1" s="37"/>
    </row>
    <row r="2" spans="1:11" ht="14.25" customHeight="1">
      <c r="A2" s="115"/>
      <c r="B2" s="119"/>
      <c r="C2" s="119"/>
      <c r="D2" s="119"/>
      <c r="E2" s="119"/>
      <c r="F2" s="119"/>
      <c r="G2" s="119"/>
      <c r="H2" s="116"/>
      <c r="I2" s="37"/>
      <c r="J2" s="37"/>
      <c r="K2" s="37"/>
    </row>
    <row r="3" spans="1:11" ht="14.25" customHeight="1">
      <c r="A3" s="143" t="s">
        <v>43</v>
      </c>
      <c r="B3" s="106"/>
      <c r="C3" s="106"/>
      <c r="D3" s="106"/>
      <c r="E3" s="106"/>
      <c r="F3" s="106"/>
      <c r="G3" s="106"/>
      <c r="H3" s="144"/>
      <c r="I3" s="37"/>
      <c r="J3" s="37"/>
      <c r="K3" s="37"/>
    </row>
    <row r="4" spans="1:11" ht="14.25" customHeight="1">
      <c r="A4" s="115"/>
      <c r="B4" s="119"/>
      <c r="C4" s="119"/>
      <c r="D4" s="119"/>
      <c r="E4" s="119"/>
      <c r="F4" s="119"/>
      <c r="G4" s="119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6"/>
      <c r="D6" s="147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6"/>
      <c r="D7" s="147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37"/>
      <c r="D8" s="138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37"/>
      <c r="D9" s="138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37"/>
      <c r="D10" s="138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37"/>
      <c r="D11" s="138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37"/>
      <c r="D12" s="138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37"/>
      <c r="D13" s="138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37"/>
      <c r="D14" s="138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48" t="s">
        <v>65</v>
      </c>
      <c r="B30" s="149"/>
      <c r="C30" s="77" t="s">
        <v>66</v>
      </c>
      <c r="D30" s="78"/>
      <c r="E30" s="150" t="s">
        <v>67</v>
      </c>
      <c r="F30" s="122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2" t="s">
        <v>69</v>
      </c>
      <c r="B31" s="116"/>
      <c r="C31" s="81"/>
      <c r="D31" s="82"/>
      <c r="E31" s="146"/>
      <c r="F31" s="147"/>
      <c r="G31" s="83"/>
      <c r="H31" s="84"/>
      <c r="I31" s="37"/>
      <c r="J31" s="37"/>
      <c r="K31" s="37"/>
    </row>
    <row r="32" spans="1:11" ht="14.25" customHeight="1">
      <c r="A32" s="142" t="s">
        <v>70</v>
      </c>
      <c r="B32" s="122"/>
      <c r="C32" s="85"/>
      <c r="D32" s="86"/>
      <c r="E32" s="137"/>
      <c r="F32" s="138"/>
      <c r="G32" s="87"/>
      <c r="H32" s="88"/>
      <c r="I32" s="37"/>
      <c r="J32" s="37"/>
      <c r="K32" s="37"/>
    </row>
    <row r="33" spans="1:11" ht="14.25" customHeight="1">
      <c r="A33" s="142" t="s">
        <v>71</v>
      </c>
      <c r="B33" s="122"/>
      <c r="C33" s="89"/>
      <c r="D33" s="82"/>
      <c r="E33" s="153"/>
      <c r="F33" s="138"/>
      <c r="G33" s="87"/>
      <c r="H33" s="88"/>
      <c r="I33" s="37"/>
      <c r="J33" s="37"/>
      <c r="K33" s="37"/>
    </row>
    <row r="34" spans="1:11" ht="14.25" customHeight="1">
      <c r="A34" s="154" t="s">
        <v>72</v>
      </c>
      <c r="B34" s="112"/>
      <c r="C34" s="90"/>
      <c r="D34" s="74"/>
      <c r="E34" s="155"/>
      <c r="F34" s="138"/>
      <c r="G34" s="47"/>
      <c r="H34" s="88"/>
      <c r="I34" s="37"/>
      <c r="J34" s="37"/>
      <c r="K34" s="37"/>
    </row>
    <row r="35" spans="1:11" ht="14.25" customHeight="1">
      <c r="A35" s="142" t="s">
        <v>73</v>
      </c>
      <c r="B35" s="122"/>
      <c r="C35" s="91"/>
      <c r="D35" s="74"/>
      <c r="E35" s="151"/>
      <c r="F35" s="138"/>
      <c r="G35" s="47"/>
      <c r="H35" s="88"/>
      <c r="I35" s="37"/>
      <c r="J35" s="37"/>
      <c r="K35" s="37"/>
    </row>
    <row r="36" spans="1:11" ht="14.25" customHeight="1">
      <c r="A36" s="142" t="s">
        <v>74</v>
      </c>
      <c r="B36" s="122"/>
      <c r="C36" s="92"/>
      <c r="D36" s="93"/>
      <c r="E36" s="151"/>
      <c r="F36" s="138"/>
      <c r="G36" s="47"/>
      <c r="H36" s="88"/>
      <c r="I36" s="37"/>
      <c r="J36" s="37"/>
      <c r="K36" s="37"/>
    </row>
    <row r="37" spans="1:11" ht="14.25" customHeight="1">
      <c r="A37" s="142" t="s">
        <v>75</v>
      </c>
      <c r="B37" s="122"/>
      <c r="C37" s="94">
        <v>0</v>
      </c>
      <c r="D37" s="95"/>
      <c r="E37" s="156"/>
      <c r="F37" s="157"/>
      <c r="G37" s="96"/>
      <c r="H37" s="97"/>
      <c r="I37" s="37"/>
      <c r="J37" s="37"/>
      <c r="K37" s="37"/>
    </row>
    <row r="38" spans="1:11" ht="14.25" customHeight="1">
      <c r="A38" s="158" t="s">
        <v>76</v>
      </c>
      <c r="B38" s="118"/>
      <c r="C38" s="118"/>
      <c r="D38" s="118"/>
      <c r="E38" s="118"/>
      <c r="F38" s="118"/>
      <c r="G38" s="118"/>
      <c r="H38" s="112"/>
      <c r="I38" s="37"/>
      <c r="J38" s="37"/>
      <c r="K38" s="37"/>
    </row>
    <row r="39" spans="1:11" ht="15" customHeight="1">
      <c r="A39" s="115"/>
      <c r="B39" s="119"/>
      <c r="C39" s="119"/>
      <c r="D39" s="119"/>
      <c r="E39" s="119"/>
      <c r="F39" s="119"/>
      <c r="G39" s="119"/>
      <c r="H39" s="116"/>
      <c r="I39" s="37"/>
      <c r="J39" s="37"/>
      <c r="K39" s="37"/>
    </row>
    <row r="40" spans="1:11" ht="14.25" customHeight="1">
      <c r="A40" s="98"/>
      <c r="B40" s="133" t="s">
        <v>77</v>
      </c>
      <c r="C40" s="121"/>
      <c r="D40" s="122"/>
      <c r="E40" s="133" t="s">
        <v>78</v>
      </c>
      <c r="F40" s="121"/>
      <c r="G40" s="121"/>
      <c r="H40" s="122"/>
      <c r="I40" s="37"/>
      <c r="J40" s="37"/>
      <c r="K40" s="37"/>
    </row>
    <row r="41" spans="1:11" ht="14.25" customHeight="1">
      <c r="A41" s="98"/>
      <c r="B41" s="139" t="s">
        <v>79</v>
      </c>
      <c r="C41" s="121"/>
      <c r="D41" s="122"/>
      <c r="E41" s="159">
        <f>SUM(B9:B12)</f>
        <v>0</v>
      </c>
      <c r="F41" s="121"/>
      <c r="G41" s="121"/>
      <c r="H41" s="122"/>
      <c r="I41" s="37"/>
      <c r="J41" s="37"/>
      <c r="K41" s="37"/>
    </row>
    <row r="42" spans="1:11" ht="14.25" customHeight="1">
      <c r="A42" s="98"/>
      <c r="B42" s="139" t="s">
        <v>52</v>
      </c>
      <c r="C42" s="121"/>
      <c r="D42" s="122"/>
      <c r="E42" s="159">
        <f>SUM(B6:B8)</f>
        <v>0</v>
      </c>
      <c r="F42" s="121"/>
      <c r="G42" s="121"/>
      <c r="H42" s="122"/>
      <c r="I42" s="37"/>
      <c r="J42" s="37"/>
      <c r="K42" s="37"/>
    </row>
    <row r="43" spans="1:11" ht="14.25" customHeight="1">
      <c r="A43" s="98"/>
      <c r="B43" s="139" t="s">
        <v>80</v>
      </c>
      <c r="C43" s="121"/>
      <c r="D43" s="122"/>
      <c r="E43" s="140">
        <f>SUM(B13:B14)</f>
        <v>0</v>
      </c>
      <c r="F43" s="125"/>
      <c r="G43" s="125"/>
      <c r="H43" s="114"/>
      <c r="I43" s="37"/>
      <c r="J43" s="37"/>
      <c r="K43" s="37"/>
    </row>
    <row r="44" spans="1:11" ht="14.25" customHeight="1">
      <c r="A44" s="37"/>
      <c r="B44" s="132" t="s">
        <v>61</v>
      </c>
      <c r="C44" s="121"/>
      <c r="D44" s="122"/>
      <c r="E44" s="123">
        <f>SUM(B17:B18)</f>
        <v>0</v>
      </c>
      <c r="F44" s="121"/>
      <c r="G44" s="121"/>
      <c r="H44" s="122"/>
      <c r="I44" s="37"/>
      <c r="J44" s="37"/>
      <c r="K44" s="37"/>
    </row>
    <row r="45" spans="1:11" ht="14.25" customHeight="1">
      <c r="A45" s="37"/>
      <c r="B45" s="132" t="s">
        <v>62</v>
      </c>
      <c r="C45" s="121"/>
      <c r="D45" s="122"/>
      <c r="E45" s="123">
        <f>SUM(B19:B20)</f>
        <v>0</v>
      </c>
      <c r="F45" s="121"/>
      <c r="G45" s="121"/>
      <c r="H45" s="122"/>
      <c r="I45" s="37"/>
      <c r="J45" s="37"/>
      <c r="K45" s="37"/>
    </row>
    <row r="46" spans="1:11" ht="14.25" customHeight="1">
      <c r="A46" s="37"/>
      <c r="B46" s="132" t="s">
        <v>81</v>
      </c>
      <c r="C46" s="121"/>
      <c r="D46" s="122"/>
      <c r="E46" s="123">
        <f t="shared" ref="E46:E53" si="0">B21</f>
        <v>0</v>
      </c>
      <c r="F46" s="121"/>
      <c r="G46" s="121"/>
      <c r="H46" s="122"/>
      <c r="I46" s="37"/>
      <c r="J46" s="37"/>
      <c r="K46" s="37"/>
    </row>
    <row r="47" spans="1:11" ht="14.25" customHeight="1">
      <c r="A47" s="37"/>
      <c r="B47" s="132" t="s">
        <v>81</v>
      </c>
      <c r="C47" s="121"/>
      <c r="D47" s="122"/>
      <c r="E47" s="123">
        <f t="shared" si="0"/>
        <v>0</v>
      </c>
      <c r="F47" s="121"/>
      <c r="G47" s="121"/>
      <c r="H47" s="122"/>
      <c r="I47" s="37"/>
      <c r="J47" s="37"/>
      <c r="K47" s="37"/>
    </row>
    <row r="48" spans="1:11" ht="14.25" customHeight="1">
      <c r="A48" s="37"/>
      <c r="B48" s="132" t="s">
        <v>81</v>
      </c>
      <c r="C48" s="121"/>
      <c r="D48" s="122"/>
      <c r="E48" s="123">
        <f t="shared" si="0"/>
        <v>0</v>
      </c>
      <c r="F48" s="121"/>
      <c r="G48" s="121"/>
      <c r="H48" s="122"/>
      <c r="I48" s="37"/>
      <c r="J48" s="37"/>
      <c r="K48" s="37"/>
    </row>
    <row r="49" spans="1:11" ht="14.25" customHeight="1">
      <c r="A49" s="37"/>
      <c r="B49" s="132" t="s">
        <v>81</v>
      </c>
      <c r="C49" s="121"/>
      <c r="D49" s="122"/>
      <c r="E49" s="123">
        <f t="shared" si="0"/>
        <v>0</v>
      </c>
      <c r="F49" s="121"/>
      <c r="G49" s="121"/>
      <c r="H49" s="122"/>
      <c r="I49" s="37"/>
      <c r="J49" s="37"/>
      <c r="K49" s="37"/>
    </row>
    <row r="50" spans="1:11" ht="14.25" customHeight="1">
      <c r="A50" s="37"/>
      <c r="B50" s="132" t="s">
        <v>81</v>
      </c>
      <c r="C50" s="121"/>
      <c r="D50" s="122"/>
      <c r="E50" s="123">
        <f t="shared" si="0"/>
        <v>0</v>
      </c>
      <c r="F50" s="121"/>
      <c r="G50" s="121"/>
      <c r="H50" s="122"/>
      <c r="I50" s="37"/>
      <c r="J50" s="37"/>
      <c r="K50" s="37"/>
    </row>
    <row r="51" spans="1:11" ht="14.25" customHeight="1">
      <c r="A51" s="37"/>
      <c r="B51" s="132" t="s">
        <v>81</v>
      </c>
      <c r="C51" s="121"/>
      <c r="D51" s="122"/>
      <c r="E51" s="123">
        <f t="shared" si="0"/>
        <v>0</v>
      </c>
      <c r="F51" s="121"/>
      <c r="G51" s="121"/>
      <c r="H51" s="122"/>
      <c r="I51" s="37"/>
      <c r="J51" s="37"/>
      <c r="K51" s="37"/>
    </row>
    <row r="52" spans="1:11" ht="14.25" customHeight="1">
      <c r="A52" s="37"/>
      <c r="B52" s="132" t="s">
        <v>81</v>
      </c>
      <c r="C52" s="121"/>
      <c r="D52" s="122"/>
      <c r="E52" s="123">
        <f t="shared" si="0"/>
        <v>0</v>
      </c>
      <c r="F52" s="121"/>
      <c r="G52" s="121"/>
      <c r="H52" s="122"/>
      <c r="I52" s="37"/>
      <c r="J52" s="37"/>
      <c r="K52" s="37"/>
    </row>
    <row r="53" spans="1:11" ht="14.25" customHeight="1">
      <c r="A53" s="37"/>
      <c r="B53" s="132" t="s">
        <v>81</v>
      </c>
      <c r="C53" s="121"/>
      <c r="D53" s="122"/>
      <c r="E53" s="123">
        <f t="shared" si="0"/>
        <v>0</v>
      </c>
      <c r="F53" s="121"/>
      <c r="G53" s="121"/>
      <c r="H53" s="122"/>
      <c r="I53" s="37"/>
      <c r="J53" s="37"/>
      <c r="K53" s="37"/>
    </row>
    <row r="54" spans="1:11" ht="14.25" customHeight="1">
      <c r="A54" s="37"/>
      <c r="B54" s="132" t="s">
        <v>82</v>
      </c>
      <c r="C54" s="121"/>
      <c r="D54" s="122"/>
      <c r="E54" s="134">
        <f>SUM(E41:H53)</f>
        <v>0</v>
      </c>
      <c r="F54" s="121"/>
      <c r="G54" s="121"/>
      <c r="H54" s="122"/>
      <c r="I54" s="37"/>
      <c r="J54" s="37"/>
      <c r="K54" s="37"/>
    </row>
    <row r="55" spans="1:11" ht="14.25" customHeight="1">
      <c r="A55" s="37"/>
      <c r="B55" s="132"/>
      <c r="C55" s="121"/>
      <c r="D55" s="122"/>
      <c r="E55" s="135"/>
      <c r="F55" s="121"/>
      <c r="G55" s="121"/>
      <c r="H55" s="122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00"/>
  <sheetViews>
    <sheetView workbookViewId="0">
      <selection activeCell="C11" sqref="C11:D11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2" t="s">
        <v>42</v>
      </c>
      <c r="B1" s="118"/>
      <c r="C1" s="118"/>
      <c r="D1" s="118"/>
      <c r="E1" s="118"/>
      <c r="F1" s="118"/>
      <c r="G1" s="118"/>
      <c r="H1" s="112"/>
      <c r="I1" s="37"/>
      <c r="J1" s="37"/>
      <c r="K1" s="37"/>
    </row>
    <row r="2" spans="1:11" ht="14.25" customHeight="1">
      <c r="A2" s="115"/>
      <c r="B2" s="119"/>
      <c r="C2" s="119"/>
      <c r="D2" s="119"/>
      <c r="E2" s="119"/>
      <c r="F2" s="119"/>
      <c r="G2" s="119"/>
      <c r="H2" s="116"/>
      <c r="I2" s="37"/>
      <c r="J2" s="37"/>
      <c r="K2" s="37"/>
    </row>
    <row r="3" spans="1:11" ht="14.25" customHeight="1">
      <c r="A3" s="163" t="s">
        <v>43</v>
      </c>
      <c r="B3" s="106"/>
      <c r="C3" s="106"/>
      <c r="D3" s="106"/>
      <c r="E3" s="106"/>
      <c r="F3" s="106"/>
      <c r="G3" s="106"/>
      <c r="H3" s="144"/>
      <c r="I3" s="37"/>
      <c r="J3" s="37"/>
      <c r="K3" s="37"/>
    </row>
    <row r="4" spans="1:11" ht="14.25" customHeight="1">
      <c r="A4" s="115"/>
      <c r="B4" s="119"/>
      <c r="C4" s="119"/>
      <c r="D4" s="119"/>
      <c r="E4" s="119"/>
      <c r="F4" s="119"/>
      <c r="G4" s="119"/>
      <c r="H4" s="116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6"/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6"/>
      <c r="D7" s="14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37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37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>
        <v>500</v>
      </c>
      <c r="C10" s="137">
        <v>2124</v>
      </c>
      <c r="D10" s="138"/>
      <c r="E10" s="48">
        <f t="shared" si="0"/>
        <v>1062000</v>
      </c>
      <c r="F10" s="48">
        <f t="shared" si="1"/>
        <v>162000</v>
      </c>
      <c r="G10" s="48">
        <f t="shared" si="4"/>
        <v>15000</v>
      </c>
      <c r="H10" s="49">
        <f t="shared" si="3"/>
        <v>177000</v>
      </c>
      <c r="I10" s="37"/>
      <c r="J10" s="37"/>
      <c r="K10" s="37"/>
    </row>
    <row r="11" spans="1:11" ht="14.25" customHeight="1">
      <c r="A11" s="99" t="s">
        <v>55</v>
      </c>
      <c r="B11" s="47"/>
      <c r="C11" s="137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37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37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37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1062000</v>
      </c>
      <c r="F37" s="74">
        <f t="shared" si="6"/>
        <v>162000</v>
      </c>
      <c r="G37" s="75">
        <f t="shared" si="6"/>
        <v>15000</v>
      </c>
      <c r="H37" s="76">
        <f t="shared" si="6"/>
        <v>177000</v>
      </c>
      <c r="I37" s="37"/>
      <c r="J37" s="37"/>
      <c r="K37" s="37"/>
    </row>
    <row r="38" spans="1:11" ht="14.25" customHeight="1">
      <c r="A38" s="148" t="s">
        <v>65</v>
      </c>
      <c r="B38" s="149"/>
      <c r="C38" s="77" t="s">
        <v>66</v>
      </c>
      <c r="D38" s="78"/>
      <c r="E38" s="150" t="s">
        <v>67</v>
      </c>
      <c r="F38" s="122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52" t="s">
        <v>69</v>
      </c>
      <c r="B39" s="116"/>
      <c r="C39" s="81"/>
      <c r="D39" s="82"/>
      <c r="E39" s="146"/>
      <c r="F39" s="147"/>
      <c r="G39" s="83"/>
      <c r="H39" s="84"/>
      <c r="I39" s="37"/>
      <c r="J39" s="37"/>
      <c r="K39" s="37"/>
    </row>
    <row r="40" spans="1:11" ht="14.25" customHeight="1">
      <c r="A40" s="142" t="s">
        <v>70</v>
      </c>
      <c r="B40" s="122"/>
      <c r="C40" s="85"/>
      <c r="D40" s="86"/>
      <c r="E40" s="137"/>
      <c r="F40" s="138"/>
      <c r="G40" s="87"/>
      <c r="H40" s="88"/>
      <c r="I40" s="37"/>
      <c r="J40" s="37"/>
      <c r="K40" s="37"/>
    </row>
    <row r="41" spans="1:11" ht="14.25" customHeight="1">
      <c r="A41" s="142" t="s">
        <v>71</v>
      </c>
      <c r="B41" s="122"/>
      <c r="C41" s="89"/>
      <c r="D41" s="82"/>
      <c r="E41" s="153"/>
      <c r="F41" s="138"/>
      <c r="G41" s="87"/>
      <c r="H41" s="88"/>
      <c r="I41" s="37"/>
      <c r="J41" s="37"/>
      <c r="K41" s="37"/>
    </row>
    <row r="42" spans="1:11" ht="14.25" customHeight="1">
      <c r="A42" s="154" t="s">
        <v>72</v>
      </c>
      <c r="B42" s="112"/>
      <c r="C42" s="90"/>
      <c r="D42" s="74"/>
      <c r="E42" s="155"/>
      <c r="F42" s="138"/>
      <c r="G42" s="47"/>
      <c r="H42" s="88"/>
      <c r="I42" s="37"/>
      <c r="J42" s="37"/>
      <c r="K42" s="37"/>
    </row>
    <row r="43" spans="1:11" ht="14.25" customHeight="1">
      <c r="A43" s="142" t="s">
        <v>73</v>
      </c>
      <c r="B43" s="122"/>
      <c r="C43" s="91"/>
      <c r="D43" s="74"/>
      <c r="E43" s="151"/>
      <c r="F43" s="138"/>
      <c r="G43" s="47"/>
      <c r="H43" s="88"/>
      <c r="I43" s="37"/>
      <c r="J43" s="37"/>
      <c r="K43" s="37"/>
    </row>
    <row r="44" spans="1:11" ht="14.25" customHeight="1">
      <c r="A44" s="142" t="s">
        <v>74</v>
      </c>
      <c r="B44" s="122"/>
      <c r="C44" s="92"/>
      <c r="D44" s="93"/>
      <c r="E44" s="151"/>
      <c r="F44" s="138"/>
      <c r="G44" s="47"/>
      <c r="H44" s="88"/>
      <c r="I44" s="37"/>
      <c r="J44" s="37"/>
      <c r="K44" s="37"/>
    </row>
    <row r="45" spans="1:11" ht="14.25" customHeight="1">
      <c r="A45" s="142" t="s">
        <v>75</v>
      </c>
      <c r="B45" s="122"/>
      <c r="C45" s="94">
        <f>SUM(C39:C44)</f>
        <v>0</v>
      </c>
      <c r="D45" s="95"/>
      <c r="E45" s="156"/>
      <c r="F45" s="157"/>
      <c r="G45" s="96"/>
      <c r="H45" s="97"/>
      <c r="I45" s="37"/>
      <c r="J45" s="37"/>
      <c r="K45" s="37"/>
    </row>
    <row r="46" spans="1:11" ht="14.25" customHeight="1">
      <c r="A46" s="158" t="s">
        <v>76</v>
      </c>
      <c r="B46" s="118"/>
      <c r="C46" s="118"/>
      <c r="D46" s="118"/>
      <c r="E46" s="118"/>
      <c r="F46" s="118"/>
      <c r="G46" s="118"/>
      <c r="H46" s="112"/>
      <c r="I46" s="37"/>
      <c r="J46" s="37"/>
      <c r="K46" s="37"/>
    </row>
    <row r="47" spans="1:11" ht="15" customHeight="1">
      <c r="A47" s="115"/>
      <c r="B47" s="119"/>
      <c r="C47" s="119"/>
      <c r="D47" s="119"/>
      <c r="E47" s="119"/>
      <c r="F47" s="119"/>
      <c r="G47" s="119"/>
      <c r="H47" s="116"/>
      <c r="I47" s="37"/>
      <c r="J47" s="37"/>
      <c r="K47" s="37"/>
    </row>
    <row r="48" spans="1:11" ht="22.5" customHeight="1">
      <c r="A48" s="98"/>
      <c r="B48" s="164" t="s">
        <v>77</v>
      </c>
      <c r="C48" s="165"/>
      <c r="D48" s="166"/>
      <c r="E48" s="164" t="s">
        <v>78</v>
      </c>
      <c r="F48" s="165"/>
      <c r="G48" s="165"/>
      <c r="H48" s="166"/>
      <c r="I48" s="37"/>
      <c r="J48" s="37"/>
      <c r="K48" s="37"/>
    </row>
    <row r="49" spans="1:11" ht="21.75" customHeight="1">
      <c r="A49" s="98"/>
      <c r="B49" s="139" t="s">
        <v>79</v>
      </c>
      <c r="C49" s="121"/>
      <c r="D49" s="122"/>
      <c r="E49" s="159">
        <f>SUM(B9:B12)</f>
        <v>500</v>
      </c>
      <c r="F49" s="121"/>
      <c r="G49" s="121"/>
      <c r="H49" s="122"/>
      <c r="I49" s="37"/>
      <c r="J49" s="37"/>
      <c r="K49" s="37"/>
    </row>
    <row r="50" spans="1:11" ht="22.5" customHeight="1">
      <c r="A50" s="98"/>
      <c r="B50" s="139" t="s">
        <v>52</v>
      </c>
      <c r="C50" s="121"/>
      <c r="D50" s="122"/>
      <c r="E50" s="159">
        <f>SUM(B6:B8)</f>
        <v>0</v>
      </c>
      <c r="F50" s="121"/>
      <c r="G50" s="121"/>
      <c r="H50" s="122"/>
      <c r="I50" s="37"/>
      <c r="J50" s="37"/>
      <c r="K50" s="37"/>
    </row>
    <row r="51" spans="1:11" ht="24" customHeight="1">
      <c r="A51" s="98"/>
      <c r="B51" s="139" t="s">
        <v>80</v>
      </c>
      <c r="C51" s="121"/>
      <c r="D51" s="122"/>
      <c r="E51" s="140">
        <f>SUM(B13:B14)</f>
        <v>0</v>
      </c>
      <c r="F51" s="125"/>
      <c r="G51" s="125"/>
      <c r="H51" s="114"/>
      <c r="I51" s="37"/>
      <c r="J51" s="37"/>
      <c r="K51" s="37"/>
    </row>
    <row r="52" spans="1:11" ht="21.75" customHeight="1">
      <c r="A52" s="37"/>
      <c r="B52" s="132" t="s">
        <v>61</v>
      </c>
      <c r="C52" s="121"/>
      <c r="D52" s="122"/>
      <c r="E52" s="123">
        <f>SUM(B17:B18)</f>
        <v>0</v>
      </c>
      <c r="F52" s="121"/>
      <c r="G52" s="121"/>
      <c r="H52" s="122"/>
      <c r="I52" s="37"/>
      <c r="J52" s="37"/>
      <c r="K52" s="37"/>
    </row>
    <row r="53" spans="1:11" ht="21.75" customHeight="1">
      <c r="A53" s="37"/>
      <c r="B53" s="132" t="s">
        <v>62</v>
      </c>
      <c r="C53" s="121"/>
      <c r="D53" s="122"/>
      <c r="E53" s="123">
        <f>SUM(B19:B20)</f>
        <v>0</v>
      </c>
      <c r="F53" s="121"/>
      <c r="G53" s="121"/>
      <c r="H53" s="122"/>
      <c r="I53" s="37"/>
      <c r="J53" s="37"/>
      <c r="K53" s="37"/>
    </row>
    <row r="54" spans="1:11" ht="21.75" customHeight="1">
      <c r="A54" s="37"/>
      <c r="B54" s="132" t="s">
        <v>81</v>
      </c>
      <c r="C54" s="121"/>
      <c r="D54" s="122"/>
      <c r="E54" s="123">
        <f t="shared" ref="E54:E61" si="7">B29</f>
        <v>0</v>
      </c>
      <c r="F54" s="121"/>
      <c r="G54" s="121"/>
      <c r="H54" s="122"/>
      <c r="I54" s="37"/>
      <c r="J54" s="37"/>
      <c r="K54" s="37"/>
    </row>
    <row r="55" spans="1:11" ht="21.75" customHeight="1">
      <c r="A55" s="37"/>
      <c r="B55" s="132" t="s">
        <v>81</v>
      </c>
      <c r="C55" s="121"/>
      <c r="D55" s="122"/>
      <c r="E55" s="123">
        <f t="shared" si="7"/>
        <v>0</v>
      </c>
      <c r="F55" s="121"/>
      <c r="G55" s="121"/>
      <c r="H55" s="122"/>
      <c r="I55" s="37"/>
      <c r="J55" s="37"/>
      <c r="K55" s="37"/>
    </row>
    <row r="56" spans="1:11" ht="21.75" customHeight="1">
      <c r="A56" s="37"/>
      <c r="B56" s="132" t="s">
        <v>81</v>
      </c>
      <c r="C56" s="121"/>
      <c r="D56" s="122"/>
      <c r="E56" s="123">
        <f t="shared" si="7"/>
        <v>0</v>
      </c>
      <c r="F56" s="121"/>
      <c r="G56" s="121"/>
      <c r="H56" s="122"/>
      <c r="I56" s="37"/>
      <c r="J56" s="37"/>
      <c r="K56" s="37"/>
    </row>
    <row r="57" spans="1:11" ht="21.75" customHeight="1">
      <c r="A57" s="37"/>
      <c r="B57" s="132" t="s">
        <v>81</v>
      </c>
      <c r="C57" s="121"/>
      <c r="D57" s="122"/>
      <c r="E57" s="123">
        <f t="shared" si="7"/>
        <v>0</v>
      </c>
      <c r="F57" s="121"/>
      <c r="G57" s="121"/>
      <c r="H57" s="122"/>
      <c r="I57" s="37"/>
      <c r="J57" s="37"/>
      <c r="K57" s="37"/>
    </row>
    <row r="58" spans="1:11" ht="24" customHeight="1">
      <c r="A58" s="37"/>
      <c r="B58" s="132" t="s">
        <v>81</v>
      </c>
      <c r="C58" s="121"/>
      <c r="D58" s="122"/>
      <c r="E58" s="123">
        <f t="shared" si="7"/>
        <v>0</v>
      </c>
      <c r="F58" s="121"/>
      <c r="G58" s="121"/>
      <c r="H58" s="122"/>
      <c r="I58" s="37"/>
      <c r="J58" s="37"/>
      <c r="K58" s="37"/>
    </row>
    <row r="59" spans="1:11" ht="24.75" customHeight="1">
      <c r="A59" s="37"/>
      <c r="B59" s="132" t="s">
        <v>81</v>
      </c>
      <c r="C59" s="121"/>
      <c r="D59" s="122"/>
      <c r="E59" s="123">
        <f t="shared" si="7"/>
        <v>0</v>
      </c>
      <c r="F59" s="121"/>
      <c r="G59" s="121"/>
      <c r="H59" s="122"/>
      <c r="I59" s="37"/>
      <c r="J59" s="37"/>
      <c r="K59" s="37"/>
    </row>
    <row r="60" spans="1:11" ht="14.25" customHeight="1">
      <c r="A60" s="37"/>
      <c r="B60" s="132" t="s">
        <v>81</v>
      </c>
      <c r="C60" s="121"/>
      <c r="D60" s="122"/>
      <c r="E60" s="123">
        <f t="shared" si="7"/>
        <v>0</v>
      </c>
      <c r="F60" s="121"/>
      <c r="G60" s="121"/>
      <c r="H60" s="122"/>
      <c r="I60" s="37"/>
      <c r="J60" s="37"/>
      <c r="K60" s="37"/>
    </row>
    <row r="61" spans="1:11" ht="14.25" customHeight="1">
      <c r="A61" s="37"/>
      <c r="B61" s="132" t="s">
        <v>81</v>
      </c>
      <c r="C61" s="121"/>
      <c r="D61" s="122"/>
      <c r="E61" s="123">
        <f t="shared" si="7"/>
        <v>0</v>
      </c>
      <c r="F61" s="121"/>
      <c r="G61" s="121"/>
      <c r="H61" s="122"/>
      <c r="I61" s="37"/>
      <c r="J61" s="37"/>
      <c r="K61" s="37"/>
    </row>
    <row r="62" spans="1:11" ht="14.25" customHeight="1">
      <c r="A62" s="37"/>
      <c r="B62" s="160" t="s">
        <v>82</v>
      </c>
      <c r="C62" s="121"/>
      <c r="D62" s="122"/>
      <c r="E62" s="161">
        <f>SUM(E49:H61)</f>
        <v>500</v>
      </c>
      <c r="F62" s="121"/>
      <c r="G62" s="121"/>
      <c r="H62" s="122"/>
      <c r="I62" s="37"/>
      <c r="J62" s="37"/>
      <c r="K62" s="37"/>
    </row>
    <row r="63" spans="1:11" ht="14.25" customHeight="1">
      <c r="A63" s="37"/>
      <c r="B63" s="132"/>
      <c r="C63" s="121"/>
      <c r="D63" s="122"/>
      <c r="E63" s="135"/>
      <c r="F63" s="121"/>
      <c r="G63" s="121"/>
      <c r="H63" s="122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  <mergeCell ref="A45:B45"/>
    <mergeCell ref="A46:H47"/>
    <mergeCell ref="E45:F45"/>
    <mergeCell ref="E44:F44"/>
    <mergeCell ref="B48:D48"/>
    <mergeCell ref="E48:H48"/>
    <mergeCell ref="A44:B44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00"/>
  <sheetViews>
    <sheetView tabSelected="1" topLeftCell="A28" workbookViewId="0">
      <selection activeCell="B45" sqref="B45:D45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36" t="s">
        <v>42</v>
      </c>
      <c r="B1" s="118"/>
      <c r="C1" s="118"/>
      <c r="D1" s="118"/>
      <c r="E1" s="118"/>
      <c r="F1" s="118"/>
      <c r="G1" s="118"/>
      <c r="H1" s="112"/>
    </row>
    <row r="2" spans="1:8" ht="14.25" customHeight="1">
      <c r="A2" s="115"/>
      <c r="B2" s="119"/>
      <c r="C2" s="119"/>
      <c r="D2" s="119"/>
      <c r="E2" s="119"/>
      <c r="F2" s="119"/>
      <c r="G2" s="119"/>
      <c r="H2" s="116"/>
    </row>
    <row r="3" spans="1:8" ht="14.25" customHeight="1">
      <c r="A3" s="143" t="s">
        <v>87</v>
      </c>
      <c r="B3" s="106"/>
      <c r="C3" s="106"/>
      <c r="D3" s="106"/>
      <c r="E3" s="106"/>
      <c r="F3" s="106"/>
      <c r="G3" s="106"/>
      <c r="H3" s="144"/>
    </row>
    <row r="4" spans="1:8" ht="14.25" customHeight="1">
      <c r="A4" s="115"/>
      <c r="B4" s="119"/>
      <c r="C4" s="119"/>
      <c r="D4" s="119"/>
      <c r="E4" s="119"/>
      <c r="F4" s="119"/>
      <c r="G4" s="119"/>
      <c r="H4" s="116"/>
    </row>
    <row r="5" spans="1:8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6"/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>
        <v>330</v>
      </c>
      <c r="C7" s="146">
        <v>7670</v>
      </c>
      <c r="D7" s="147"/>
      <c r="E7" s="44">
        <f t="shared" si="0"/>
        <v>2531100</v>
      </c>
      <c r="F7" s="44">
        <f t="shared" si="1"/>
        <v>386100</v>
      </c>
      <c r="G7" s="44">
        <f t="shared" si="2"/>
        <v>16500</v>
      </c>
      <c r="H7" s="45">
        <f t="shared" si="3"/>
        <v>402600</v>
      </c>
    </row>
    <row r="8" spans="1:8" ht="14.25" customHeight="1">
      <c r="A8" s="46" t="s">
        <v>52</v>
      </c>
      <c r="B8" s="47"/>
      <c r="C8" s="137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7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38486</v>
      </c>
      <c r="C10" s="137">
        <v>2360</v>
      </c>
      <c r="D10" s="138"/>
      <c r="E10" s="48">
        <f t="shared" si="0"/>
        <v>90826960</v>
      </c>
      <c r="F10" s="48">
        <f t="shared" si="1"/>
        <v>13854960</v>
      </c>
      <c r="G10" s="48">
        <f t="shared" si="4"/>
        <v>1154580</v>
      </c>
      <c r="H10" s="49">
        <f t="shared" si="3"/>
        <v>15009540</v>
      </c>
    </row>
    <row r="11" spans="1:8" ht="14.25" customHeight="1">
      <c r="A11" s="46" t="s">
        <v>55</v>
      </c>
      <c r="B11" s="47"/>
      <c r="C11" s="137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7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4880</v>
      </c>
      <c r="C13" s="137">
        <v>1534</v>
      </c>
      <c r="D13" s="138"/>
      <c r="E13" s="48">
        <f t="shared" si="0"/>
        <v>7485920</v>
      </c>
      <c r="F13" s="48">
        <f t="shared" si="1"/>
        <v>1141920</v>
      </c>
      <c r="G13" s="48">
        <f t="shared" ref="G13:G14" si="5">PRODUCT(B13*20)</f>
        <v>97600</v>
      </c>
      <c r="H13" s="49">
        <f t="shared" si="3"/>
        <v>1239520</v>
      </c>
    </row>
    <row r="14" spans="1:8" ht="14.25" customHeight="1">
      <c r="A14" s="50" t="s">
        <v>56</v>
      </c>
      <c r="B14" s="47"/>
      <c r="C14" s="137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86</v>
      </c>
      <c r="B17" s="56"/>
      <c r="C17" s="56"/>
      <c r="D17" s="56"/>
      <c r="E17" s="57"/>
      <c r="F17" s="58"/>
      <c r="G17" s="58">
        <f t="shared" ref="G17:G28" si="6">PRODUCT(B17*D17)</f>
        <v>0</v>
      </c>
      <c r="H17" s="58">
        <f t="shared" ref="H17:H29" si="7">SUM(F17:G17)</f>
        <v>0</v>
      </c>
    </row>
    <row r="18" spans="1:8" ht="14.25" customHeight="1">
      <c r="A18" s="59" t="s">
        <v>84</v>
      </c>
      <c r="B18" s="60">
        <v>450</v>
      </c>
      <c r="C18" s="60">
        <v>2000</v>
      </c>
      <c r="D18" s="60">
        <v>50</v>
      </c>
      <c r="E18" s="61">
        <f t="shared" ref="E18:E28" si="8">PRODUCT(B18*C18)</f>
        <v>900000</v>
      </c>
      <c r="F18" s="62">
        <f t="shared" ref="F18:F28" si="9">PRODUCT(E18*18)/118</f>
        <v>137288.13559322033</v>
      </c>
      <c r="G18" s="62">
        <f t="shared" si="6"/>
        <v>22500</v>
      </c>
      <c r="H18" s="62">
        <f t="shared" si="7"/>
        <v>159788.13559322033</v>
      </c>
    </row>
    <row r="19" spans="1:8" ht="14.25" customHeight="1">
      <c r="A19" s="63" t="s">
        <v>85</v>
      </c>
      <c r="B19" s="64">
        <v>300</v>
      </c>
      <c r="C19" s="64">
        <v>826</v>
      </c>
      <c r="D19" s="64">
        <v>20</v>
      </c>
      <c r="E19" s="61">
        <f t="shared" si="8"/>
        <v>247800</v>
      </c>
      <c r="F19" s="62">
        <f t="shared" si="9"/>
        <v>37800</v>
      </c>
      <c r="G19" s="62">
        <f t="shared" si="6"/>
        <v>6000</v>
      </c>
      <c r="H19" s="62">
        <f t="shared" si="7"/>
        <v>43800</v>
      </c>
    </row>
    <row r="20" spans="1:8" ht="14.25" customHeight="1">
      <c r="A20" s="63" t="s">
        <v>62</v>
      </c>
      <c r="B20" s="64"/>
      <c r="C20" s="64"/>
      <c r="D20" s="64"/>
      <c r="E20" s="61">
        <f t="shared" si="8"/>
        <v>0</v>
      </c>
      <c r="F20" s="62">
        <f t="shared" si="9"/>
        <v>0</v>
      </c>
      <c r="G20" s="62">
        <f t="shared" si="6"/>
        <v>0</v>
      </c>
      <c r="H20" s="62">
        <f t="shared" si="7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8"/>
        <v>0</v>
      </c>
      <c r="F21" s="62">
        <f t="shared" si="9"/>
        <v>0</v>
      </c>
      <c r="G21" s="62">
        <f t="shared" si="6"/>
        <v>0</v>
      </c>
      <c r="H21" s="62">
        <f t="shared" si="7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8"/>
        <v>0</v>
      </c>
      <c r="F22" s="62">
        <f t="shared" si="9"/>
        <v>0</v>
      </c>
      <c r="G22" s="62">
        <f t="shared" si="6"/>
        <v>0</v>
      </c>
      <c r="H22" s="62">
        <f t="shared" si="7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8"/>
        <v>0</v>
      </c>
      <c r="F23" s="62">
        <f t="shared" si="9"/>
        <v>0</v>
      </c>
      <c r="G23" s="62">
        <f t="shared" si="6"/>
        <v>0</v>
      </c>
      <c r="H23" s="62">
        <f t="shared" si="7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8"/>
        <v>0</v>
      </c>
      <c r="F24" s="62">
        <f t="shared" si="9"/>
        <v>0</v>
      </c>
      <c r="G24" s="62">
        <f t="shared" si="6"/>
        <v>0</v>
      </c>
      <c r="H24" s="62">
        <f t="shared" si="7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8"/>
        <v>0</v>
      </c>
      <c r="F25" s="62">
        <f t="shared" si="9"/>
        <v>0</v>
      </c>
      <c r="G25" s="62">
        <f t="shared" si="6"/>
        <v>0</v>
      </c>
      <c r="H25" s="62">
        <f t="shared" si="7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8"/>
        <v>0</v>
      </c>
      <c r="F26" s="62">
        <f t="shared" si="9"/>
        <v>0</v>
      </c>
      <c r="G26" s="62">
        <f t="shared" si="6"/>
        <v>0</v>
      </c>
      <c r="H26" s="62">
        <f t="shared" si="7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8"/>
        <v>0</v>
      </c>
      <c r="F27" s="62">
        <f t="shared" si="9"/>
        <v>0</v>
      </c>
      <c r="G27" s="62">
        <f t="shared" si="6"/>
        <v>0</v>
      </c>
      <c r="H27" s="62">
        <f t="shared" si="7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8"/>
        <v>0</v>
      </c>
      <c r="F28" s="69">
        <f t="shared" si="9"/>
        <v>0</v>
      </c>
      <c r="G28" s="70">
        <f t="shared" si="6"/>
        <v>0</v>
      </c>
      <c r="H28" s="70">
        <f t="shared" si="7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101991780</v>
      </c>
      <c r="F29" s="74">
        <f t="shared" si="10"/>
        <v>15558068.135593221</v>
      </c>
      <c r="G29" s="75">
        <f t="shared" si="10"/>
        <v>1297180</v>
      </c>
      <c r="H29" s="76">
        <f t="shared" si="7"/>
        <v>16855248.135593221</v>
      </c>
    </row>
    <row r="30" spans="1:8" ht="14.25" customHeight="1">
      <c r="A30" s="148" t="s">
        <v>65</v>
      </c>
      <c r="B30" s="149"/>
      <c r="C30" s="77" t="s">
        <v>66</v>
      </c>
      <c r="D30" s="78"/>
      <c r="E30" s="150" t="s">
        <v>67</v>
      </c>
      <c r="F30" s="122"/>
      <c r="G30" s="79" t="s">
        <v>68</v>
      </c>
      <c r="H30" s="80" t="s">
        <v>66</v>
      </c>
    </row>
    <row r="31" spans="1:8" ht="14.25" customHeight="1">
      <c r="A31" s="152" t="s">
        <v>69</v>
      </c>
      <c r="B31" s="116"/>
      <c r="C31" s="81">
        <v>16855468</v>
      </c>
      <c r="D31" s="82"/>
      <c r="E31" s="146"/>
      <c r="F31" s="147"/>
      <c r="G31" s="83"/>
      <c r="H31" s="84"/>
    </row>
    <row r="32" spans="1:8" ht="14.25" customHeight="1">
      <c r="A32" s="142" t="s">
        <v>70</v>
      </c>
      <c r="B32" s="122"/>
      <c r="C32" s="85"/>
      <c r="D32" s="86"/>
      <c r="E32" s="137"/>
      <c r="F32" s="138"/>
      <c r="G32" s="87"/>
      <c r="H32" s="88"/>
    </row>
    <row r="33" spans="1:8" ht="14.25" customHeight="1">
      <c r="A33" s="142" t="s">
        <v>71</v>
      </c>
      <c r="B33" s="122"/>
      <c r="C33" s="89"/>
      <c r="D33" s="82"/>
      <c r="E33" s="153"/>
      <c r="F33" s="138"/>
      <c r="G33" s="87"/>
      <c r="H33" s="88"/>
    </row>
    <row r="34" spans="1:8" ht="14.25" customHeight="1">
      <c r="A34" s="154" t="s">
        <v>72</v>
      </c>
      <c r="B34" s="112"/>
      <c r="C34" s="90"/>
      <c r="D34" s="74"/>
      <c r="E34" s="155"/>
      <c r="F34" s="138"/>
      <c r="G34" s="47"/>
      <c r="H34" s="88"/>
    </row>
    <row r="35" spans="1:8" ht="14.25" customHeight="1">
      <c r="A35" s="142" t="s">
        <v>73</v>
      </c>
      <c r="B35" s="122"/>
      <c r="C35" s="91"/>
      <c r="D35" s="74"/>
      <c r="E35" s="151"/>
      <c r="F35" s="138"/>
      <c r="G35" s="47"/>
      <c r="H35" s="88"/>
    </row>
    <row r="36" spans="1:8" ht="14.25" customHeight="1">
      <c r="A36" s="142" t="s">
        <v>74</v>
      </c>
      <c r="B36" s="122"/>
      <c r="C36" s="91">
        <v>200000</v>
      </c>
      <c r="D36" s="93"/>
      <c r="E36" s="151"/>
      <c r="F36" s="138"/>
      <c r="G36" s="47"/>
      <c r="H36" s="88"/>
    </row>
    <row r="37" spans="1:8" ht="14.25" customHeight="1">
      <c r="A37" s="142" t="s">
        <v>75</v>
      </c>
      <c r="B37" s="122"/>
      <c r="C37" s="94">
        <f>SUM(C31:C36)</f>
        <v>17055468</v>
      </c>
      <c r="D37" s="95"/>
      <c r="E37" s="156"/>
      <c r="F37" s="157"/>
      <c r="G37" s="96"/>
      <c r="H37" s="97"/>
    </row>
    <row r="38" spans="1:8" ht="14.25" customHeight="1">
      <c r="A38" s="158" t="s">
        <v>76</v>
      </c>
      <c r="B38" s="118"/>
      <c r="C38" s="118"/>
      <c r="D38" s="118"/>
      <c r="E38" s="118"/>
      <c r="F38" s="118"/>
      <c r="G38" s="118"/>
      <c r="H38" s="112"/>
    </row>
    <row r="39" spans="1:8" ht="15" customHeight="1">
      <c r="A39" s="115"/>
      <c r="B39" s="119"/>
      <c r="C39" s="119"/>
      <c r="D39" s="119"/>
      <c r="E39" s="119"/>
      <c r="F39" s="119"/>
      <c r="G39" s="119"/>
      <c r="H39" s="116"/>
    </row>
    <row r="40" spans="1:8" ht="14.25" customHeight="1">
      <c r="A40" s="98"/>
      <c r="B40" s="133" t="s">
        <v>77</v>
      </c>
      <c r="C40" s="121"/>
      <c r="D40" s="122"/>
      <c r="E40" s="133" t="s">
        <v>78</v>
      </c>
      <c r="F40" s="121"/>
      <c r="G40" s="121"/>
      <c r="H40" s="122"/>
    </row>
    <row r="41" spans="1:8" ht="14.25" customHeight="1">
      <c r="A41" s="98"/>
      <c r="B41" s="139" t="s">
        <v>79</v>
      </c>
      <c r="C41" s="121"/>
      <c r="D41" s="122"/>
      <c r="E41" s="159">
        <f>SUM(B9:B12)</f>
        <v>38486</v>
      </c>
      <c r="F41" s="121"/>
      <c r="G41" s="121"/>
      <c r="H41" s="122"/>
    </row>
    <row r="42" spans="1:8" ht="14.25" customHeight="1">
      <c r="A42" s="98"/>
      <c r="B42" s="139" t="s">
        <v>52</v>
      </c>
      <c r="C42" s="121"/>
      <c r="D42" s="122"/>
      <c r="E42" s="159">
        <f>SUM(B6:B8)</f>
        <v>330</v>
      </c>
      <c r="F42" s="121"/>
      <c r="G42" s="121"/>
      <c r="H42" s="122"/>
    </row>
    <row r="43" spans="1:8" ht="14.25" customHeight="1">
      <c r="A43" s="98"/>
      <c r="B43" s="139" t="s">
        <v>56</v>
      </c>
      <c r="C43" s="121"/>
      <c r="D43" s="122"/>
      <c r="E43" s="140">
        <f>SUM(B13:B14)</f>
        <v>4880</v>
      </c>
      <c r="F43" s="125"/>
      <c r="G43" s="125"/>
      <c r="H43" s="114"/>
    </row>
    <row r="44" spans="1:8" ht="14.25" customHeight="1">
      <c r="A44" s="37"/>
      <c r="B44" s="132" t="s">
        <v>61</v>
      </c>
      <c r="C44" s="121"/>
      <c r="D44" s="122"/>
      <c r="E44" s="123">
        <f>SUM(B17:B18)</f>
        <v>450</v>
      </c>
      <c r="F44" s="121"/>
      <c r="G44" s="121"/>
      <c r="H44" s="122"/>
    </row>
    <row r="45" spans="1:8" ht="14.25" customHeight="1">
      <c r="A45" s="37"/>
      <c r="B45" s="132" t="s">
        <v>62</v>
      </c>
      <c r="C45" s="121"/>
      <c r="D45" s="122"/>
      <c r="E45" s="123">
        <f>SUM(B19:B20)</f>
        <v>300</v>
      </c>
      <c r="F45" s="121"/>
      <c r="G45" s="121"/>
      <c r="H45" s="122"/>
    </row>
    <row r="46" spans="1:8" ht="14.25" customHeight="1">
      <c r="A46" s="37"/>
      <c r="B46" s="132" t="s">
        <v>81</v>
      </c>
      <c r="C46" s="121"/>
      <c r="D46" s="122"/>
      <c r="E46" s="123">
        <f t="shared" ref="E46:E53" si="11">B21</f>
        <v>0</v>
      </c>
      <c r="F46" s="121"/>
      <c r="G46" s="121"/>
      <c r="H46" s="122"/>
    </row>
    <row r="47" spans="1:8" ht="14.25" customHeight="1">
      <c r="A47" s="37"/>
      <c r="B47" s="132" t="s">
        <v>81</v>
      </c>
      <c r="C47" s="121"/>
      <c r="D47" s="122"/>
      <c r="E47" s="123">
        <f t="shared" si="11"/>
        <v>0</v>
      </c>
      <c r="F47" s="121"/>
      <c r="G47" s="121"/>
      <c r="H47" s="122"/>
    </row>
    <row r="48" spans="1:8" ht="14.25" customHeight="1">
      <c r="A48" s="37"/>
      <c r="B48" s="132" t="s">
        <v>81</v>
      </c>
      <c r="C48" s="121"/>
      <c r="D48" s="122"/>
      <c r="E48" s="123">
        <f t="shared" si="11"/>
        <v>0</v>
      </c>
      <c r="F48" s="121"/>
      <c r="G48" s="121"/>
      <c r="H48" s="122"/>
    </row>
    <row r="49" spans="1:8" ht="14.25" customHeight="1">
      <c r="A49" s="37"/>
      <c r="B49" s="132" t="s">
        <v>81</v>
      </c>
      <c r="C49" s="121"/>
      <c r="D49" s="122"/>
      <c r="E49" s="123">
        <f t="shared" si="11"/>
        <v>0</v>
      </c>
      <c r="F49" s="121"/>
      <c r="G49" s="121"/>
      <c r="H49" s="122"/>
    </row>
    <row r="50" spans="1:8" ht="14.25" customHeight="1">
      <c r="A50" s="37"/>
      <c r="B50" s="132" t="s">
        <v>81</v>
      </c>
      <c r="C50" s="121"/>
      <c r="D50" s="122"/>
      <c r="E50" s="123">
        <f t="shared" si="11"/>
        <v>0</v>
      </c>
      <c r="F50" s="121"/>
      <c r="G50" s="121"/>
      <c r="H50" s="122"/>
    </row>
    <row r="51" spans="1:8" ht="14.25" customHeight="1">
      <c r="A51" s="37"/>
      <c r="B51" s="132" t="s">
        <v>81</v>
      </c>
      <c r="C51" s="121"/>
      <c r="D51" s="122"/>
      <c r="E51" s="123">
        <f t="shared" si="11"/>
        <v>0</v>
      </c>
      <c r="F51" s="121"/>
      <c r="G51" s="121"/>
      <c r="H51" s="122"/>
    </row>
    <row r="52" spans="1:8" ht="14.25" customHeight="1">
      <c r="B52" s="132" t="s">
        <v>81</v>
      </c>
      <c r="C52" s="121"/>
      <c r="D52" s="122"/>
      <c r="E52" s="123">
        <f t="shared" si="11"/>
        <v>0</v>
      </c>
      <c r="F52" s="121"/>
      <c r="G52" s="121"/>
      <c r="H52" s="122"/>
    </row>
    <row r="53" spans="1:8" ht="14.25" customHeight="1">
      <c r="B53" s="132" t="s">
        <v>81</v>
      </c>
      <c r="C53" s="121"/>
      <c r="D53" s="122"/>
      <c r="E53" s="123">
        <f t="shared" si="11"/>
        <v>0</v>
      </c>
      <c r="F53" s="121"/>
      <c r="G53" s="121"/>
      <c r="H53" s="122"/>
    </row>
    <row r="54" spans="1:8" ht="14.25" customHeight="1">
      <c r="B54" s="132" t="s">
        <v>82</v>
      </c>
      <c r="C54" s="121"/>
      <c r="D54" s="122"/>
      <c r="E54" s="123">
        <f>SUM(E41:H53)</f>
        <v>44446</v>
      </c>
      <c r="F54" s="121"/>
      <c r="G54" s="121"/>
      <c r="H54" s="122"/>
    </row>
    <row r="55" spans="1:8" ht="14.25" customHeight="1">
      <c r="B55" s="132"/>
      <c r="C55" s="121"/>
      <c r="D55" s="122"/>
      <c r="E55" s="135"/>
      <c r="F55" s="121"/>
      <c r="G55" s="121"/>
      <c r="H55" s="12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45:D45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00"/>
  <sheetViews>
    <sheetView workbookViewId="0">
      <selection activeCell="C31" sqref="C31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36" t="s">
        <v>42</v>
      </c>
      <c r="B1" s="118"/>
      <c r="C1" s="118"/>
      <c r="D1" s="118"/>
      <c r="E1" s="118"/>
      <c r="F1" s="118"/>
      <c r="G1" s="118"/>
      <c r="H1" s="112"/>
    </row>
    <row r="2" spans="1:11" ht="14.25" customHeight="1">
      <c r="A2" s="115"/>
      <c r="B2" s="119"/>
      <c r="C2" s="119"/>
      <c r="D2" s="119"/>
      <c r="E2" s="119"/>
      <c r="F2" s="119"/>
      <c r="G2" s="119"/>
      <c r="H2" s="116"/>
    </row>
    <row r="3" spans="1:11" ht="14.25" customHeight="1">
      <c r="A3" s="143" t="s">
        <v>83</v>
      </c>
      <c r="B3" s="106"/>
      <c r="C3" s="106"/>
      <c r="D3" s="106"/>
      <c r="E3" s="106"/>
      <c r="F3" s="106"/>
      <c r="G3" s="106"/>
      <c r="H3" s="144"/>
    </row>
    <row r="4" spans="1:11" ht="14.25" customHeight="1">
      <c r="A4" s="115"/>
      <c r="B4" s="119"/>
      <c r="C4" s="119"/>
      <c r="D4" s="119"/>
      <c r="E4" s="119"/>
      <c r="F4" s="119"/>
      <c r="G4" s="119"/>
      <c r="H4" s="116"/>
    </row>
    <row r="5" spans="1:11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6"/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6"/>
      <c r="D7" s="14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37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37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37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37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37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37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37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48" t="s">
        <v>65</v>
      </c>
      <c r="B38" s="149"/>
      <c r="C38" s="77" t="s">
        <v>66</v>
      </c>
      <c r="D38" s="78"/>
      <c r="E38" s="150" t="s">
        <v>67</v>
      </c>
      <c r="F38" s="122"/>
      <c r="G38" s="79" t="s">
        <v>68</v>
      </c>
      <c r="H38" s="80" t="s">
        <v>66</v>
      </c>
    </row>
    <row r="39" spans="1:11" ht="14.25" customHeight="1">
      <c r="A39" s="152" t="s">
        <v>69</v>
      </c>
      <c r="B39" s="116"/>
      <c r="C39" s="81"/>
      <c r="D39" s="82"/>
      <c r="E39" s="146"/>
      <c r="F39" s="147"/>
      <c r="G39" s="83"/>
      <c r="H39" s="84"/>
    </row>
    <row r="40" spans="1:11" ht="14.25" customHeight="1">
      <c r="A40" s="142" t="s">
        <v>70</v>
      </c>
      <c r="B40" s="122"/>
      <c r="C40" s="85"/>
      <c r="D40" s="86"/>
      <c r="E40" s="137"/>
      <c r="F40" s="138"/>
      <c r="G40" s="87"/>
      <c r="H40" s="88"/>
    </row>
    <row r="41" spans="1:11" ht="14.25" customHeight="1">
      <c r="A41" s="142" t="s">
        <v>71</v>
      </c>
      <c r="B41" s="122"/>
      <c r="C41" s="89"/>
      <c r="D41" s="82"/>
      <c r="E41" s="153"/>
      <c r="F41" s="138"/>
      <c r="G41" s="87"/>
      <c r="H41" s="88"/>
    </row>
    <row r="42" spans="1:11" ht="14.25" customHeight="1">
      <c r="A42" s="154" t="s">
        <v>72</v>
      </c>
      <c r="B42" s="112"/>
      <c r="C42" s="90"/>
      <c r="D42" s="74"/>
      <c r="E42" s="155"/>
      <c r="F42" s="138"/>
      <c r="G42" s="47"/>
      <c r="H42" s="88"/>
    </row>
    <row r="43" spans="1:11" ht="14.25" customHeight="1">
      <c r="A43" s="142" t="s">
        <v>73</v>
      </c>
      <c r="B43" s="122"/>
      <c r="C43" s="91"/>
      <c r="D43" s="74"/>
      <c r="E43" s="151"/>
      <c r="F43" s="138"/>
      <c r="G43" s="47"/>
      <c r="H43" s="88"/>
    </row>
    <row r="44" spans="1:11" ht="14.25" customHeight="1">
      <c r="A44" s="142" t="s">
        <v>74</v>
      </c>
      <c r="B44" s="122"/>
      <c r="C44" s="92"/>
      <c r="D44" s="93"/>
      <c r="E44" s="151"/>
      <c r="F44" s="138"/>
      <c r="G44" s="47"/>
      <c r="H44" s="88"/>
    </row>
    <row r="45" spans="1:11" ht="14.25" customHeight="1">
      <c r="A45" s="142" t="s">
        <v>75</v>
      </c>
      <c r="B45" s="122"/>
      <c r="C45" s="94">
        <f>SUM(C39:C44)</f>
        <v>0</v>
      </c>
      <c r="D45" s="95"/>
      <c r="E45" s="156"/>
      <c r="F45" s="157"/>
      <c r="G45" s="96"/>
      <c r="H45" s="97"/>
    </row>
    <row r="46" spans="1:11" ht="14.25" customHeight="1">
      <c r="A46" s="158" t="s">
        <v>76</v>
      </c>
      <c r="B46" s="118"/>
      <c r="C46" s="118"/>
      <c r="D46" s="118"/>
      <c r="E46" s="118"/>
      <c r="F46" s="118"/>
      <c r="G46" s="118"/>
      <c r="H46" s="112"/>
    </row>
    <row r="47" spans="1:11" ht="15" customHeight="1">
      <c r="A47" s="115"/>
      <c r="B47" s="119"/>
      <c r="C47" s="119"/>
      <c r="D47" s="119"/>
      <c r="E47" s="119"/>
      <c r="F47" s="119"/>
      <c r="G47" s="119"/>
      <c r="H47" s="116"/>
    </row>
    <row r="48" spans="1:11" ht="14.25" customHeight="1">
      <c r="A48" s="98"/>
      <c r="B48" s="133" t="s">
        <v>77</v>
      </c>
      <c r="C48" s="121"/>
      <c r="D48" s="122"/>
      <c r="E48" s="133" t="s">
        <v>78</v>
      </c>
      <c r="F48" s="121"/>
      <c r="G48" s="121"/>
      <c r="H48" s="122"/>
    </row>
    <row r="49" spans="1:8" ht="14.25" customHeight="1">
      <c r="A49" s="98"/>
      <c r="B49" s="139" t="s">
        <v>79</v>
      </c>
      <c r="C49" s="121"/>
      <c r="D49" s="122"/>
      <c r="E49" s="159">
        <f>SUM(B9:B12)</f>
        <v>0</v>
      </c>
      <c r="F49" s="121"/>
      <c r="G49" s="121"/>
      <c r="H49" s="122"/>
    </row>
    <row r="50" spans="1:8" ht="14.25" customHeight="1">
      <c r="A50" s="98"/>
      <c r="B50" s="139" t="s">
        <v>52</v>
      </c>
      <c r="C50" s="121"/>
      <c r="D50" s="122"/>
      <c r="E50" s="159">
        <f>SUM(B6:B8)</f>
        <v>0</v>
      </c>
      <c r="F50" s="121"/>
      <c r="G50" s="121"/>
      <c r="H50" s="122"/>
    </row>
    <row r="51" spans="1:8" ht="14.25" customHeight="1">
      <c r="A51" s="98"/>
      <c r="B51" s="139" t="s">
        <v>80</v>
      </c>
      <c r="C51" s="121"/>
      <c r="D51" s="122"/>
      <c r="E51" s="140">
        <f>SUM(B13:B14)</f>
        <v>0</v>
      </c>
      <c r="F51" s="125"/>
      <c r="G51" s="125"/>
      <c r="H51" s="114"/>
    </row>
    <row r="52" spans="1:8" ht="14.25" customHeight="1">
      <c r="A52" s="37"/>
      <c r="B52" s="132" t="s">
        <v>61</v>
      </c>
      <c r="C52" s="121"/>
      <c r="D52" s="122"/>
      <c r="E52" s="123">
        <f>SUM(B17:B18)</f>
        <v>0</v>
      </c>
      <c r="F52" s="121"/>
      <c r="G52" s="121"/>
      <c r="H52" s="122"/>
    </row>
    <row r="53" spans="1:8" ht="14.25" customHeight="1">
      <c r="A53" s="37"/>
      <c r="B53" s="132" t="s">
        <v>62</v>
      </c>
      <c r="C53" s="121"/>
      <c r="D53" s="122"/>
      <c r="E53" s="123">
        <f>SUM(B19:B20)</f>
        <v>0</v>
      </c>
      <c r="F53" s="121"/>
      <c r="G53" s="121"/>
      <c r="H53" s="122"/>
    </row>
    <row r="54" spans="1:8" ht="14.25" customHeight="1">
      <c r="A54" s="37"/>
      <c r="B54" s="132" t="s">
        <v>81</v>
      </c>
      <c r="C54" s="121"/>
      <c r="D54" s="122"/>
      <c r="E54" s="123">
        <f t="shared" ref="E54:E61" si="7">B29</f>
        <v>0</v>
      </c>
      <c r="F54" s="121"/>
      <c r="G54" s="121"/>
      <c r="H54" s="122"/>
    </row>
    <row r="55" spans="1:8" ht="14.25" customHeight="1">
      <c r="A55" s="37"/>
      <c r="B55" s="132" t="s">
        <v>81</v>
      </c>
      <c r="C55" s="121"/>
      <c r="D55" s="122"/>
      <c r="E55" s="123">
        <f t="shared" si="7"/>
        <v>0</v>
      </c>
      <c r="F55" s="121"/>
      <c r="G55" s="121"/>
      <c r="H55" s="122"/>
    </row>
    <row r="56" spans="1:8" ht="14.25" customHeight="1">
      <c r="A56" s="37"/>
      <c r="B56" s="132" t="s">
        <v>81</v>
      </c>
      <c r="C56" s="121"/>
      <c r="D56" s="122"/>
      <c r="E56" s="123">
        <f t="shared" si="7"/>
        <v>0</v>
      </c>
      <c r="F56" s="121"/>
      <c r="G56" s="121"/>
      <c r="H56" s="122"/>
    </row>
    <row r="57" spans="1:8" ht="14.25" customHeight="1">
      <c r="A57" s="37"/>
      <c r="B57" s="132" t="s">
        <v>81</v>
      </c>
      <c r="C57" s="121"/>
      <c r="D57" s="122"/>
      <c r="E57" s="123">
        <f t="shared" si="7"/>
        <v>0</v>
      </c>
      <c r="F57" s="121"/>
      <c r="G57" s="121"/>
      <c r="H57" s="122"/>
    </row>
    <row r="58" spans="1:8" ht="14.25" customHeight="1">
      <c r="A58" s="37"/>
      <c r="B58" s="132" t="s">
        <v>81</v>
      </c>
      <c r="C58" s="121"/>
      <c r="D58" s="122"/>
      <c r="E58" s="123">
        <f t="shared" si="7"/>
        <v>0</v>
      </c>
      <c r="F58" s="121"/>
      <c r="G58" s="121"/>
      <c r="H58" s="122"/>
    </row>
    <row r="59" spans="1:8" ht="14.25" customHeight="1">
      <c r="A59" s="37"/>
      <c r="B59" s="132" t="s">
        <v>81</v>
      </c>
      <c r="C59" s="121"/>
      <c r="D59" s="122"/>
      <c r="E59" s="123">
        <f t="shared" si="7"/>
        <v>0</v>
      </c>
      <c r="F59" s="121"/>
      <c r="G59" s="121"/>
      <c r="H59" s="122"/>
    </row>
    <row r="60" spans="1:8" ht="14.25" customHeight="1">
      <c r="B60" s="132" t="s">
        <v>81</v>
      </c>
      <c r="C60" s="121"/>
      <c r="D60" s="122"/>
      <c r="E60" s="123">
        <f t="shared" si="7"/>
        <v>0</v>
      </c>
      <c r="F60" s="121"/>
      <c r="G60" s="121"/>
      <c r="H60" s="122"/>
    </row>
    <row r="61" spans="1:8" ht="14.25" customHeight="1">
      <c r="B61" s="132" t="s">
        <v>81</v>
      </c>
      <c r="C61" s="121"/>
      <c r="D61" s="122"/>
      <c r="E61" s="123">
        <f t="shared" si="7"/>
        <v>0</v>
      </c>
      <c r="F61" s="121"/>
      <c r="G61" s="121"/>
      <c r="H61" s="122"/>
    </row>
    <row r="62" spans="1:8" ht="14.25" customHeight="1">
      <c r="B62" s="132" t="s">
        <v>82</v>
      </c>
      <c r="C62" s="121"/>
      <c r="D62" s="122"/>
      <c r="E62" s="167">
        <f>SUM(E49:H61)</f>
        <v>0</v>
      </c>
      <c r="F62" s="121"/>
      <c r="G62" s="121"/>
      <c r="H62" s="122"/>
    </row>
    <row r="63" spans="1:8" ht="14.25" customHeight="1">
      <c r="B63" s="132"/>
      <c r="C63" s="121"/>
      <c r="D63" s="122"/>
      <c r="E63" s="135"/>
      <c r="F63" s="121"/>
      <c r="G63" s="121"/>
      <c r="H63" s="122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36" t="s">
        <v>42</v>
      </c>
      <c r="B1" s="118"/>
      <c r="C1" s="118"/>
      <c r="D1" s="118"/>
      <c r="E1" s="118"/>
      <c r="F1" s="118"/>
      <c r="G1" s="118"/>
      <c r="H1" s="112"/>
    </row>
    <row r="2" spans="1:8" ht="14.25" customHeight="1">
      <c r="A2" s="115"/>
      <c r="B2" s="119"/>
      <c r="C2" s="119"/>
      <c r="D2" s="119"/>
      <c r="E2" s="119"/>
      <c r="F2" s="119"/>
      <c r="G2" s="119"/>
      <c r="H2" s="116"/>
    </row>
    <row r="3" spans="1:8" ht="14.25" customHeight="1">
      <c r="A3" s="143" t="s">
        <v>43</v>
      </c>
      <c r="B3" s="106"/>
      <c r="C3" s="106"/>
      <c r="D3" s="106"/>
      <c r="E3" s="106"/>
      <c r="F3" s="106"/>
      <c r="G3" s="106"/>
      <c r="H3" s="144"/>
    </row>
    <row r="4" spans="1:8" ht="14.25" customHeight="1">
      <c r="A4" s="115"/>
      <c r="B4" s="119"/>
      <c r="C4" s="119"/>
      <c r="D4" s="119"/>
      <c r="E4" s="119"/>
      <c r="F4" s="119"/>
      <c r="G4" s="119"/>
      <c r="H4" s="116"/>
    </row>
    <row r="5" spans="1:8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6"/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6"/>
      <c r="D7" s="14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7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7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7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7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7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7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7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8" t="s">
        <v>65</v>
      </c>
      <c r="B30" s="149"/>
      <c r="C30" s="77" t="s">
        <v>66</v>
      </c>
      <c r="D30" s="78"/>
      <c r="E30" s="150" t="s">
        <v>67</v>
      </c>
      <c r="F30" s="122"/>
      <c r="G30" s="79" t="s">
        <v>68</v>
      </c>
      <c r="H30" s="80" t="s">
        <v>66</v>
      </c>
    </row>
    <row r="31" spans="1:8" ht="14.25" customHeight="1">
      <c r="A31" s="152" t="s">
        <v>69</v>
      </c>
      <c r="B31" s="116"/>
      <c r="C31" s="81"/>
      <c r="D31" s="82"/>
      <c r="E31" s="146"/>
      <c r="F31" s="147"/>
      <c r="G31" s="83"/>
      <c r="H31" s="84"/>
    </row>
    <row r="32" spans="1:8" ht="14.25" customHeight="1">
      <c r="A32" s="142" t="s">
        <v>70</v>
      </c>
      <c r="B32" s="122"/>
      <c r="C32" s="85"/>
      <c r="D32" s="86"/>
      <c r="E32" s="137"/>
      <c r="F32" s="138"/>
      <c r="G32" s="87"/>
      <c r="H32" s="88"/>
    </row>
    <row r="33" spans="1:8" ht="14.25" customHeight="1">
      <c r="A33" s="142" t="s">
        <v>71</v>
      </c>
      <c r="B33" s="122"/>
      <c r="C33" s="89"/>
      <c r="D33" s="82"/>
      <c r="E33" s="153"/>
      <c r="F33" s="138"/>
      <c r="G33" s="87"/>
      <c r="H33" s="88"/>
    </row>
    <row r="34" spans="1:8" ht="14.25" customHeight="1">
      <c r="A34" s="154" t="s">
        <v>72</v>
      </c>
      <c r="B34" s="112"/>
      <c r="C34" s="90"/>
      <c r="D34" s="74"/>
      <c r="E34" s="155"/>
      <c r="F34" s="138"/>
      <c r="G34" s="47"/>
      <c r="H34" s="88"/>
    </row>
    <row r="35" spans="1:8" ht="14.25" customHeight="1">
      <c r="A35" s="142" t="s">
        <v>73</v>
      </c>
      <c r="B35" s="122"/>
      <c r="C35" s="91"/>
      <c r="D35" s="74"/>
      <c r="E35" s="151"/>
      <c r="F35" s="138"/>
      <c r="G35" s="47"/>
      <c r="H35" s="88"/>
    </row>
    <row r="36" spans="1:8" ht="14.25" customHeight="1">
      <c r="A36" s="142" t="s">
        <v>74</v>
      </c>
      <c r="B36" s="122"/>
      <c r="C36" s="92"/>
      <c r="D36" s="93"/>
      <c r="E36" s="151"/>
      <c r="F36" s="138"/>
      <c r="G36" s="47"/>
      <c r="H36" s="88"/>
    </row>
    <row r="37" spans="1:8" ht="14.25" customHeight="1">
      <c r="A37" s="142" t="s">
        <v>75</v>
      </c>
      <c r="B37" s="122"/>
      <c r="C37" s="94">
        <v>0</v>
      </c>
      <c r="D37" s="95"/>
      <c r="E37" s="156"/>
      <c r="F37" s="157"/>
      <c r="G37" s="96"/>
      <c r="H37" s="97"/>
    </row>
    <row r="38" spans="1:8" ht="14.25" customHeight="1">
      <c r="A38" s="158" t="s">
        <v>76</v>
      </c>
      <c r="B38" s="118"/>
      <c r="C38" s="118"/>
      <c r="D38" s="118"/>
      <c r="E38" s="118"/>
      <c r="F38" s="118"/>
      <c r="G38" s="118"/>
      <c r="H38" s="112"/>
    </row>
    <row r="39" spans="1:8" ht="15" customHeight="1">
      <c r="A39" s="115"/>
      <c r="B39" s="119"/>
      <c r="C39" s="119"/>
      <c r="D39" s="119"/>
      <c r="E39" s="119"/>
      <c r="F39" s="119"/>
      <c r="G39" s="119"/>
      <c r="H39" s="116"/>
    </row>
    <row r="40" spans="1:8" ht="14.25" customHeight="1">
      <c r="A40" s="98"/>
      <c r="B40" s="133" t="s">
        <v>77</v>
      </c>
      <c r="C40" s="121"/>
      <c r="D40" s="122"/>
      <c r="E40" s="133" t="s">
        <v>78</v>
      </c>
      <c r="F40" s="121"/>
      <c r="G40" s="121"/>
      <c r="H40" s="122"/>
    </row>
    <row r="41" spans="1:8" ht="14.25" customHeight="1">
      <c r="A41" s="98"/>
      <c r="B41" s="139" t="s">
        <v>79</v>
      </c>
      <c r="C41" s="121"/>
      <c r="D41" s="122"/>
      <c r="E41" s="159">
        <f>SUM(B9:B12)</f>
        <v>0</v>
      </c>
      <c r="F41" s="121"/>
      <c r="G41" s="121"/>
      <c r="H41" s="122"/>
    </row>
    <row r="42" spans="1:8" ht="14.25" customHeight="1">
      <c r="A42" s="98"/>
      <c r="B42" s="139" t="s">
        <v>52</v>
      </c>
      <c r="C42" s="121"/>
      <c r="D42" s="122"/>
      <c r="E42" s="159">
        <f>SUM(B6:B8)</f>
        <v>0</v>
      </c>
      <c r="F42" s="121"/>
      <c r="G42" s="121"/>
      <c r="H42" s="122"/>
    </row>
    <row r="43" spans="1:8" ht="14.25" customHeight="1">
      <c r="A43" s="98"/>
      <c r="B43" s="139" t="s">
        <v>80</v>
      </c>
      <c r="C43" s="121"/>
      <c r="D43" s="122"/>
      <c r="E43" s="140">
        <f>SUM(B13:B14)</f>
        <v>0</v>
      </c>
      <c r="F43" s="125"/>
      <c r="G43" s="125"/>
      <c r="H43" s="114"/>
    </row>
    <row r="44" spans="1:8" ht="14.25" customHeight="1">
      <c r="A44" s="37"/>
      <c r="B44" s="132" t="s">
        <v>61</v>
      </c>
      <c r="C44" s="121"/>
      <c r="D44" s="122"/>
      <c r="E44" s="123">
        <f>SUM(B17:B18)</f>
        <v>0</v>
      </c>
      <c r="F44" s="121"/>
      <c r="G44" s="121"/>
      <c r="H44" s="122"/>
    </row>
    <row r="45" spans="1:8" ht="14.25" customHeight="1">
      <c r="A45" s="37"/>
      <c r="B45" s="132" t="s">
        <v>62</v>
      </c>
      <c r="C45" s="121"/>
      <c r="D45" s="122"/>
      <c r="E45" s="123">
        <f>SUM(B19:B20)</f>
        <v>0</v>
      </c>
      <c r="F45" s="121"/>
      <c r="G45" s="121"/>
      <c r="H45" s="122"/>
    </row>
    <row r="46" spans="1:8" ht="14.25" customHeight="1">
      <c r="A46" s="37"/>
      <c r="B46" s="132" t="s">
        <v>81</v>
      </c>
      <c r="C46" s="121"/>
      <c r="D46" s="122"/>
      <c r="E46" s="123">
        <f t="shared" ref="E46:E53" si="11">B21</f>
        <v>0</v>
      </c>
      <c r="F46" s="121"/>
      <c r="G46" s="121"/>
      <c r="H46" s="122"/>
    </row>
    <row r="47" spans="1:8" ht="14.25" customHeight="1">
      <c r="A47" s="37"/>
      <c r="B47" s="132" t="s">
        <v>81</v>
      </c>
      <c r="C47" s="121"/>
      <c r="D47" s="122"/>
      <c r="E47" s="123">
        <f t="shared" si="11"/>
        <v>0</v>
      </c>
      <c r="F47" s="121"/>
      <c r="G47" s="121"/>
      <c r="H47" s="122"/>
    </row>
    <row r="48" spans="1:8" ht="14.25" customHeight="1">
      <c r="A48" s="37"/>
      <c r="B48" s="132" t="s">
        <v>81</v>
      </c>
      <c r="C48" s="121"/>
      <c r="D48" s="122"/>
      <c r="E48" s="123">
        <f t="shared" si="11"/>
        <v>0</v>
      </c>
      <c r="F48" s="121"/>
      <c r="G48" s="121"/>
      <c r="H48" s="122"/>
    </row>
    <row r="49" spans="1:8" ht="14.25" customHeight="1">
      <c r="A49" s="37"/>
      <c r="B49" s="132" t="s">
        <v>81</v>
      </c>
      <c r="C49" s="121"/>
      <c r="D49" s="122"/>
      <c r="E49" s="123">
        <f t="shared" si="11"/>
        <v>0</v>
      </c>
      <c r="F49" s="121"/>
      <c r="G49" s="121"/>
      <c r="H49" s="122"/>
    </row>
    <row r="50" spans="1:8" ht="14.25" customHeight="1">
      <c r="A50" s="37"/>
      <c r="B50" s="132" t="s">
        <v>81</v>
      </c>
      <c r="C50" s="121"/>
      <c r="D50" s="122"/>
      <c r="E50" s="123">
        <f t="shared" si="11"/>
        <v>0</v>
      </c>
      <c r="F50" s="121"/>
      <c r="G50" s="121"/>
      <c r="H50" s="122"/>
    </row>
    <row r="51" spans="1:8" ht="14.25" customHeight="1">
      <c r="A51" s="37"/>
      <c r="B51" s="132" t="s">
        <v>81</v>
      </c>
      <c r="C51" s="121"/>
      <c r="D51" s="122"/>
      <c r="E51" s="123">
        <f t="shared" si="11"/>
        <v>0</v>
      </c>
      <c r="F51" s="121"/>
      <c r="G51" s="121"/>
      <c r="H51" s="122"/>
    </row>
    <row r="52" spans="1:8" ht="14.25" customHeight="1">
      <c r="B52" s="132" t="s">
        <v>81</v>
      </c>
      <c r="C52" s="121"/>
      <c r="D52" s="122"/>
      <c r="E52" s="123">
        <f t="shared" si="11"/>
        <v>0</v>
      </c>
      <c r="F52" s="121"/>
      <c r="G52" s="121"/>
      <c r="H52" s="122"/>
    </row>
    <row r="53" spans="1:8" ht="14.25" customHeight="1">
      <c r="B53" s="132" t="s">
        <v>81</v>
      </c>
      <c r="C53" s="121"/>
      <c r="D53" s="122"/>
      <c r="E53" s="123">
        <f t="shared" si="11"/>
        <v>0</v>
      </c>
      <c r="F53" s="121"/>
      <c r="G53" s="121"/>
      <c r="H53" s="122"/>
    </row>
    <row r="54" spans="1:8" ht="14.25" customHeight="1">
      <c r="B54" s="132" t="s">
        <v>82</v>
      </c>
      <c r="C54" s="121"/>
      <c r="D54" s="122"/>
      <c r="E54" s="123">
        <f>SUM(E41:H53)</f>
        <v>0</v>
      </c>
      <c r="F54" s="121"/>
      <c r="G54" s="121"/>
      <c r="H54" s="122"/>
    </row>
    <row r="55" spans="1:8" ht="14.25" customHeight="1">
      <c r="B55" s="132"/>
      <c r="C55" s="121"/>
      <c r="D55" s="122"/>
      <c r="E55" s="135"/>
      <c r="F55" s="121"/>
      <c r="G55" s="121"/>
      <c r="H55" s="12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00"/>
  <sheetViews>
    <sheetView workbookViewId="0">
      <selection activeCell="C12" sqref="C12:D12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36" t="s">
        <v>42</v>
      </c>
      <c r="B1" s="118"/>
      <c r="C1" s="118"/>
      <c r="D1" s="118"/>
      <c r="E1" s="118"/>
      <c r="F1" s="118"/>
      <c r="G1" s="118"/>
      <c r="H1" s="112"/>
    </row>
    <row r="2" spans="1:8" ht="14.25" customHeight="1">
      <c r="A2" s="115"/>
      <c r="B2" s="119"/>
      <c r="C2" s="119"/>
      <c r="D2" s="119"/>
      <c r="E2" s="119"/>
      <c r="F2" s="119"/>
      <c r="G2" s="119"/>
      <c r="H2" s="116"/>
    </row>
    <row r="3" spans="1:8" ht="14.25" customHeight="1">
      <c r="A3" s="143" t="s">
        <v>43</v>
      </c>
      <c r="B3" s="106"/>
      <c r="C3" s="106"/>
      <c r="D3" s="106"/>
      <c r="E3" s="106"/>
      <c r="F3" s="106"/>
      <c r="G3" s="106"/>
      <c r="H3" s="144"/>
    </row>
    <row r="4" spans="1:8" ht="14.25" customHeight="1">
      <c r="A4" s="115"/>
      <c r="B4" s="119"/>
      <c r="C4" s="119"/>
      <c r="D4" s="119"/>
      <c r="E4" s="119"/>
      <c r="F4" s="119"/>
      <c r="G4" s="119"/>
      <c r="H4" s="116"/>
    </row>
    <row r="5" spans="1:8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6"/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6"/>
      <c r="D7" s="14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7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7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500</v>
      </c>
      <c r="C10" s="137">
        <v>2124</v>
      </c>
      <c r="D10" s="138"/>
      <c r="E10" s="48">
        <f t="shared" si="0"/>
        <v>1062000</v>
      </c>
      <c r="F10" s="48">
        <f t="shared" si="1"/>
        <v>162000</v>
      </c>
      <c r="G10" s="48">
        <f t="shared" si="4"/>
        <v>15000</v>
      </c>
      <c r="H10" s="49">
        <f t="shared" si="3"/>
        <v>177000</v>
      </c>
    </row>
    <row r="11" spans="1:8" ht="14.25" customHeight="1">
      <c r="A11" s="46" t="s">
        <v>55</v>
      </c>
      <c r="B11" s="47"/>
      <c r="C11" s="137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7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7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7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1062000</v>
      </c>
      <c r="F29" s="74">
        <f t="shared" si="10"/>
        <v>162000</v>
      </c>
      <c r="G29" s="75">
        <f t="shared" si="10"/>
        <v>15000</v>
      </c>
      <c r="H29" s="76">
        <f t="shared" si="9"/>
        <v>177000</v>
      </c>
    </row>
    <row r="30" spans="1:8" ht="14.25" customHeight="1">
      <c r="A30" s="148" t="s">
        <v>65</v>
      </c>
      <c r="B30" s="149"/>
      <c r="C30" s="77" t="s">
        <v>66</v>
      </c>
      <c r="D30" s="78"/>
      <c r="E30" s="150" t="s">
        <v>67</v>
      </c>
      <c r="F30" s="122"/>
      <c r="G30" s="79" t="s">
        <v>68</v>
      </c>
      <c r="H30" s="80" t="s">
        <v>66</v>
      </c>
    </row>
    <row r="31" spans="1:8" ht="14.25" customHeight="1">
      <c r="A31" s="152" t="s">
        <v>69</v>
      </c>
      <c r="B31" s="116"/>
      <c r="C31" s="81"/>
      <c r="D31" s="82"/>
      <c r="E31" s="146"/>
      <c r="F31" s="147"/>
      <c r="G31" s="83"/>
      <c r="H31" s="84"/>
    </row>
    <row r="32" spans="1:8" ht="14.25" customHeight="1">
      <c r="A32" s="142" t="s">
        <v>70</v>
      </c>
      <c r="B32" s="122"/>
      <c r="C32" s="85"/>
      <c r="D32" s="86"/>
      <c r="E32" s="137"/>
      <c r="F32" s="138"/>
      <c r="G32" s="87"/>
      <c r="H32" s="88"/>
    </row>
    <row r="33" spans="1:8" ht="14.25" customHeight="1">
      <c r="A33" s="142" t="s">
        <v>71</v>
      </c>
      <c r="B33" s="122"/>
      <c r="C33" s="89"/>
      <c r="D33" s="82"/>
      <c r="E33" s="153"/>
      <c r="F33" s="138"/>
      <c r="G33" s="87"/>
      <c r="H33" s="88"/>
    </row>
    <row r="34" spans="1:8" ht="14.25" customHeight="1">
      <c r="A34" s="154" t="s">
        <v>72</v>
      </c>
      <c r="B34" s="112"/>
      <c r="C34" s="90"/>
      <c r="D34" s="74"/>
      <c r="E34" s="155"/>
      <c r="F34" s="138"/>
      <c r="G34" s="47"/>
      <c r="H34" s="88"/>
    </row>
    <row r="35" spans="1:8" ht="14.25" customHeight="1">
      <c r="A35" s="142" t="s">
        <v>73</v>
      </c>
      <c r="B35" s="122"/>
      <c r="C35" s="91"/>
      <c r="D35" s="74"/>
      <c r="E35" s="151"/>
      <c r="F35" s="138"/>
      <c r="G35" s="47"/>
      <c r="H35" s="88"/>
    </row>
    <row r="36" spans="1:8" ht="14.25" customHeight="1">
      <c r="A36" s="142" t="s">
        <v>74</v>
      </c>
      <c r="B36" s="122"/>
      <c r="C36" s="92"/>
      <c r="D36" s="93"/>
      <c r="E36" s="151"/>
      <c r="F36" s="138"/>
      <c r="G36" s="47"/>
      <c r="H36" s="88"/>
    </row>
    <row r="37" spans="1:8" ht="14.25" customHeight="1">
      <c r="A37" s="142" t="s">
        <v>75</v>
      </c>
      <c r="B37" s="122"/>
      <c r="C37" s="94">
        <v>0</v>
      </c>
      <c r="D37" s="95"/>
      <c r="E37" s="156"/>
      <c r="F37" s="157"/>
      <c r="G37" s="96"/>
      <c r="H37" s="97"/>
    </row>
    <row r="38" spans="1:8" ht="14.25" customHeight="1">
      <c r="A38" s="158" t="s">
        <v>76</v>
      </c>
      <c r="B38" s="118"/>
      <c r="C38" s="118"/>
      <c r="D38" s="118"/>
      <c r="E38" s="118"/>
      <c r="F38" s="118"/>
      <c r="G38" s="118"/>
      <c r="H38" s="112"/>
    </row>
    <row r="39" spans="1:8" ht="15" customHeight="1">
      <c r="A39" s="115"/>
      <c r="B39" s="119"/>
      <c r="C39" s="119"/>
      <c r="D39" s="119"/>
      <c r="E39" s="119"/>
      <c r="F39" s="119"/>
      <c r="G39" s="119"/>
      <c r="H39" s="116"/>
    </row>
    <row r="40" spans="1:8" ht="14.25" customHeight="1">
      <c r="A40" s="98"/>
      <c r="B40" s="133" t="s">
        <v>77</v>
      </c>
      <c r="C40" s="121"/>
      <c r="D40" s="122"/>
      <c r="E40" s="133" t="s">
        <v>78</v>
      </c>
      <c r="F40" s="121"/>
      <c r="G40" s="121"/>
      <c r="H40" s="122"/>
    </row>
    <row r="41" spans="1:8" ht="14.25" customHeight="1">
      <c r="A41" s="98"/>
      <c r="B41" s="139" t="s">
        <v>79</v>
      </c>
      <c r="C41" s="121"/>
      <c r="D41" s="122"/>
      <c r="E41" s="159">
        <f>SUM(B9:B12)</f>
        <v>500</v>
      </c>
      <c r="F41" s="121"/>
      <c r="G41" s="121"/>
      <c r="H41" s="122"/>
    </row>
    <row r="42" spans="1:8" ht="14.25" customHeight="1">
      <c r="A42" s="98"/>
      <c r="B42" s="139" t="s">
        <v>52</v>
      </c>
      <c r="C42" s="121"/>
      <c r="D42" s="122"/>
      <c r="E42" s="159">
        <f>SUM(B6:B8)</f>
        <v>0</v>
      </c>
      <c r="F42" s="121"/>
      <c r="G42" s="121"/>
      <c r="H42" s="122"/>
    </row>
    <row r="43" spans="1:8" ht="14.25" customHeight="1">
      <c r="A43" s="98"/>
      <c r="B43" s="139" t="s">
        <v>80</v>
      </c>
      <c r="C43" s="121"/>
      <c r="D43" s="122"/>
      <c r="E43" s="140">
        <f>SUM(B13:B14)</f>
        <v>0</v>
      </c>
      <c r="F43" s="125"/>
      <c r="G43" s="125"/>
      <c r="H43" s="114"/>
    </row>
    <row r="44" spans="1:8" ht="14.25" customHeight="1">
      <c r="A44" s="37"/>
      <c r="B44" s="132" t="s">
        <v>61</v>
      </c>
      <c r="C44" s="121"/>
      <c r="D44" s="122"/>
      <c r="E44" s="123">
        <f>SUM(B17:B18)</f>
        <v>0</v>
      </c>
      <c r="F44" s="121"/>
      <c r="G44" s="121"/>
      <c r="H44" s="122"/>
    </row>
    <row r="45" spans="1:8" ht="14.25" customHeight="1">
      <c r="A45" s="37"/>
      <c r="B45" s="132" t="s">
        <v>62</v>
      </c>
      <c r="C45" s="121"/>
      <c r="D45" s="122"/>
      <c r="E45" s="123">
        <f>SUM(B19:B20)</f>
        <v>0</v>
      </c>
      <c r="F45" s="121"/>
      <c r="G45" s="121"/>
      <c r="H45" s="122"/>
    </row>
    <row r="46" spans="1:8" ht="14.25" customHeight="1">
      <c r="A46" s="37"/>
      <c r="B46" s="132" t="s">
        <v>81</v>
      </c>
      <c r="C46" s="121"/>
      <c r="D46" s="122"/>
      <c r="E46" s="123">
        <f t="shared" ref="E46:E53" si="11">B21</f>
        <v>0</v>
      </c>
      <c r="F46" s="121"/>
      <c r="G46" s="121"/>
      <c r="H46" s="122"/>
    </row>
    <row r="47" spans="1:8" ht="14.25" customHeight="1">
      <c r="A47" s="37"/>
      <c r="B47" s="132" t="s">
        <v>81</v>
      </c>
      <c r="C47" s="121"/>
      <c r="D47" s="122"/>
      <c r="E47" s="123">
        <f t="shared" si="11"/>
        <v>0</v>
      </c>
      <c r="F47" s="121"/>
      <c r="G47" s="121"/>
      <c r="H47" s="122"/>
    </row>
    <row r="48" spans="1:8" ht="14.25" customHeight="1">
      <c r="A48" s="37"/>
      <c r="B48" s="132" t="s">
        <v>81</v>
      </c>
      <c r="C48" s="121"/>
      <c r="D48" s="122"/>
      <c r="E48" s="123">
        <f t="shared" si="11"/>
        <v>0</v>
      </c>
      <c r="F48" s="121"/>
      <c r="G48" s="121"/>
      <c r="H48" s="122"/>
    </row>
    <row r="49" spans="1:8" ht="14.25" customHeight="1">
      <c r="A49" s="37"/>
      <c r="B49" s="132" t="s">
        <v>81</v>
      </c>
      <c r="C49" s="121"/>
      <c r="D49" s="122"/>
      <c r="E49" s="123">
        <f t="shared" si="11"/>
        <v>0</v>
      </c>
      <c r="F49" s="121"/>
      <c r="G49" s="121"/>
      <c r="H49" s="122"/>
    </row>
    <row r="50" spans="1:8" ht="14.25" customHeight="1">
      <c r="A50" s="37"/>
      <c r="B50" s="132" t="s">
        <v>81</v>
      </c>
      <c r="C50" s="121"/>
      <c r="D50" s="122"/>
      <c r="E50" s="123">
        <f t="shared" si="11"/>
        <v>0</v>
      </c>
      <c r="F50" s="121"/>
      <c r="G50" s="121"/>
      <c r="H50" s="122"/>
    </row>
    <row r="51" spans="1:8" ht="14.25" customHeight="1">
      <c r="A51" s="37"/>
      <c r="B51" s="132" t="s">
        <v>81</v>
      </c>
      <c r="C51" s="121"/>
      <c r="D51" s="122"/>
      <c r="E51" s="123">
        <f t="shared" si="11"/>
        <v>0</v>
      </c>
      <c r="F51" s="121"/>
      <c r="G51" s="121"/>
      <c r="H51" s="122"/>
    </row>
    <row r="52" spans="1:8" ht="14.25" customHeight="1">
      <c r="B52" s="132" t="s">
        <v>81</v>
      </c>
      <c r="C52" s="121"/>
      <c r="D52" s="122"/>
      <c r="E52" s="123">
        <f t="shared" si="11"/>
        <v>0</v>
      </c>
      <c r="F52" s="121"/>
      <c r="G52" s="121"/>
      <c r="H52" s="122"/>
    </row>
    <row r="53" spans="1:8" ht="14.25" customHeight="1">
      <c r="B53" s="132" t="s">
        <v>81</v>
      </c>
      <c r="C53" s="121"/>
      <c r="D53" s="122"/>
      <c r="E53" s="123">
        <f t="shared" si="11"/>
        <v>0</v>
      </c>
      <c r="F53" s="121"/>
      <c r="G53" s="121"/>
      <c r="H53" s="122"/>
    </row>
    <row r="54" spans="1:8" ht="14.25" customHeight="1">
      <c r="B54" s="132" t="s">
        <v>82</v>
      </c>
      <c r="C54" s="121"/>
      <c r="D54" s="122"/>
      <c r="E54" s="123">
        <f>SUM(E41:H53)</f>
        <v>500</v>
      </c>
      <c r="F54" s="121"/>
      <c r="G54" s="121"/>
      <c r="H54" s="122"/>
    </row>
    <row r="55" spans="1:8" ht="14.25" customHeight="1">
      <c r="B55" s="132"/>
      <c r="C55" s="121"/>
      <c r="D55" s="122"/>
      <c r="E55" s="135"/>
      <c r="F55" s="121"/>
      <c r="G55" s="121"/>
      <c r="H55" s="12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36" t="s">
        <v>42</v>
      </c>
      <c r="B1" s="118"/>
      <c r="C1" s="118"/>
      <c r="D1" s="118"/>
      <c r="E1" s="118"/>
      <c r="F1" s="118"/>
      <c r="G1" s="118"/>
      <c r="H1" s="112"/>
    </row>
    <row r="2" spans="1:8" ht="14.25" customHeight="1">
      <c r="A2" s="115"/>
      <c r="B2" s="119"/>
      <c r="C2" s="119"/>
      <c r="D2" s="119"/>
      <c r="E2" s="119"/>
      <c r="F2" s="119"/>
      <c r="G2" s="119"/>
      <c r="H2" s="116"/>
    </row>
    <row r="3" spans="1:8" ht="14.25" customHeight="1">
      <c r="A3" s="143" t="s">
        <v>43</v>
      </c>
      <c r="B3" s="106"/>
      <c r="C3" s="106"/>
      <c r="D3" s="106"/>
      <c r="E3" s="106"/>
      <c r="F3" s="106"/>
      <c r="G3" s="106"/>
      <c r="H3" s="144"/>
    </row>
    <row r="4" spans="1:8" ht="14.25" customHeight="1">
      <c r="A4" s="115"/>
      <c r="B4" s="119"/>
      <c r="C4" s="119"/>
      <c r="D4" s="119"/>
      <c r="E4" s="119"/>
      <c r="F4" s="119"/>
      <c r="G4" s="119"/>
      <c r="H4" s="116"/>
    </row>
    <row r="5" spans="1:8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6"/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6"/>
      <c r="D7" s="14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7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7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7">
        <v>2124</v>
      </c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7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7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7">
        <v>1357</v>
      </c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7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8" t="s">
        <v>65</v>
      </c>
      <c r="B30" s="149"/>
      <c r="C30" s="77" t="s">
        <v>66</v>
      </c>
      <c r="D30" s="78"/>
      <c r="E30" s="150" t="s">
        <v>67</v>
      </c>
      <c r="F30" s="122"/>
      <c r="G30" s="79" t="s">
        <v>68</v>
      </c>
      <c r="H30" s="80" t="s">
        <v>66</v>
      </c>
    </row>
    <row r="31" spans="1:8" ht="14.25" customHeight="1">
      <c r="A31" s="152" t="s">
        <v>69</v>
      </c>
      <c r="B31" s="116"/>
      <c r="C31" s="81"/>
      <c r="D31" s="82"/>
      <c r="E31" s="146"/>
      <c r="F31" s="147"/>
      <c r="G31" s="83"/>
      <c r="H31" s="84"/>
    </row>
    <row r="32" spans="1:8" ht="14.25" customHeight="1">
      <c r="A32" s="142" t="s">
        <v>70</v>
      </c>
      <c r="B32" s="122"/>
      <c r="C32" s="85"/>
      <c r="D32" s="86"/>
      <c r="E32" s="137"/>
      <c r="F32" s="138"/>
      <c r="G32" s="87"/>
      <c r="H32" s="88"/>
    </row>
    <row r="33" spans="1:8" ht="14.25" customHeight="1">
      <c r="A33" s="142" t="s">
        <v>71</v>
      </c>
      <c r="B33" s="122"/>
      <c r="C33" s="89"/>
      <c r="D33" s="82"/>
      <c r="E33" s="153"/>
      <c r="F33" s="138"/>
      <c r="G33" s="87"/>
      <c r="H33" s="88"/>
    </row>
    <row r="34" spans="1:8" ht="14.25" customHeight="1">
      <c r="A34" s="154" t="s">
        <v>72</v>
      </c>
      <c r="B34" s="112"/>
      <c r="C34" s="90"/>
      <c r="D34" s="74"/>
      <c r="E34" s="155"/>
      <c r="F34" s="138"/>
      <c r="G34" s="47"/>
      <c r="H34" s="88"/>
    </row>
    <row r="35" spans="1:8" ht="14.25" customHeight="1">
      <c r="A35" s="142" t="s">
        <v>73</v>
      </c>
      <c r="B35" s="122"/>
      <c r="C35" s="91"/>
      <c r="D35" s="74"/>
      <c r="E35" s="151"/>
      <c r="F35" s="138"/>
      <c r="G35" s="47"/>
      <c r="H35" s="88"/>
    </row>
    <row r="36" spans="1:8" ht="14.25" customHeight="1">
      <c r="A36" s="142" t="s">
        <v>74</v>
      </c>
      <c r="B36" s="122"/>
      <c r="C36" s="92"/>
      <c r="D36" s="93"/>
      <c r="E36" s="151"/>
      <c r="F36" s="138"/>
      <c r="G36" s="47"/>
      <c r="H36" s="88"/>
    </row>
    <row r="37" spans="1:8" ht="14.25" customHeight="1">
      <c r="A37" s="142" t="s">
        <v>75</v>
      </c>
      <c r="B37" s="122"/>
      <c r="C37" s="94">
        <v>0</v>
      </c>
      <c r="D37" s="95"/>
      <c r="E37" s="156"/>
      <c r="F37" s="157"/>
      <c r="G37" s="96"/>
      <c r="H37" s="97"/>
    </row>
    <row r="38" spans="1:8" ht="14.25" customHeight="1">
      <c r="A38" s="158" t="s">
        <v>76</v>
      </c>
      <c r="B38" s="118"/>
      <c r="C38" s="118"/>
      <c r="D38" s="118"/>
      <c r="E38" s="118"/>
      <c r="F38" s="118"/>
      <c r="G38" s="118"/>
      <c r="H38" s="112"/>
    </row>
    <row r="39" spans="1:8" ht="15" customHeight="1">
      <c r="A39" s="115"/>
      <c r="B39" s="119"/>
      <c r="C39" s="119"/>
      <c r="D39" s="119"/>
      <c r="E39" s="119"/>
      <c r="F39" s="119"/>
      <c r="G39" s="119"/>
      <c r="H39" s="116"/>
    </row>
    <row r="40" spans="1:8" ht="14.25" customHeight="1">
      <c r="A40" s="98"/>
      <c r="B40" s="133" t="s">
        <v>77</v>
      </c>
      <c r="C40" s="121"/>
      <c r="D40" s="122"/>
      <c r="E40" s="133" t="s">
        <v>78</v>
      </c>
      <c r="F40" s="121"/>
      <c r="G40" s="121"/>
      <c r="H40" s="122"/>
    </row>
    <row r="41" spans="1:8" ht="14.25" customHeight="1">
      <c r="A41" s="98"/>
      <c r="B41" s="139" t="s">
        <v>79</v>
      </c>
      <c r="C41" s="121"/>
      <c r="D41" s="122"/>
      <c r="E41" s="159">
        <f>SUM(B9:B12)</f>
        <v>0</v>
      </c>
      <c r="F41" s="121"/>
      <c r="G41" s="121"/>
      <c r="H41" s="122"/>
    </row>
    <row r="42" spans="1:8" ht="14.25" customHeight="1">
      <c r="A42" s="98"/>
      <c r="B42" s="139" t="s">
        <v>52</v>
      </c>
      <c r="C42" s="121"/>
      <c r="D42" s="122"/>
      <c r="E42" s="159">
        <f>SUM(B6:B8)</f>
        <v>0</v>
      </c>
      <c r="F42" s="121"/>
      <c r="G42" s="121"/>
      <c r="H42" s="122"/>
    </row>
    <row r="43" spans="1:8" ht="14.25" customHeight="1">
      <c r="A43" s="98"/>
      <c r="B43" s="139" t="s">
        <v>80</v>
      </c>
      <c r="C43" s="121"/>
      <c r="D43" s="122"/>
      <c r="E43" s="140">
        <f>SUM(B13:B14)</f>
        <v>0</v>
      </c>
      <c r="F43" s="125"/>
      <c r="G43" s="125"/>
      <c r="H43" s="114"/>
    </row>
    <row r="44" spans="1:8" ht="14.25" customHeight="1">
      <c r="A44" s="37"/>
      <c r="B44" s="132" t="s">
        <v>61</v>
      </c>
      <c r="C44" s="121"/>
      <c r="D44" s="122"/>
      <c r="E44" s="123">
        <f>SUM(B17:B18)</f>
        <v>0</v>
      </c>
      <c r="F44" s="121"/>
      <c r="G44" s="121"/>
      <c r="H44" s="122"/>
    </row>
    <row r="45" spans="1:8" ht="14.25" customHeight="1">
      <c r="A45" s="37"/>
      <c r="B45" s="132" t="s">
        <v>62</v>
      </c>
      <c r="C45" s="121"/>
      <c r="D45" s="122"/>
      <c r="E45" s="123">
        <f>SUM(B19:B20)</f>
        <v>0</v>
      </c>
      <c r="F45" s="121"/>
      <c r="G45" s="121"/>
      <c r="H45" s="122"/>
    </row>
    <row r="46" spans="1:8" ht="14.25" customHeight="1">
      <c r="A46" s="37"/>
      <c r="B46" s="132" t="s">
        <v>81</v>
      </c>
      <c r="C46" s="121"/>
      <c r="D46" s="122"/>
      <c r="E46" s="123">
        <f t="shared" ref="E46:E53" si="11">B21</f>
        <v>0</v>
      </c>
      <c r="F46" s="121"/>
      <c r="G46" s="121"/>
      <c r="H46" s="122"/>
    </row>
    <row r="47" spans="1:8" ht="14.25" customHeight="1">
      <c r="A47" s="37"/>
      <c r="B47" s="132" t="s">
        <v>81</v>
      </c>
      <c r="C47" s="121"/>
      <c r="D47" s="122"/>
      <c r="E47" s="123">
        <f t="shared" si="11"/>
        <v>0</v>
      </c>
      <c r="F47" s="121"/>
      <c r="G47" s="121"/>
      <c r="H47" s="122"/>
    </row>
    <row r="48" spans="1:8" ht="14.25" customHeight="1">
      <c r="A48" s="37"/>
      <c r="B48" s="132" t="s">
        <v>81</v>
      </c>
      <c r="C48" s="121"/>
      <c r="D48" s="122"/>
      <c r="E48" s="123">
        <f t="shared" si="11"/>
        <v>0</v>
      </c>
      <c r="F48" s="121"/>
      <c r="G48" s="121"/>
      <c r="H48" s="122"/>
    </row>
    <row r="49" spans="1:8" ht="14.25" customHeight="1">
      <c r="A49" s="37"/>
      <c r="B49" s="132" t="s">
        <v>81</v>
      </c>
      <c r="C49" s="121"/>
      <c r="D49" s="122"/>
      <c r="E49" s="123">
        <f t="shared" si="11"/>
        <v>0</v>
      </c>
      <c r="F49" s="121"/>
      <c r="G49" s="121"/>
      <c r="H49" s="122"/>
    </row>
    <row r="50" spans="1:8" ht="14.25" customHeight="1">
      <c r="A50" s="37"/>
      <c r="B50" s="132" t="s">
        <v>81</v>
      </c>
      <c r="C50" s="121"/>
      <c r="D50" s="122"/>
      <c r="E50" s="123">
        <f t="shared" si="11"/>
        <v>0</v>
      </c>
      <c r="F50" s="121"/>
      <c r="G50" s="121"/>
      <c r="H50" s="122"/>
    </row>
    <row r="51" spans="1:8" ht="14.25" customHeight="1">
      <c r="A51" s="37"/>
      <c r="B51" s="132" t="s">
        <v>81</v>
      </c>
      <c r="C51" s="121"/>
      <c r="D51" s="122"/>
      <c r="E51" s="123">
        <f t="shared" si="11"/>
        <v>0</v>
      </c>
      <c r="F51" s="121"/>
      <c r="G51" s="121"/>
      <c r="H51" s="122"/>
    </row>
    <row r="52" spans="1:8" ht="14.25" customHeight="1">
      <c r="B52" s="132" t="s">
        <v>81</v>
      </c>
      <c r="C52" s="121"/>
      <c r="D52" s="122"/>
      <c r="E52" s="123">
        <f t="shared" si="11"/>
        <v>0</v>
      </c>
      <c r="F52" s="121"/>
      <c r="G52" s="121"/>
      <c r="H52" s="122"/>
    </row>
    <row r="53" spans="1:8" ht="14.25" customHeight="1">
      <c r="B53" s="132" t="s">
        <v>81</v>
      </c>
      <c r="C53" s="121"/>
      <c r="D53" s="122"/>
      <c r="E53" s="123">
        <f t="shared" si="11"/>
        <v>0</v>
      </c>
      <c r="F53" s="121"/>
      <c r="G53" s="121"/>
      <c r="H53" s="122"/>
    </row>
    <row r="54" spans="1:8" ht="14.25" customHeight="1">
      <c r="B54" s="132" t="s">
        <v>82</v>
      </c>
      <c r="C54" s="121"/>
      <c r="D54" s="122"/>
      <c r="E54" s="123">
        <f>SUM(E41:H53)</f>
        <v>0</v>
      </c>
      <c r="F54" s="121"/>
      <c r="G54" s="121"/>
      <c r="H54" s="122"/>
    </row>
    <row r="55" spans="1:8" ht="14.25" customHeight="1">
      <c r="B55" s="132"/>
      <c r="C55" s="121"/>
      <c r="D55" s="122"/>
      <c r="E55" s="135"/>
      <c r="F55" s="121"/>
      <c r="G55" s="121"/>
      <c r="H55" s="12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36" t="s">
        <v>42</v>
      </c>
      <c r="B1" s="118"/>
      <c r="C1" s="118"/>
      <c r="D1" s="118"/>
      <c r="E1" s="118"/>
      <c r="F1" s="118"/>
      <c r="G1" s="118"/>
      <c r="H1" s="112"/>
    </row>
    <row r="2" spans="1:8" ht="14.25" customHeight="1">
      <c r="A2" s="115"/>
      <c r="B2" s="119"/>
      <c r="C2" s="119"/>
      <c r="D2" s="119"/>
      <c r="E2" s="119"/>
      <c r="F2" s="119"/>
      <c r="G2" s="119"/>
      <c r="H2" s="116"/>
    </row>
    <row r="3" spans="1:8" ht="14.25" customHeight="1">
      <c r="A3" s="143" t="s">
        <v>43</v>
      </c>
      <c r="B3" s="106"/>
      <c r="C3" s="106"/>
      <c r="D3" s="106"/>
      <c r="E3" s="106"/>
      <c r="F3" s="106"/>
      <c r="G3" s="106"/>
      <c r="H3" s="144"/>
    </row>
    <row r="4" spans="1:8" ht="14.25" customHeight="1">
      <c r="A4" s="115"/>
      <c r="B4" s="119"/>
      <c r="C4" s="119"/>
      <c r="D4" s="119"/>
      <c r="E4" s="119"/>
      <c r="F4" s="119"/>
      <c r="G4" s="119"/>
      <c r="H4" s="116"/>
    </row>
    <row r="5" spans="1:8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6"/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6"/>
      <c r="D7" s="14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7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7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7">
        <v>2124</v>
      </c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7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7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7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7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8" t="s">
        <v>65</v>
      </c>
      <c r="B30" s="149"/>
      <c r="C30" s="77" t="s">
        <v>66</v>
      </c>
      <c r="D30" s="78"/>
      <c r="E30" s="150" t="s">
        <v>67</v>
      </c>
      <c r="F30" s="122"/>
      <c r="G30" s="79" t="s">
        <v>68</v>
      </c>
      <c r="H30" s="80" t="s">
        <v>66</v>
      </c>
    </row>
    <row r="31" spans="1:8" ht="14.25" customHeight="1">
      <c r="A31" s="152" t="s">
        <v>69</v>
      </c>
      <c r="B31" s="116"/>
      <c r="C31" s="81"/>
      <c r="D31" s="82"/>
      <c r="E31" s="146"/>
      <c r="F31" s="147"/>
      <c r="G31" s="83"/>
      <c r="H31" s="84"/>
    </row>
    <row r="32" spans="1:8" ht="14.25" customHeight="1">
      <c r="A32" s="142" t="s">
        <v>70</v>
      </c>
      <c r="B32" s="122"/>
      <c r="C32" s="85"/>
      <c r="D32" s="86"/>
      <c r="E32" s="137"/>
      <c r="F32" s="138"/>
      <c r="G32" s="87"/>
      <c r="H32" s="88"/>
    </row>
    <row r="33" spans="1:8" ht="14.25" customHeight="1">
      <c r="A33" s="142" t="s">
        <v>71</v>
      </c>
      <c r="B33" s="122"/>
      <c r="C33" s="89"/>
      <c r="D33" s="82"/>
      <c r="E33" s="153"/>
      <c r="F33" s="138"/>
      <c r="G33" s="87"/>
      <c r="H33" s="88"/>
    </row>
    <row r="34" spans="1:8" ht="14.25" customHeight="1">
      <c r="A34" s="154" t="s">
        <v>72</v>
      </c>
      <c r="B34" s="112"/>
      <c r="C34" s="90"/>
      <c r="D34" s="74"/>
      <c r="E34" s="155"/>
      <c r="F34" s="138"/>
      <c r="G34" s="47"/>
      <c r="H34" s="88"/>
    </row>
    <row r="35" spans="1:8" ht="14.25" customHeight="1">
      <c r="A35" s="142" t="s">
        <v>73</v>
      </c>
      <c r="B35" s="122"/>
      <c r="C35" s="91"/>
      <c r="D35" s="74"/>
      <c r="E35" s="151"/>
      <c r="F35" s="138"/>
      <c r="G35" s="47"/>
      <c r="H35" s="88"/>
    </row>
    <row r="36" spans="1:8" ht="14.25" customHeight="1">
      <c r="A36" s="142" t="s">
        <v>74</v>
      </c>
      <c r="B36" s="122"/>
      <c r="C36" s="92"/>
      <c r="D36" s="93"/>
      <c r="E36" s="151"/>
      <c r="F36" s="138"/>
      <c r="G36" s="47"/>
      <c r="H36" s="88"/>
    </row>
    <row r="37" spans="1:8" ht="14.25" customHeight="1">
      <c r="A37" s="142" t="s">
        <v>75</v>
      </c>
      <c r="B37" s="122"/>
      <c r="C37" s="94">
        <v>0</v>
      </c>
      <c r="D37" s="95"/>
      <c r="E37" s="156"/>
      <c r="F37" s="157"/>
      <c r="G37" s="96"/>
      <c r="H37" s="97"/>
    </row>
    <row r="38" spans="1:8" ht="14.25" customHeight="1">
      <c r="A38" s="158" t="s">
        <v>76</v>
      </c>
      <c r="B38" s="118"/>
      <c r="C38" s="118"/>
      <c r="D38" s="118"/>
      <c r="E38" s="118"/>
      <c r="F38" s="118"/>
      <c r="G38" s="118"/>
      <c r="H38" s="112"/>
    </row>
    <row r="39" spans="1:8" ht="15" customHeight="1">
      <c r="A39" s="115"/>
      <c r="B39" s="119"/>
      <c r="C39" s="119"/>
      <c r="D39" s="119"/>
      <c r="E39" s="119"/>
      <c r="F39" s="119"/>
      <c r="G39" s="119"/>
      <c r="H39" s="116"/>
    </row>
    <row r="40" spans="1:8" ht="14.25" customHeight="1">
      <c r="A40" s="98"/>
      <c r="B40" s="133" t="s">
        <v>77</v>
      </c>
      <c r="C40" s="121"/>
      <c r="D40" s="122"/>
      <c r="E40" s="133" t="s">
        <v>78</v>
      </c>
      <c r="F40" s="121"/>
      <c r="G40" s="121"/>
      <c r="H40" s="122"/>
    </row>
    <row r="41" spans="1:8" ht="14.25" customHeight="1">
      <c r="A41" s="98"/>
      <c r="B41" s="139" t="s">
        <v>79</v>
      </c>
      <c r="C41" s="121"/>
      <c r="D41" s="122"/>
      <c r="E41" s="159">
        <f>SUM(B9:B12)</f>
        <v>0</v>
      </c>
      <c r="F41" s="121"/>
      <c r="G41" s="121"/>
      <c r="H41" s="122"/>
    </row>
    <row r="42" spans="1:8" ht="14.25" customHeight="1">
      <c r="A42" s="98"/>
      <c r="B42" s="139" t="s">
        <v>52</v>
      </c>
      <c r="C42" s="121"/>
      <c r="D42" s="122"/>
      <c r="E42" s="159">
        <f>SUM(B6:B8)</f>
        <v>0</v>
      </c>
      <c r="F42" s="121"/>
      <c r="G42" s="121"/>
      <c r="H42" s="122"/>
    </row>
    <row r="43" spans="1:8" ht="14.25" customHeight="1">
      <c r="A43" s="98"/>
      <c r="B43" s="139" t="s">
        <v>80</v>
      </c>
      <c r="C43" s="121"/>
      <c r="D43" s="122"/>
      <c r="E43" s="140">
        <f>SUM(B13:B14)</f>
        <v>0</v>
      </c>
      <c r="F43" s="125"/>
      <c r="G43" s="125"/>
      <c r="H43" s="114"/>
    </row>
    <row r="44" spans="1:8" ht="14.25" customHeight="1">
      <c r="A44" s="37"/>
      <c r="B44" s="132" t="s">
        <v>61</v>
      </c>
      <c r="C44" s="121"/>
      <c r="D44" s="122"/>
      <c r="E44" s="123">
        <f>SUM(B17:B18)</f>
        <v>0</v>
      </c>
      <c r="F44" s="121"/>
      <c r="G44" s="121"/>
      <c r="H44" s="122"/>
    </row>
    <row r="45" spans="1:8" ht="14.25" customHeight="1">
      <c r="A45" s="37"/>
      <c r="B45" s="132" t="s">
        <v>62</v>
      </c>
      <c r="C45" s="121"/>
      <c r="D45" s="122"/>
      <c r="E45" s="123">
        <f>SUM(B19:B20)</f>
        <v>0</v>
      </c>
      <c r="F45" s="121"/>
      <c r="G45" s="121"/>
      <c r="H45" s="122"/>
    </row>
    <row r="46" spans="1:8" ht="14.25" customHeight="1">
      <c r="A46" s="37"/>
      <c r="B46" s="132" t="s">
        <v>81</v>
      </c>
      <c r="C46" s="121"/>
      <c r="D46" s="122"/>
      <c r="E46" s="123">
        <f t="shared" ref="E46:E53" si="11">B21</f>
        <v>0</v>
      </c>
      <c r="F46" s="121"/>
      <c r="G46" s="121"/>
      <c r="H46" s="122"/>
    </row>
    <row r="47" spans="1:8" ht="14.25" customHeight="1">
      <c r="A47" s="37"/>
      <c r="B47" s="132" t="s">
        <v>81</v>
      </c>
      <c r="C47" s="121"/>
      <c r="D47" s="122"/>
      <c r="E47" s="123">
        <f t="shared" si="11"/>
        <v>0</v>
      </c>
      <c r="F47" s="121"/>
      <c r="G47" s="121"/>
      <c r="H47" s="122"/>
    </row>
    <row r="48" spans="1:8" ht="14.25" customHeight="1">
      <c r="A48" s="37"/>
      <c r="B48" s="132" t="s">
        <v>81</v>
      </c>
      <c r="C48" s="121"/>
      <c r="D48" s="122"/>
      <c r="E48" s="123">
        <f t="shared" si="11"/>
        <v>0</v>
      </c>
      <c r="F48" s="121"/>
      <c r="G48" s="121"/>
      <c r="H48" s="122"/>
    </row>
    <row r="49" spans="1:8" ht="14.25" customHeight="1">
      <c r="A49" s="37"/>
      <c r="B49" s="132" t="s">
        <v>81</v>
      </c>
      <c r="C49" s="121"/>
      <c r="D49" s="122"/>
      <c r="E49" s="123">
        <f t="shared" si="11"/>
        <v>0</v>
      </c>
      <c r="F49" s="121"/>
      <c r="G49" s="121"/>
      <c r="H49" s="122"/>
    </row>
    <row r="50" spans="1:8" ht="14.25" customHeight="1">
      <c r="A50" s="37"/>
      <c r="B50" s="132" t="s">
        <v>81</v>
      </c>
      <c r="C50" s="121"/>
      <c r="D50" s="122"/>
      <c r="E50" s="123">
        <f t="shared" si="11"/>
        <v>0</v>
      </c>
      <c r="F50" s="121"/>
      <c r="G50" s="121"/>
      <c r="H50" s="122"/>
    </row>
    <row r="51" spans="1:8" ht="14.25" customHeight="1">
      <c r="A51" s="37"/>
      <c r="B51" s="132" t="s">
        <v>81</v>
      </c>
      <c r="C51" s="121"/>
      <c r="D51" s="122"/>
      <c r="E51" s="123">
        <f t="shared" si="11"/>
        <v>0</v>
      </c>
      <c r="F51" s="121"/>
      <c r="G51" s="121"/>
      <c r="H51" s="122"/>
    </row>
    <row r="52" spans="1:8" ht="14.25" customHeight="1">
      <c r="B52" s="132" t="s">
        <v>81</v>
      </c>
      <c r="C52" s="121"/>
      <c r="D52" s="122"/>
      <c r="E52" s="123">
        <f t="shared" si="11"/>
        <v>0</v>
      </c>
      <c r="F52" s="121"/>
      <c r="G52" s="121"/>
      <c r="H52" s="122"/>
    </row>
    <row r="53" spans="1:8" ht="14.25" customHeight="1">
      <c r="B53" s="132" t="s">
        <v>81</v>
      </c>
      <c r="C53" s="121"/>
      <c r="D53" s="122"/>
      <c r="E53" s="123">
        <f t="shared" si="11"/>
        <v>0</v>
      </c>
      <c r="F53" s="121"/>
      <c r="G53" s="121"/>
      <c r="H53" s="122"/>
    </row>
    <row r="54" spans="1:8" ht="14.25" customHeight="1">
      <c r="B54" s="132" t="s">
        <v>82</v>
      </c>
      <c r="C54" s="121"/>
      <c r="D54" s="122"/>
      <c r="E54" s="123">
        <f>SUM(E41:H53)</f>
        <v>0</v>
      </c>
      <c r="F54" s="121"/>
      <c r="G54" s="121"/>
      <c r="H54" s="122"/>
    </row>
    <row r="55" spans="1:8" ht="14.25" customHeight="1">
      <c r="B55" s="132"/>
      <c r="C55" s="121"/>
      <c r="D55" s="122"/>
      <c r="E55" s="135"/>
      <c r="F55" s="121"/>
      <c r="G55" s="121"/>
      <c r="H55" s="12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36" t="s">
        <v>42</v>
      </c>
      <c r="B1" s="118"/>
      <c r="C1" s="118"/>
      <c r="D1" s="118"/>
      <c r="E1" s="118"/>
      <c r="F1" s="118"/>
      <c r="G1" s="118"/>
      <c r="H1" s="112"/>
      <c r="I1" s="37"/>
      <c r="J1" s="37"/>
      <c r="K1" s="37"/>
    </row>
    <row r="2" spans="1:11" ht="14.25" customHeight="1">
      <c r="A2" s="115"/>
      <c r="B2" s="119"/>
      <c r="C2" s="119"/>
      <c r="D2" s="119"/>
      <c r="E2" s="119"/>
      <c r="F2" s="119"/>
      <c r="G2" s="119"/>
      <c r="H2" s="116"/>
      <c r="I2" s="37"/>
      <c r="J2" s="37"/>
      <c r="K2" s="37"/>
    </row>
    <row r="3" spans="1:11" ht="14.25" customHeight="1">
      <c r="A3" s="143" t="s">
        <v>43</v>
      </c>
      <c r="B3" s="106"/>
      <c r="C3" s="106"/>
      <c r="D3" s="106"/>
      <c r="E3" s="106"/>
      <c r="F3" s="106"/>
      <c r="G3" s="106"/>
      <c r="H3" s="144"/>
      <c r="I3" s="37"/>
      <c r="J3" s="37"/>
      <c r="K3" s="37"/>
    </row>
    <row r="4" spans="1:11" ht="14.25" customHeight="1">
      <c r="A4" s="115"/>
      <c r="B4" s="119"/>
      <c r="C4" s="119"/>
      <c r="D4" s="119"/>
      <c r="E4" s="119"/>
      <c r="F4" s="119"/>
      <c r="G4" s="119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6"/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6"/>
      <c r="D7" s="14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37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37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37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37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37">
        <v>2124</v>
      </c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37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37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48" t="s">
        <v>65</v>
      </c>
      <c r="B38" s="149"/>
      <c r="C38" s="77" t="s">
        <v>66</v>
      </c>
      <c r="D38" s="78"/>
      <c r="E38" s="150" t="s">
        <v>67</v>
      </c>
      <c r="F38" s="122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52" t="s">
        <v>69</v>
      </c>
      <c r="B39" s="116"/>
      <c r="C39" s="81"/>
      <c r="D39" s="82"/>
      <c r="E39" s="146"/>
      <c r="F39" s="147"/>
      <c r="G39" s="83"/>
      <c r="H39" s="84"/>
      <c r="I39" s="37"/>
      <c r="J39" s="37"/>
      <c r="K39" s="37"/>
    </row>
    <row r="40" spans="1:11" ht="14.25" customHeight="1">
      <c r="A40" s="142" t="s">
        <v>70</v>
      </c>
      <c r="B40" s="122"/>
      <c r="C40" s="85"/>
      <c r="D40" s="86"/>
      <c r="E40" s="137"/>
      <c r="F40" s="138"/>
      <c r="G40" s="87"/>
      <c r="H40" s="88"/>
      <c r="I40" s="37"/>
      <c r="J40" s="37"/>
      <c r="K40" s="37"/>
    </row>
    <row r="41" spans="1:11" ht="14.25" customHeight="1">
      <c r="A41" s="142" t="s">
        <v>71</v>
      </c>
      <c r="B41" s="122"/>
      <c r="C41" s="89"/>
      <c r="D41" s="82"/>
      <c r="E41" s="153"/>
      <c r="F41" s="138"/>
      <c r="G41" s="87"/>
      <c r="H41" s="88"/>
      <c r="I41" s="37"/>
      <c r="J41" s="37"/>
      <c r="K41" s="37"/>
    </row>
    <row r="42" spans="1:11" ht="14.25" customHeight="1">
      <c r="A42" s="154" t="s">
        <v>72</v>
      </c>
      <c r="B42" s="112"/>
      <c r="C42" s="90"/>
      <c r="D42" s="74"/>
      <c r="E42" s="155"/>
      <c r="F42" s="138"/>
      <c r="G42" s="47"/>
      <c r="H42" s="88"/>
      <c r="I42" s="37"/>
      <c r="J42" s="37"/>
      <c r="K42" s="37"/>
    </row>
    <row r="43" spans="1:11" ht="14.25" customHeight="1">
      <c r="A43" s="142" t="s">
        <v>73</v>
      </c>
      <c r="B43" s="122"/>
      <c r="C43" s="91"/>
      <c r="D43" s="74"/>
      <c r="E43" s="151"/>
      <c r="F43" s="138"/>
      <c r="G43" s="47"/>
      <c r="H43" s="88"/>
      <c r="I43" s="37"/>
      <c r="J43" s="37"/>
      <c r="K43" s="37"/>
    </row>
    <row r="44" spans="1:11" ht="14.25" customHeight="1">
      <c r="A44" s="142" t="s">
        <v>74</v>
      </c>
      <c r="B44" s="122"/>
      <c r="C44" s="92"/>
      <c r="D44" s="93"/>
      <c r="E44" s="151"/>
      <c r="F44" s="138"/>
      <c r="G44" s="47"/>
      <c r="H44" s="88"/>
      <c r="I44" s="37"/>
      <c r="J44" s="37"/>
      <c r="K44" s="37"/>
    </row>
    <row r="45" spans="1:11" ht="14.25" customHeight="1">
      <c r="A45" s="142" t="s">
        <v>75</v>
      </c>
      <c r="B45" s="122"/>
      <c r="C45" s="94">
        <v>0</v>
      </c>
      <c r="D45" s="95"/>
      <c r="E45" s="156"/>
      <c r="F45" s="157"/>
      <c r="G45" s="96"/>
      <c r="H45" s="97"/>
      <c r="I45" s="37"/>
      <c r="J45" s="37"/>
      <c r="K45" s="37"/>
    </row>
    <row r="46" spans="1:11" ht="14.25" customHeight="1">
      <c r="A46" s="158" t="s">
        <v>76</v>
      </c>
      <c r="B46" s="118"/>
      <c r="C46" s="118"/>
      <c r="D46" s="118"/>
      <c r="E46" s="118"/>
      <c r="F46" s="118"/>
      <c r="G46" s="118"/>
      <c r="H46" s="112"/>
      <c r="I46" s="37"/>
      <c r="J46" s="37"/>
      <c r="K46" s="37"/>
    </row>
    <row r="47" spans="1:11" ht="15" customHeight="1">
      <c r="A47" s="115"/>
      <c r="B47" s="119"/>
      <c r="C47" s="119"/>
      <c r="D47" s="119"/>
      <c r="E47" s="119"/>
      <c r="F47" s="119"/>
      <c r="G47" s="119"/>
      <c r="H47" s="116"/>
      <c r="I47" s="37"/>
      <c r="J47" s="37"/>
      <c r="K47" s="37"/>
    </row>
    <row r="48" spans="1:11" ht="14.25" customHeight="1">
      <c r="A48" s="98"/>
      <c r="B48" s="133" t="s">
        <v>77</v>
      </c>
      <c r="C48" s="121"/>
      <c r="D48" s="122"/>
      <c r="E48" s="133" t="s">
        <v>78</v>
      </c>
      <c r="F48" s="121"/>
      <c r="G48" s="121"/>
      <c r="H48" s="122"/>
      <c r="I48" s="37"/>
      <c r="J48" s="37"/>
      <c r="K48" s="37"/>
    </row>
    <row r="49" spans="1:11" ht="14.25" customHeight="1">
      <c r="A49" s="98"/>
      <c r="B49" s="139" t="s">
        <v>79</v>
      </c>
      <c r="C49" s="121"/>
      <c r="D49" s="122"/>
      <c r="E49" s="159">
        <f>SUM(B9:B12)</f>
        <v>0</v>
      </c>
      <c r="F49" s="121"/>
      <c r="G49" s="121"/>
      <c r="H49" s="122"/>
      <c r="I49" s="37"/>
      <c r="J49" s="37"/>
      <c r="K49" s="37"/>
    </row>
    <row r="50" spans="1:11" ht="14.25" customHeight="1">
      <c r="A50" s="98"/>
      <c r="B50" s="139" t="s">
        <v>52</v>
      </c>
      <c r="C50" s="121"/>
      <c r="D50" s="122"/>
      <c r="E50" s="159">
        <f>SUM(B6:B8)</f>
        <v>0</v>
      </c>
      <c r="F50" s="121"/>
      <c r="G50" s="121"/>
      <c r="H50" s="122"/>
      <c r="I50" s="37"/>
      <c r="J50" s="37"/>
      <c r="K50" s="37"/>
    </row>
    <row r="51" spans="1:11" ht="14.25" customHeight="1">
      <c r="A51" s="98"/>
      <c r="B51" s="139" t="s">
        <v>80</v>
      </c>
      <c r="C51" s="121"/>
      <c r="D51" s="122"/>
      <c r="E51" s="140">
        <f>SUM(B13:B14)</f>
        <v>0</v>
      </c>
      <c r="F51" s="125"/>
      <c r="G51" s="125"/>
      <c r="H51" s="114"/>
      <c r="I51" s="37"/>
      <c r="J51" s="37"/>
      <c r="K51" s="37"/>
    </row>
    <row r="52" spans="1:11" ht="14.25" customHeight="1">
      <c r="A52" s="37"/>
      <c r="B52" s="132" t="s">
        <v>61</v>
      </c>
      <c r="C52" s="121"/>
      <c r="D52" s="122"/>
      <c r="E52" s="123">
        <f>SUM(B17:B18)</f>
        <v>0</v>
      </c>
      <c r="F52" s="121"/>
      <c r="G52" s="121"/>
      <c r="H52" s="122"/>
      <c r="I52" s="37"/>
      <c r="J52" s="37"/>
      <c r="K52" s="37"/>
    </row>
    <row r="53" spans="1:11" ht="14.25" customHeight="1">
      <c r="A53" s="37"/>
      <c r="B53" s="132" t="s">
        <v>62</v>
      </c>
      <c r="C53" s="121"/>
      <c r="D53" s="122"/>
      <c r="E53" s="123">
        <f>SUM(B19:B20)</f>
        <v>0</v>
      </c>
      <c r="F53" s="121"/>
      <c r="G53" s="121"/>
      <c r="H53" s="122"/>
      <c r="I53" s="37"/>
      <c r="J53" s="37"/>
      <c r="K53" s="37"/>
    </row>
    <row r="54" spans="1:11" ht="14.25" customHeight="1">
      <c r="A54" s="37"/>
      <c r="B54" s="132" t="s">
        <v>81</v>
      </c>
      <c r="C54" s="121"/>
      <c r="D54" s="122"/>
      <c r="E54" s="123">
        <f t="shared" ref="E54:E61" si="7">B29</f>
        <v>0</v>
      </c>
      <c r="F54" s="121"/>
      <c r="G54" s="121"/>
      <c r="H54" s="122"/>
      <c r="I54" s="37"/>
      <c r="J54" s="37"/>
      <c r="K54" s="37"/>
    </row>
    <row r="55" spans="1:11" ht="14.25" customHeight="1">
      <c r="A55" s="37"/>
      <c r="B55" s="132" t="s">
        <v>81</v>
      </c>
      <c r="C55" s="121"/>
      <c r="D55" s="122"/>
      <c r="E55" s="123">
        <f t="shared" si="7"/>
        <v>0</v>
      </c>
      <c r="F55" s="121"/>
      <c r="G55" s="121"/>
      <c r="H55" s="122"/>
      <c r="I55" s="37"/>
      <c r="J55" s="37"/>
      <c r="K55" s="37"/>
    </row>
    <row r="56" spans="1:11" ht="14.25" customHeight="1">
      <c r="A56" s="37"/>
      <c r="B56" s="132" t="s">
        <v>81</v>
      </c>
      <c r="C56" s="121"/>
      <c r="D56" s="122"/>
      <c r="E56" s="123">
        <f t="shared" si="7"/>
        <v>0</v>
      </c>
      <c r="F56" s="121"/>
      <c r="G56" s="121"/>
      <c r="H56" s="122"/>
      <c r="I56" s="37"/>
      <c r="J56" s="37"/>
      <c r="K56" s="37"/>
    </row>
    <row r="57" spans="1:11" ht="14.25" customHeight="1">
      <c r="A57" s="37"/>
      <c r="B57" s="132" t="s">
        <v>81</v>
      </c>
      <c r="C57" s="121"/>
      <c r="D57" s="122"/>
      <c r="E57" s="123">
        <f t="shared" si="7"/>
        <v>0</v>
      </c>
      <c r="F57" s="121"/>
      <c r="G57" s="121"/>
      <c r="H57" s="122"/>
      <c r="I57" s="37"/>
      <c r="J57" s="37"/>
      <c r="K57" s="37"/>
    </row>
    <row r="58" spans="1:11" ht="14.25" customHeight="1">
      <c r="A58" s="37"/>
      <c r="B58" s="132" t="s">
        <v>81</v>
      </c>
      <c r="C58" s="121"/>
      <c r="D58" s="122"/>
      <c r="E58" s="123">
        <f t="shared" si="7"/>
        <v>0</v>
      </c>
      <c r="F58" s="121"/>
      <c r="G58" s="121"/>
      <c r="H58" s="122"/>
      <c r="I58" s="37"/>
      <c r="J58" s="37"/>
      <c r="K58" s="37"/>
    </row>
    <row r="59" spans="1:11" ht="14.25" customHeight="1">
      <c r="A59" s="37"/>
      <c r="B59" s="132" t="s">
        <v>81</v>
      </c>
      <c r="C59" s="121"/>
      <c r="D59" s="122"/>
      <c r="E59" s="123">
        <f t="shared" si="7"/>
        <v>0</v>
      </c>
      <c r="F59" s="121"/>
      <c r="G59" s="121"/>
      <c r="H59" s="122"/>
      <c r="I59" s="37"/>
      <c r="J59" s="37"/>
      <c r="K59" s="37"/>
    </row>
    <row r="60" spans="1:11" ht="14.25" customHeight="1">
      <c r="A60" s="37"/>
      <c r="B60" s="132" t="s">
        <v>81</v>
      </c>
      <c r="C60" s="121"/>
      <c r="D60" s="122"/>
      <c r="E60" s="123">
        <f t="shared" si="7"/>
        <v>0</v>
      </c>
      <c r="F60" s="121"/>
      <c r="G60" s="121"/>
      <c r="H60" s="122"/>
      <c r="I60" s="37"/>
      <c r="J60" s="37"/>
      <c r="K60" s="37"/>
    </row>
    <row r="61" spans="1:11" ht="14.25" customHeight="1">
      <c r="A61" s="37"/>
      <c r="B61" s="132" t="s">
        <v>81</v>
      </c>
      <c r="C61" s="121"/>
      <c r="D61" s="122"/>
      <c r="E61" s="123">
        <f t="shared" si="7"/>
        <v>0</v>
      </c>
      <c r="F61" s="121"/>
      <c r="G61" s="121"/>
      <c r="H61" s="122"/>
      <c r="I61" s="37"/>
      <c r="J61" s="37"/>
      <c r="K61" s="37"/>
    </row>
    <row r="62" spans="1:11" ht="14.25" customHeight="1">
      <c r="A62" s="37"/>
      <c r="B62" s="132" t="s">
        <v>82</v>
      </c>
      <c r="C62" s="121"/>
      <c r="D62" s="122"/>
      <c r="E62" s="123">
        <f>SUM(E49:H61)</f>
        <v>0</v>
      </c>
      <c r="F62" s="121"/>
      <c r="G62" s="121"/>
      <c r="H62" s="122"/>
      <c r="I62" s="37"/>
      <c r="J62" s="37"/>
      <c r="K62" s="37"/>
    </row>
    <row r="63" spans="1:11" ht="14.25" customHeight="1">
      <c r="A63" s="37"/>
      <c r="B63" s="132"/>
      <c r="C63" s="121"/>
      <c r="D63" s="122"/>
      <c r="E63" s="135"/>
      <c r="F63" s="121"/>
      <c r="G63" s="121"/>
      <c r="H63" s="122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36" t="s">
        <v>42</v>
      </c>
      <c r="B1" s="118"/>
      <c r="C1" s="118"/>
      <c r="D1" s="118"/>
      <c r="E1" s="118"/>
      <c r="F1" s="118"/>
      <c r="G1" s="118"/>
      <c r="H1" s="112"/>
    </row>
    <row r="2" spans="1:11" ht="14.25" customHeight="1">
      <c r="A2" s="115"/>
      <c r="B2" s="119"/>
      <c r="C2" s="119"/>
      <c r="D2" s="119"/>
      <c r="E2" s="119"/>
      <c r="F2" s="119"/>
      <c r="G2" s="119"/>
      <c r="H2" s="116"/>
    </row>
    <row r="3" spans="1:11" ht="14.25" customHeight="1">
      <c r="A3" s="143" t="s">
        <v>43</v>
      </c>
      <c r="B3" s="106"/>
      <c r="C3" s="106"/>
      <c r="D3" s="106"/>
      <c r="E3" s="106"/>
      <c r="F3" s="106"/>
      <c r="G3" s="106"/>
      <c r="H3" s="144"/>
    </row>
    <row r="4" spans="1:11" ht="14.25" customHeight="1">
      <c r="A4" s="115"/>
      <c r="B4" s="119"/>
      <c r="C4" s="119"/>
      <c r="D4" s="119"/>
      <c r="E4" s="119"/>
      <c r="F4" s="119"/>
      <c r="G4" s="119"/>
      <c r="H4" s="116"/>
    </row>
    <row r="5" spans="1:11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6"/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6"/>
      <c r="D7" s="14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37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37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37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37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37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37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37">
        <v>1357</v>
      </c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48" t="s">
        <v>65</v>
      </c>
      <c r="B38" s="149"/>
      <c r="C38" s="77" t="s">
        <v>66</v>
      </c>
      <c r="D38" s="78"/>
      <c r="E38" s="150" t="s">
        <v>67</v>
      </c>
      <c r="F38" s="122"/>
      <c r="G38" s="79" t="s">
        <v>68</v>
      </c>
      <c r="H38" s="80" t="s">
        <v>66</v>
      </c>
    </row>
    <row r="39" spans="1:11" ht="14.25" customHeight="1">
      <c r="A39" s="173" t="s">
        <v>69</v>
      </c>
      <c r="B39" s="174"/>
      <c r="C39" s="81"/>
      <c r="D39" s="82"/>
      <c r="E39" s="171"/>
      <c r="F39" s="172"/>
      <c r="G39" s="83"/>
      <c r="H39" s="84"/>
    </row>
    <row r="40" spans="1:11" ht="14.25" customHeight="1">
      <c r="A40" s="142" t="s">
        <v>70</v>
      </c>
      <c r="B40" s="122"/>
      <c r="C40" s="85"/>
      <c r="D40" s="86"/>
      <c r="E40" s="137"/>
      <c r="F40" s="138"/>
      <c r="G40" s="87"/>
      <c r="H40" s="88"/>
    </row>
    <row r="41" spans="1:11" ht="14.25" customHeight="1">
      <c r="A41" s="142" t="s">
        <v>71</v>
      </c>
      <c r="B41" s="122"/>
      <c r="C41" s="89"/>
      <c r="D41" s="82"/>
      <c r="E41" s="153"/>
      <c r="F41" s="138"/>
      <c r="G41" s="87"/>
      <c r="H41" s="88"/>
    </row>
    <row r="42" spans="1:11" ht="14.25" customHeight="1">
      <c r="A42" s="142" t="s">
        <v>72</v>
      </c>
      <c r="B42" s="122"/>
      <c r="C42" s="90"/>
      <c r="D42" s="74"/>
      <c r="E42" s="169"/>
      <c r="F42" s="138"/>
      <c r="G42" s="47"/>
      <c r="H42" s="88"/>
    </row>
    <row r="43" spans="1:11" ht="14.25" customHeight="1">
      <c r="A43" s="142" t="s">
        <v>73</v>
      </c>
      <c r="B43" s="122"/>
      <c r="C43" s="91"/>
      <c r="D43" s="74"/>
      <c r="E43" s="168"/>
      <c r="F43" s="138"/>
      <c r="G43" s="47"/>
      <c r="H43" s="88"/>
    </row>
    <row r="44" spans="1:11" ht="14.25" customHeight="1">
      <c r="A44" s="142" t="s">
        <v>74</v>
      </c>
      <c r="B44" s="122"/>
      <c r="C44" s="92"/>
      <c r="D44" s="93"/>
      <c r="E44" s="168"/>
      <c r="F44" s="138"/>
      <c r="G44" s="47"/>
      <c r="H44" s="88"/>
    </row>
    <row r="45" spans="1:11" ht="14.25" customHeight="1">
      <c r="A45" s="142" t="s">
        <v>75</v>
      </c>
      <c r="B45" s="122"/>
      <c r="C45" s="94">
        <v>0</v>
      </c>
      <c r="D45" s="95"/>
      <c r="E45" s="170"/>
      <c r="F45" s="157"/>
      <c r="G45" s="96"/>
      <c r="H45" s="97"/>
    </row>
    <row r="46" spans="1:11" ht="14.25" customHeight="1">
      <c r="A46" s="158" t="s">
        <v>76</v>
      </c>
      <c r="B46" s="118"/>
      <c r="C46" s="118"/>
      <c r="D46" s="118"/>
      <c r="E46" s="118"/>
      <c r="F46" s="118"/>
      <c r="G46" s="118"/>
      <c r="H46" s="112"/>
    </row>
    <row r="47" spans="1:11" ht="15" customHeight="1">
      <c r="A47" s="115"/>
      <c r="B47" s="119"/>
      <c r="C47" s="119"/>
      <c r="D47" s="119"/>
      <c r="E47" s="119"/>
      <c r="F47" s="119"/>
      <c r="G47" s="119"/>
      <c r="H47" s="116"/>
    </row>
    <row r="48" spans="1:11" ht="14.25" customHeight="1">
      <c r="A48" s="98"/>
      <c r="B48" s="133" t="s">
        <v>77</v>
      </c>
      <c r="C48" s="121"/>
      <c r="D48" s="122"/>
      <c r="E48" s="133" t="s">
        <v>78</v>
      </c>
      <c r="F48" s="121"/>
      <c r="G48" s="121"/>
      <c r="H48" s="122"/>
    </row>
    <row r="49" spans="1:8" ht="14.25" customHeight="1">
      <c r="A49" s="98"/>
      <c r="B49" s="139" t="s">
        <v>79</v>
      </c>
      <c r="C49" s="121"/>
      <c r="D49" s="122"/>
      <c r="E49" s="159">
        <f>SUM(B9:B12)</f>
        <v>0</v>
      </c>
      <c r="F49" s="121"/>
      <c r="G49" s="121"/>
      <c r="H49" s="122"/>
    </row>
    <row r="50" spans="1:8" ht="14.25" customHeight="1">
      <c r="A50" s="98"/>
      <c r="B50" s="139" t="s">
        <v>52</v>
      </c>
      <c r="C50" s="121"/>
      <c r="D50" s="122"/>
      <c r="E50" s="159">
        <f>SUM(B6:B8)</f>
        <v>0</v>
      </c>
      <c r="F50" s="121"/>
      <c r="G50" s="121"/>
      <c r="H50" s="122"/>
    </row>
    <row r="51" spans="1:8" ht="14.25" customHeight="1">
      <c r="A51" s="98"/>
      <c r="B51" s="139" t="s">
        <v>80</v>
      </c>
      <c r="C51" s="121"/>
      <c r="D51" s="122"/>
      <c r="E51" s="159">
        <f>SUM(B13:B14)</f>
        <v>0</v>
      </c>
      <c r="F51" s="121"/>
      <c r="G51" s="121"/>
      <c r="H51" s="122"/>
    </row>
    <row r="52" spans="1:8" ht="14.25" customHeight="1">
      <c r="A52" s="37"/>
      <c r="B52" s="132" t="s">
        <v>61</v>
      </c>
      <c r="C52" s="121"/>
      <c r="D52" s="122"/>
      <c r="E52" s="123">
        <f>SUM(B17:B18)</f>
        <v>0</v>
      </c>
      <c r="F52" s="121"/>
      <c r="G52" s="121"/>
      <c r="H52" s="122"/>
    </row>
    <row r="53" spans="1:8" ht="14.25" customHeight="1">
      <c r="A53" s="37"/>
      <c r="B53" s="132" t="s">
        <v>62</v>
      </c>
      <c r="C53" s="121"/>
      <c r="D53" s="122"/>
      <c r="E53" s="123">
        <f>SUM(B19:B20)</f>
        <v>0</v>
      </c>
      <c r="F53" s="121"/>
      <c r="G53" s="121"/>
      <c r="H53" s="122"/>
    </row>
    <row r="54" spans="1:8" ht="14.25" customHeight="1">
      <c r="A54" s="37"/>
      <c r="B54" s="132" t="s">
        <v>81</v>
      </c>
      <c r="C54" s="121"/>
      <c r="D54" s="122"/>
      <c r="E54" s="123">
        <f t="shared" ref="E54:E61" si="7">B29</f>
        <v>0</v>
      </c>
      <c r="F54" s="121"/>
      <c r="G54" s="121"/>
      <c r="H54" s="122"/>
    </row>
    <row r="55" spans="1:8" ht="14.25" customHeight="1">
      <c r="A55" s="37"/>
      <c r="B55" s="132" t="s">
        <v>81</v>
      </c>
      <c r="C55" s="121"/>
      <c r="D55" s="122"/>
      <c r="E55" s="123">
        <f t="shared" si="7"/>
        <v>0</v>
      </c>
      <c r="F55" s="121"/>
      <c r="G55" s="121"/>
      <c r="H55" s="122"/>
    </row>
    <row r="56" spans="1:8" ht="14.25" customHeight="1">
      <c r="A56" s="37"/>
      <c r="B56" s="132" t="s">
        <v>81</v>
      </c>
      <c r="C56" s="121"/>
      <c r="D56" s="122"/>
      <c r="E56" s="123">
        <f t="shared" si="7"/>
        <v>0</v>
      </c>
      <c r="F56" s="121"/>
      <c r="G56" s="121"/>
      <c r="H56" s="122"/>
    </row>
    <row r="57" spans="1:8" ht="14.25" customHeight="1">
      <c r="A57" s="37"/>
      <c r="B57" s="132" t="s">
        <v>81</v>
      </c>
      <c r="C57" s="121"/>
      <c r="D57" s="122"/>
      <c r="E57" s="123">
        <f t="shared" si="7"/>
        <v>0</v>
      </c>
      <c r="F57" s="121"/>
      <c r="G57" s="121"/>
      <c r="H57" s="122"/>
    </row>
    <row r="58" spans="1:8" ht="14.25" customHeight="1">
      <c r="A58" s="37"/>
      <c r="B58" s="132" t="s">
        <v>81</v>
      </c>
      <c r="C58" s="121"/>
      <c r="D58" s="122"/>
      <c r="E58" s="123">
        <f t="shared" si="7"/>
        <v>0</v>
      </c>
      <c r="F58" s="121"/>
      <c r="G58" s="121"/>
      <c r="H58" s="122"/>
    </row>
    <row r="59" spans="1:8" ht="14.25" customHeight="1">
      <c r="A59" s="37"/>
      <c r="B59" s="132" t="s">
        <v>81</v>
      </c>
      <c r="C59" s="121"/>
      <c r="D59" s="122"/>
      <c r="E59" s="123">
        <f t="shared" si="7"/>
        <v>0</v>
      </c>
      <c r="F59" s="121"/>
      <c r="G59" s="121"/>
      <c r="H59" s="122"/>
    </row>
    <row r="60" spans="1:8" ht="14.25" customHeight="1">
      <c r="A60" s="37"/>
      <c r="B60" s="132" t="s">
        <v>81</v>
      </c>
      <c r="C60" s="121"/>
      <c r="D60" s="122"/>
      <c r="E60" s="123">
        <f t="shared" si="7"/>
        <v>0</v>
      </c>
      <c r="F60" s="121"/>
      <c r="G60" s="121"/>
      <c r="H60" s="122"/>
    </row>
    <row r="61" spans="1:8" ht="14.25" customHeight="1">
      <c r="A61" s="37"/>
      <c r="B61" s="132" t="s">
        <v>81</v>
      </c>
      <c r="C61" s="121"/>
      <c r="D61" s="122"/>
      <c r="E61" s="123">
        <f t="shared" si="7"/>
        <v>0</v>
      </c>
      <c r="F61" s="121"/>
      <c r="G61" s="121"/>
      <c r="H61" s="122"/>
    </row>
    <row r="62" spans="1:8" ht="14.25" customHeight="1">
      <c r="A62" s="37"/>
      <c r="B62" s="132" t="s">
        <v>82</v>
      </c>
      <c r="C62" s="121"/>
      <c r="D62" s="122"/>
      <c r="E62" s="123">
        <f>SUM(E49:H61)</f>
        <v>0</v>
      </c>
      <c r="F62" s="121"/>
      <c r="G62" s="121"/>
      <c r="H62" s="122"/>
    </row>
    <row r="63" spans="1:8" ht="14.25" customHeight="1">
      <c r="B63" s="132"/>
      <c r="C63" s="121"/>
      <c r="D63" s="122"/>
      <c r="E63" s="135"/>
      <c r="F63" s="121"/>
      <c r="G63" s="121"/>
      <c r="H63" s="122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36" t="s">
        <v>42</v>
      </c>
      <c r="B1" s="118"/>
      <c r="C1" s="118"/>
      <c r="D1" s="118"/>
      <c r="E1" s="118"/>
      <c r="F1" s="118"/>
      <c r="G1" s="118"/>
      <c r="H1" s="112"/>
    </row>
    <row r="2" spans="1:8" ht="14.25" customHeight="1">
      <c r="A2" s="115"/>
      <c r="B2" s="119"/>
      <c r="C2" s="119"/>
      <c r="D2" s="119"/>
      <c r="E2" s="119"/>
      <c r="F2" s="119"/>
      <c r="G2" s="119"/>
      <c r="H2" s="116"/>
    </row>
    <row r="3" spans="1:8" ht="14.25" customHeight="1">
      <c r="A3" s="143" t="s">
        <v>43</v>
      </c>
      <c r="B3" s="106"/>
      <c r="C3" s="106"/>
      <c r="D3" s="106"/>
      <c r="E3" s="106"/>
      <c r="F3" s="106"/>
      <c r="G3" s="106"/>
      <c r="H3" s="144"/>
    </row>
    <row r="4" spans="1:8" ht="14.25" customHeight="1">
      <c r="A4" s="115"/>
      <c r="B4" s="119"/>
      <c r="C4" s="119"/>
      <c r="D4" s="119"/>
      <c r="E4" s="119"/>
      <c r="F4" s="119"/>
      <c r="G4" s="119"/>
      <c r="H4" s="116"/>
    </row>
    <row r="5" spans="1:8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6"/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6"/>
      <c r="D7" s="14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7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7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7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7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7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7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7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48" t="s">
        <v>65</v>
      </c>
      <c r="B38" s="149"/>
      <c r="C38" s="77" t="s">
        <v>66</v>
      </c>
      <c r="D38" s="78"/>
      <c r="E38" s="150" t="s">
        <v>67</v>
      </c>
      <c r="F38" s="122"/>
      <c r="G38" s="79" t="s">
        <v>68</v>
      </c>
      <c r="H38" s="80" t="s">
        <v>66</v>
      </c>
    </row>
    <row r="39" spans="1:8" ht="14.25" customHeight="1">
      <c r="A39" s="152" t="s">
        <v>69</v>
      </c>
      <c r="B39" s="116"/>
      <c r="C39" s="81"/>
      <c r="D39" s="82"/>
      <c r="E39" s="146"/>
      <c r="F39" s="147"/>
      <c r="G39" s="83"/>
      <c r="H39" s="84"/>
    </row>
    <row r="40" spans="1:8" ht="14.25" customHeight="1">
      <c r="A40" s="142" t="s">
        <v>70</v>
      </c>
      <c r="B40" s="122"/>
      <c r="C40" s="85"/>
      <c r="D40" s="86"/>
      <c r="E40" s="137"/>
      <c r="F40" s="138"/>
      <c r="G40" s="87"/>
      <c r="H40" s="88"/>
    </row>
    <row r="41" spans="1:8" ht="14.25" customHeight="1">
      <c r="A41" s="142" t="s">
        <v>71</v>
      </c>
      <c r="B41" s="122"/>
      <c r="C41" s="89"/>
      <c r="D41" s="82"/>
      <c r="E41" s="153"/>
      <c r="F41" s="138"/>
      <c r="G41" s="87"/>
      <c r="H41" s="88"/>
    </row>
    <row r="42" spans="1:8" ht="14.25" customHeight="1">
      <c r="A42" s="154" t="s">
        <v>72</v>
      </c>
      <c r="B42" s="112"/>
      <c r="C42" s="90"/>
      <c r="D42" s="74"/>
      <c r="E42" s="155"/>
      <c r="F42" s="138"/>
      <c r="G42" s="47"/>
      <c r="H42" s="88"/>
    </row>
    <row r="43" spans="1:8" ht="14.25" customHeight="1">
      <c r="A43" s="142" t="s">
        <v>73</v>
      </c>
      <c r="B43" s="122"/>
      <c r="C43" s="91"/>
      <c r="D43" s="74"/>
      <c r="E43" s="151"/>
      <c r="F43" s="138"/>
      <c r="G43" s="47"/>
      <c r="H43" s="88"/>
    </row>
    <row r="44" spans="1:8" ht="14.25" customHeight="1">
      <c r="A44" s="142" t="s">
        <v>74</v>
      </c>
      <c r="B44" s="122"/>
      <c r="C44" s="92"/>
      <c r="D44" s="93"/>
      <c r="E44" s="151"/>
      <c r="F44" s="138"/>
      <c r="G44" s="47"/>
      <c r="H44" s="88"/>
    </row>
    <row r="45" spans="1:8" ht="14.25" customHeight="1">
      <c r="A45" s="142" t="s">
        <v>75</v>
      </c>
      <c r="B45" s="122"/>
      <c r="C45" s="94">
        <v>0</v>
      </c>
      <c r="D45" s="95"/>
      <c r="E45" s="156"/>
      <c r="F45" s="157"/>
      <c r="G45" s="96"/>
      <c r="H45" s="97"/>
    </row>
    <row r="46" spans="1:8" ht="14.25" customHeight="1">
      <c r="A46" s="158" t="s">
        <v>76</v>
      </c>
      <c r="B46" s="118"/>
      <c r="C46" s="118"/>
      <c r="D46" s="118"/>
      <c r="E46" s="118"/>
      <c r="F46" s="118"/>
      <c r="G46" s="118"/>
      <c r="H46" s="112"/>
    </row>
    <row r="47" spans="1:8" ht="15" customHeight="1">
      <c r="A47" s="115"/>
      <c r="B47" s="119"/>
      <c r="C47" s="119"/>
      <c r="D47" s="119"/>
      <c r="E47" s="119"/>
      <c r="F47" s="119"/>
      <c r="G47" s="119"/>
      <c r="H47" s="116"/>
    </row>
    <row r="48" spans="1:8" ht="14.25" customHeight="1">
      <c r="A48" s="98"/>
      <c r="B48" s="133" t="s">
        <v>77</v>
      </c>
      <c r="C48" s="121"/>
      <c r="D48" s="122"/>
      <c r="E48" s="133" t="s">
        <v>78</v>
      </c>
      <c r="F48" s="121"/>
      <c r="G48" s="121"/>
      <c r="H48" s="122"/>
    </row>
    <row r="49" spans="1:8" ht="14.25" customHeight="1">
      <c r="A49" s="98"/>
      <c r="B49" s="139" t="s">
        <v>79</v>
      </c>
      <c r="C49" s="121"/>
      <c r="D49" s="122"/>
      <c r="E49" s="159">
        <f>SUM(B9:B12)</f>
        <v>0</v>
      </c>
      <c r="F49" s="121"/>
      <c r="G49" s="121"/>
      <c r="H49" s="122"/>
    </row>
    <row r="50" spans="1:8" ht="14.25" customHeight="1">
      <c r="A50" s="98"/>
      <c r="B50" s="139" t="s">
        <v>52</v>
      </c>
      <c r="C50" s="121"/>
      <c r="D50" s="122"/>
      <c r="E50" s="159">
        <f>SUM(B6:B8)</f>
        <v>0</v>
      </c>
      <c r="F50" s="121"/>
      <c r="G50" s="121"/>
      <c r="H50" s="122"/>
    </row>
    <row r="51" spans="1:8" ht="14.25" customHeight="1">
      <c r="A51" s="98"/>
      <c r="B51" s="139" t="s">
        <v>80</v>
      </c>
      <c r="C51" s="121"/>
      <c r="D51" s="122"/>
      <c r="E51" s="140">
        <f>SUM(B13:B14)</f>
        <v>0</v>
      </c>
      <c r="F51" s="125"/>
      <c r="G51" s="125"/>
      <c r="H51" s="114"/>
    </row>
    <row r="52" spans="1:8" ht="14.25" customHeight="1">
      <c r="A52" s="37"/>
      <c r="B52" s="132" t="s">
        <v>61</v>
      </c>
      <c r="C52" s="121"/>
      <c r="D52" s="122"/>
      <c r="E52" s="123">
        <f>SUM(B17:B18)</f>
        <v>0</v>
      </c>
      <c r="F52" s="121"/>
      <c r="G52" s="121"/>
      <c r="H52" s="122"/>
    </row>
    <row r="53" spans="1:8" ht="14.25" customHeight="1">
      <c r="A53" s="37"/>
      <c r="B53" s="132" t="s">
        <v>62</v>
      </c>
      <c r="C53" s="121"/>
      <c r="D53" s="122"/>
      <c r="E53" s="123">
        <f>SUM(B19:B20)</f>
        <v>0</v>
      </c>
      <c r="F53" s="121"/>
      <c r="G53" s="121"/>
      <c r="H53" s="122"/>
    </row>
    <row r="54" spans="1:8" ht="14.25" customHeight="1">
      <c r="A54" s="37"/>
      <c r="B54" s="132" t="s">
        <v>81</v>
      </c>
      <c r="C54" s="121"/>
      <c r="D54" s="122"/>
      <c r="E54" s="123">
        <f t="shared" ref="E54:E61" si="7">B29</f>
        <v>0</v>
      </c>
      <c r="F54" s="121"/>
      <c r="G54" s="121"/>
      <c r="H54" s="122"/>
    </row>
    <row r="55" spans="1:8" ht="14.25" customHeight="1">
      <c r="A55" s="37"/>
      <c r="B55" s="132" t="s">
        <v>81</v>
      </c>
      <c r="C55" s="121"/>
      <c r="D55" s="122"/>
      <c r="E55" s="123">
        <f t="shared" si="7"/>
        <v>0</v>
      </c>
      <c r="F55" s="121"/>
      <c r="G55" s="121"/>
      <c r="H55" s="122"/>
    </row>
    <row r="56" spans="1:8" ht="14.25" customHeight="1">
      <c r="A56" s="37"/>
      <c r="B56" s="132" t="s">
        <v>81</v>
      </c>
      <c r="C56" s="121"/>
      <c r="D56" s="122"/>
      <c r="E56" s="123">
        <f t="shared" si="7"/>
        <v>0</v>
      </c>
      <c r="F56" s="121"/>
      <c r="G56" s="121"/>
      <c r="H56" s="122"/>
    </row>
    <row r="57" spans="1:8" ht="14.25" customHeight="1">
      <c r="A57" s="37"/>
      <c r="B57" s="132" t="s">
        <v>81</v>
      </c>
      <c r="C57" s="121"/>
      <c r="D57" s="122"/>
      <c r="E57" s="123">
        <f t="shared" si="7"/>
        <v>0</v>
      </c>
      <c r="F57" s="121"/>
      <c r="G57" s="121"/>
      <c r="H57" s="122"/>
    </row>
    <row r="58" spans="1:8" ht="14.25" customHeight="1">
      <c r="A58" s="37"/>
      <c r="B58" s="132" t="s">
        <v>81</v>
      </c>
      <c r="C58" s="121"/>
      <c r="D58" s="122"/>
      <c r="E58" s="123">
        <f t="shared" si="7"/>
        <v>0</v>
      </c>
      <c r="F58" s="121"/>
      <c r="G58" s="121"/>
      <c r="H58" s="122"/>
    </row>
    <row r="59" spans="1:8" ht="14.25" customHeight="1">
      <c r="A59" s="37"/>
      <c r="B59" s="132" t="s">
        <v>81</v>
      </c>
      <c r="C59" s="121"/>
      <c r="D59" s="122"/>
      <c r="E59" s="123">
        <f t="shared" si="7"/>
        <v>0</v>
      </c>
      <c r="F59" s="121"/>
      <c r="G59" s="121"/>
      <c r="H59" s="122"/>
    </row>
    <row r="60" spans="1:8" ht="14.25" customHeight="1">
      <c r="A60" s="37"/>
      <c r="B60" s="132" t="s">
        <v>81</v>
      </c>
      <c r="C60" s="121"/>
      <c r="D60" s="122"/>
      <c r="E60" s="123">
        <f t="shared" si="7"/>
        <v>0</v>
      </c>
      <c r="F60" s="121"/>
      <c r="G60" s="121"/>
      <c r="H60" s="122"/>
    </row>
    <row r="61" spans="1:8" ht="14.25" customHeight="1">
      <c r="A61" s="37"/>
      <c r="B61" s="132" t="s">
        <v>81</v>
      </c>
      <c r="C61" s="121"/>
      <c r="D61" s="122"/>
      <c r="E61" s="123">
        <f t="shared" si="7"/>
        <v>0</v>
      </c>
      <c r="F61" s="121"/>
      <c r="G61" s="121"/>
      <c r="H61" s="122"/>
    </row>
    <row r="62" spans="1:8" ht="14.25" customHeight="1">
      <c r="A62" s="37"/>
      <c r="B62" s="132" t="s">
        <v>82</v>
      </c>
      <c r="C62" s="121"/>
      <c r="D62" s="122"/>
      <c r="E62" s="123">
        <f>SUM(E49:H61)</f>
        <v>0</v>
      </c>
      <c r="F62" s="121"/>
      <c r="G62" s="121"/>
      <c r="H62" s="122"/>
    </row>
    <row r="63" spans="1:8" ht="14.25" customHeight="1">
      <c r="B63" s="132"/>
      <c r="C63" s="121"/>
      <c r="D63" s="122"/>
      <c r="E63" s="135"/>
      <c r="F63" s="121"/>
      <c r="G63" s="121"/>
      <c r="H63" s="122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36" t="s">
        <v>42</v>
      </c>
      <c r="B1" s="118"/>
      <c r="C1" s="118"/>
      <c r="D1" s="118"/>
      <c r="E1" s="118"/>
      <c r="F1" s="118"/>
      <c r="G1" s="118"/>
      <c r="H1" s="112"/>
      <c r="I1" s="37"/>
      <c r="J1" s="37"/>
      <c r="K1" s="37"/>
    </row>
    <row r="2" spans="1:11" ht="14.25" customHeight="1">
      <c r="A2" s="115"/>
      <c r="B2" s="119"/>
      <c r="C2" s="119"/>
      <c r="D2" s="119"/>
      <c r="E2" s="119"/>
      <c r="F2" s="119"/>
      <c r="G2" s="119"/>
      <c r="H2" s="116"/>
      <c r="I2" s="37"/>
      <c r="J2" s="37"/>
      <c r="K2" s="37"/>
    </row>
    <row r="3" spans="1:11" ht="14.25" customHeight="1">
      <c r="A3" s="143" t="s">
        <v>43</v>
      </c>
      <c r="B3" s="106"/>
      <c r="C3" s="106"/>
      <c r="D3" s="106"/>
      <c r="E3" s="106"/>
      <c r="F3" s="106"/>
      <c r="G3" s="106"/>
      <c r="H3" s="144"/>
      <c r="I3" s="37"/>
      <c r="J3" s="37"/>
      <c r="K3" s="37"/>
    </row>
    <row r="4" spans="1:11" ht="14.25" customHeight="1">
      <c r="A4" s="115"/>
      <c r="B4" s="119"/>
      <c r="C4" s="119"/>
      <c r="D4" s="119"/>
      <c r="E4" s="119"/>
      <c r="F4" s="119"/>
      <c r="G4" s="119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6"/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6"/>
      <c r="D7" s="14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37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37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37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37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37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37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37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48" t="s">
        <v>65</v>
      </c>
      <c r="B38" s="149"/>
      <c r="C38" s="77" t="s">
        <v>66</v>
      </c>
      <c r="D38" s="78"/>
      <c r="E38" s="150" t="s">
        <v>67</v>
      </c>
      <c r="F38" s="122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52" t="s">
        <v>69</v>
      </c>
      <c r="B39" s="116"/>
      <c r="C39" s="81"/>
      <c r="D39" s="82"/>
      <c r="E39" s="146"/>
      <c r="F39" s="147"/>
      <c r="G39" s="83"/>
      <c r="H39" s="84"/>
      <c r="I39" s="37"/>
      <c r="J39" s="37"/>
      <c r="K39" s="37"/>
    </row>
    <row r="40" spans="1:11" ht="15" customHeight="1">
      <c r="A40" s="142" t="s">
        <v>70</v>
      </c>
      <c r="B40" s="122"/>
      <c r="C40" s="85"/>
      <c r="D40" s="86"/>
      <c r="E40" s="137"/>
      <c r="F40" s="138"/>
      <c r="G40" s="87"/>
      <c r="H40" s="88"/>
      <c r="I40" s="37"/>
      <c r="J40" s="37"/>
      <c r="K40" s="37"/>
    </row>
    <row r="41" spans="1:11" ht="14.25" customHeight="1">
      <c r="A41" s="142" t="s">
        <v>71</v>
      </c>
      <c r="B41" s="122"/>
      <c r="C41" s="89"/>
      <c r="D41" s="82"/>
      <c r="E41" s="153"/>
      <c r="F41" s="138"/>
      <c r="G41" s="87"/>
      <c r="H41" s="88"/>
      <c r="I41" s="37"/>
      <c r="J41" s="37"/>
      <c r="K41" s="37"/>
    </row>
    <row r="42" spans="1:11" ht="14.25" customHeight="1">
      <c r="A42" s="154" t="s">
        <v>72</v>
      </c>
      <c r="B42" s="112"/>
      <c r="C42" s="90"/>
      <c r="D42" s="74"/>
      <c r="E42" s="155"/>
      <c r="F42" s="138"/>
      <c r="G42" s="47"/>
      <c r="H42" s="88"/>
      <c r="I42" s="37"/>
      <c r="J42" s="37"/>
      <c r="K42" s="37"/>
    </row>
    <row r="43" spans="1:11" ht="14.25" customHeight="1">
      <c r="A43" s="142" t="s">
        <v>73</v>
      </c>
      <c r="B43" s="122"/>
      <c r="C43" s="91"/>
      <c r="D43" s="74"/>
      <c r="E43" s="151"/>
      <c r="F43" s="138"/>
      <c r="G43" s="47"/>
      <c r="H43" s="88"/>
      <c r="I43" s="37"/>
      <c r="J43" s="37"/>
      <c r="K43" s="37"/>
    </row>
    <row r="44" spans="1:11" ht="14.25" customHeight="1">
      <c r="A44" s="142" t="s">
        <v>74</v>
      </c>
      <c r="B44" s="122"/>
      <c r="C44" s="92"/>
      <c r="D44" s="93"/>
      <c r="E44" s="151"/>
      <c r="F44" s="138"/>
      <c r="G44" s="47"/>
      <c r="H44" s="88"/>
      <c r="I44" s="37"/>
      <c r="J44" s="37"/>
      <c r="K44" s="37"/>
    </row>
    <row r="45" spans="1:11" ht="14.25" customHeight="1">
      <c r="A45" s="142" t="s">
        <v>75</v>
      </c>
      <c r="B45" s="122"/>
      <c r="C45" s="94">
        <v>0</v>
      </c>
      <c r="D45" s="95"/>
      <c r="E45" s="156"/>
      <c r="F45" s="157"/>
      <c r="G45" s="96"/>
      <c r="H45" s="97"/>
      <c r="I45" s="37"/>
      <c r="J45" s="37"/>
      <c r="K45" s="37"/>
    </row>
    <row r="46" spans="1:11" ht="14.25" customHeight="1">
      <c r="A46" s="158" t="s">
        <v>76</v>
      </c>
      <c r="B46" s="118"/>
      <c r="C46" s="118"/>
      <c r="D46" s="118"/>
      <c r="E46" s="118"/>
      <c r="F46" s="118"/>
      <c r="G46" s="118"/>
      <c r="H46" s="112"/>
      <c r="I46" s="37"/>
      <c r="J46" s="37"/>
      <c r="K46" s="37"/>
    </row>
    <row r="47" spans="1:11" ht="15" customHeight="1">
      <c r="A47" s="115"/>
      <c r="B47" s="119"/>
      <c r="C47" s="119"/>
      <c r="D47" s="119"/>
      <c r="E47" s="119"/>
      <c r="F47" s="119"/>
      <c r="G47" s="119"/>
      <c r="H47" s="116"/>
      <c r="I47" s="37"/>
      <c r="J47" s="37"/>
      <c r="K47" s="37"/>
    </row>
    <row r="48" spans="1:11" ht="14.25" customHeight="1">
      <c r="A48" s="98"/>
      <c r="B48" s="133" t="s">
        <v>77</v>
      </c>
      <c r="C48" s="121"/>
      <c r="D48" s="122"/>
      <c r="E48" s="133" t="s">
        <v>78</v>
      </c>
      <c r="F48" s="121"/>
      <c r="G48" s="121"/>
      <c r="H48" s="122"/>
      <c r="I48" s="37"/>
      <c r="J48" s="37"/>
      <c r="K48" s="37"/>
    </row>
    <row r="49" spans="1:11" ht="14.25" customHeight="1">
      <c r="A49" s="98"/>
      <c r="B49" s="139" t="s">
        <v>79</v>
      </c>
      <c r="C49" s="121"/>
      <c r="D49" s="122"/>
      <c r="E49" s="159">
        <f>SUM(B9:B12)</f>
        <v>0</v>
      </c>
      <c r="F49" s="121"/>
      <c r="G49" s="121"/>
      <c r="H49" s="122"/>
      <c r="I49" s="37"/>
      <c r="J49" s="37"/>
      <c r="K49" s="37"/>
    </row>
    <row r="50" spans="1:11" ht="14.25" customHeight="1">
      <c r="A50" s="98"/>
      <c r="B50" s="139" t="s">
        <v>52</v>
      </c>
      <c r="C50" s="121"/>
      <c r="D50" s="122"/>
      <c r="E50" s="159">
        <f>SUM(B6:B8)</f>
        <v>0</v>
      </c>
      <c r="F50" s="121"/>
      <c r="G50" s="121"/>
      <c r="H50" s="122"/>
      <c r="I50" s="37"/>
      <c r="J50" s="37"/>
      <c r="K50" s="37"/>
    </row>
    <row r="51" spans="1:11" ht="14.25" customHeight="1">
      <c r="A51" s="98"/>
      <c r="B51" s="139" t="s">
        <v>80</v>
      </c>
      <c r="C51" s="121"/>
      <c r="D51" s="122"/>
      <c r="E51" s="140">
        <f>SUM(B13:B14)</f>
        <v>0</v>
      </c>
      <c r="F51" s="125"/>
      <c r="G51" s="125"/>
      <c r="H51" s="114"/>
      <c r="I51" s="37"/>
      <c r="J51" s="37"/>
      <c r="K51" s="37"/>
    </row>
    <row r="52" spans="1:11" ht="14.25" customHeight="1">
      <c r="A52" s="37"/>
      <c r="B52" s="132" t="s">
        <v>61</v>
      </c>
      <c r="C52" s="121"/>
      <c r="D52" s="122"/>
      <c r="E52" s="123">
        <f>SUM(B17:B18)</f>
        <v>0</v>
      </c>
      <c r="F52" s="121"/>
      <c r="G52" s="121"/>
      <c r="H52" s="122"/>
      <c r="I52" s="37"/>
      <c r="J52" s="37"/>
      <c r="K52" s="37"/>
    </row>
    <row r="53" spans="1:11" ht="14.25" customHeight="1">
      <c r="A53" s="37"/>
      <c r="B53" s="132" t="s">
        <v>62</v>
      </c>
      <c r="C53" s="121"/>
      <c r="D53" s="122"/>
      <c r="E53" s="123">
        <f>SUM(B19:B20)</f>
        <v>0</v>
      </c>
      <c r="F53" s="121"/>
      <c r="G53" s="121"/>
      <c r="H53" s="122"/>
      <c r="I53" s="37"/>
      <c r="J53" s="37"/>
      <c r="K53" s="37"/>
    </row>
    <row r="54" spans="1:11" ht="14.25" customHeight="1">
      <c r="A54" s="37"/>
      <c r="B54" s="132" t="s">
        <v>81</v>
      </c>
      <c r="C54" s="121"/>
      <c r="D54" s="122"/>
      <c r="E54" s="123">
        <f t="shared" ref="E54:E61" si="7">B29</f>
        <v>0</v>
      </c>
      <c r="F54" s="121"/>
      <c r="G54" s="121"/>
      <c r="H54" s="122"/>
      <c r="I54" s="37"/>
      <c r="J54" s="37"/>
      <c r="K54" s="37"/>
    </row>
    <row r="55" spans="1:11" ht="14.25" customHeight="1">
      <c r="A55" s="37"/>
      <c r="B55" s="132" t="s">
        <v>81</v>
      </c>
      <c r="C55" s="121"/>
      <c r="D55" s="122"/>
      <c r="E55" s="123">
        <f t="shared" si="7"/>
        <v>0</v>
      </c>
      <c r="F55" s="121"/>
      <c r="G55" s="121"/>
      <c r="H55" s="122"/>
      <c r="I55" s="37"/>
      <c r="J55" s="37"/>
      <c r="K55" s="37"/>
    </row>
    <row r="56" spans="1:11" ht="14.25" customHeight="1">
      <c r="A56" s="37"/>
      <c r="B56" s="132" t="s">
        <v>81</v>
      </c>
      <c r="C56" s="121"/>
      <c r="D56" s="122"/>
      <c r="E56" s="123">
        <f t="shared" si="7"/>
        <v>0</v>
      </c>
      <c r="F56" s="121"/>
      <c r="G56" s="121"/>
      <c r="H56" s="122"/>
      <c r="I56" s="37"/>
      <c r="J56" s="37"/>
      <c r="K56" s="37"/>
    </row>
    <row r="57" spans="1:11" ht="14.25" customHeight="1">
      <c r="A57" s="37"/>
      <c r="B57" s="132" t="s">
        <v>81</v>
      </c>
      <c r="C57" s="121"/>
      <c r="D57" s="122"/>
      <c r="E57" s="123">
        <f t="shared" si="7"/>
        <v>0</v>
      </c>
      <c r="F57" s="121"/>
      <c r="G57" s="121"/>
      <c r="H57" s="122"/>
      <c r="I57" s="37"/>
      <c r="J57" s="37"/>
      <c r="K57" s="37"/>
    </row>
    <row r="58" spans="1:11" ht="14.25" customHeight="1">
      <c r="A58" s="37"/>
      <c r="B58" s="132" t="s">
        <v>81</v>
      </c>
      <c r="C58" s="121"/>
      <c r="D58" s="122"/>
      <c r="E58" s="123">
        <f t="shared" si="7"/>
        <v>0</v>
      </c>
      <c r="F58" s="121"/>
      <c r="G58" s="121"/>
      <c r="H58" s="122"/>
      <c r="I58" s="37"/>
      <c r="J58" s="37"/>
      <c r="K58" s="37"/>
    </row>
    <row r="59" spans="1:11" ht="14.25" customHeight="1">
      <c r="A59" s="37"/>
      <c r="B59" s="132" t="s">
        <v>81</v>
      </c>
      <c r="C59" s="121"/>
      <c r="D59" s="122"/>
      <c r="E59" s="123">
        <f t="shared" si="7"/>
        <v>0</v>
      </c>
      <c r="F59" s="121"/>
      <c r="G59" s="121"/>
      <c r="H59" s="122"/>
      <c r="I59" s="37"/>
      <c r="J59" s="37"/>
      <c r="K59" s="37"/>
    </row>
    <row r="60" spans="1:11" ht="14.25" customHeight="1">
      <c r="A60" s="37"/>
      <c r="B60" s="132" t="s">
        <v>81</v>
      </c>
      <c r="C60" s="121"/>
      <c r="D60" s="122"/>
      <c r="E60" s="123">
        <f t="shared" si="7"/>
        <v>0</v>
      </c>
      <c r="F60" s="121"/>
      <c r="G60" s="121"/>
      <c r="H60" s="122"/>
      <c r="I60" s="37"/>
      <c r="J60" s="37"/>
      <c r="K60" s="37"/>
    </row>
    <row r="61" spans="1:11" ht="14.25" customHeight="1">
      <c r="A61" s="37"/>
      <c r="B61" s="132" t="s">
        <v>81</v>
      </c>
      <c r="C61" s="121"/>
      <c r="D61" s="122"/>
      <c r="E61" s="123">
        <f t="shared" si="7"/>
        <v>0</v>
      </c>
      <c r="F61" s="121"/>
      <c r="G61" s="121"/>
      <c r="H61" s="122"/>
      <c r="I61" s="37"/>
      <c r="J61" s="37"/>
      <c r="K61" s="37"/>
    </row>
    <row r="62" spans="1:11" ht="14.25" customHeight="1">
      <c r="A62" s="37"/>
      <c r="B62" s="132" t="s">
        <v>82</v>
      </c>
      <c r="C62" s="121"/>
      <c r="D62" s="122"/>
      <c r="E62" s="123">
        <f>SUM(E49:H61)</f>
        <v>0</v>
      </c>
      <c r="F62" s="121"/>
      <c r="G62" s="121"/>
      <c r="H62" s="122"/>
      <c r="I62" s="37"/>
      <c r="J62" s="37"/>
      <c r="K62" s="37"/>
    </row>
    <row r="63" spans="1:11" ht="14.25" customHeight="1">
      <c r="A63" s="37"/>
      <c r="B63" s="132"/>
      <c r="C63" s="121"/>
      <c r="D63" s="122"/>
      <c r="E63" s="135"/>
      <c r="F63" s="121"/>
      <c r="G63" s="121"/>
      <c r="H63" s="122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36" t="s">
        <v>42</v>
      </c>
      <c r="B1" s="118"/>
      <c r="C1" s="118"/>
      <c r="D1" s="118"/>
      <c r="E1" s="118"/>
      <c r="F1" s="118"/>
      <c r="G1" s="118"/>
      <c r="H1" s="112"/>
    </row>
    <row r="2" spans="1:11" ht="14.25" customHeight="1">
      <c r="A2" s="115"/>
      <c r="B2" s="119"/>
      <c r="C2" s="119"/>
      <c r="D2" s="119"/>
      <c r="E2" s="119"/>
      <c r="F2" s="119"/>
      <c r="G2" s="119"/>
      <c r="H2" s="116"/>
    </row>
    <row r="3" spans="1:11" ht="14.25" customHeight="1">
      <c r="A3" s="143" t="s">
        <v>43</v>
      </c>
      <c r="B3" s="106"/>
      <c r="C3" s="106"/>
      <c r="D3" s="106"/>
      <c r="E3" s="106"/>
      <c r="F3" s="106"/>
      <c r="G3" s="106"/>
      <c r="H3" s="144"/>
    </row>
    <row r="4" spans="1:11" ht="14.25" customHeight="1">
      <c r="A4" s="115"/>
      <c r="B4" s="119"/>
      <c r="C4" s="119"/>
      <c r="D4" s="119"/>
      <c r="E4" s="119"/>
      <c r="F4" s="119"/>
      <c r="G4" s="119"/>
      <c r="H4" s="116"/>
    </row>
    <row r="5" spans="1:11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6"/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6"/>
      <c r="D7" s="14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37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37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37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37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37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37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37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48" t="s">
        <v>65</v>
      </c>
      <c r="B38" s="149"/>
      <c r="C38" s="77" t="s">
        <v>66</v>
      </c>
      <c r="D38" s="78"/>
      <c r="E38" s="150" t="s">
        <v>67</v>
      </c>
      <c r="F38" s="122"/>
      <c r="G38" s="79" t="s">
        <v>68</v>
      </c>
      <c r="H38" s="80" t="s">
        <v>66</v>
      </c>
    </row>
    <row r="39" spans="1:11" ht="14.25" customHeight="1">
      <c r="A39" s="152" t="s">
        <v>69</v>
      </c>
      <c r="B39" s="116"/>
      <c r="C39" s="81"/>
      <c r="D39" s="82"/>
      <c r="E39" s="146"/>
      <c r="F39" s="147"/>
      <c r="G39" s="83"/>
      <c r="H39" s="84"/>
    </row>
    <row r="40" spans="1:11" ht="15" customHeight="1">
      <c r="A40" s="142" t="s">
        <v>70</v>
      </c>
      <c r="B40" s="122"/>
      <c r="C40" s="85"/>
      <c r="D40" s="86"/>
      <c r="E40" s="137"/>
      <c r="F40" s="138"/>
      <c r="G40" s="87"/>
      <c r="H40" s="88"/>
    </row>
    <row r="41" spans="1:11" ht="14.25" customHeight="1">
      <c r="A41" s="142" t="s">
        <v>71</v>
      </c>
      <c r="B41" s="122"/>
      <c r="C41" s="89"/>
      <c r="D41" s="82"/>
      <c r="E41" s="153"/>
      <c r="F41" s="138"/>
      <c r="G41" s="87"/>
      <c r="H41" s="88"/>
    </row>
    <row r="42" spans="1:11" ht="14.25" customHeight="1">
      <c r="A42" s="154" t="s">
        <v>72</v>
      </c>
      <c r="B42" s="112"/>
      <c r="C42" s="90"/>
      <c r="D42" s="74"/>
      <c r="E42" s="155"/>
      <c r="F42" s="138"/>
      <c r="G42" s="47"/>
      <c r="H42" s="88"/>
    </row>
    <row r="43" spans="1:11" ht="14.25" customHeight="1">
      <c r="A43" s="142" t="s">
        <v>73</v>
      </c>
      <c r="B43" s="122"/>
      <c r="C43" s="91"/>
      <c r="D43" s="74"/>
      <c r="E43" s="151"/>
      <c r="F43" s="138"/>
      <c r="G43" s="47"/>
      <c r="H43" s="88"/>
    </row>
    <row r="44" spans="1:11" ht="14.25" customHeight="1">
      <c r="A44" s="142" t="s">
        <v>74</v>
      </c>
      <c r="B44" s="122"/>
      <c r="C44" s="92"/>
      <c r="D44" s="93"/>
      <c r="E44" s="151"/>
      <c r="F44" s="138"/>
      <c r="G44" s="47"/>
      <c r="H44" s="88"/>
    </row>
    <row r="45" spans="1:11" ht="14.25" customHeight="1">
      <c r="A45" s="142" t="s">
        <v>75</v>
      </c>
      <c r="B45" s="122"/>
      <c r="C45" s="94">
        <v>0</v>
      </c>
      <c r="D45" s="95"/>
      <c r="E45" s="156"/>
      <c r="F45" s="157"/>
      <c r="G45" s="96"/>
      <c r="H45" s="97"/>
    </row>
    <row r="46" spans="1:11" ht="14.25" customHeight="1">
      <c r="A46" s="158" t="s">
        <v>76</v>
      </c>
      <c r="B46" s="118"/>
      <c r="C46" s="118"/>
      <c r="D46" s="118"/>
      <c r="E46" s="118"/>
      <c r="F46" s="118"/>
      <c r="G46" s="118"/>
      <c r="H46" s="112"/>
    </row>
    <row r="47" spans="1:11" ht="15" customHeight="1">
      <c r="A47" s="115"/>
      <c r="B47" s="119"/>
      <c r="C47" s="119"/>
      <c r="D47" s="119"/>
      <c r="E47" s="119"/>
      <c r="F47" s="119"/>
      <c r="G47" s="119"/>
      <c r="H47" s="116"/>
    </row>
    <row r="48" spans="1:11" ht="14.25" customHeight="1">
      <c r="A48" s="98"/>
      <c r="B48" s="133" t="s">
        <v>77</v>
      </c>
      <c r="C48" s="121"/>
      <c r="D48" s="122"/>
      <c r="E48" s="133" t="s">
        <v>78</v>
      </c>
      <c r="F48" s="121"/>
      <c r="G48" s="121"/>
      <c r="H48" s="122"/>
    </row>
    <row r="49" spans="1:8" ht="14.25" customHeight="1">
      <c r="A49" s="98"/>
      <c r="B49" s="139" t="s">
        <v>79</v>
      </c>
      <c r="C49" s="121"/>
      <c r="D49" s="122"/>
      <c r="E49" s="159">
        <f>SUM(B11:B14)</f>
        <v>0</v>
      </c>
      <c r="F49" s="121"/>
      <c r="G49" s="121"/>
      <c r="H49" s="122"/>
    </row>
    <row r="50" spans="1:8" ht="14.25" customHeight="1">
      <c r="A50" s="37"/>
      <c r="B50" s="139" t="s">
        <v>52</v>
      </c>
      <c r="C50" s="121"/>
      <c r="D50" s="122"/>
      <c r="E50" s="159">
        <f>SUM(B8:B10)</f>
        <v>0</v>
      </c>
      <c r="F50" s="121"/>
      <c r="G50" s="121"/>
      <c r="H50" s="122"/>
    </row>
    <row r="51" spans="1:8" ht="14.25" customHeight="1">
      <c r="A51" s="37"/>
      <c r="B51" s="139" t="s">
        <v>80</v>
      </c>
      <c r="C51" s="121"/>
      <c r="D51" s="122"/>
      <c r="E51" s="159">
        <f>SUM(B15:B16)</f>
        <v>0</v>
      </c>
      <c r="F51" s="121"/>
      <c r="G51" s="121"/>
      <c r="H51" s="122"/>
    </row>
    <row r="52" spans="1:8" ht="14.25" customHeight="1">
      <c r="A52" s="37"/>
      <c r="B52" s="132" t="s">
        <v>61</v>
      </c>
      <c r="C52" s="121"/>
      <c r="D52" s="122"/>
      <c r="E52" s="123">
        <f>SUM(B19:B20)</f>
        <v>0</v>
      </c>
      <c r="F52" s="121"/>
      <c r="G52" s="121"/>
      <c r="H52" s="122"/>
    </row>
    <row r="53" spans="1:8" ht="14.25" customHeight="1">
      <c r="A53" s="37"/>
      <c r="B53" s="132" t="s">
        <v>62</v>
      </c>
      <c r="C53" s="121"/>
      <c r="D53" s="122"/>
      <c r="E53" s="123">
        <f>SUM(B29:B30)</f>
        <v>0</v>
      </c>
      <c r="F53" s="121"/>
      <c r="G53" s="121"/>
      <c r="H53" s="122"/>
    </row>
    <row r="54" spans="1:8" ht="14.25" customHeight="1">
      <c r="A54" s="37"/>
      <c r="B54" s="132" t="s">
        <v>81</v>
      </c>
      <c r="C54" s="121"/>
      <c r="D54" s="122"/>
      <c r="E54" s="123">
        <f t="shared" ref="E54:E60" si="7">B31</f>
        <v>0</v>
      </c>
      <c r="F54" s="121"/>
      <c r="G54" s="121"/>
      <c r="H54" s="122"/>
    </row>
    <row r="55" spans="1:8" ht="14.25" customHeight="1">
      <c r="A55" s="37"/>
      <c r="B55" s="132" t="s">
        <v>81</v>
      </c>
      <c r="C55" s="121"/>
      <c r="D55" s="122"/>
      <c r="E55" s="123">
        <f t="shared" si="7"/>
        <v>0</v>
      </c>
      <c r="F55" s="121"/>
      <c r="G55" s="121"/>
      <c r="H55" s="122"/>
    </row>
    <row r="56" spans="1:8" ht="14.25" customHeight="1">
      <c r="A56" s="37"/>
      <c r="B56" s="132" t="s">
        <v>81</v>
      </c>
      <c r="C56" s="121"/>
      <c r="D56" s="122"/>
      <c r="E56" s="123">
        <f t="shared" si="7"/>
        <v>0</v>
      </c>
      <c r="F56" s="121"/>
      <c r="G56" s="121"/>
      <c r="H56" s="122"/>
    </row>
    <row r="57" spans="1:8" ht="14.25" customHeight="1">
      <c r="A57" s="37"/>
      <c r="B57" s="132" t="s">
        <v>81</v>
      </c>
      <c r="C57" s="121"/>
      <c r="D57" s="122"/>
      <c r="E57" s="123">
        <f t="shared" si="7"/>
        <v>0</v>
      </c>
      <c r="F57" s="121"/>
      <c r="G57" s="121"/>
      <c r="H57" s="122"/>
    </row>
    <row r="58" spans="1:8" ht="14.25" customHeight="1">
      <c r="A58" s="37"/>
      <c r="B58" s="132" t="s">
        <v>81</v>
      </c>
      <c r="C58" s="121"/>
      <c r="D58" s="122"/>
      <c r="E58" s="123">
        <f t="shared" si="7"/>
        <v>0</v>
      </c>
      <c r="F58" s="121"/>
      <c r="G58" s="121"/>
      <c r="H58" s="122"/>
    </row>
    <row r="59" spans="1:8" ht="14.25" customHeight="1">
      <c r="A59" s="37"/>
      <c r="B59" s="132" t="s">
        <v>81</v>
      </c>
      <c r="C59" s="121"/>
      <c r="D59" s="122"/>
      <c r="E59" s="123">
        <f t="shared" si="7"/>
        <v>0</v>
      </c>
      <c r="F59" s="121"/>
      <c r="G59" s="121"/>
      <c r="H59" s="122"/>
    </row>
    <row r="60" spans="1:8" ht="14.25" customHeight="1">
      <c r="A60" s="37"/>
      <c r="B60" s="132" t="s">
        <v>81</v>
      </c>
      <c r="C60" s="121"/>
      <c r="D60" s="122"/>
      <c r="E60" s="123">
        <f t="shared" si="7"/>
        <v>0</v>
      </c>
      <c r="F60" s="121"/>
      <c r="G60" s="121"/>
      <c r="H60" s="122"/>
    </row>
    <row r="61" spans="1:8" ht="14.25" customHeight="1">
      <c r="A61" s="37"/>
      <c r="B61" s="132" t="s">
        <v>81</v>
      </c>
      <c r="C61" s="121"/>
      <c r="D61" s="122"/>
      <c r="E61" s="123">
        <f>B45</f>
        <v>0</v>
      </c>
      <c r="F61" s="121"/>
      <c r="G61" s="121"/>
      <c r="H61" s="122"/>
    </row>
    <row r="62" spans="1:8" ht="14.25" customHeight="1">
      <c r="A62" s="37"/>
      <c r="B62" s="132" t="s">
        <v>82</v>
      </c>
      <c r="C62" s="121"/>
      <c r="D62" s="122"/>
      <c r="E62" s="123">
        <f>SUM(E49:H61)</f>
        <v>0</v>
      </c>
      <c r="F62" s="121"/>
      <c r="G62" s="121"/>
      <c r="H62" s="122"/>
    </row>
    <row r="63" spans="1:8" ht="14.25" customHeight="1">
      <c r="B63" s="132"/>
      <c r="C63" s="121"/>
      <c r="D63" s="122"/>
      <c r="E63" s="135"/>
      <c r="F63" s="121"/>
      <c r="G63" s="121"/>
      <c r="H63" s="122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1:D51"/>
    <mergeCell ref="E51:H51"/>
    <mergeCell ref="B52:D52"/>
    <mergeCell ref="E52:H52"/>
    <mergeCell ref="B53:D53"/>
    <mergeCell ref="E53:H5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62:D62"/>
    <mergeCell ref="B63:D63"/>
    <mergeCell ref="B61:D61"/>
    <mergeCell ref="E60:H60"/>
    <mergeCell ref="E61:H61"/>
    <mergeCell ref="E62:H62"/>
    <mergeCell ref="E63:H63"/>
    <mergeCell ref="A1:H2"/>
    <mergeCell ref="A3:H4"/>
    <mergeCell ref="C5:D5"/>
    <mergeCell ref="C6:D6"/>
    <mergeCell ref="C7:D7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36" t="s">
        <v>42</v>
      </c>
      <c r="B1" s="118"/>
      <c r="C1" s="118"/>
      <c r="D1" s="118"/>
      <c r="E1" s="118"/>
      <c r="F1" s="118"/>
      <c r="G1" s="118"/>
      <c r="H1" s="112"/>
    </row>
    <row r="2" spans="1:8" ht="14.25" customHeight="1">
      <c r="A2" s="115"/>
      <c r="B2" s="119"/>
      <c r="C2" s="119"/>
      <c r="D2" s="119"/>
      <c r="E2" s="119"/>
      <c r="F2" s="119"/>
      <c r="G2" s="119"/>
      <c r="H2" s="116"/>
    </row>
    <row r="3" spans="1:8" ht="14.25" customHeight="1">
      <c r="A3" s="143" t="s">
        <v>43</v>
      </c>
      <c r="B3" s="106"/>
      <c r="C3" s="106"/>
      <c r="D3" s="106"/>
      <c r="E3" s="106"/>
      <c r="F3" s="106"/>
      <c r="G3" s="106"/>
      <c r="H3" s="144"/>
    </row>
    <row r="4" spans="1:8" ht="14.25" customHeight="1">
      <c r="A4" s="115"/>
      <c r="B4" s="119"/>
      <c r="C4" s="119"/>
      <c r="D4" s="119"/>
      <c r="E4" s="119"/>
      <c r="F4" s="119"/>
      <c r="G4" s="119"/>
      <c r="H4" s="116"/>
    </row>
    <row r="5" spans="1:8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6"/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6"/>
      <c r="D7" s="14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7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7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7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7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7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7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7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8" t="s">
        <v>65</v>
      </c>
      <c r="B30" s="149"/>
      <c r="C30" s="77" t="s">
        <v>66</v>
      </c>
      <c r="D30" s="78"/>
      <c r="E30" s="150" t="s">
        <v>67</v>
      </c>
      <c r="F30" s="122"/>
      <c r="G30" s="79" t="s">
        <v>68</v>
      </c>
      <c r="H30" s="80" t="s">
        <v>66</v>
      </c>
    </row>
    <row r="31" spans="1:8" ht="14.25" customHeight="1">
      <c r="A31" s="152" t="s">
        <v>69</v>
      </c>
      <c r="B31" s="116"/>
      <c r="C31" s="81"/>
      <c r="D31" s="82"/>
      <c r="E31" s="146"/>
      <c r="F31" s="147"/>
      <c r="G31" s="83"/>
      <c r="H31" s="84"/>
    </row>
    <row r="32" spans="1:8" ht="15" customHeight="1">
      <c r="A32" s="142" t="s">
        <v>70</v>
      </c>
      <c r="B32" s="122"/>
      <c r="C32" s="85"/>
      <c r="D32" s="86"/>
      <c r="E32" s="137"/>
      <c r="F32" s="138"/>
      <c r="G32" s="87"/>
      <c r="H32" s="88"/>
    </row>
    <row r="33" spans="1:8" ht="14.25" customHeight="1">
      <c r="A33" s="142" t="s">
        <v>71</v>
      </c>
      <c r="B33" s="122"/>
      <c r="C33" s="89"/>
      <c r="D33" s="82"/>
      <c r="E33" s="153"/>
      <c r="F33" s="138"/>
      <c r="G33" s="87"/>
      <c r="H33" s="88"/>
    </row>
    <row r="34" spans="1:8" ht="14.25" customHeight="1">
      <c r="A34" s="154" t="s">
        <v>72</v>
      </c>
      <c r="B34" s="112"/>
      <c r="C34" s="90"/>
      <c r="D34" s="74"/>
      <c r="E34" s="155"/>
      <c r="F34" s="138"/>
      <c r="G34" s="47"/>
      <c r="H34" s="88"/>
    </row>
    <row r="35" spans="1:8" ht="14.25" customHeight="1">
      <c r="A35" s="142" t="s">
        <v>73</v>
      </c>
      <c r="B35" s="122"/>
      <c r="C35" s="91"/>
      <c r="D35" s="74"/>
      <c r="E35" s="151"/>
      <c r="F35" s="138"/>
      <c r="G35" s="47"/>
      <c r="H35" s="88"/>
    </row>
    <row r="36" spans="1:8" ht="14.25" customHeight="1">
      <c r="A36" s="142" t="s">
        <v>74</v>
      </c>
      <c r="B36" s="122"/>
      <c r="C36" s="92"/>
      <c r="D36" s="93"/>
      <c r="E36" s="151"/>
      <c r="F36" s="138"/>
      <c r="G36" s="47"/>
      <c r="H36" s="88"/>
    </row>
    <row r="37" spans="1:8" ht="14.25" customHeight="1">
      <c r="A37" s="142" t="s">
        <v>75</v>
      </c>
      <c r="B37" s="122"/>
      <c r="C37" s="94">
        <v>0</v>
      </c>
      <c r="D37" s="95"/>
      <c r="E37" s="156"/>
      <c r="F37" s="157"/>
      <c r="G37" s="96"/>
      <c r="H37" s="97"/>
    </row>
    <row r="38" spans="1:8" ht="18.75" customHeight="1">
      <c r="A38" s="158" t="s">
        <v>76</v>
      </c>
      <c r="B38" s="118"/>
      <c r="C38" s="118"/>
      <c r="D38" s="118"/>
      <c r="E38" s="118"/>
      <c r="F38" s="118"/>
      <c r="G38" s="118"/>
      <c r="H38" s="112"/>
    </row>
    <row r="39" spans="1:8" ht="18.75" customHeight="1">
      <c r="A39" s="115"/>
      <c r="B39" s="119"/>
      <c r="C39" s="119"/>
      <c r="D39" s="119"/>
      <c r="E39" s="119"/>
      <c r="F39" s="119"/>
      <c r="G39" s="119"/>
      <c r="H39" s="116"/>
    </row>
    <row r="40" spans="1:8" ht="14.25" customHeight="1">
      <c r="A40" s="98"/>
      <c r="B40" s="133" t="s">
        <v>77</v>
      </c>
      <c r="C40" s="121"/>
      <c r="D40" s="122"/>
      <c r="E40" s="133" t="s">
        <v>78</v>
      </c>
      <c r="F40" s="121"/>
      <c r="G40" s="121"/>
      <c r="H40" s="122"/>
    </row>
    <row r="41" spans="1:8" ht="14.25" customHeight="1">
      <c r="A41" s="98"/>
      <c r="B41" s="139" t="s">
        <v>79</v>
      </c>
      <c r="C41" s="121"/>
      <c r="D41" s="122"/>
      <c r="E41" s="159">
        <f>SUM(B9:B12)</f>
        <v>0</v>
      </c>
      <c r="F41" s="121"/>
      <c r="G41" s="121"/>
      <c r="H41" s="122"/>
    </row>
    <row r="42" spans="1:8" ht="14.25" customHeight="1">
      <c r="A42" s="98"/>
      <c r="B42" s="139" t="s">
        <v>52</v>
      </c>
      <c r="C42" s="121"/>
      <c r="D42" s="122"/>
      <c r="E42" s="159">
        <f>SUM(B6:B8)</f>
        <v>0</v>
      </c>
      <c r="F42" s="121"/>
      <c r="G42" s="121"/>
      <c r="H42" s="122"/>
    </row>
    <row r="43" spans="1:8" ht="14.25" customHeight="1">
      <c r="A43" s="98"/>
      <c r="B43" s="139" t="s">
        <v>80</v>
      </c>
      <c r="C43" s="121"/>
      <c r="D43" s="122"/>
      <c r="E43" s="140">
        <f>SUM(B13:B14)</f>
        <v>0</v>
      </c>
      <c r="F43" s="125"/>
      <c r="G43" s="125"/>
      <c r="H43" s="114"/>
    </row>
    <row r="44" spans="1:8" ht="14.25" customHeight="1">
      <c r="A44" s="37"/>
      <c r="B44" s="132" t="s">
        <v>61</v>
      </c>
      <c r="C44" s="121"/>
      <c r="D44" s="122"/>
      <c r="E44" s="123">
        <f>SUM(B17:B18)</f>
        <v>0</v>
      </c>
      <c r="F44" s="121"/>
      <c r="G44" s="121"/>
      <c r="H44" s="122"/>
    </row>
    <row r="45" spans="1:8" ht="14.25" customHeight="1">
      <c r="A45" s="37"/>
      <c r="B45" s="132" t="s">
        <v>62</v>
      </c>
      <c r="C45" s="121"/>
      <c r="D45" s="122"/>
      <c r="E45" s="123">
        <f>SUM(B19:B20)</f>
        <v>0</v>
      </c>
      <c r="F45" s="121"/>
      <c r="G45" s="121"/>
      <c r="H45" s="122"/>
    </row>
    <row r="46" spans="1:8" ht="14.25" customHeight="1">
      <c r="A46" s="37"/>
      <c r="B46" s="132" t="s">
        <v>81</v>
      </c>
      <c r="C46" s="121"/>
      <c r="D46" s="122"/>
      <c r="E46" s="123">
        <f t="shared" ref="E46:E53" si="11">B21</f>
        <v>0</v>
      </c>
      <c r="F46" s="121"/>
      <c r="G46" s="121"/>
      <c r="H46" s="122"/>
    </row>
    <row r="47" spans="1:8" ht="14.25" customHeight="1">
      <c r="A47" s="37"/>
      <c r="B47" s="132" t="s">
        <v>81</v>
      </c>
      <c r="C47" s="121"/>
      <c r="D47" s="122"/>
      <c r="E47" s="123">
        <f t="shared" si="11"/>
        <v>0</v>
      </c>
      <c r="F47" s="121"/>
      <c r="G47" s="121"/>
      <c r="H47" s="122"/>
    </row>
    <row r="48" spans="1:8" ht="14.25" customHeight="1">
      <c r="A48" s="37"/>
      <c r="B48" s="132" t="s">
        <v>81</v>
      </c>
      <c r="C48" s="121"/>
      <c r="D48" s="122"/>
      <c r="E48" s="123">
        <f t="shared" si="11"/>
        <v>0</v>
      </c>
      <c r="F48" s="121"/>
      <c r="G48" s="121"/>
      <c r="H48" s="122"/>
    </row>
    <row r="49" spans="1:8" ht="14.25" customHeight="1">
      <c r="A49" s="37"/>
      <c r="B49" s="132" t="s">
        <v>81</v>
      </c>
      <c r="C49" s="121"/>
      <c r="D49" s="122"/>
      <c r="E49" s="123">
        <f t="shared" si="11"/>
        <v>0</v>
      </c>
      <c r="F49" s="121"/>
      <c r="G49" s="121"/>
      <c r="H49" s="122"/>
    </row>
    <row r="50" spans="1:8" ht="14.25" customHeight="1">
      <c r="A50" s="37"/>
      <c r="B50" s="132" t="s">
        <v>81</v>
      </c>
      <c r="C50" s="121"/>
      <c r="D50" s="122"/>
      <c r="E50" s="123">
        <f t="shared" si="11"/>
        <v>0</v>
      </c>
      <c r="F50" s="121"/>
      <c r="G50" s="121"/>
      <c r="H50" s="122"/>
    </row>
    <row r="51" spans="1:8" ht="14.25" customHeight="1">
      <c r="A51" s="37"/>
      <c r="B51" s="132" t="s">
        <v>81</v>
      </c>
      <c r="C51" s="121"/>
      <c r="D51" s="122"/>
      <c r="E51" s="123">
        <f t="shared" si="11"/>
        <v>0</v>
      </c>
      <c r="F51" s="121"/>
      <c r="G51" s="121"/>
      <c r="H51" s="122"/>
    </row>
    <row r="52" spans="1:8" ht="14.25" customHeight="1">
      <c r="B52" s="132" t="s">
        <v>81</v>
      </c>
      <c r="C52" s="121"/>
      <c r="D52" s="122"/>
      <c r="E52" s="123">
        <f t="shared" si="11"/>
        <v>0</v>
      </c>
      <c r="F52" s="121"/>
      <c r="G52" s="121"/>
      <c r="H52" s="122"/>
    </row>
    <row r="53" spans="1:8" ht="14.25" customHeight="1">
      <c r="B53" s="132" t="s">
        <v>81</v>
      </c>
      <c r="C53" s="121"/>
      <c r="D53" s="122"/>
      <c r="E53" s="123">
        <f t="shared" si="11"/>
        <v>0</v>
      </c>
      <c r="F53" s="121"/>
      <c r="G53" s="121"/>
      <c r="H53" s="122"/>
    </row>
    <row r="54" spans="1:8" ht="14.25" customHeight="1">
      <c r="B54" s="132" t="s">
        <v>82</v>
      </c>
      <c r="C54" s="121"/>
      <c r="D54" s="122"/>
      <c r="E54" s="123">
        <f>SUM(E41:H53)</f>
        <v>0</v>
      </c>
      <c r="F54" s="121"/>
      <c r="G54" s="121"/>
      <c r="H54" s="122"/>
    </row>
    <row r="55" spans="1:8" ht="14.25" customHeight="1">
      <c r="B55" s="132"/>
      <c r="C55" s="121"/>
      <c r="D55" s="122"/>
      <c r="E55" s="135"/>
      <c r="F55" s="121"/>
      <c r="G55" s="121"/>
      <c r="H55" s="12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32:F32"/>
    <mergeCell ref="E34:F34"/>
    <mergeCell ref="E33:F33"/>
    <mergeCell ref="A30:B30"/>
    <mergeCell ref="E30:F30"/>
    <mergeCell ref="A31:B31"/>
    <mergeCell ref="E31:F31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E41:H41"/>
    <mergeCell ref="B41:D41"/>
    <mergeCell ref="E42:H42"/>
    <mergeCell ref="E43:H43"/>
    <mergeCell ref="B44:D44"/>
    <mergeCell ref="E44:H44"/>
    <mergeCell ref="B45:D45"/>
    <mergeCell ref="E45:H45"/>
    <mergeCell ref="B42:D42"/>
    <mergeCell ref="B43:D43"/>
    <mergeCell ref="E46:H46"/>
    <mergeCell ref="B46:D46"/>
    <mergeCell ref="B47:D47"/>
    <mergeCell ref="B48:D48"/>
    <mergeCell ref="B49:D49"/>
    <mergeCell ref="E49:H49"/>
    <mergeCell ref="E47:H47"/>
    <mergeCell ref="E48:H48"/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36" t="s">
        <v>42</v>
      </c>
      <c r="B1" s="118"/>
      <c r="C1" s="118"/>
      <c r="D1" s="118"/>
      <c r="E1" s="118"/>
      <c r="F1" s="118"/>
      <c r="G1" s="118"/>
      <c r="H1" s="112"/>
    </row>
    <row r="2" spans="1:11" ht="14.25" customHeight="1">
      <c r="A2" s="115"/>
      <c r="B2" s="119"/>
      <c r="C2" s="119"/>
      <c r="D2" s="119"/>
      <c r="E2" s="119"/>
      <c r="F2" s="119"/>
      <c r="G2" s="119"/>
      <c r="H2" s="116"/>
    </row>
    <row r="3" spans="1:11" ht="14.25" customHeight="1">
      <c r="A3" s="143" t="s">
        <v>43</v>
      </c>
      <c r="B3" s="106"/>
      <c r="C3" s="106"/>
      <c r="D3" s="106"/>
      <c r="E3" s="106"/>
      <c r="F3" s="106"/>
      <c r="G3" s="106"/>
      <c r="H3" s="144"/>
    </row>
    <row r="4" spans="1:11" ht="14.25" customHeight="1">
      <c r="A4" s="115"/>
      <c r="B4" s="119"/>
      <c r="C4" s="119"/>
      <c r="D4" s="119"/>
      <c r="E4" s="119"/>
      <c r="F4" s="119"/>
      <c r="G4" s="119"/>
      <c r="H4" s="116"/>
    </row>
    <row r="5" spans="1:11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6"/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6"/>
      <c r="D7" s="14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37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37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37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37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37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37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37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48" t="s">
        <v>65</v>
      </c>
      <c r="B38" s="149"/>
      <c r="C38" s="77" t="s">
        <v>66</v>
      </c>
      <c r="D38" s="78"/>
      <c r="E38" s="150" t="s">
        <v>67</v>
      </c>
      <c r="F38" s="122"/>
      <c r="G38" s="79" t="s">
        <v>68</v>
      </c>
      <c r="H38" s="80" t="s">
        <v>66</v>
      </c>
    </row>
    <row r="39" spans="1:11" ht="14.25" customHeight="1">
      <c r="A39" s="152" t="s">
        <v>69</v>
      </c>
      <c r="B39" s="116"/>
      <c r="C39" s="81"/>
      <c r="D39" s="82"/>
      <c r="E39" s="146"/>
      <c r="F39" s="147"/>
      <c r="G39" s="83"/>
      <c r="H39" s="84"/>
    </row>
    <row r="40" spans="1:11" ht="15" customHeight="1">
      <c r="A40" s="142" t="s">
        <v>70</v>
      </c>
      <c r="B40" s="122"/>
      <c r="C40" s="85"/>
      <c r="D40" s="86"/>
      <c r="E40" s="137"/>
      <c r="F40" s="138"/>
      <c r="G40" s="87"/>
      <c r="H40" s="88"/>
    </row>
    <row r="41" spans="1:11" ht="14.25" customHeight="1">
      <c r="A41" s="142" t="s">
        <v>71</v>
      </c>
      <c r="B41" s="122"/>
      <c r="C41" s="89"/>
      <c r="D41" s="82"/>
      <c r="E41" s="153"/>
      <c r="F41" s="138"/>
      <c r="G41" s="87"/>
      <c r="H41" s="88"/>
    </row>
    <row r="42" spans="1:11" ht="14.25" customHeight="1">
      <c r="A42" s="154" t="s">
        <v>72</v>
      </c>
      <c r="B42" s="112"/>
      <c r="C42" s="90"/>
      <c r="D42" s="74"/>
      <c r="E42" s="155"/>
      <c r="F42" s="138"/>
      <c r="G42" s="47"/>
      <c r="H42" s="88"/>
    </row>
    <row r="43" spans="1:11" ht="14.25" customHeight="1">
      <c r="A43" s="142" t="s">
        <v>73</v>
      </c>
      <c r="B43" s="122"/>
      <c r="C43" s="91"/>
      <c r="D43" s="74"/>
      <c r="E43" s="151"/>
      <c r="F43" s="138"/>
      <c r="G43" s="47"/>
      <c r="H43" s="88"/>
    </row>
    <row r="44" spans="1:11" ht="14.25" customHeight="1">
      <c r="A44" s="142" t="s">
        <v>74</v>
      </c>
      <c r="B44" s="122"/>
      <c r="C44" s="92"/>
      <c r="D44" s="93"/>
      <c r="E44" s="151"/>
      <c r="F44" s="138"/>
      <c r="G44" s="47"/>
      <c r="H44" s="88"/>
    </row>
    <row r="45" spans="1:11" ht="14.25" customHeight="1">
      <c r="A45" s="142" t="s">
        <v>75</v>
      </c>
      <c r="B45" s="122"/>
      <c r="C45" s="94">
        <v>0</v>
      </c>
      <c r="D45" s="95"/>
      <c r="E45" s="156"/>
      <c r="F45" s="157"/>
      <c r="G45" s="96"/>
      <c r="H45" s="97"/>
    </row>
    <row r="46" spans="1:11" ht="14.25" customHeight="1">
      <c r="A46" s="158" t="s">
        <v>76</v>
      </c>
      <c r="B46" s="118"/>
      <c r="C46" s="118"/>
      <c r="D46" s="118"/>
      <c r="E46" s="118"/>
      <c r="F46" s="118"/>
      <c r="G46" s="118"/>
      <c r="H46" s="112"/>
    </row>
    <row r="47" spans="1:11" ht="15" customHeight="1">
      <c r="A47" s="115"/>
      <c r="B47" s="119"/>
      <c r="C47" s="119"/>
      <c r="D47" s="119"/>
      <c r="E47" s="119"/>
      <c r="F47" s="119"/>
      <c r="G47" s="119"/>
      <c r="H47" s="116"/>
    </row>
    <row r="48" spans="1:11" ht="14.25" customHeight="1">
      <c r="A48" s="98"/>
      <c r="B48" s="133" t="s">
        <v>77</v>
      </c>
      <c r="C48" s="121"/>
      <c r="D48" s="122"/>
      <c r="E48" s="133" t="s">
        <v>78</v>
      </c>
      <c r="F48" s="121"/>
      <c r="G48" s="121"/>
      <c r="H48" s="122"/>
    </row>
    <row r="49" spans="1:8" ht="14.25" customHeight="1">
      <c r="A49" s="98"/>
      <c r="B49" s="139" t="s">
        <v>79</v>
      </c>
      <c r="C49" s="121"/>
      <c r="D49" s="122"/>
      <c r="E49" s="159">
        <f>SUM(B9:B12)</f>
        <v>0</v>
      </c>
      <c r="F49" s="121"/>
      <c r="G49" s="121"/>
      <c r="H49" s="122"/>
    </row>
    <row r="50" spans="1:8" ht="14.25" customHeight="1">
      <c r="A50" s="98"/>
      <c r="B50" s="139" t="s">
        <v>52</v>
      </c>
      <c r="C50" s="121"/>
      <c r="D50" s="122"/>
      <c r="E50" s="159">
        <f>SUM(B6:B8)</f>
        <v>0</v>
      </c>
      <c r="F50" s="121"/>
      <c r="G50" s="121"/>
      <c r="H50" s="122"/>
    </row>
    <row r="51" spans="1:8" ht="14.25" customHeight="1">
      <c r="A51" s="98"/>
      <c r="B51" s="139" t="s">
        <v>80</v>
      </c>
      <c r="C51" s="121"/>
      <c r="D51" s="122"/>
      <c r="E51" s="140">
        <f>SUM(B13:B14)</f>
        <v>0</v>
      </c>
      <c r="F51" s="125"/>
      <c r="G51" s="125"/>
      <c r="H51" s="114"/>
    </row>
    <row r="52" spans="1:8" ht="14.25" customHeight="1">
      <c r="A52" s="37"/>
      <c r="B52" s="132" t="s">
        <v>61</v>
      </c>
      <c r="C52" s="121"/>
      <c r="D52" s="122"/>
      <c r="E52" s="123">
        <f>SUM(B17:B18)</f>
        <v>0</v>
      </c>
      <c r="F52" s="121"/>
      <c r="G52" s="121"/>
      <c r="H52" s="122"/>
    </row>
    <row r="53" spans="1:8" ht="14.25" customHeight="1">
      <c r="A53" s="37"/>
      <c r="B53" s="132" t="s">
        <v>62</v>
      </c>
      <c r="C53" s="121"/>
      <c r="D53" s="122"/>
      <c r="E53" s="123">
        <f>SUM(B19:B20)</f>
        <v>0</v>
      </c>
      <c r="F53" s="121"/>
      <c r="G53" s="121"/>
      <c r="H53" s="122"/>
    </row>
    <row r="54" spans="1:8" ht="14.25" customHeight="1">
      <c r="A54" s="37"/>
      <c r="B54" s="132" t="s">
        <v>81</v>
      </c>
      <c r="C54" s="121"/>
      <c r="D54" s="122"/>
      <c r="E54" s="123">
        <f t="shared" ref="E54:E61" si="7">B29</f>
        <v>0</v>
      </c>
      <c r="F54" s="121"/>
      <c r="G54" s="121"/>
      <c r="H54" s="122"/>
    </row>
    <row r="55" spans="1:8" ht="14.25" customHeight="1">
      <c r="A55" s="37"/>
      <c r="B55" s="132" t="s">
        <v>81</v>
      </c>
      <c r="C55" s="121"/>
      <c r="D55" s="122"/>
      <c r="E55" s="123">
        <f t="shared" si="7"/>
        <v>0</v>
      </c>
      <c r="F55" s="121"/>
      <c r="G55" s="121"/>
      <c r="H55" s="122"/>
    </row>
    <row r="56" spans="1:8" ht="14.25" customHeight="1">
      <c r="A56" s="37"/>
      <c r="B56" s="132" t="s">
        <v>81</v>
      </c>
      <c r="C56" s="121"/>
      <c r="D56" s="122"/>
      <c r="E56" s="123">
        <f t="shared" si="7"/>
        <v>0</v>
      </c>
      <c r="F56" s="121"/>
      <c r="G56" s="121"/>
      <c r="H56" s="122"/>
    </row>
    <row r="57" spans="1:8" ht="14.25" customHeight="1">
      <c r="A57" s="37"/>
      <c r="B57" s="132" t="s">
        <v>81</v>
      </c>
      <c r="C57" s="121"/>
      <c r="D57" s="122"/>
      <c r="E57" s="123">
        <f t="shared" si="7"/>
        <v>0</v>
      </c>
      <c r="F57" s="121"/>
      <c r="G57" s="121"/>
      <c r="H57" s="122"/>
    </row>
    <row r="58" spans="1:8" ht="14.25" customHeight="1">
      <c r="A58" s="37"/>
      <c r="B58" s="132" t="s">
        <v>81</v>
      </c>
      <c r="C58" s="121"/>
      <c r="D58" s="122"/>
      <c r="E58" s="123">
        <f t="shared" si="7"/>
        <v>0</v>
      </c>
      <c r="F58" s="121"/>
      <c r="G58" s="121"/>
      <c r="H58" s="122"/>
    </row>
    <row r="59" spans="1:8" ht="14.25" customHeight="1">
      <c r="A59" s="37"/>
      <c r="B59" s="132" t="s">
        <v>81</v>
      </c>
      <c r="C59" s="121"/>
      <c r="D59" s="122"/>
      <c r="E59" s="123">
        <f t="shared" si="7"/>
        <v>0</v>
      </c>
      <c r="F59" s="121"/>
      <c r="G59" s="121"/>
      <c r="H59" s="122"/>
    </row>
    <row r="60" spans="1:8" ht="14.25" customHeight="1">
      <c r="A60" s="37"/>
      <c r="B60" s="132" t="s">
        <v>81</v>
      </c>
      <c r="C60" s="121"/>
      <c r="D60" s="122"/>
      <c r="E60" s="123">
        <f t="shared" si="7"/>
        <v>0</v>
      </c>
      <c r="F60" s="121"/>
      <c r="G60" s="121"/>
      <c r="H60" s="122"/>
    </row>
    <row r="61" spans="1:8" ht="14.25" customHeight="1">
      <c r="A61" s="37"/>
      <c r="B61" s="132" t="s">
        <v>81</v>
      </c>
      <c r="C61" s="121"/>
      <c r="D61" s="122"/>
      <c r="E61" s="123">
        <f t="shared" si="7"/>
        <v>0</v>
      </c>
      <c r="F61" s="121"/>
      <c r="G61" s="121"/>
      <c r="H61" s="122"/>
    </row>
    <row r="62" spans="1:8" ht="14.25" customHeight="1">
      <c r="A62" s="37"/>
      <c r="B62" s="132" t="s">
        <v>82</v>
      </c>
      <c r="C62" s="121"/>
      <c r="D62" s="122"/>
      <c r="E62" s="123">
        <f>SUM(E49:H61)</f>
        <v>0</v>
      </c>
      <c r="F62" s="121"/>
      <c r="G62" s="121"/>
      <c r="H62" s="122"/>
    </row>
    <row r="63" spans="1:8" ht="14.25" customHeight="1">
      <c r="B63" s="132"/>
      <c r="C63" s="121"/>
      <c r="D63" s="122"/>
      <c r="E63" s="135"/>
      <c r="F63" s="121"/>
      <c r="G63" s="121"/>
      <c r="H63" s="122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36" t="s">
        <v>42</v>
      </c>
      <c r="B1" s="118"/>
      <c r="C1" s="118"/>
      <c r="D1" s="118"/>
      <c r="E1" s="118"/>
      <c r="F1" s="118"/>
      <c r="G1" s="118"/>
      <c r="H1" s="112"/>
    </row>
    <row r="2" spans="1:8" ht="14.25" customHeight="1">
      <c r="A2" s="115"/>
      <c r="B2" s="119"/>
      <c r="C2" s="119"/>
      <c r="D2" s="119"/>
      <c r="E2" s="119"/>
      <c r="F2" s="119"/>
      <c r="G2" s="119"/>
      <c r="H2" s="116"/>
    </row>
    <row r="3" spans="1:8" ht="14.25" customHeight="1">
      <c r="A3" s="143" t="s">
        <v>43</v>
      </c>
      <c r="B3" s="106"/>
      <c r="C3" s="106"/>
      <c r="D3" s="106"/>
      <c r="E3" s="106"/>
      <c r="F3" s="106"/>
      <c r="G3" s="106"/>
      <c r="H3" s="144"/>
    </row>
    <row r="4" spans="1:8" ht="14.25" customHeight="1">
      <c r="A4" s="115"/>
      <c r="B4" s="119"/>
      <c r="C4" s="119"/>
      <c r="D4" s="119"/>
      <c r="E4" s="119"/>
      <c r="F4" s="119"/>
      <c r="G4" s="119"/>
      <c r="H4" s="116"/>
    </row>
    <row r="5" spans="1:8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6"/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6"/>
      <c r="D7" s="14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7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7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7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7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7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7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7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8" t="s">
        <v>65</v>
      </c>
      <c r="B30" s="149"/>
      <c r="C30" s="77" t="s">
        <v>66</v>
      </c>
      <c r="D30" s="78"/>
      <c r="E30" s="150" t="s">
        <v>67</v>
      </c>
      <c r="F30" s="122"/>
      <c r="G30" s="79" t="s">
        <v>68</v>
      </c>
      <c r="H30" s="80" t="s">
        <v>66</v>
      </c>
    </row>
    <row r="31" spans="1:8" ht="14.25" customHeight="1">
      <c r="A31" s="152" t="s">
        <v>69</v>
      </c>
      <c r="B31" s="116"/>
      <c r="C31" s="81"/>
      <c r="D31" s="82"/>
      <c r="E31" s="146"/>
      <c r="F31" s="147"/>
      <c r="G31" s="83"/>
      <c r="H31" s="84"/>
    </row>
    <row r="32" spans="1:8" ht="15" customHeight="1">
      <c r="A32" s="142" t="s">
        <v>70</v>
      </c>
      <c r="B32" s="122"/>
      <c r="C32" s="85"/>
      <c r="D32" s="86"/>
      <c r="E32" s="137"/>
      <c r="F32" s="138"/>
      <c r="G32" s="87"/>
      <c r="H32" s="88"/>
    </row>
    <row r="33" spans="1:8" ht="14.25" customHeight="1">
      <c r="A33" s="142" t="s">
        <v>71</v>
      </c>
      <c r="B33" s="122"/>
      <c r="C33" s="89"/>
      <c r="D33" s="82"/>
      <c r="E33" s="153"/>
      <c r="F33" s="138"/>
      <c r="G33" s="87"/>
      <c r="H33" s="88"/>
    </row>
    <row r="34" spans="1:8" ht="14.25" customHeight="1">
      <c r="A34" s="154" t="s">
        <v>72</v>
      </c>
      <c r="B34" s="112"/>
      <c r="C34" s="90"/>
      <c r="D34" s="74"/>
      <c r="E34" s="155"/>
      <c r="F34" s="138"/>
      <c r="G34" s="47"/>
      <c r="H34" s="88"/>
    </row>
    <row r="35" spans="1:8" ht="14.25" customHeight="1">
      <c r="A35" s="142" t="s">
        <v>73</v>
      </c>
      <c r="B35" s="122"/>
      <c r="C35" s="91"/>
      <c r="D35" s="74"/>
      <c r="E35" s="151"/>
      <c r="F35" s="138"/>
      <c r="G35" s="47"/>
      <c r="H35" s="88"/>
    </row>
    <row r="36" spans="1:8" ht="14.25" customHeight="1">
      <c r="A36" s="142" t="s">
        <v>74</v>
      </c>
      <c r="B36" s="122"/>
      <c r="C36" s="92"/>
      <c r="D36" s="93"/>
      <c r="E36" s="151"/>
      <c r="F36" s="138"/>
      <c r="G36" s="47"/>
      <c r="H36" s="88"/>
    </row>
    <row r="37" spans="1:8" ht="14.25" customHeight="1">
      <c r="A37" s="142" t="s">
        <v>75</v>
      </c>
      <c r="B37" s="122"/>
      <c r="C37" s="94">
        <v>0</v>
      </c>
      <c r="D37" s="95"/>
      <c r="E37" s="156"/>
      <c r="F37" s="157"/>
      <c r="G37" s="96"/>
      <c r="H37" s="97"/>
    </row>
    <row r="38" spans="1:8" ht="14.25" customHeight="1">
      <c r="A38" s="158" t="s">
        <v>76</v>
      </c>
      <c r="B38" s="118"/>
      <c r="C38" s="118"/>
      <c r="D38" s="118"/>
      <c r="E38" s="118"/>
      <c r="F38" s="118"/>
      <c r="G38" s="118"/>
      <c r="H38" s="112"/>
    </row>
    <row r="39" spans="1:8" ht="15" customHeight="1">
      <c r="A39" s="115"/>
      <c r="B39" s="119"/>
      <c r="C39" s="119"/>
      <c r="D39" s="119"/>
      <c r="E39" s="119"/>
      <c r="F39" s="119"/>
      <c r="G39" s="119"/>
      <c r="H39" s="116"/>
    </row>
    <row r="40" spans="1:8" ht="14.25" customHeight="1">
      <c r="A40" s="98"/>
      <c r="B40" s="133" t="s">
        <v>77</v>
      </c>
      <c r="C40" s="121"/>
      <c r="D40" s="122"/>
      <c r="E40" s="133" t="s">
        <v>78</v>
      </c>
      <c r="F40" s="121"/>
      <c r="G40" s="121"/>
      <c r="H40" s="122"/>
    </row>
    <row r="41" spans="1:8" ht="14.25" customHeight="1">
      <c r="A41" s="98"/>
      <c r="B41" s="139" t="s">
        <v>79</v>
      </c>
      <c r="C41" s="121"/>
      <c r="D41" s="122"/>
      <c r="E41" s="159">
        <f>SUM(B9:B12)</f>
        <v>0</v>
      </c>
      <c r="F41" s="121"/>
      <c r="G41" s="121"/>
      <c r="H41" s="122"/>
    </row>
    <row r="42" spans="1:8" ht="14.25" customHeight="1">
      <c r="A42" s="98"/>
      <c r="B42" s="139" t="s">
        <v>52</v>
      </c>
      <c r="C42" s="121"/>
      <c r="D42" s="122"/>
      <c r="E42" s="159">
        <f>SUM(B6:B8)</f>
        <v>0</v>
      </c>
      <c r="F42" s="121"/>
      <c r="G42" s="121"/>
      <c r="H42" s="122"/>
    </row>
    <row r="43" spans="1:8" ht="14.25" customHeight="1">
      <c r="A43" s="98"/>
      <c r="B43" s="139" t="s">
        <v>80</v>
      </c>
      <c r="C43" s="121"/>
      <c r="D43" s="122"/>
      <c r="E43" s="140">
        <f>SUM(B13:B14)</f>
        <v>0</v>
      </c>
      <c r="F43" s="125"/>
      <c r="G43" s="125"/>
      <c r="H43" s="114"/>
    </row>
    <row r="44" spans="1:8" ht="14.25" customHeight="1">
      <c r="A44" s="37"/>
      <c r="B44" s="132" t="s">
        <v>61</v>
      </c>
      <c r="C44" s="121"/>
      <c r="D44" s="122"/>
      <c r="E44" s="123">
        <f>SUM(B17:B18)</f>
        <v>0</v>
      </c>
      <c r="F44" s="121"/>
      <c r="G44" s="121"/>
      <c r="H44" s="122"/>
    </row>
    <row r="45" spans="1:8" ht="14.25" customHeight="1">
      <c r="A45" s="37"/>
      <c r="B45" s="132" t="s">
        <v>62</v>
      </c>
      <c r="C45" s="121"/>
      <c r="D45" s="122"/>
      <c r="E45" s="123">
        <f>SUM(B19:B20)</f>
        <v>0</v>
      </c>
      <c r="F45" s="121"/>
      <c r="G45" s="121"/>
      <c r="H45" s="122"/>
    </row>
    <row r="46" spans="1:8" ht="14.25" customHeight="1">
      <c r="A46" s="37"/>
      <c r="B46" s="132" t="s">
        <v>81</v>
      </c>
      <c r="C46" s="121"/>
      <c r="D46" s="122"/>
      <c r="E46" s="123">
        <f t="shared" ref="E46:E53" si="11">B21</f>
        <v>0</v>
      </c>
      <c r="F46" s="121"/>
      <c r="G46" s="121"/>
      <c r="H46" s="122"/>
    </row>
    <row r="47" spans="1:8" ht="14.25" customHeight="1">
      <c r="A47" s="37"/>
      <c r="B47" s="132" t="s">
        <v>81</v>
      </c>
      <c r="C47" s="121"/>
      <c r="D47" s="122"/>
      <c r="E47" s="123">
        <f t="shared" si="11"/>
        <v>0</v>
      </c>
      <c r="F47" s="121"/>
      <c r="G47" s="121"/>
      <c r="H47" s="122"/>
    </row>
    <row r="48" spans="1:8" ht="14.25" customHeight="1">
      <c r="A48" s="37"/>
      <c r="B48" s="132" t="s">
        <v>81</v>
      </c>
      <c r="C48" s="121"/>
      <c r="D48" s="122"/>
      <c r="E48" s="123">
        <f t="shared" si="11"/>
        <v>0</v>
      </c>
      <c r="F48" s="121"/>
      <c r="G48" s="121"/>
      <c r="H48" s="122"/>
    </row>
    <row r="49" spans="1:8" ht="14.25" customHeight="1">
      <c r="A49" s="37"/>
      <c r="B49" s="132" t="s">
        <v>81</v>
      </c>
      <c r="C49" s="121"/>
      <c r="D49" s="122"/>
      <c r="E49" s="123">
        <f t="shared" si="11"/>
        <v>0</v>
      </c>
      <c r="F49" s="121"/>
      <c r="G49" s="121"/>
      <c r="H49" s="122"/>
    </row>
    <row r="50" spans="1:8" ht="14.25" customHeight="1">
      <c r="A50" s="37"/>
      <c r="B50" s="132" t="s">
        <v>81</v>
      </c>
      <c r="C50" s="121"/>
      <c r="D50" s="122"/>
      <c r="E50" s="123">
        <f t="shared" si="11"/>
        <v>0</v>
      </c>
      <c r="F50" s="121"/>
      <c r="G50" s="121"/>
      <c r="H50" s="122"/>
    </row>
    <row r="51" spans="1:8" ht="14.25" customHeight="1">
      <c r="A51" s="37"/>
      <c r="B51" s="132" t="s">
        <v>81</v>
      </c>
      <c r="C51" s="121"/>
      <c r="D51" s="122"/>
      <c r="E51" s="123">
        <f t="shared" si="11"/>
        <v>0</v>
      </c>
      <c r="F51" s="121"/>
      <c r="G51" s="121"/>
      <c r="H51" s="122"/>
    </row>
    <row r="52" spans="1:8" ht="14.25" customHeight="1">
      <c r="B52" s="132" t="s">
        <v>81</v>
      </c>
      <c r="C52" s="121"/>
      <c r="D52" s="122"/>
      <c r="E52" s="123">
        <f t="shared" si="11"/>
        <v>0</v>
      </c>
      <c r="F52" s="121"/>
      <c r="G52" s="121"/>
      <c r="H52" s="122"/>
    </row>
    <row r="53" spans="1:8" ht="14.25" customHeight="1">
      <c r="B53" s="132" t="s">
        <v>81</v>
      </c>
      <c r="C53" s="121"/>
      <c r="D53" s="122"/>
      <c r="E53" s="123">
        <f t="shared" si="11"/>
        <v>0</v>
      </c>
      <c r="F53" s="121"/>
      <c r="G53" s="121"/>
      <c r="H53" s="122"/>
    </row>
    <row r="54" spans="1:8" ht="14.25" customHeight="1">
      <c r="B54" s="132" t="s">
        <v>82</v>
      </c>
      <c r="C54" s="121"/>
      <c r="D54" s="122"/>
      <c r="E54" s="123">
        <f>SUM(E41:H53)</f>
        <v>0</v>
      </c>
      <c r="F54" s="121"/>
      <c r="G54" s="121"/>
      <c r="H54" s="122"/>
    </row>
    <row r="55" spans="1:8" ht="14.25" customHeight="1">
      <c r="B55" s="132"/>
      <c r="C55" s="121"/>
      <c r="D55" s="122"/>
      <c r="E55" s="135"/>
      <c r="F55" s="121"/>
      <c r="G55" s="121"/>
      <c r="H55" s="12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36" t="s">
        <v>42</v>
      </c>
      <c r="B1" s="118"/>
      <c r="C1" s="118"/>
      <c r="D1" s="118"/>
      <c r="E1" s="118"/>
      <c r="F1" s="118"/>
      <c r="G1" s="118"/>
      <c r="H1" s="112"/>
    </row>
    <row r="2" spans="1:8" ht="14.25" customHeight="1">
      <c r="A2" s="115"/>
      <c r="B2" s="119"/>
      <c r="C2" s="119"/>
      <c r="D2" s="119"/>
      <c r="E2" s="119"/>
      <c r="F2" s="119"/>
      <c r="G2" s="119"/>
      <c r="H2" s="116"/>
    </row>
    <row r="3" spans="1:8" ht="14.25" customHeight="1">
      <c r="A3" s="143" t="s">
        <v>43</v>
      </c>
      <c r="B3" s="106"/>
      <c r="C3" s="106"/>
      <c r="D3" s="106"/>
      <c r="E3" s="106"/>
      <c r="F3" s="106"/>
      <c r="G3" s="106"/>
      <c r="H3" s="144"/>
    </row>
    <row r="4" spans="1:8" ht="14.25" customHeight="1">
      <c r="A4" s="115"/>
      <c r="B4" s="119"/>
      <c r="C4" s="119"/>
      <c r="D4" s="119"/>
      <c r="E4" s="119"/>
      <c r="F4" s="119"/>
      <c r="G4" s="119"/>
      <c r="H4" s="116"/>
    </row>
    <row r="5" spans="1:8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6"/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6"/>
      <c r="D7" s="14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7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7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7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7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7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7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7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8" t="s">
        <v>65</v>
      </c>
      <c r="B30" s="149"/>
      <c r="C30" s="77" t="s">
        <v>66</v>
      </c>
      <c r="D30" s="78"/>
      <c r="E30" s="150" t="s">
        <v>67</v>
      </c>
      <c r="F30" s="122"/>
      <c r="G30" s="79" t="s">
        <v>68</v>
      </c>
      <c r="H30" s="80" t="s">
        <v>66</v>
      </c>
    </row>
    <row r="31" spans="1:8" ht="14.25" customHeight="1">
      <c r="A31" s="152" t="s">
        <v>69</v>
      </c>
      <c r="B31" s="116"/>
      <c r="C31" s="81"/>
      <c r="D31" s="82"/>
      <c r="E31" s="146"/>
      <c r="F31" s="147"/>
      <c r="G31" s="83"/>
      <c r="H31" s="84"/>
    </row>
    <row r="32" spans="1:8" ht="15" customHeight="1">
      <c r="A32" s="142" t="s">
        <v>70</v>
      </c>
      <c r="B32" s="122"/>
      <c r="C32" s="85"/>
      <c r="D32" s="86"/>
      <c r="E32" s="137"/>
      <c r="F32" s="138"/>
      <c r="G32" s="87"/>
      <c r="H32" s="88"/>
    </row>
    <row r="33" spans="1:8" ht="14.25" customHeight="1">
      <c r="A33" s="142" t="s">
        <v>71</v>
      </c>
      <c r="B33" s="122"/>
      <c r="C33" s="89"/>
      <c r="D33" s="82"/>
      <c r="E33" s="153"/>
      <c r="F33" s="138"/>
      <c r="G33" s="87"/>
      <c r="H33" s="88"/>
    </row>
    <row r="34" spans="1:8" ht="14.25" customHeight="1">
      <c r="A34" s="154" t="s">
        <v>72</v>
      </c>
      <c r="B34" s="112"/>
      <c r="C34" s="90"/>
      <c r="D34" s="74"/>
      <c r="E34" s="155"/>
      <c r="F34" s="138"/>
      <c r="G34" s="47"/>
      <c r="H34" s="88"/>
    </row>
    <row r="35" spans="1:8" ht="14.25" customHeight="1">
      <c r="A35" s="142" t="s">
        <v>73</v>
      </c>
      <c r="B35" s="122"/>
      <c r="C35" s="91"/>
      <c r="D35" s="74"/>
      <c r="E35" s="151"/>
      <c r="F35" s="138"/>
      <c r="G35" s="47"/>
      <c r="H35" s="88"/>
    </row>
    <row r="36" spans="1:8" ht="14.25" customHeight="1">
      <c r="A36" s="142" t="s">
        <v>74</v>
      </c>
      <c r="B36" s="122"/>
      <c r="C36" s="92"/>
      <c r="D36" s="93"/>
      <c r="E36" s="151"/>
      <c r="F36" s="138"/>
      <c r="G36" s="47"/>
      <c r="H36" s="88"/>
    </row>
    <row r="37" spans="1:8" ht="14.25" customHeight="1">
      <c r="A37" s="142" t="s">
        <v>75</v>
      </c>
      <c r="B37" s="122"/>
      <c r="C37" s="94">
        <v>0</v>
      </c>
      <c r="D37" s="95"/>
      <c r="E37" s="156"/>
      <c r="F37" s="157"/>
      <c r="G37" s="96"/>
      <c r="H37" s="97"/>
    </row>
    <row r="38" spans="1:8" ht="14.25" customHeight="1">
      <c r="A38" s="158" t="s">
        <v>76</v>
      </c>
      <c r="B38" s="118"/>
      <c r="C38" s="118"/>
      <c r="D38" s="118"/>
      <c r="E38" s="118"/>
      <c r="F38" s="118"/>
      <c r="G38" s="118"/>
      <c r="H38" s="112"/>
    </row>
    <row r="39" spans="1:8" ht="15" customHeight="1">
      <c r="A39" s="115"/>
      <c r="B39" s="119"/>
      <c r="C39" s="119"/>
      <c r="D39" s="119"/>
      <c r="E39" s="119"/>
      <c r="F39" s="119"/>
      <c r="G39" s="119"/>
      <c r="H39" s="116"/>
    </row>
    <row r="40" spans="1:8" ht="14.25" customHeight="1">
      <c r="A40" s="98"/>
      <c r="B40" s="133" t="s">
        <v>77</v>
      </c>
      <c r="C40" s="121"/>
      <c r="D40" s="122"/>
      <c r="E40" s="133" t="s">
        <v>78</v>
      </c>
      <c r="F40" s="121"/>
      <c r="G40" s="121"/>
      <c r="H40" s="122"/>
    </row>
    <row r="41" spans="1:8" ht="14.25" customHeight="1">
      <c r="A41" s="98"/>
      <c r="B41" s="139" t="s">
        <v>79</v>
      </c>
      <c r="C41" s="121"/>
      <c r="D41" s="122"/>
      <c r="E41" s="159">
        <f>SUM(B9:B12)</f>
        <v>0</v>
      </c>
      <c r="F41" s="121"/>
      <c r="G41" s="121"/>
      <c r="H41" s="122"/>
    </row>
    <row r="42" spans="1:8" ht="14.25" customHeight="1">
      <c r="A42" s="98"/>
      <c r="B42" s="139" t="s">
        <v>52</v>
      </c>
      <c r="C42" s="121"/>
      <c r="D42" s="122"/>
      <c r="E42" s="159">
        <f>SUM(B6:B8)</f>
        <v>0</v>
      </c>
      <c r="F42" s="121"/>
      <c r="G42" s="121"/>
      <c r="H42" s="122"/>
    </row>
    <row r="43" spans="1:8" ht="14.25" customHeight="1">
      <c r="A43" s="98"/>
      <c r="B43" s="139" t="s">
        <v>80</v>
      </c>
      <c r="C43" s="121"/>
      <c r="D43" s="122"/>
      <c r="E43" s="140">
        <f>SUM(B13:B14)</f>
        <v>0</v>
      </c>
      <c r="F43" s="125"/>
      <c r="G43" s="125"/>
      <c r="H43" s="114"/>
    </row>
    <row r="44" spans="1:8" ht="14.25" customHeight="1">
      <c r="A44" s="37"/>
      <c r="B44" s="132" t="s">
        <v>61</v>
      </c>
      <c r="C44" s="121"/>
      <c r="D44" s="122"/>
      <c r="E44" s="123">
        <f>SUM(B17:B18)</f>
        <v>0</v>
      </c>
      <c r="F44" s="121"/>
      <c r="G44" s="121"/>
      <c r="H44" s="122"/>
    </row>
    <row r="45" spans="1:8" ht="14.25" customHeight="1">
      <c r="A45" s="37"/>
      <c r="B45" s="132" t="s">
        <v>62</v>
      </c>
      <c r="C45" s="121"/>
      <c r="D45" s="122"/>
      <c r="E45" s="123">
        <f>SUM(B19:B20)</f>
        <v>0</v>
      </c>
      <c r="F45" s="121"/>
      <c r="G45" s="121"/>
      <c r="H45" s="122"/>
    </row>
    <row r="46" spans="1:8" ht="14.25" customHeight="1">
      <c r="A46" s="37"/>
      <c r="B46" s="132" t="s">
        <v>81</v>
      </c>
      <c r="C46" s="121"/>
      <c r="D46" s="122"/>
      <c r="E46" s="123">
        <f t="shared" ref="E46:E53" si="11">B21</f>
        <v>0</v>
      </c>
      <c r="F46" s="121"/>
      <c r="G46" s="121"/>
      <c r="H46" s="122"/>
    </row>
    <row r="47" spans="1:8" ht="14.25" customHeight="1">
      <c r="A47" s="37"/>
      <c r="B47" s="132" t="s">
        <v>81</v>
      </c>
      <c r="C47" s="121"/>
      <c r="D47" s="122"/>
      <c r="E47" s="123">
        <f t="shared" si="11"/>
        <v>0</v>
      </c>
      <c r="F47" s="121"/>
      <c r="G47" s="121"/>
      <c r="H47" s="122"/>
    </row>
    <row r="48" spans="1:8" ht="14.25" customHeight="1">
      <c r="A48" s="37"/>
      <c r="B48" s="132" t="s">
        <v>81</v>
      </c>
      <c r="C48" s="121"/>
      <c r="D48" s="122"/>
      <c r="E48" s="123">
        <f t="shared" si="11"/>
        <v>0</v>
      </c>
      <c r="F48" s="121"/>
      <c r="G48" s="121"/>
      <c r="H48" s="122"/>
    </row>
    <row r="49" spans="1:8" ht="14.25" customHeight="1">
      <c r="A49" s="37"/>
      <c r="B49" s="132" t="s">
        <v>81</v>
      </c>
      <c r="C49" s="121"/>
      <c r="D49" s="122"/>
      <c r="E49" s="123">
        <f t="shared" si="11"/>
        <v>0</v>
      </c>
      <c r="F49" s="121"/>
      <c r="G49" s="121"/>
      <c r="H49" s="122"/>
    </row>
    <row r="50" spans="1:8" ht="14.25" customHeight="1">
      <c r="A50" s="37"/>
      <c r="B50" s="132" t="s">
        <v>81</v>
      </c>
      <c r="C50" s="121"/>
      <c r="D50" s="122"/>
      <c r="E50" s="123">
        <f t="shared" si="11"/>
        <v>0</v>
      </c>
      <c r="F50" s="121"/>
      <c r="G50" s="121"/>
      <c r="H50" s="122"/>
    </row>
    <row r="51" spans="1:8" ht="14.25" customHeight="1">
      <c r="A51" s="37"/>
      <c r="B51" s="132" t="s">
        <v>81</v>
      </c>
      <c r="C51" s="121"/>
      <c r="D51" s="122"/>
      <c r="E51" s="123">
        <f t="shared" si="11"/>
        <v>0</v>
      </c>
      <c r="F51" s="121"/>
      <c r="G51" s="121"/>
      <c r="H51" s="122"/>
    </row>
    <row r="52" spans="1:8" ht="14.25" customHeight="1">
      <c r="B52" s="132" t="s">
        <v>81</v>
      </c>
      <c r="C52" s="121"/>
      <c r="D52" s="122"/>
      <c r="E52" s="123">
        <f t="shared" si="11"/>
        <v>0</v>
      </c>
      <c r="F52" s="121"/>
      <c r="G52" s="121"/>
      <c r="H52" s="122"/>
    </row>
    <row r="53" spans="1:8" ht="14.25" customHeight="1">
      <c r="B53" s="132" t="s">
        <v>81</v>
      </c>
      <c r="C53" s="121"/>
      <c r="D53" s="122"/>
      <c r="E53" s="123">
        <f t="shared" si="11"/>
        <v>0</v>
      </c>
      <c r="F53" s="121"/>
      <c r="G53" s="121"/>
      <c r="H53" s="122"/>
    </row>
    <row r="54" spans="1:8" ht="14.25" customHeight="1">
      <c r="B54" s="132" t="s">
        <v>82</v>
      </c>
      <c r="C54" s="121"/>
      <c r="D54" s="122"/>
      <c r="E54" s="123">
        <f>SUM(E41:H53)</f>
        <v>0</v>
      </c>
      <c r="F54" s="121"/>
      <c r="G54" s="121"/>
      <c r="H54" s="122"/>
    </row>
    <row r="55" spans="1:8" ht="14.25" customHeight="1">
      <c r="B55" s="132"/>
      <c r="C55" s="121"/>
      <c r="D55" s="122"/>
      <c r="E55" s="135"/>
      <c r="F55" s="121"/>
      <c r="G55" s="121"/>
      <c r="H55" s="12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36" t="s">
        <v>42</v>
      </c>
      <c r="B1" s="118"/>
      <c r="C1" s="118"/>
      <c r="D1" s="118"/>
      <c r="E1" s="118"/>
      <c r="F1" s="118"/>
      <c r="G1" s="118"/>
      <c r="H1" s="112"/>
    </row>
    <row r="2" spans="1:8" ht="14.25" customHeight="1">
      <c r="A2" s="115"/>
      <c r="B2" s="119"/>
      <c r="C2" s="119"/>
      <c r="D2" s="119"/>
      <c r="E2" s="119"/>
      <c r="F2" s="119"/>
      <c r="G2" s="119"/>
      <c r="H2" s="116"/>
    </row>
    <row r="3" spans="1:8" ht="14.25" customHeight="1">
      <c r="A3" s="143" t="s">
        <v>43</v>
      </c>
      <c r="B3" s="106"/>
      <c r="C3" s="106"/>
      <c r="D3" s="106"/>
      <c r="E3" s="106"/>
      <c r="F3" s="106"/>
      <c r="G3" s="106"/>
      <c r="H3" s="144"/>
    </row>
    <row r="4" spans="1:8" ht="14.25" customHeight="1">
      <c r="A4" s="115"/>
      <c r="B4" s="119"/>
      <c r="C4" s="119"/>
      <c r="D4" s="119"/>
      <c r="E4" s="119"/>
      <c r="F4" s="119"/>
      <c r="G4" s="119"/>
      <c r="H4" s="116"/>
    </row>
    <row r="5" spans="1:8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6"/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6"/>
      <c r="D7" s="14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7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7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7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7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7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7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7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8" t="s">
        <v>65</v>
      </c>
      <c r="B30" s="149"/>
      <c r="C30" s="77" t="s">
        <v>66</v>
      </c>
      <c r="D30" s="78"/>
      <c r="E30" s="150" t="s">
        <v>67</v>
      </c>
      <c r="F30" s="122"/>
      <c r="G30" s="79" t="s">
        <v>68</v>
      </c>
      <c r="H30" s="80" t="s">
        <v>66</v>
      </c>
    </row>
    <row r="31" spans="1:8" ht="14.25" customHeight="1">
      <c r="A31" s="152" t="s">
        <v>69</v>
      </c>
      <c r="B31" s="116"/>
      <c r="C31" s="81"/>
      <c r="D31" s="82"/>
      <c r="E31" s="146"/>
      <c r="F31" s="147"/>
      <c r="G31" s="83"/>
      <c r="H31" s="84"/>
    </row>
    <row r="32" spans="1:8" ht="15" customHeight="1">
      <c r="A32" s="142" t="s">
        <v>70</v>
      </c>
      <c r="B32" s="122"/>
      <c r="C32" s="85"/>
      <c r="D32" s="86"/>
      <c r="E32" s="137"/>
      <c r="F32" s="138"/>
      <c r="G32" s="87"/>
      <c r="H32" s="88"/>
    </row>
    <row r="33" spans="1:8" ht="14.25" customHeight="1">
      <c r="A33" s="142" t="s">
        <v>71</v>
      </c>
      <c r="B33" s="122"/>
      <c r="C33" s="89"/>
      <c r="D33" s="82"/>
      <c r="E33" s="153"/>
      <c r="F33" s="138"/>
      <c r="G33" s="87"/>
      <c r="H33" s="88"/>
    </row>
    <row r="34" spans="1:8" ht="14.25" customHeight="1">
      <c r="A34" s="154" t="s">
        <v>72</v>
      </c>
      <c r="B34" s="112"/>
      <c r="C34" s="90"/>
      <c r="D34" s="74"/>
      <c r="E34" s="155"/>
      <c r="F34" s="138"/>
      <c r="G34" s="47"/>
      <c r="H34" s="88"/>
    </row>
    <row r="35" spans="1:8" ht="14.25" customHeight="1">
      <c r="A35" s="142" t="s">
        <v>73</v>
      </c>
      <c r="B35" s="122"/>
      <c r="C35" s="91"/>
      <c r="D35" s="74"/>
      <c r="E35" s="151"/>
      <c r="F35" s="138"/>
      <c r="G35" s="47"/>
      <c r="H35" s="88"/>
    </row>
    <row r="36" spans="1:8" ht="14.25" customHeight="1">
      <c r="A36" s="142" t="s">
        <v>74</v>
      </c>
      <c r="B36" s="122"/>
      <c r="C36" s="92"/>
      <c r="D36" s="93"/>
      <c r="E36" s="151"/>
      <c r="F36" s="138"/>
      <c r="G36" s="47"/>
      <c r="H36" s="88"/>
    </row>
    <row r="37" spans="1:8" ht="14.25" customHeight="1">
      <c r="A37" s="142" t="s">
        <v>75</v>
      </c>
      <c r="B37" s="122"/>
      <c r="C37" s="94">
        <v>0</v>
      </c>
      <c r="D37" s="95"/>
      <c r="E37" s="156"/>
      <c r="F37" s="157"/>
      <c r="G37" s="96"/>
      <c r="H37" s="97"/>
    </row>
    <row r="38" spans="1:8" ht="14.25" customHeight="1">
      <c r="A38" s="158" t="s">
        <v>76</v>
      </c>
      <c r="B38" s="118"/>
      <c r="C38" s="118"/>
      <c r="D38" s="118"/>
      <c r="E38" s="118"/>
      <c r="F38" s="118"/>
      <c r="G38" s="118"/>
      <c r="H38" s="112"/>
    </row>
    <row r="39" spans="1:8" ht="15" customHeight="1">
      <c r="A39" s="115"/>
      <c r="B39" s="119"/>
      <c r="C39" s="119"/>
      <c r="D39" s="119"/>
      <c r="E39" s="119"/>
      <c r="F39" s="119"/>
      <c r="G39" s="119"/>
      <c r="H39" s="116"/>
    </row>
    <row r="40" spans="1:8" ht="14.25" customHeight="1">
      <c r="A40" s="98"/>
      <c r="B40" s="133" t="s">
        <v>77</v>
      </c>
      <c r="C40" s="121"/>
      <c r="D40" s="122"/>
      <c r="E40" s="133" t="s">
        <v>78</v>
      </c>
      <c r="F40" s="121"/>
      <c r="G40" s="121"/>
      <c r="H40" s="122"/>
    </row>
    <row r="41" spans="1:8" ht="14.25" customHeight="1">
      <c r="A41" s="98"/>
      <c r="B41" s="139" t="s">
        <v>79</v>
      </c>
      <c r="C41" s="121"/>
      <c r="D41" s="122"/>
      <c r="E41" s="159">
        <f>SUM(B9:B12)</f>
        <v>0</v>
      </c>
      <c r="F41" s="121"/>
      <c r="G41" s="121"/>
      <c r="H41" s="122"/>
    </row>
    <row r="42" spans="1:8" ht="14.25" customHeight="1">
      <c r="A42" s="98"/>
      <c r="B42" s="139" t="s">
        <v>52</v>
      </c>
      <c r="C42" s="121"/>
      <c r="D42" s="122"/>
      <c r="E42" s="159">
        <f>SUM(B6:B8)</f>
        <v>0</v>
      </c>
      <c r="F42" s="121"/>
      <c r="G42" s="121"/>
      <c r="H42" s="122"/>
    </row>
    <row r="43" spans="1:8" ht="14.25" customHeight="1">
      <c r="A43" s="98"/>
      <c r="B43" s="139" t="s">
        <v>80</v>
      </c>
      <c r="C43" s="121"/>
      <c r="D43" s="122"/>
      <c r="E43" s="140">
        <f>SUM(B13:B14)</f>
        <v>0</v>
      </c>
      <c r="F43" s="125"/>
      <c r="G43" s="125"/>
      <c r="H43" s="114"/>
    </row>
    <row r="44" spans="1:8" ht="14.25" customHeight="1">
      <c r="A44" s="37"/>
      <c r="B44" s="132" t="s">
        <v>61</v>
      </c>
      <c r="C44" s="121"/>
      <c r="D44" s="122"/>
      <c r="E44" s="123">
        <f>SUM(B17:B18)</f>
        <v>0</v>
      </c>
      <c r="F44" s="121"/>
      <c r="G44" s="121"/>
      <c r="H44" s="122"/>
    </row>
    <row r="45" spans="1:8" ht="14.25" customHeight="1">
      <c r="A45" s="37"/>
      <c r="B45" s="132" t="s">
        <v>62</v>
      </c>
      <c r="C45" s="121"/>
      <c r="D45" s="122"/>
      <c r="E45" s="123">
        <f>SUM(B19:B20)</f>
        <v>0</v>
      </c>
      <c r="F45" s="121"/>
      <c r="G45" s="121"/>
      <c r="H45" s="122"/>
    </row>
    <row r="46" spans="1:8" ht="14.25" customHeight="1">
      <c r="A46" s="37"/>
      <c r="B46" s="132" t="s">
        <v>81</v>
      </c>
      <c r="C46" s="121"/>
      <c r="D46" s="122"/>
      <c r="E46" s="123">
        <f t="shared" ref="E46:E53" si="11">B21</f>
        <v>0</v>
      </c>
      <c r="F46" s="121"/>
      <c r="G46" s="121"/>
      <c r="H46" s="122"/>
    </row>
    <row r="47" spans="1:8" ht="14.25" customHeight="1">
      <c r="A47" s="37"/>
      <c r="B47" s="132" t="s">
        <v>81</v>
      </c>
      <c r="C47" s="121"/>
      <c r="D47" s="122"/>
      <c r="E47" s="123">
        <f t="shared" si="11"/>
        <v>0</v>
      </c>
      <c r="F47" s="121"/>
      <c r="G47" s="121"/>
      <c r="H47" s="122"/>
    </row>
    <row r="48" spans="1:8" ht="14.25" customHeight="1">
      <c r="A48" s="37"/>
      <c r="B48" s="132" t="s">
        <v>81</v>
      </c>
      <c r="C48" s="121"/>
      <c r="D48" s="122"/>
      <c r="E48" s="123">
        <f t="shared" si="11"/>
        <v>0</v>
      </c>
      <c r="F48" s="121"/>
      <c r="G48" s="121"/>
      <c r="H48" s="122"/>
    </row>
    <row r="49" spans="1:8" ht="14.25" customHeight="1">
      <c r="A49" s="37"/>
      <c r="B49" s="132" t="s">
        <v>81</v>
      </c>
      <c r="C49" s="121"/>
      <c r="D49" s="122"/>
      <c r="E49" s="123">
        <f t="shared" si="11"/>
        <v>0</v>
      </c>
      <c r="F49" s="121"/>
      <c r="G49" s="121"/>
      <c r="H49" s="122"/>
    </row>
    <row r="50" spans="1:8" ht="14.25" customHeight="1">
      <c r="A50" s="37"/>
      <c r="B50" s="132" t="s">
        <v>81</v>
      </c>
      <c r="C50" s="121"/>
      <c r="D50" s="122"/>
      <c r="E50" s="123">
        <f t="shared" si="11"/>
        <v>0</v>
      </c>
      <c r="F50" s="121"/>
      <c r="G50" s="121"/>
      <c r="H50" s="122"/>
    </row>
    <row r="51" spans="1:8" ht="14.25" customHeight="1">
      <c r="A51" s="37"/>
      <c r="B51" s="132" t="s">
        <v>81</v>
      </c>
      <c r="C51" s="121"/>
      <c r="D51" s="122"/>
      <c r="E51" s="123">
        <f t="shared" si="11"/>
        <v>0</v>
      </c>
      <c r="F51" s="121"/>
      <c r="G51" s="121"/>
      <c r="H51" s="122"/>
    </row>
    <row r="52" spans="1:8" ht="14.25" customHeight="1">
      <c r="B52" s="132" t="s">
        <v>81</v>
      </c>
      <c r="C52" s="121"/>
      <c r="D52" s="122"/>
      <c r="E52" s="123">
        <f t="shared" si="11"/>
        <v>0</v>
      </c>
      <c r="F52" s="121"/>
      <c r="G52" s="121"/>
      <c r="H52" s="122"/>
    </row>
    <row r="53" spans="1:8" ht="14.25" customHeight="1">
      <c r="B53" s="132" t="s">
        <v>81</v>
      </c>
      <c r="C53" s="121"/>
      <c r="D53" s="122"/>
      <c r="E53" s="123">
        <f t="shared" si="11"/>
        <v>0</v>
      </c>
      <c r="F53" s="121"/>
      <c r="G53" s="121"/>
      <c r="H53" s="122"/>
    </row>
    <row r="54" spans="1:8" ht="14.25" customHeight="1">
      <c r="B54" s="132" t="s">
        <v>82</v>
      </c>
      <c r="C54" s="121"/>
      <c r="D54" s="122"/>
      <c r="E54" s="123">
        <f>SUM(E41:H53)</f>
        <v>0</v>
      </c>
      <c r="F54" s="121"/>
      <c r="G54" s="121"/>
      <c r="H54" s="122"/>
    </row>
    <row r="55" spans="1:8" ht="14.25" customHeight="1">
      <c r="B55" s="132"/>
      <c r="C55" s="121"/>
      <c r="D55" s="122"/>
      <c r="E55" s="135"/>
      <c r="F55" s="121"/>
      <c r="G55" s="121"/>
      <c r="H55" s="12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36" t="s">
        <v>42</v>
      </c>
      <c r="B1" s="118"/>
      <c r="C1" s="118"/>
      <c r="D1" s="118"/>
      <c r="E1" s="118"/>
      <c r="F1" s="118"/>
      <c r="G1" s="118"/>
      <c r="H1" s="112"/>
    </row>
    <row r="2" spans="1:8" ht="14.25" customHeight="1">
      <c r="A2" s="115"/>
      <c r="B2" s="119"/>
      <c r="C2" s="119"/>
      <c r="D2" s="119"/>
      <c r="E2" s="119"/>
      <c r="F2" s="119"/>
      <c r="G2" s="119"/>
      <c r="H2" s="116"/>
    </row>
    <row r="3" spans="1:8" ht="14.25" customHeight="1">
      <c r="A3" s="143" t="s">
        <v>43</v>
      </c>
      <c r="B3" s="106"/>
      <c r="C3" s="106"/>
      <c r="D3" s="106"/>
      <c r="E3" s="106"/>
      <c r="F3" s="106"/>
      <c r="G3" s="106"/>
      <c r="H3" s="144"/>
    </row>
    <row r="4" spans="1:8" ht="14.25" customHeight="1">
      <c r="A4" s="115"/>
      <c r="B4" s="119"/>
      <c r="C4" s="119"/>
      <c r="D4" s="119"/>
      <c r="E4" s="119"/>
      <c r="F4" s="119"/>
      <c r="G4" s="119"/>
      <c r="H4" s="116"/>
    </row>
    <row r="5" spans="1:8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6"/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6"/>
      <c r="D7" s="14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7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7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7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7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7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7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7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8" t="s">
        <v>65</v>
      </c>
      <c r="B30" s="149"/>
      <c r="C30" s="77" t="s">
        <v>66</v>
      </c>
      <c r="D30" s="78"/>
      <c r="E30" s="150" t="s">
        <v>67</v>
      </c>
      <c r="F30" s="122"/>
      <c r="G30" s="79" t="s">
        <v>68</v>
      </c>
      <c r="H30" s="80" t="s">
        <v>66</v>
      </c>
    </row>
    <row r="31" spans="1:8" ht="14.25" customHeight="1">
      <c r="A31" s="152" t="s">
        <v>69</v>
      </c>
      <c r="B31" s="116"/>
      <c r="C31" s="81"/>
      <c r="D31" s="82"/>
      <c r="E31" s="146"/>
      <c r="F31" s="147"/>
      <c r="G31" s="83"/>
      <c r="H31" s="84"/>
    </row>
    <row r="32" spans="1:8" ht="15" customHeight="1">
      <c r="A32" s="142" t="s">
        <v>70</v>
      </c>
      <c r="B32" s="122"/>
      <c r="C32" s="85"/>
      <c r="D32" s="86"/>
      <c r="E32" s="137"/>
      <c r="F32" s="138"/>
      <c r="G32" s="87"/>
      <c r="H32" s="88"/>
    </row>
    <row r="33" spans="1:8" ht="14.25" customHeight="1">
      <c r="A33" s="142" t="s">
        <v>71</v>
      </c>
      <c r="B33" s="122"/>
      <c r="C33" s="89"/>
      <c r="D33" s="82"/>
      <c r="E33" s="153"/>
      <c r="F33" s="138"/>
      <c r="G33" s="87"/>
      <c r="H33" s="88"/>
    </row>
    <row r="34" spans="1:8" ht="14.25" customHeight="1">
      <c r="A34" s="154" t="s">
        <v>72</v>
      </c>
      <c r="B34" s="112"/>
      <c r="C34" s="90"/>
      <c r="D34" s="74"/>
      <c r="E34" s="155"/>
      <c r="F34" s="138"/>
      <c r="G34" s="47"/>
      <c r="H34" s="88"/>
    </row>
    <row r="35" spans="1:8" ht="14.25" customHeight="1">
      <c r="A35" s="142" t="s">
        <v>73</v>
      </c>
      <c r="B35" s="122"/>
      <c r="C35" s="91"/>
      <c r="D35" s="74"/>
      <c r="E35" s="151"/>
      <c r="F35" s="138"/>
      <c r="G35" s="47"/>
      <c r="H35" s="88"/>
    </row>
    <row r="36" spans="1:8" ht="14.25" customHeight="1">
      <c r="A36" s="142" t="s">
        <v>74</v>
      </c>
      <c r="B36" s="122"/>
      <c r="C36" s="92"/>
      <c r="D36" s="93"/>
      <c r="E36" s="151"/>
      <c r="F36" s="138"/>
      <c r="G36" s="47"/>
      <c r="H36" s="88"/>
    </row>
    <row r="37" spans="1:8" ht="14.25" customHeight="1">
      <c r="A37" s="142" t="s">
        <v>75</v>
      </c>
      <c r="B37" s="122"/>
      <c r="C37" s="94">
        <v>0</v>
      </c>
      <c r="D37" s="95"/>
      <c r="E37" s="156"/>
      <c r="F37" s="157"/>
      <c r="G37" s="96"/>
      <c r="H37" s="97"/>
    </row>
    <row r="38" spans="1:8" ht="14.25" customHeight="1">
      <c r="A38" s="158" t="s">
        <v>76</v>
      </c>
      <c r="B38" s="118"/>
      <c r="C38" s="118"/>
      <c r="D38" s="118"/>
      <c r="E38" s="118"/>
      <c r="F38" s="118"/>
      <c r="G38" s="118"/>
      <c r="H38" s="112"/>
    </row>
    <row r="39" spans="1:8" ht="15" customHeight="1">
      <c r="A39" s="115"/>
      <c r="B39" s="119"/>
      <c r="C39" s="119"/>
      <c r="D39" s="119"/>
      <c r="E39" s="119"/>
      <c r="F39" s="119"/>
      <c r="G39" s="119"/>
      <c r="H39" s="116"/>
    </row>
    <row r="40" spans="1:8" ht="14.25" customHeight="1">
      <c r="A40" s="98"/>
      <c r="B40" s="133" t="s">
        <v>77</v>
      </c>
      <c r="C40" s="121"/>
      <c r="D40" s="122"/>
      <c r="E40" s="133" t="s">
        <v>78</v>
      </c>
      <c r="F40" s="121"/>
      <c r="G40" s="121"/>
      <c r="H40" s="122"/>
    </row>
    <row r="41" spans="1:8" ht="14.25" customHeight="1">
      <c r="A41" s="98"/>
      <c r="B41" s="139" t="s">
        <v>79</v>
      </c>
      <c r="C41" s="121"/>
      <c r="D41" s="122"/>
      <c r="E41" s="159">
        <f>SUM(B9:B12)</f>
        <v>0</v>
      </c>
      <c r="F41" s="121"/>
      <c r="G41" s="121"/>
      <c r="H41" s="122"/>
    </row>
    <row r="42" spans="1:8" ht="14.25" customHeight="1">
      <c r="A42" s="98"/>
      <c r="B42" s="139" t="s">
        <v>52</v>
      </c>
      <c r="C42" s="121"/>
      <c r="D42" s="122"/>
      <c r="E42" s="159">
        <f>SUM(B6:B8)</f>
        <v>0</v>
      </c>
      <c r="F42" s="121"/>
      <c r="G42" s="121"/>
      <c r="H42" s="122"/>
    </row>
    <row r="43" spans="1:8" ht="14.25" customHeight="1">
      <c r="A43" s="98"/>
      <c r="B43" s="139" t="s">
        <v>80</v>
      </c>
      <c r="C43" s="121"/>
      <c r="D43" s="122"/>
      <c r="E43" s="140">
        <f>SUM(B13:B14)</f>
        <v>0</v>
      </c>
      <c r="F43" s="125"/>
      <c r="G43" s="125"/>
      <c r="H43" s="114"/>
    </row>
    <row r="44" spans="1:8" ht="14.25" customHeight="1">
      <c r="A44" s="37"/>
      <c r="B44" s="132" t="s">
        <v>61</v>
      </c>
      <c r="C44" s="121"/>
      <c r="D44" s="122"/>
      <c r="E44" s="123">
        <f>SUM(B17:B18)</f>
        <v>0</v>
      </c>
      <c r="F44" s="121"/>
      <c r="G44" s="121"/>
      <c r="H44" s="122"/>
    </row>
    <row r="45" spans="1:8" ht="14.25" customHeight="1">
      <c r="A45" s="37"/>
      <c r="B45" s="132" t="s">
        <v>62</v>
      </c>
      <c r="C45" s="121"/>
      <c r="D45" s="122"/>
      <c r="E45" s="123">
        <f>SUM(B19:B20)</f>
        <v>0</v>
      </c>
      <c r="F45" s="121"/>
      <c r="G45" s="121"/>
      <c r="H45" s="122"/>
    </row>
    <row r="46" spans="1:8" ht="14.25" customHeight="1">
      <c r="A46" s="37"/>
      <c r="B46" s="132" t="s">
        <v>81</v>
      </c>
      <c r="C46" s="121"/>
      <c r="D46" s="122"/>
      <c r="E46" s="123">
        <f t="shared" ref="E46:E53" si="11">B21</f>
        <v>0</v>
      </c>
      <c r="F46" s="121"/>
      <c r="G46" s="121"/>
      <c r="H46" s="122"/>
    </row>
    <row r="47" spans="1:8" ht="14.25" customHeight="1">
      <c r="A47" s="37"/>
      <c r="B47" s="132" t="s">
        <v>81</v>
      </c>
      <c r="C47" s="121"/>
      <c r="D47" s="122"/>
      <c r="E47" s="123">
        <f t="shared" si="11"/>
        <v>0</v>
      </c>
      <c r="F47" s="121"/>
      <c r="G47" s="121"/>
      <c r="H47" s="122"/>
    </row>
    <row r="48" spans="1:8" ht="14.25" customHeight="1">
      <c r="A48" s="37"/>
      <c r="B48" s="132" t="s">
        <v>81</v>
      </c>
      <c r="C48" s="121"/>
      <c r="D48" s="122"/>
      <c r="E48" s="123">
        <f t="shared" si="11"/>
        <v>0</v>
      </c>
      <c r="F48" s="121"/>
      <c r="G48" s="121"/>
      <c r="H48" s="122"/>
    </row>
    <row r="49" spans="1:8" ht="14.25" customHeight="1">
      <c r="A49" s="37"/>
      <c r="B49" s="132" t="s">
        <v>81</v>
      </c>
      <c r="C49" s="121"/>
      <c r="D49" s="122"/>
      <c r="E49" s="123">
        <f t="shared" si="11"/>
        <v>0</v>
      </c>
      <c r="F49" s="121"/>
      <c r="G49" s="121"/>
      <c r="H49" s="122"/>
    </row>
    <row r="50" spans="1:8" ht="14.25" customHeight="1">
      <c r="A50" s="37"/>
      <c r="B50" s="132" t="s">
        <v>81</v>
      </c>
      <c r="C50" s="121"/>
      <c r="D50" s="122"/>
      <c r="E50" s="123">
        <f t="shared" si="11"/>
        <v>0</v>
      </c>
      <c r="F50" s="121"/>
      <c r="G50" s="121"/>
      <c r="H50" s="122"/>
    </row>
    <row r="51" spans="1:8" ht="14.25" customHeight="1">
      <c r="A51" s="37"/>
      <c r="B51" s="132" t="s">
        <v>81</v>
      </c>
      <c r="C51" s="121"/>
      <c r="D51" s="122"/>
      <c r="E51" s="123">
        <f t="shared" si="11"/>
        <v>0</v>
      </c>
      <c r="F51" s="121"/>
      <c r="G51" s="121"/>
      <c r="H51" s="122"/>
    </row>
    <row r="52" spans="1:8" ht="14.25" customHeight="1">
      <c r="B52" s="132" t="s">
        <v>81</v>
      </c>
      <c r="C52" s="121"/>
      <c r="D52" s="122"/>
      <c r="E52" s="123">
        <f t="shared" si="11"/>
        <v>0</v>
      </c>
      <c r="F52" s="121"/>
      <c r="G52" s="121"/>
      <c r="H52" s="122"/>
    </row>
    <row r="53" spans="1:8" ht="14.25" customHeight="1">
      <c r="B53" s="132" t="s">
        <v>81</v>
      </c>
      <c r="C53" s="121"/>
      <c r="D53" s="122"/>
      <c r="E53" s="123">
        <f t="shared" si="11"/>
        <v>0</v>
      </c>
      <c r="F53" s="121"/>
      <c r="G53" s="121"/>
      <c r="H53" s="122"/>
    </row>
    <row r="54" spans="1:8" ht="14.25" customHeight="1">
      <c r="B54" s="132" t="s">
        <v>82</v>
      </c>
      <c r="C54" s="121"/>
      <c r="D54" s="122"/>
      <c r="E54" s="123">
        <f>SUM(E41:H53)</f>
        <v>0</v>
      </c>
      <c r="F54" s="121"/>
      <c r="G54" s="121"/>
      <c r="H54" s="122"/>
    </row>
    <row r="55" spans="1:8" ht="14.25" customHeight="1">
      <c r="B55" s="132"/>
      <c r="C55" s="121"/>
      <c r="D55" s="122"/>
      <c r="E55" s="135"/>
      <c r="F55" s="121"/>
      <c r="G55" s="121"/>
      <c r="H55" s="12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36" t="s">
        <v>42</v>
      </c>
      <c r="B1" s="118"/>
      <c r="C1" s="118"/>
      <c r="D1" s="118"/>
      <c r="E1" s="118"/>
      <c r="F1" s="118"/>
      <c r="G1" s="118"/>
      <c r="H1" s="112"/>
    </row>
    <row r="2" spans="1:8" ht="14.25" customHeight="1">
      <c r="A2" s="115"/>
      <c r="B2" s="119"/>
      <c r="C2" s="119"/>
      <c r="D2" s="119"/>
      <c r="E2" s="119"/>
      <c r="F2" s="119"/>
      <c r="G2" s="119"/>
      <c r="H2" s="116"/>
    </row>
    <row r="3" spans="1:8" ht="14.25" customHeight="1">
      <c r="A3" s="143" t="s">
        <v>43</v>
      </c>
      <c r="B3" s="106"/>
      <c r="C3" s="106"/>
      <c r="D3" s="106"/>
      <c r="E3" s="106"/>
      <c r="F3" s="106"/>
      <c r="G3" s="106"/>
      <c r="H3" s="144"/>
    </row>
    <row r="4" spans="1:8" ht="14.25" customHeight="1">
      <c r="A4" s="115"/>
      <c r="B4" s="119"/>
      <c r="C4" s="119"/>
      <c r="D4" s="119"/>
      <c r="E4" s="119"/>
      <c r="F4" s="119"/>
      <c r="G4" s="119"/>
      <c r="H4" s="116"/>
    </row>
    <row r="5" spans="1:8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6"/>
      <c r="D6" s="14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6"/>
      <c r="D7" s="14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37"/>
      <c r="D8" s="138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37"/>
      <c r="D9" s="138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37"/>
      <c r="D10" s="138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37"/>
      <c r="D11" s="138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37"/>
      <c r="D12" s="138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37"/>
      <c r="D13" s="138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37"/>
      <c r="D14" s="138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48" t="s">
        <v>65</v>
      </c>
      <c r="B30" s="149"/>
      <c r="C30" s="77" t="s">
        <v>66</v>
      </c>
      <c r="D30" s="78"/>
      <c r="E30" s="150" t="s">
        <v>67</v>
      </c>
      <c r="F30" s="122"/>
      <c r="G30" s="79" t="s">
        <v>68</v>
      </c>
      <c r="H30" s="80" t="s">
        <v>66</v>
      </c>
    </row>
    <row r="31" spans="1:8" ht="14.25" customHeight="1">
      <c r="A31" s="152" t="s">
        <v>69</v>
      </c>
      <c r="B31" s="116"/>
      <c r="C31" s="81"/>
      <c r="D31" s="82"/>
      <c r="E31" s="146"/>
      <c r="F31" s="147"/>
      <c r="G31" s="83"/>
      <c r="H31" s="84"/>
    </row>
    <row r="32" spans="1:8" ht="14.25" customHeight="1">
      <c r="A32" s="142" t="s">
        <v>70</v>
      </c>
      <c r="B32" s="122"/>
      <c r="C32" s="85"/>
      <c r="D32" s="86"/>
      <c r="E32" s="137"/>
      <c r="F32" s="138"/>
      <c r="G32" s="87"/>
      <c r="H32" s="88"/>
    </row>
    <row r="33" spans="1:8" ht="14.25" customHeight="1">
      <c r="A33" s="142" t="s">
        <v>71</v>
      </c>
      <c r="B33" s="122"/>
      <c r="C33" s="89"/>
      <c r="D33" s="82"/>
      <c r="E33" s="153"/>
      <c r="F33" s="138"/>
      <c r="G33" s="87"/>
      <c r="H33" s="88"/>
    </row>
    <row r="34" spans="1:8" ht="14.25" customHeight="1">
      <c r="A34" s="154" t="s">
        <v>72</v>
      </c>
      <c r="B34" s="112"/>
      <c r="C34" s="90"/>
      <c r="D34" s="74"/>
      <c r="E34" s="155"/>
      <c r="F34" s="138"/>
      <c r="G34" s="47"/>
      <c r="H34" s="88"/>
    </row>
    <row r="35" spans="1:8" ht="14.25" customHeight="1">
      <c r="A35" s="142" t="s">
        <v>73</v>
      </c>
      <c r="B35" s="122"/>
      <c r="C35" s="91"/>
      <c r="D35" s="74"/>
      <c r="E35" s="151"/>
      <c r="F35" s="138"/>
      <c r="G35" s="47"/>
      <c r="H35" s="88"/>
    </row>
    <row r="36" spans="1:8" ht="14.25" customHeight="1">
      <c r="A36" s="142" t="s">
        <v>74</v>
      </c>
      <c r="B36" s="122"/>
      <c r="C36" s="92"/>
      <c r="D36" s="93"/>
      <c r="E36" s="151"/>
      <c r="F36" s="138"/>
      <c r="G36" s="47"/>
      <c r="H36" s="88"/>
    </row>
    <row r="37" spans="1:8" ht="14.25" customHeight="1">
      <c r="A37" s="142" t="s">
        <v>75</v>
      </c>
      <c r="B37" s="122"/>
      <c r="C37" s="94">
        <v>0</v>
      </c>
      <c r="D37" s="95"/>
      <c r="E37" s="156"/>
      <c r="F37" s="157"/>
      <c r="G37" s="96"/>
      <c r="H37" s="97"/>
    </row>
    <row r="38" spans="1:8" ht="14.25" customHeight="1">
      <c r="A38" s="158" t="s">
        <v>76</v>
      </c>
      <c r="B38" s="118"/>
      <c r="C38" s="118"/>
      <c r="D38" s="118"/>
      <c r="E38" s="118"/>
      <c r="F38" s="118"/>
      <c r="G38" s="118"/>
      <c r="H38" s="112"/>
    </row>
    <row r="39" spans="1:8" ht="15" customHeight="1">
      <c r="A39" s="115"/>
      <c r="B39" s="119"/>
      <c r="C39" s="119"/>
      <c r="D39" s="119"/>
      <c r="E39" s="119"/>
      <c r="F39" s="119"/>
      <c r="G39" s="119"/>
      <c r="H39" s="116"/>
    </row>
    <row r="40" spans="1:8" ht="14.25" customHeight="1">
      <c r="A40" s="98"/>
      <c r="B40" s="133" t="s">
        <v>77</v>
      </c>
      <c r="C40" s="121"/>
      <c r="D40" s="122"/>
      <c r="E40" s="133" t="s">
        <v>78</v>
      </c>
      <c r="F40" s="121"/>
      <c r="G40" s="121"/>
      <c r="H40" s="122"/>
    </row>
    <row r="41" spans="1:8" ht="14.25" customHeight="1">
      <c r="A41" s="98"/>
      <c r="B41" s="139" t="s">
        <v>79</v>
      </c>
      <c r="C41" s="121"/>
      <c r="D41" s="122"/>
      <c r="E41" s="159">
        <f>SUM(B9:B12)</f>
        <v>0</v>
      </c>
      <c r="F41" s="121"/>
      <c r="G41" s="121"/>
      <c r="H41" s="122"/>
    </row>
    <row r="42" spans="1:8" ht="14.25" customHeight="1">
      <c r="A42" s="98"/>
      <c r="B42" s="139" t="s">
        <v>52</v>
      </c>
      <c r="C42" s="121"/>
      <c r="D42" s="122"/>
      <c r="E42" s="159">
        <f>SUM(B6:B8)</f>
        <v>0</v>
      </c>
      <c r="F42" s="121"/>
      <c r="G42" s="121"/>
      <c r="H42" s="122"/>
    </row>
    <row r="43" spans="1:8" ht="14.25" customHeight="1">
      <c r="A43" s="98"/>
      <c r="B43" s="139" t="s">
        <v>80</v>
      </c>
      <c r="C43" s="121"/>
      <c r="D43" s="122"/>
      <c r="E43" s="140">
        <f>SUM(B13:B14)</f>
        <v>0</v>
      </c>
      <c r="F43" s="125"/>
      <c r="G43" s="125"/>
      <c r="H43" s="114"/>
    </row>
    <row r="44" spans="1:8" ht="14.25" customHeight="1">
      <c r="A44" s="37"/>
      <c r="B44" s="132" t="s">
        <v>61</v>
      </c>
      <c r="C44" s="121"/>
      <c r="D44" s="122"/>
      <c r="E44" s="123">
        <f>SUM(B17:B18)</f>
        <v>0</v>
      </c>
      <c r="F44" s="121"/>
      <c r="G44" s="121"/>
      <c r="H44" s="122"/>
    </row>
    <row r="45" spans="1:8" ht="14.25" customHeight="1">
      <c r="A45" s="37"/>
      <c r="B45" s="132" t="s">
        <v>62</v>
      </c>
      <c r="C45" s="121"/>
      <c r="D45" s="122"/>
      <c r="E45" s="123">
        <f>SUM(B19:B20)</f>
        <v>0</v>
      </c>
      <c r="F45" s="121"/>
      <c r="G45" s="121"/>
      <c r="H45" s="122"/>
    </row>
    <row r="46" spans="1:8" ht="14.25" customHeight="1">
      <c r="A46" s="37"/>
      <c r="B46" s="132" t="s">
        <v>81</v>
      </c>
      <c r="C46" s="121"/>
      <c r="D46" s="122"/>
      <c r="E46" s="123">
        <f t="shared" ref="E46:E53" si="11">B21</f>
        <v>0</v>
      </c>
      <c r="F46" s="121"/>
      <c r="G46" s="121"/>
      <c r="H46" s="122"/>
    </row>
    <row r="47" spans="1:8" ht="14.25" customHeight="1">
      <c r="A47" s="37"/>
      <c r="B47" s="132" t="s">
        <v>81</v>
      </c>
      <c r="C47" s="121"/>
      <c r="D47" s="122"/>
      <c r="E47" s="123">
        <f t="shared" si="11"/>
        <v>0</v>
      </c>
      <c r="F47" s="121"/>
      <c r="G47" s="121"/>
      <c r="H47" s="122"/>
    </row>
    <row r="48" spans="1:8" ht="14.25" customHeight="1">
      <c r="A48" s="37"/>
      <c r="B48" s="132" t="s">
        <v>81</v>
      </c>
      <c r="C48" s="121"/>
      <c r="D48" s="122"/>
      <c r="E48" s="123">
        <f t="shared" si="11"/>
        <v>0</v>
      </c>
      <c r="F48" s="121"/>
      <c r="G48" s="121"/>
      <c r="H48" s="122"/>
    </row>
    <row r="49" spans="1:8" ht="14.25" customHeight="1">
      <c r="A49" s="37"/>
      <c r="B49" s="132" t="s">
        <v>81</v>
      </c>
      <c r="C49" s="121"/>
      <c r="D49" s="122"/>
      <c r="E49" s="123">
        <f t="shared" si="11"/>
        <v>0</v>
      </c>
      <c r="F49" s="121"/>
      <c r="G49" s="121"/>
      <c r="H49" s="122"/>
    </row>
    <row r="50" spans="1:8" ht="14.25" customHeight="1">
      <c r="A50" s="37"/>
      <c r="B50" s="132" t="s">
        <v>81</v>
      </c>
      <c r="C50" s="121"/>
      <c r="D50" s="122"/>
      <c r="E50" s="123">
        <f t="shared" si="11"/>
        <v>0</v>
      </c>
      <c r="F50" s="121"/>
      <c r="G50" s="121"/>
      <c r="H50" s="122"/>
    </row>
    <row r="51" spans="1:8" ht="14.25" customHeight="1">
      <c r="A51" s="37"/>
      <c r="B51" s="132" t="s">
        <v>81</v>
      </c>
      <c r="C51" s="121"/>
      <c r="D51" s="122"/>
      <c r="E51" s="123">
        <f t="shared" si="11"/>
        <v>0</v>
      </c>
      <c r="F51" s="121"/>
      <c r="G51" s="121"/>
      <c r="H51" s="122"/>
    </row>
    <row r="52" spans="1:8" ht="14.25" customHeight="1">
      <c r="B52" s="132" t="s">
        <v>81</v>
      </c>
      <c r="C52" s="121"/>
      <c r="D52" s="122"/>
      <c r="E52" s="123">
        <f t="shared" si="11"/>
        <v>0</v>
      </c>
      <c r="F52" s="121"/>
      <c r="G52" s="121"/>
      <c r="H52" s="122"/>
    </row>
    <row r="53" spans="1:8" ht="14.25" customHeight="1">
      <c r="B53" s="132" t="s">
        <v>81</v>
      </c>
      <c r="C53" s="121"/>
      <c r="D53" s="122"/>
      <c r="E53" s="123">
        <f t="shared" si="11"/>
        <v>0</v>
      </c>
      <c r="F53" s="121"/>
      <c r="G53" s="121"/>
      <c r="H53" s="122"/>
    </row>
    <row r="54" spans="1:8" ht="14.25" customHeight="1">
      <c r="B54" s="132" t="s">
        <v>82</v>
      </c>
      <c r="C54" s="121"/>
      <c r="D54" s="122"/>
      <c r="E54" s="123">
        <f>SUM(E41:H53)</f>
        <v>0</v>
      </c>
      <c r="F54" s="121"/>
      <c r="G54" s="121"/>
      <c r="H54" s="122"/>
    </row>
    <row r="55" spans="1:8" ht="14.25" customHeight="1">
      <c r="B55" s="132"/>
      <c r="C55" s="121"/>
      <c r="D55" s="122"/>
      <c r="E55" s="135"/>
      <c r="F55" s="121"/>
      <c r="G55" s="121"/>
      <c r="H55" s="12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A37:B37"/>
    <mergeCell ref="B40:D40"/>
    <mergeCell ref="E40:H40"/>
    <mergeCell ref="A38:H39"/>
    <mergeCell ref="B41:D41"/>
    <mergeCell ref="E41:H41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36" t="s">
        <v>42</v>
      </c>
      <c r="B1" s="118"/>
      <c r="C1" s="118"/>
      <c r="D1" s="118"/>
      <c r="E1" s="118"/>
      <c r="F1" s="118"/>
      <c r="G1" s="118"/>
      <c r="H1" s="112"/>
      <c r="I1" s="37"/>
      <c r="J1" s="37"/>
      <c r="K1" s="37"/>
    </row>
    <row r="2" spans="1:11" ht="14.25" customHeight="1">
      <c r="A2" s="115"/>
      <c r="B2" s="119"/>
      <c r="C2" s="119"/>
      <c r="D2" s="119"/>
      <c r="E2" s="119"/>
      <c r="F2" s="119"/>
      <c r="G2" s="119"/>
      <c r="H2" s="116"/>
      <c r="I2" s="37"/>
      <c r="J2" s="37"/>
      <c r="K2" s="37"/>
    </row>
    <row r="3" spans="1:11" ht="14.25" customHeight="1">
      <c r="A3" s="143" t="s">
        <v>43</v>
      </c>
      <c r="B3" s="106"/>
      <c r="C3" s="106"/>
      <c r="D3" s="106"/>
      <c r="E3" s="106"/>
      <c r="F3" s="106"/>
      <c r="G3" s="106"/>
      <c r="H3" s="144"/>
      <c r="I3" s="37"/>
      <c r="J3" s="37"/>
      <c r="K3" s="37"/>
    </row>
    <row r="4" spans="1:11" ht="14.25" customHeight="1">
      <c r="A4" s="115"/>
      <c r="B4" s="119"/>
      <c r="C4" s="119"/>
      <c r="D4" s="119"/>
      <c r="E4" s="119"/>
      <c r="F4" s="119"/>
      <c r="G4" s="119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5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6"/>
      <c r="D6" s="147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6"/>
      <c r="D7" s="147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37"/>
      <c r="D8" s="138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37"/>
      <c r="D9" s="138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37"/>
      <c r="D10" s="138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37"/>
      <c r="D11" s="138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37"/>
      <c r="D12" s="138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37"/>
      <c r="D13" s="138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37"/>
      <c r="D14" s="138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1" t="s">
        <v>57</v>
      </c>
      <c r="B15" s="121"/>
      <c r="C15" s="121"/>
      <c r="D15" s="121"/>
      <c r="E15" s="121"/>
      <c r="F15" s="121"/>
      <c r="G15" s="121"/>
      <c r="H15" s="12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48" t="s">
        <v>65</v>
      </c>
      <c r="B30" s="149"/>
      <c r="C30" s="77" t="s">
        <v>66</v>
      </c>
      <c r="D30" s="78"/>
      <c r="E30" s="150" t="s">
        <v>67</v>
      </c>
      <c r="F30" s="122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2" t="s">
        <v>69</v>
      </c>
      <c r="B31" s="116"/>
      <c r="C31" s="81"/>
      <c r="D31" s="82"/>
      <c r="E31" s="146"/>
      <c r="F31" s="147"/>
      <c r="G31" s="83"/>
      <c r="H31" s="84"/>
      <c r="I31" s="37"/>
      <c r="J31" s="37"/>
      <c r="K31" s="37"/>
    </row>
    <row r="32" spans="1:11" ht="14.25" customHeight="1">
      <c r="A32" s="142" t="s">
        <v>70</v>
      </c>
      <c r="B32" s="122"/>
      <c r="C32" s="85"/>
      <c r="D32" s="86"/>
      <c r="E32" s="137"/>
      <c r="F32" s="138"/>
      <c r="G32" s="87"/>
      <c r="H32" s="88"/>
      <c r="I32" s="37"/>
      <c r="J32" s="37"/>
      <c r="K32" s="37"/>
    </row>
    <row r="33" spans="1:11" ht="14.25" customHeight="1">
      <c r="A33" s="142" t="s">
        <v>71</v>
      </c>
      <c r="B33" s="122"/>
      <c r="C33" s="89"/>
      <c r="D33" s="82"/>
      <c r="E33" s="153"/>
      <c r="F33" s="138"/>
      <c r="G33" s="87"/>
      <c r="H33" s="88"/>
      <c r="I33" s="37"/>
      <c r="J33" s="37"/>
      <c r="K33" s="37"/>
    </row>
    <row r="34" spans="1:11" ht="14.25" customHeight="1">
      <c r="A34" s="154" t="s">
        <v>72</v>
      </c>
      <c r="B34" s="112"/>
      <c r="C34" s="90"/>
      <c r="D34" s="74"/>
      <c r="E34" s="155"/>
      <c r="F34" s="138"/>
      <c r="G34" s="47"/>
      <c r="H34" s="88"/>
      <c r="I34" s="37"/>
      <c r="J34" s="37"/>
      <c r="K34" s="37"/>
    </row>
    <row r="35" spans="1:11" ht="14.25" customHeight="1">
      <c r="A35" s="142" t="s">
        <v>73</v>
      </c>
      <c r="B35" s="122"/>
      <c r="C35" s="91"/>
      <c r="D35" s="74"/>
      <c r="E35" s="151"/>
      <c r="F35" s="138"/>
      <c r="G35" s="47"/>
      <c r="H35" s="88"/>
      <c r="I35" s="37"/>
      <c r="J35" s="37"/>
      <c r="K35" s="37"/>
    </row>
    <row r="36" spans="1:11" ht="14.25" customHeight="1">
      <c r="A36" s="142" t="s">
        <v>74</v>
      </c>
      <c r="B36" s="122"/>
      <c r="C36" s="92"/>
      <c r="D36" s="93"/>
      <c r="E36" s="151"/>
      <c r="F36" s="138"/>
      <c r="G36" s="47"/>
      <c r="H36" s="88"/>
      <c r="I36" s="37"/>
      <c r="J36" s="37"/>
      <c r="K36" s="37"/>
    </row>
    <row r="37" spans="1:11" ht="14.25" customHeight="1">
      <c r="A37" s="142" t="s">
        <v>75</v>
      </c>
      <c r="B37" s="122"/>
      <c r="C37" s="94">
        <v>0</v>
      </c>
      <c r="D37" s="95"/>
      <c r="E37" s="156"/>
      <c r="F37" s="157"/>
      <c r="G37" s="96"/>
      <c r="H37" s="97"/>
      <c r="I37" s="37"/>
      <c r="J37" s="37"/>
      <c r="K37" s="37"/>
    </row>
    <row r="38" spans="1:11" ht="14.25" customHeight="1">
      <c r="A38" s="158" t="s">
        <v>76</v>
      </c>
      <c r="B38" s="118"/>
      <c r="C38" s="118"/>
      <c r="D38" s="118"/>
      <c r="E38" s="118"/>
      <c r="F38" s="118"/>
      <c r="G38" s="118"/>
      <c r="H38" s="112"/>
      <c r="I38" s="37"/>
      <c r="J38" s="37"/>
      <c r="K38" s="37"/>
    </row>
    <row r="39" spans="1:11" ht="15" customHeight="1">
      <c r="A39" s="115"/>
      <c r="B39" s="119"/>
      <c r="C39" s="119"/>
      <c r="D39" s="119"/>
      <c r="E39" s="119"/>
      <c r="F39" s="119"/>
      <c r="G39" s="119"/>
      <c r="H39" s="116"/>
      <c r="I39" s="37"/>
      <c r="J39" s="37"/>
      <c r="K39" s="37"/>
    </row>
    <row r="40" spans="1:11" ht="14.25" customHeight="1">
      <c r="A40" s="98"/>
      <c r="B40" s="133" t="s">
        <v>77</v>
      </c>
      <c r="C40" s="121"/>
      <c r="D40" s="122"/>
      <c r="E40" s="133" t="s">
        <v>78</v>
      </c>
      <c r="F40" s="121"/>
      <c r="G40" s="121"/>
      <c r="H40" s="122"/>
      <c r="I40" s="37"/>
      <c r="J40" s="37"/>
      <c r="K40" s="37"/>
    </row>
    <row r="41" spans="1:11" ht="14.25" customHeight="1">
      <c r="A41" s="98"/>
      <c r="B41" s="139" t="s">
        <v>79</v>
      </c>
      <c r="C41" s="121"/>
      <c r="D41" s="122"/>
      <c r="E41" s="159">
        <f>SUM(B9:B12)</f>
        <v>0</v>
      </c>
      <c r="F41" s="121"/>
      <c r="G41" s="121"/>
      <c r="H41" s="122"/>
      <c r="I41" s="37"/>
      <c r="J41" s="37"/>
      <c r="K41" s="37"/>
    </row>
    <row r="42" spans="1:11" ht="14.25" customHeight="1">
      <c r="A42" s="98"/>
      <c r="B42" s="139" t="s">
        <v>52</v>
      </c>
      <c r="C42" s="121"/>
      <c r="D42" s="122"/>
      <c r="E42" s="159">
        <f>SUM(B6:B8)</f>
        <v>0</v>
      </c>
      <c r="F42" s="121"/>
      <c r="G42" s="121"/>
      <c r="H42" s="122"/>
      <c r="I42" s="37"/>
      <c r="J42" s="37"/>
      <c r="K42" s="37"/>
    </row>
    <row r="43" spans="1:11" ht="14.25" customHeight="1">
      <c r="A43" s="98"/>
      <c r="B43" s="139" t="s">
        <v>80</v>
      </c>
      <c r="C43" s="121"/>
      <c r="D43" s="122"/>
      <c r="E43" s="140">
        <f>SUM(B13:B14)</f>
        <v>0</v>
      </c>
      <c r="F43" s="125"/>
      <c r="G43" s="125"/>
      <c r="H43" s="114"/>
      <c r="I43" s="37"/>
      <c r="J43" s="37"/>
      <c r="K43" s="37"/>
    </row>
    <row r="44" spans="1:11" ht="14.25" customHeight="1">
      <c r="A44" s="37"/>
      <c r="B44" s="132" t="s">
        <v>61</v>
      </c>
      <c r="C44" s="121"/>
      <c r="D44" s="122"/>
      <c r="E44" s="123">
        <f>SUM(B17:B18)</f>
        <v>0</v>
      </c>
      <c r="F44" s="121"/>
      <c r="G44" s="121"/>
      <c r="H44" s="122"/>
      <c r="I44" s="37"/>
      <c r="J44" s="37"/>
      <c r="K44" s="37"/>
    </row>
    <row r="45" spans="1:11" ht="14.25" customHeight="1">
      <c r="A45" s="37"/>
      <c r="B45" s="132" t="s">
        <v>62</v>
      </c>
      <c r="C45" s="121"/>
      <c r="D45" s="122"/>
      <c r="E45" s="123">
        <f>SUM(B19:B20)</f>
        <v>0</v>
      </c>
      <c r="F45" s="121"/>
      <c r="G45" s="121"/>
      <c r="H45" s="122"/>
      <c r="I45" s="37"/>
      <c r="J45" s="37"/>
      <c r="K45" s="37"/>
    </row>
    <row r="46" spans="1:11" ht="14.25" customHeight="1">
      <c r="A46" s="37"/>
      <c r="B46" s="132" t="s">
        <v>81</v>
      </c>
      <c r="C46" s="121"/>
      <c r="D46" s="122"/>
      <c r="E46" s="123">
        <f t="shared" ref="E46:E53" si="0">B21</f>
        <v>0</v>
      </c>
      <c r="F46" s="121"/>
      <c r="G46" s="121"/>
      <c r="H46" s="122"/>
      <c r="I46" s="37"/>
      <c r="J46" s="37"/>
      <c r="K46" s="37"/>
    </row>
    <row r="47" spans="1:11" ht="14.25" customHeight="1">
      <c r="A47" s="37"/>
      <c r="B47" s="132" t="s">
        <v>81</v>
      </c>
      <c r="C47" s="121"/>
      <c r="D47" s="122"/>
      <c r="E47" s="123">
        <f t="shared" si="0"/>
        <v>0</v>
      </c>
      <c r="F47" s="121"/>
      <c r="G47" s="121"/>
      <c r="H47" s="122"/>
      <c r="I47" s="37"/>
      <c r="J47" s="37"/>
      <c r="K47" s="37"/>
    </row>
    <row r="48" spans="1:11" ht="14.25" customHeight="1">
      <c r="A48" s="37"/>
      <c r="B48" s="132" t="s">
        <v>81</v>
      </c>
      <c r="C48" s="121"/>
      <c r="D48" s="122"/>
      <c r="E48" s="123">
        <f t="shared" si="0"/>
        <v>0</v>
      </c>
      <c r="F48" s="121"/>
      <c r="G48" s="121"/>
      <c r="H48" s="122"/>
      <c r="I48" s="37"/>
      <c r="J48" s="37"/>
      <c r="K48" s="37"/>
    </row>
    <row r="49" spans="1:11" ht="14.25" customHeight="1">
      <c r="A49" s="37"/>
      <c r="B49" s="132" t="s">
        <v>81</v>
      </c>
      <c r="C49" s="121"/>
      <c r="D49" s="122"/>
      <c r="E49" s="123">
        <f t="shared" si="0"/>
        <v>0</v>
      </c>
      <c r="F49" s="121"/>
      <c r="G49" s="121"/>
      <c r="H49" s="122"/>
      <c r="I49" s="37"/>
      <c r="J49" s="37"/>
      <c r="K49" s="37"/>
    </row>
    <row r="50" spans="1:11" ht="14.25" customHeight="1">
      <c r="A50" s="37"/>
      <c r="B50" s="132" t="s">
        <v>81</v>
      </c>
      <c r="C50" s="121"/>
      <c r="D50" s="122"/>
      <c r="E50" s="123">
        <f t="shared" si="0"/>
        <v>0</v>
      </c>
      <c r="F50" s="121"/>
      <c r="G50" s="121"/>
      <c r="H50" s="122"/>
      <c r="I50" s="37"/>
      <c r="J50" s="37"/>
      <c r="K50" s="37"/>
    </row>
    <row r="51" spans="1:11" ht="14.25" customHeight="1">
      <c r="A51" s="37"/>
      <c r="B51" s="132" t="s">
        <v>81</v>
      </c>
      <c r="C51" s="121"/>
      <c r="D51" s="122"/>
      <c r="E51" s="123">
        <f t="shared" si="0"/>
        <v>0</v>
      </c>
      <c r="F51" s="121"/>
      <c r="G51" s="121"/>
      <c r="H51" s="122"/>
      <c r="I51" s="37"/>
      <c r="J51" s="37"/>
      <c r="K51" s="37"/>
    </row>
    <row r="52" spans="1:11" ht="14.25" customHeight="1">
      <c r="A52" s="37"/>
      <c r="B52" s="132" t="s">
        <v>81</v>
      </c>
      <c r="C52" s="121"/>
      <c r="D52" s="122"/>
      <c r="E52" s="123">
        <f t="shared" si="0"/>
        <v>0</v>
      </c>
      <c r="F52" s="121"/>
      <c r="G52" s="121"/>
      <c r="H52" s="122"/>
      <c r="I52" s="37"/>
      <c r="J52" s="37"/>
      <c r="K52" s="37"/>
    </row>
    <row r="53" spans="1:11" ht="14.25" customHeight="1">
      <c r="A53" s="37"/>
      <c r="B53" s="132" t="s">
        <v>81</v>
      </c>
      <c r="C53" s="121"/>
      <c r="D53" s="122"/>
      <c r="E53" s="123">
        <f t="shared" si="0"/>
        <v>0</v>
      </c>
      <c r="F53" s="121"/>
      <c r="G53" s="121"/>
      <c r="H53" s="122"/>
      <c r="I53" s="37"/>
      <c r="J53" s="37"/>
      <c r="K53" s="37"/>
    </row>
    <row r="54" spans="1:11" ht="14.25" customHeight="1">
      <c r="A54" s="37"/>
      <c r="B54" s="132" t="s">
        <v>82</v>
      </c>
      <c r="C54" s="121"/>
      <c r="D54" s="122"/>
      <c r="E54" s="134">
        <f>SUM(E41:H53)</f>
        <v>0</v>
      </c>
      <c r="F54" s="121"/>
      <c r="G54" s="121"/>
      <c r="H54" s="122"/>
      <c r="I54" s="37"/>
      <c r="J54" s="37"/>
      <c r="K54" s="37"/>
    </row>
    <row r="55" spans="1:11" ht="14.25" customHeight="1">
      <c r="A55" s="37"/>
      <c r="B55" s="132"/>
      <c r="C55" s="121"/>
      <c r="D55" s="122"/>
      <c r="E55" s="135"/>
      <c r="F55" s="121"/>
      <c r="G55" s="121"/>
      <c r="H55" s="122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A1:H2"/>
    <mergeCell ref="A3:H4"/>
    <mergeCell ref="C5:D5"/>
    <mergeCell ref="C6:D6"/>
    <mergeCell ref="C7:D7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58" t="s">
        <v>76</v>
      </c>
      <c r="B1" s="118"/>
      <c r="C1" s="118"/>
      <c r="D1" s="118"/>
      <c r="E1" s="118"/>
      <c r="F1" s="118"/>
      <c r="G1" s="112"/>
    </row>
    <row r="2" spans="1:7" ht="14.25" customHeight="1">
      <c r="A2" s="115"/>
      <c r="B2" s="119"/>
      <c r="C2" s="119"/>
      <c r="D2" s="119"/>
      <c r="E2" s="119"/>
      <c r="F2" s="119"/>
      <c r="G2" s="116"/>
    </row>
    <row r="3" spans="1:7" ht="14.25" customHeight="1">
      <c r="A3" s="179" t="s">
        <v>77</v>
      </c>
      <c r="B3" s="121"/>
      <c r="C3" s="122"/>
      <c r="D3" s="179" t="s">
        <v>78</v>
      </c>
      <c r="E3" s="121"/>
      <c r="F3" s="121"/>
      <c r="G3" s="122"/>
    </row>
    <row r="4" spans="1:7" ht="41.25" customHeight="1">
      <c r="A4" s="177" t="s">
        <v>79</v>
      </c>
      <c r="B4" s="121"/>
      <c r="C4" s="122"/>
      <c r="D4" s="175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39486</v>
      </c>
      <c r="E4" s="121"/>
      <c r="F4" s="121"/>
      <c r="G4" s="122"/>
    </row>
    <row r="5" spans="1:7" ht="36.75" customHeight="1">
      <c r="A5" s="177" t="s">
        <v>52</v>
      </c>
      <c r="B5" s="121"/>
      <c r="C5" s="122"/>
      <c r="D5" s="175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330</v>
      </c>
      <c r="E5" s="121"/>
      <c r="F5" s="121"/>
      <c r="G5" s="122"/>
    </row>
    <row r="6" spans="1:7" ht="39.75" customHeight="1">
      <c r="A6" s="177" t="s">
        <v>56</v>
      </c>
      <c r="B6" s="121"/>
      <c r="C6" s="122"/>
      <c r="D6" s="175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4880</v>
      </c>
      <c r="E6" s="121"/>
      <c r="F6" s="121"/>
      <c r="G6" s="122"/>
    </row>
    <row r="7" spans="1:7" ht="38.25" customHeight="1">
      <c r="A7" s="178" t="s">
        <v>61</v>
      </c>
      <c r="B7" s="121"/>
      <c r="C7" s="122"/>
      <c r="D7" s="175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450</v>
      </c>
      <c r="E7" s="121"/>
      <c r="F7" s="121"/>
      <c r="G7" s="122"/>
    </row>
    <row r="8" spans="1:7" ht="39.75" customHeight="1">
      <c r="A8" s="178" t="s">
        <v>62</v>
      </c>
      <c r="B8" s="121"/>
      <c r="C8" s="122"/>
      <c r="D8" s="175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300</v>
      </c>
      <c r="E8" s="121"/>
      <c r="F8" s="121"/>
      <c r="G8" s="122"/>
    </row>
    <row r="9" spans="1:7" ht="38.25" customHeight="1">
      <c r="A9" s="178" t="s">
        <v>81</v>
      </c>
      <c r="B9" s="121"/>
      <c r="C9" s="122"/>
      <c r="D9" s="175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1"/>
      <c r="F9" s="121"/>
      <c r="G9" s="122"/>
    </row>
    <row r="10" spans="1:7" ht="37.5" customHeight="1">
      <c r="A10" s="178" t="s">
        <v>81</v>
      </c>
      <c r="B10" s="121"/>
      <c r="C10" s="122"/>
      <c r="D10" s="175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21"/>
      <c r="F10" s="121"/>
      <c r="G10" s="122"/>
    </row>
    <row r="11" spans="1:7" ht="38.25" customHeight="1">
      <c r="A11" s="178" t="s">
        <v>81</v>
      </c>
      <c r="B11" s="121"/>
      <c r="C11" s="122"/>
      <c r="D11" s="175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1"/>
      <c r="F11" s="121"/>
      <c r="G11" s="122"/>
    </row>
    <row r="12" spans="1:7" ht="36" customHeight="1">
      <c r="A12" s="178" t="s">
        <v>81</v>
      </c>
      <c r="B12" s="121"/>
      <c r="C12" s="122"/>
      <c r="D12" s="175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1"/>
      <c r="F12" s="121"/>
      <c r="G12" s="122"/>
    </row>
    <row r="13" spans="1:7" ht="37.5" customHeight="1">
      <c r="A13" s="178" t="s">
        <v>81</v>
      </c>
      <c r="B13" s="121"/>
      <c r="C13" s="122"/>
      <c r="D13" s="175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1"/>
      <c r="F13" s="121"/>
      <c r="G13" s="122"/>
    </row>
    <row r="14" spans="1:7" ht="14.25" customHeight="1">
      <c r="A14" s="178" t="s">
        <v>81</v>
      </c>
      <c r="B14" s="121"/>
      <c r="C14" s="122"/>
      <c r="D14" s="175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1"/>
      <c r="F14" s="121"/>
      <c r="G14" s="122"/>
    </row>
    <row r="15" spans="1:7" ht="14.25" customHeight="1">
      <c r="A15" s="178" t="s">
        <v>81</v>
      </c>
      <c r="B15" s="121"/>
      <c r="C15" s="122"/>
      <c r="D15" s="175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1"/>
      <c r="F15" s="121"/>
      <c r="G15" s="122"/>
    </row>
    <row r="16" spans="1:7" ht="14.25" customHeight="1">
      <c r="A16" s="178" t="s">
        <v>81</v>
      </c>
      <c r="B16" s="121"/>
      <c r="C16" s="122"/>
      <c r="D16" s="175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1"/>
      <c r="F16" s="121"/>
      <c r="G16" s="122"/>
    </row>
    <row r="17" spans="1:7" ht="14.25" customHeight="1">
      <c r="A17" s="178" t="s">
        <v>82</v>
      </c>
      <c r="B17" s="121"/>
      <c r="C17" s="122"/>
      <c r="D17" s="176">
        <f>SUM(D4:D16)</f>
        <v>45446</v>
      </c>
      <c r="E17" s="121"/>
      <c r="F17" s="121"/>
      <c r="G17" s="122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A5:C5"/>
    <mergeCell ref="D5:G5"/>
    <mergeCell ref="A1:G2"/>
    <mergeCell ref="A3:C3"/>
    <mergeCell ref="D3:G3"/>
    <mergeCell ref="A4:C4"/>
    <mergeCell ref="D4:G4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6:C6"/>
    <mergeCell ref="D6:G6"/>
    <mergeCell ref="A7:C7"/>
    <mergeCell ref="D7:G7"/>
    <mergeCell ref="D8:G8"/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2026-04-06T16:40:40Z</dcterms:modified>
</cp:coreProperties>
</file>