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5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G22" i="23"/>
  <c r="E22" i="23"/>
  <c r="F22" i="23" s="1"/>
  <c r="G21" i="23"/>
  <c r="E21" i="23"/>
  <c r="F21" i="23" s="1"/>
  <c r="H21" i="23" s="1"/>
  <c r="G20" i="23"/>
  <c r="E20" i="23"/>
  <c r="F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20" i="23" l="1"/>
  <c r="H23" i="23"/>
  <c r="H10" i="23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<sst xmlns="http://schemas.openxmlformats.org/spreadsheetml/2006/main" count="1781" uniqueCount="87">
  <si>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</si>
  <si>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</si>
  <si>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</si>
  <si>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</si>
  <si>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</si>
  <si>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</si>
  <si>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</si>
  <si>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</si>
  <si>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</si>
  <si>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</si>
  <si>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</si>
  <si>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</si>
  <si>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</si>
  <si>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</si>
  <si>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</si>
  <si>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</si>
  <si>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</si>
  <si>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</si>
  <si>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</si>
  <si>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</si>
  <si>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</si>
  <si>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</si>
  <si>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</si>
  <si>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</si>
  <si>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</si>
  <si>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</si>
  <si>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</si>
  <si>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</si>
  <si>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</si>
  <si>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</si>
  <si>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</si>
  <si>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</si>
  <si>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</si>
  <si>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</si>
  <si>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</si>
  <si>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</si>
  <si>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</si>
  <si>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</si>
  <si>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</si>
  <si>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</si>
  <si>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</si>
  <si>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</si>
  <si>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</si>
  <si>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</si>
  <si>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</si>
  <si>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</si>
  <si>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</si>
  <si>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</si>
  <si>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</si>
  <si>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</si>
  <si>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</si>
  <si>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</si>
  <si>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</si>
  <si>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</si>
  <si>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</si>
  <si>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</si>
  <si>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</si>
  <si>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</si>
  <si>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</si>
  <si>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</si>
  <si>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</si>
  <si>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</si>
  <si>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</si>
  <si>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</si>
  <si>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</si>
  <si>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</si>
  <si>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</si>
  <si>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</si>
  <si>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</si>
  <si>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</si>
  <si>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</si>
  <si>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</si>
  <si>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</si>
  <si>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</si>
  <si>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</si>
  <si>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</si>
  <si>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</si>
  <si>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</si>
  <si>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</si>
  <si>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</si>
  <si>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</si>
  <si>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</si>
  <si>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</si>
  <si>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</si>
  <si>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DAILY REPORT ON 06/05/2026</t>
  </si>
  <si>
    <t>MUTAMBUKA J. PAUL</t>
  </si>
  <si>
    <t>0783251212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</si>
</sst>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44320.423728813563</v>
      </c>
      <c r="C21" s="18">
        <f>KIREHE!G29</f>
        <v>14330</v>
      </c>
      <c r="D21" s="20"/>
      <c r="E21" s="21"/>
      <c r="F21" s="14">
        <f t="shared" si="0"/>
        <v>58650.423728813563</v>
      </c>
      <c r="G21" s="17">
        <f>KIREHE!C33</f>
        <v>0</v>
      </c>
      <c r="H21" s="18">
        <f>KIREHE!C31</f>
        <v>58650.423728813563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44320.423728813563</v>
      </c>
      <c r="C29" s="33">
        <f t="shared" si="1"/>
        <v>14330</v>
      </c>
      <c r="D29" s="34">
        <f t="shared" si="1"/>
        <v>0</v>
      </c>
      <c r="E29" s="33">
        <f t="shared" si="1"/>
        <v>0</v>
      </c>
      <c r="F29" s="33">
        <f t="shared" si="1"/>
        <v>58650.423728813563</v>
      </c>
      <c r="G29" s="34">
        <f t="shared" si="1"/>
        <v>0</v>
      </c>
      <c r="H29" s="34">
        <f t="shared" si="1"/>
        <v>8421972.4237288143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58650.423728813563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08">
        <f>SUM(F29,G29)</f>
        <v>58650.423728813563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08">
        <f>SUM(H29,J29,I29)</f>
        <v>8421972.4237288143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08">
        <f>SUM(D29:E29)</f>
        <v>0</v>
      </c>
      <c r="D35" s="107"/>
      <c r="E35" s="124"/>
      <c r="F35" s="127"/>
      <c r="G35" s="127"/>
      <c r="H35" s="127"/>
      <c r="I35" s="110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08">
        <f>SUM(C33,C35)</f>
        <v>58650.423728813563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9" t="s">
        <v>40</v>
      </c>
      <c r="B37" s="110"/>
      <c r="C37" s="108">
        <f>SUM(C34:C35)</f>
        <v>8421972.4237288143</v>
      </c>
      <c r="D37" s="107"/>
      <c r="E37" s="124"/>
      <c r="F37" s="127"/>
      <c r="G37" s="127"/>
      <c r="H37" s="127"/>
      <c r="I37" s="110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6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f>SUM(C39:C44)</f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4" t="s">
        <v>82</v>
      </c>
      <c r="C62" s="129"/>
      <c r="D62" s="107"/>
      <c r="E62" s="165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>
        <v>7670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f>SUM(C31:C36)</f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83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>
        <v>15000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>
        <v>9000</v>
      </c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>
        <v>7670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>
        <v>4130</v>
      </c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>
        <v>3540</v>
      </c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>
        <v>2006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>
        <v>8363322</v>
      </c>
      <c r="D39" s="82"/>
      <c r="E39" s="150"/>
      <c r="F39" s="151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f>SUM(C39:C44)</f>
        <v>8363322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B62" s="136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>
        <v>2124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>
        <v>1357</v>
      </c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46" t="s">
        <v>72</v>
      </c>
      <c r="B42" s="107"/>
      <c r="C42" s="90"/>
      <c r="D42" s="74"/>
      <c r="E42" s="173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72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72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74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63">
        <f>SUM(B13:B14)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8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8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8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8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8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8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8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8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8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SUM(B11:B14)</f>
        <v>0</v>
      </c>
      <c r="F49" s="129"/>
      <c r="G49" s="129"/>
      <c r="H49" s="107"/>
    </row>
    <row r="50" spans="1:8" ht="14.25" customHeight="1">
      <c r="A50" s="37"/>
      <c r="B50" s="143" t="s">
        <v>52</v>
      </c>
      <c r="C50" s="129"/>
      <c r="D50" s="107"/>
      <c r="E50" s="163">
        <f>SUM(B8:B10)</f>
        <v>0</v>
      </c>
      <c r="F50" s="129"/>
      <c r="G50" s="129"/>
      <c r="H50" s="107"/>
    </row>
    <row r="51" spans="1:8" ht="14.25" customHeight="1">
      <c r="A51" s="37"/>
      <c r="B51" s="143" t="s">
        <v>80</v>
      </c>
      <c r="C51" s="129"/>
      <c r="D51" s="107"/>
      <c r="E51" s="163">
        <f>SUM(B15:B16)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08">
        <f>SUM(B19:B20)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SUM(B29:B30)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0" si="7">B31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>B45</f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8.7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D23" sqref="D23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84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>
        <v>135</v>
      </c>
      <c r="C18" s="60">
        <v>1180</v>
      </c>
      <c r="D18" s="60">
        <v>30</v>
      </c>
      <c r="E18" s="61">
        <f t="shared" si="6"/>
        <v>159300</v>
      </c>
      <c r="F18" s="62">
        <f t="shared" si="7"/>
        <v>24300</v>
      </c>
      <c r="G18" s="62">
        <f t="shared" si="8"/>
        <v>4050</v>
      </c>
      <c r="H18" s="62">
        <f t="shared" si="9"/>
        <v>28350</v>
      </c>
    </row>
    <row r="19" spans="1:8" ht="14.25" customHeight="1">
      <c r="A19" s="63" t="s">
        <v>56</v>
      </c>
      <c r="B19" s="64">
        <v>66</v>
      </c>
      <c r="C19" s="64">
        <v>1534</v>
      </c>
      <c r="D19" s="64">
        <v>30</v>
      </c>
      <c r="E19" s="61">
        <f t="shared" si="6"/>
        <v>101244</v>
      </c>
      <c r="F19" s="62">
        <f t="shared" si="7"/>
        <v>15444</v>
      </c>
      <c r="G19" s="62">
        <f t="shared" si="8"/>
        <v>1980</v>
      </c>
      <c r="H19" s="62">
        <f t="shared" si="9"/>
        <v>17424</v>
      </c>
    </row>
    <row r="20" spans="1:8" ht="14.25" customHeight="1">
      <c r="A20" s="63" t="s">
        <v>62</v>
      </c>
      <c r="B20" s="64">
        <v>20</v>
      </c>
      <c r="C20" s="64">
        <v>1500</v>
      </c>
      <c r="D20" s="64">
        <v>30</v>
      </c>
      <c r="E20" s="61">
        <f t="shared" si="6"/>
        <v>30000</v>
      </c>
      <c r="F20" s="62">
        <f t="shared" si="7"/>
        <v>4576.2711864406783</v>
      </c>
      <c r="G20" s="62">
        <f t="shared" si="8"/>
        <v>600</v>
      </c>
      <c r="H20" s="62">
        <f t="shared" si="9"/>
        <v>5176.2711864406783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7700</v>
      </c>
      <c r="E22" s="61">
        <f t="shared" si="6"/>
        <v>1</v>
      </c>
      <c r="F22" s="62">
        <f t="shared" si="7"/>
        <v>0.15254237288135594</v>
      </c>
      <c r="G22" s="62">
        <f t="shared" si="8"/>
        <v>7700</v>
      </c>
      <c r="H22" s="62">
        <f t="shared" si="9"/>
        <v>7700.1525423728817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290545</v>
      </c>
      <c r="F29" s="74">
        <f t="shared" si="10"/>
        <v>44320.423728813563</v>
      </c>
      <c r="G29" s="75">
        <f t="shared" si="10"/>
        <v>14330</v>
      </c>
      <c r="H29" s="76">
        <f t="shared" si="9"/>
        <v>58650.423728813563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>
        <f>H29</f>
        <v>58650.423728813563</v>
      </c>
      <c r="D31" s="82"/>
      <c r="E31" s="150" t="s">
        <v>85</v>
      </c>
      <c r="F31" s="151"/>
      <c r="G31" s="103" t="s">
        <v>86</v>
      </c>
      <c r="H31" s="84">
        <v>1200</v>
      </c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104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104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105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102">
        <f>C34+C31+C35</f>
        <v>58650.423728813563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56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135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86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1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222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62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10"/>
    </row>
    <row r="3" spans="1:7" ht="14.25" customHeight="1">
      <c r="A3" s="183" t="s">
        <v>77</v>
      </c>
      <c r="B3" s="129"/>
      <c r="C3" s="107"/>
      <c r="D3" s="183" t="s">
        <v>78</v>
      </c>
      <c r="E3" s="129"/>
      <c r="F3" s="129"/>
      <c r="G3" s="107"/>
    </row>
    <row r="4" spans="1:7" ht="41.25" customHeight="1">
      <c r="A4" s="181" t="s">
        <v>79</v>
      </c>
      <c r="B4" s="129"/>
      <c r="C4" s="107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9"/>
      <c r="F4" s="129"/>
      <c r="G4" s="107"/>
    </row>
    <row r="5" spans="1:7" ht="36.75" customHeight="1">
      <c r="A5" s="181" t="s">
        <v>52</v>
      </c>
      <c r="B5" s="129"/>
      <c r="C5" s="107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81" t="s">
        <v>56</v>
      </c>
      <c r="B6" s="129"/>
      <c r="C6" s="107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135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86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0">
        <f>SUM(D4:D16)</f>
        <v>222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2026-05-06T18:05:00Z</dcterms:modified>
</cp:coreProperties>
</file>