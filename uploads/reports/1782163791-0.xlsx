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WEEK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<sst xmlns="http://schemas.openxmlformats.org/spreadsheetml/2006/main" count="1779" uniqueCount="85">
  <si>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</si>
  <si>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</si>
  <si>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</si>
  <si>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</si>
  <si>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</si>
  <si>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</si>
  <si>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</si>
  <si>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</si>
  <si>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</si>
  <si>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</si>
  <si>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</si>
  <si>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</si>
  <si>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</si>
  <si>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</si>
  <si>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</si>
  <si>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</si>
  <si>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</si>
  <si>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</si>
  <si>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</si>
  <si>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</si>
  <si>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</si>
  <si>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</si>
  <si>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</si>
  <si>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</si>
  <si>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</si>
  <si>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</si>
  <si>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</si>
  <si>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</si>
  <si>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</si>
  <si>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</si>
  <si>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</si>
  <si>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</si>
  <si>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</si>
  <si>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</si>
  <si>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</si>
  <si>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</si>
  <si>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</si>
  <si>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</si>
  <si>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</si>
  <si>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</si>
  <si>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</si>
  <si>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</si>
  <si>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</si>
  <si>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</si>
  <si>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</si>
  <si>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</si>
  <si>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</si>
  <si>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</si>
  <si>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</si>
  <si>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</si>
  <si>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</si>
  <si>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</si>
  <si>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</si>
  <si>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</si>
  <si>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</si>
  <si>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</si>
  <si>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</si>
  <si>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</si>
  <si>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</si>
  <si>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</si>
  <si>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</si>
  <si>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</si>
  <si>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</si>
  <si>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</si>
  <si>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</si>
  <si>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</si>
  <si>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</si>
  <si>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</si>
  <si>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</si>
  <si>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</si>
  <si>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</si>
  <si>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</si>
  <si>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</si>
  <si>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</si>
  <si>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</si>
  <si>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</si>
  <si>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</si>
  <si>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</si>
  <si>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</si>
  <si>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</si>
  <si>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</si>
  <si>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</si>
  <si>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</si>
  <si>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</si>
  <si>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08 JUNE 2026  TO  14 JUNE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</si>
</sst>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762316.47457627114</v>
      </c>
      <c r="C16" s="68">
        <f>KARONGI!G37</f>
        <v>136150</v>
      </c>
      <c r="D16" s="4"/>
      <c r="E16" s="3"/>
      <c r="F16" s="70">
        <f t="shared" si="0"/>
        <v>898466.47457627114</v>
      </c>
      <c r="G16" s="67">
        <f>KARONGI!C41</f>
        <v>0</v>
      </c>
      <c r="H16" s="68">
        <f>KARONGI!C39</f>
        <v>941046.47499999998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8429938.4745762721</v>
      </c>
      <c r="C29" s="102">
        <f t="shared" si="1"/>
        <v>831850</v>
      </c>
      <c r="D29" s="103">
        <f t="shared" si="1"/>
        <v>0</v>
      </c>
      <c r="E29" s="102">
        <f t="shared" si="1"/>
        <v>0</v>
      </c>
      <c r="F29" s="102">
        <f>SUM(F5:F28)</f>
        <v>9261788.4745762721</v>
      </c>
      <c r="G29" s="103">
        <f>SUM(G5:G28)</f>
        <v>0</v>
      </c>
      <c r="H29" s="103">
        <f>SUM(H5:H28)</f>
        <v>9304368.4749999996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9261788.4745762721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9261788.4745762721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9304368.4749999996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9261788.4745762721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9304368.4749999996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8" workbookViewId="0">
      <selection activeCell="C41" sqref="C41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2113</v>
      </c>
      <c r="C7" s="182">
        <v>1416</v>
      </c>
      <c r="D7" s="183"/>
      <c r="E7" s="13">
        <f t="shared" si="0"/>
        <v>2992008</v>
      </c>
      <c r="F7" s="13">
        <f t="shared" si="1"/>
        <v>456408</v>
      </c>
      <c r="G7" s="13">
        <f>PRODUCT(B7*50)</f>
        <v>105650</v>
      </c>
      <c r="H7" s="14">
        <f t="shared" si="2"/>
        <v>562058</v>
      </c>
    </row>
    <row r="8" spans="1:8">
      <c r="A8" s="43" t="s">
        <v>48</v>
      </c>
      <c r="B8" s="15">
        <v>100</v>
      </c>
      <c r="C8" s="166">
        <v>2000</v>
      </c>
      <c r="D8" s="167"/>
      <c r="E8" s="16">
        <f t="shared" si="0"/>
        <v>200000</v>
      </c>
      <c r="F8" s="16">
        <f t="shared" si="1"/>
        <v>30508.474576271186</v>
      </c>
      <c r="G8" s="16">
        <f>PRODUCT(B8*50)</f>
        <v>5000</v>
      </c>
      <c r="H8" s="17">
        <f t="shared" si="2"/>
        <v>35508.474576271183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850</v>
      </c>
      <c r="C10" s="166">
        <v>2124</v>
      </c>
      <c r="D10" s="167"/>
      <c r="E10" s="16">
        <f t="shared" si="0"/>
        <v>1805400</v>
      </c>
      <c r="F10" s="16">
        <f t="shared" si="1"/>
        <v>275400</v>
      </c>
      <c r="G10" s="16">
        <f>PRODUCT(B10*30)</f>
        <v>25500</v>
      </c>
      <c r="H10" s="17">
        <f t="shared" si="2"/>
        <v>300900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160</v>
      </c>
      <c r="C21" s="18"/>
      <c r="D21" s="18">
        <v>266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4997408</v>
      </c>
      <c r="F37" s="32">
        <f>SUM(F5:F36)</f>
        <v>762316.47457627114</v>
      </c>
      <c r="G37" s="32">
        <f t="shared" ref="G37:H37" si="3">SUM(G5:G36)</f>
        <v>136150</v>
      </c>
      <c r="H37" s="32">
        <f t="shared" si="3"/>
        <v>898466.47457627114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941046.47499999998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850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2213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3063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21102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2463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27347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2026-06-22T21:15:07Z</dcterms:modified>
</cp:coreProperties>
</file>