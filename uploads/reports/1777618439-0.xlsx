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<sst xmlns="http://schemas.openxmlformats.org/spreadsheetml/2006/main" count="1785" uniqueCount="92">
  <si>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</si>
  <si>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</si>
  <si>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</si>
  <si>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</si>
  <si>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</si>
  <si>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</si>
  <si>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</si>
  <si>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</si>
  <si>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</si>
  <si>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</si>
  <si>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</si>
  <si>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</si>
  <si>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</si>
  <si>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</si>
  <si>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</si>
  <si>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</si>
  <si>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</si>
  <si>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</si>
  <si>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</si>
  <si>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</si>
  <si>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</si>
  <si>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</si>
  <si>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</si>
  <si>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</si>
  <si>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</si>
  <si>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</si>
  <si>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</si>
  <si>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</si>
  <si>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</si>
  <si>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</si>
  <si>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</si>
  <si>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</si>
  <si>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</si>
  <si>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</si>
  <si>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</si>
  <si>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</si>
  <si>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</si>
  <si>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</si>
  <si>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</si>
  <si>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</si>
  <si>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</si>
  <si>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</si>
  <si>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</si>
  <si>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</si>
  <si>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</si>
  <si>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</si>
  <si>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</si>
  <si>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</si>
  <si>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</si>
  <si>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</si>
  <si>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</si>
  <si>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</si>
  <si>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</si>
  <si>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</si>
  <si>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</si>
  <si>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</si>
  <si>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</si>
  <si>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</si>
  <si>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</si>
  <si>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</si>
  <si>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</si>
  <si>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</si>
  <si>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</si>
  <si>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</si>
  <si>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</si>
  <si>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</si>
  <si>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</si>
  <si>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</si>
  <si>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</si>
  <si>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</si>
  <si>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</si>
  <si>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</si>
  <si>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</si>
  <si>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</si>
  <si>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</si>
  <si>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</si>
  <si>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</si>
  <si>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</si>
  <si>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</si>
  <si>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</si>
  <si>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</si>
  <si>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</si>
  <si>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</si>
  <si>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</si>
  <si>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</si>
  <si>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 xml:space="preserve">ISABELLE MUSHIMIYIMANA </t>
  </si>
  <si>
    <t>0783978338</t>
  </si>
  <si>
    <t>DAILY REPORT ON 30/04 /2026</t>
  </si>
  <si>
    <t>RUGEMA ALOYS</t>
  </si>
  <si>
    <t>NIYORUKUNDO GAD</t>
  </si>
  <si>
    <t>0784983898</t>
  </si>
  <si>
    <t>0796590958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</si>
</sst>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144000.15254237287</v>
      </c>
      <c r="C21" s="18">
        <f>KIREHE!G29</f>
        <v>36500</v>
      </c>
      <c r="D21" s="20"/>
      <c r="E21" s="21"/>
      <c r="F21" s="14">
        <f t="shared" si="0"/>
        <v>180500.15254237287</v>
      </c>
      <c r="G21" s="17">
        <f>KIREHE!C33</f>
        <v>0</v>
      </c>
      <c r="H21" s="18">
        <f>KIREHE!C31</f>
        <v>180500.15254237287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144000.15254237287</v>
      </c>
      <c r="C29" s="33">
        <f t="shared" si="1"/>
        <v>36500</v>
      </c>
      <c r="D29" s="34">
        <f t="shared" si="1"/>
        <v>0</v>
      </c>
      <c r="E29" s="33">
        <f t="shared" si="1"/>
        <v>0</v>
      </c>
      <c r="F29" s="33">
        <f t="shared" si="1"/>
        <v>180500.15254237287</v>
      </c>
      <c r="G29" s="34">
        <f t="shared" si="1"/>
        <v>0</v>
      </c>
      <c r="H29" s="34">
        <f t="shared" si="1"/>
        <v>8543822.1525423732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180500.15254237287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10">
        <f>SUM(F29,G29)</f>
        <v>180500.15254237287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10">
        <f>SUM(H29,J29,I29)</f>
        <v>8543822.1525423732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10">
        <f>SUM(D29:E29)</f>
        <v>0</v>
      </c>
      <c r="D35" s="107"/>
      <c r="E35" s="124"/>
      <c r="F35" s="127"/>
      <c r="G35" s="127"/>
      <c r="H35" s="127"/>
      <c r="I35" s="109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10">
        <f>SUM(C33,C35)</f>
        <v>180500.15254237287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8" t="s">
        <v>40</v>
      </c>
      <c r="B37" s="109"/>
      <c r="C37" s="110">
        <f>SUM(C34:C35)</f>
        <v>8543822.1525423732</v>
      </c>
      <c r="D37" s="107"/>
      <c r="E37" s="124"/>
      <c r="F37" s="127"/>
      <c r="G37" s="127"/>
      <c r="H37" s="127"/>
      <c r="I37" s="109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F9" sqref="F9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87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>
        <v>800</v>
      </c>
      <c r="C18" s="60">
        <v>1180</v>
      </c>
      <c r="D18" s="60">
        <v>30</v>
      </c>
      <c r="E18" s="61">
        <f t="shared" si="6"/>
        <v>944000</v>
      </c>
      <c r="F18" s="62">
        <f t="shared" si="7"/>
        <v>144000</v>
      </c>
      <c r="G18" s="62">
        <f t="shared" si="8"/>
        <v>24000</v>
      </c>
      <c r="H18" s="62">
        <f t="shared" si="9"/>
        <v>168000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12500</v>
      </c>
      <c r="E22" s="61">
        <f t="shared" si="6"/>
        <v>1</v>
      </c>
      <c r="F22" s="62">
        <f t="shared" si="7"/>
        <v>0.15254237288135594</v>
      </c>
      <c r="G22" s="62">
        <f t="shared" si="8"/>
        <v>12500</v>
      </c>
      <c r="H22" s="62">
        <f t="shared" si="9"/>
        <v>12500.152542372882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944001</v>
      </c>
      <c r="F29" s="74">
        <f t="shared" si="10"/>
        <v>144000.15254237287</v>
      </c>
      <c r="G29" s="75">
        <f t="shared" si="10"/>
        <v>36500</v>
      </c>
      <c r="H29" s="76">
        <f t="shared" si="9"/>
        <v>180500.15254237287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>
        <f>H29</f>
        <v>180500.15254237287</v>
      </c>
      <c r="D31" s="82"/>
      <c r="E31" s="150" t="s">
        <v>85</v>
      </c>
      <c r="F31" s="151"/>
      <c r="G31" s="103" t="s">
        <v>86</v>
      </c>
      <c r="H31" s="84">
        <v>8000</v>
      </c>
    </row>
    <row r="32" spans="1:8" ht="15" customHeight="1">
      <c r="A32" s="146" t="s">
        <v>70</v>
      </c>
      <c r="B32" s="107"/>
      <c r="C32" s="85"/>
      <c r="D32" s="86"/>
      <c r="E32" s="141" t="s">
        <v>88</v>
      </c>
      <c r="F32" s="142"/>
      <c r="G32" s="104" t="s">
        <v>90</v>
      </c>
      <c r="H32" s="88">
        <v>2000</v>
      </c>
    </row>
    <row r="33" spans="1:8" ht="14.25" customHeight="1">
      <c r="A33" s="146" t="s">
        <v>71</v>
      </c>
      <c r="B33" s="107"/>
      <c r="C33" s="89"/>
      <c r="D33" s="82"/>
      <c r="E33" s="157" t="s">
        <v>89</v>
      </c>
      <c r="F33" s="142"/>
      <c r="G33" s="104" t="s">
        <v>91</v>
      </c>
      <c r="H33" s="88">
        <v>2500</v>
      </c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C31</f>
        <v>180500.15254237287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800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801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9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800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801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2026-05-01T06:44:39Z</dcterms:modified>
</cp:coreProperties>
</file>