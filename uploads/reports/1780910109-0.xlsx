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<sst xmlns="http://schemas.openxmlformats.org/spreadsheetml/2006/main" count="44" uniqueCount="34">
  <si>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</si>
  <si>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</si>
  <si>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</si>
  <si>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</si>
  <si>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</si>
  <si>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</si>
  <si>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</si>
  <si>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</si>
  <si>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</si>
  <si>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</si>
  <si>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</si>
  <si>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</si>
  <si>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</si>
  <si>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</si>
  <si>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</si>
  <si>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</si>
  <si>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</si>
  <si>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</si>
  <si>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</si>
  <si>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</si>
  <si>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</si>
  <si>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</si>
  <si>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</si>
  <si>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</si>
  <si>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</si>
  <si>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</si>
  <si>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</si>
  <si>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</si>
  <si>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</si>
  <si>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</si>
  <si>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</si>
  <si>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</si>
  <si>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RUSIZI MONTHLY REPORT OF MAY</t>
  </si>
  <si>
    <t>MAD Cadelem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</si>
</sst>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zoomScale="120" zoomScaleNormal="120" workbookViewId="0">
      <selection activeCell="C24" sqref="C24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29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32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23</v>
      </c>
      <c r="C5" s="55" t="s">
        <v>6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53">
        <v>0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7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30</v>
      </c>
      <c r="B17" s="18">
        <v>3609</v>
      </c>
      <c r="C17" s="18">
        <v>2124</v>
      </c>
      <c r="D17" s="18">
        <v>40</v>
      </c>
      <c r="E17" s="11">
        <f>PRODUCT(B17*C17)</f>
        <v>7665516</v>
      </c>
      <c r="F17" s="11">
        <f t="shared" si="4"/>
        <v>1169316</v>
      </c>
      <c r="G17" s="11">
        <f>PRODUCT(B17*D17)</f>
        <v>144360</v>
      </c>
      <c r="H17" s="12">
        <f>SUM(F17:G17)</f>
        <v>1313676</v>
      </c>
    </row>
    <row r="18" spans="1:9" x14ac:dyDescent="0.25">
      <c r="A18" s="19" t="s">
        <v>27</v>
      </c>
      <c r="B18" s="20">
        <v>725</v>
      </c>
      <c r="C18" s="20">
        <v>1357</v>
      </c>
      <c r="D18" s="20">
        <v>30</v>
      </c>
      <c r="E18" s="11">
        <f t="shared" ref="E18:E22" si="6">PRODUCT(B18*C18)</f>
        <v>983825</v>
      </c>
      <c r="F18" s="11">
        <f t="shared" si="4"/>
        <v>150075</v>
      </c>
      <c r="G18" s="11">
        <f t="shared" ref="G18:G22" si="7">PRODUCT(B18*D18)</f>
        <v>21750</v>
      </c>
      <c r="H18" s="12">
        <f t="shared" ref="H18:H22" si="8">SUM(F18:G18)</f>
        <v>171825</v>
      </c>
    </row>
    <row r="19" spans="1:9" x14ac:dyDescent="0.25">
      <c r="A19" s="21" t="s">
        <v>33</v>
      </c>
      <c r="B19" s="22">
        <v>30</v>
      </c>
      <c r="C19" s="22">
        <v>2500</v>
      </c>
      <c r="D19" s="22">
        <v>40</v>
      </c>
      <c r="E19" s="11">
        <f t="shared" si="6"/>
        <v>75000</v>
      </c>
      <c r="F19" s="11">
        <f t="shared" si="4"/>
        <v>11440.677966101695</v>
      </c>
      <c r="G19" s="11">
        <f t="shared" si="7"/>
        <v>1200</v>
      </c>
      <c r="H19" s="12">
        <f t="shared" si="8"/>
        <v>12640.677966101695</v>
      </c>
    </row>
    <row r="20" spans="1:9" x14ac:dyDescent="0.25">
      <c r="A20" s="21" t="s">
        <v>5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8724341</v>
      </c>
      <c r="F23" s="27">
        <f>SUM(F6:F22)</f>
        <v>1330831.6779661018</v>
      </c>
      <c r="G23" s="27">
        <f>SUM(G6:G22)</f>
        <v>167310</v>
      </c>
      <c r="H23" s="28">
        <f>SUM(F23:G23)</f>
        <v>1498141.6779661018</v>
      </c>
    </row>
    <row r="24" spans="1:9" ht="15.75" thickBot="1" x14ac:dyDescent="0.3">
      <c r="A24" s="57" t="s">
        <v>13</v>
      </c>
      <c r="B24" s="58"/>
      <c r="C24" s="32">
        <v>1498142</v>
      </c>
      <c r="D24" s="30"/>
      <c r="E24" s="65" t="s">
        <v>21</v>
      </c>
      <c r="F24" s="65"/>
      <c r="G24" s="65"/>
      <c r="H24" s="65"/>
      <c r="I24" s="31"/>
    </row>
    <row r="25" spans="1:9" ht="15.75" thickBot="1" x14ac:dyDescent="0.3">
      <c r="A25" s="57" t="s">
        <v>17</v>
      </c>
      <c r="B25" s="58"/>
      <c r="C25" s="33"/>
      <c r="D25" s="64"/>
      <c r="E25" s="66" t="s">
        <v>14</v>
      </c>
      <c r="F25" s="67"/>
      <c r="G25" s="32" t="s">
        <v>15</v>
      </c>
      <c r="H25" s="29" t="s">
        <v>16</v>
      </c>
      <c r="I25" s="31"/>
    </row>
    <row r="26" spans="1:9" ht="15.75" thickBot="1" x14ac:dyDescent="0.3">
      <c r="A26" s="57" t="s">
        <v>22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18</v>
      </c>
      <c r="B27" s="58"/>
      <c r="C27" s="32" t="s">
        <v>31</v>
      </c>
      <c r="D27" s="64"/>
      <c r="E27" s="70"/>
      <c r="F27" s="71"/>
      <c r="G27" s="34"/>
      <c r="H27" s="37"/>
      <c r="I27" s="31"/>
    </row>
    <row r="28" spans="1:9" x14ac:dyDescent="0.25">
      <c r="B28" s="23" t="s">
        <v>12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2026-06-08T08:35:12Z</dcterms:modified>
</cp:coreProperties>
</file>