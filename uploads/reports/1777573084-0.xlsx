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6CD0CBB3-8F6D-4C2B-99AA-F9A84F914B83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F19" i="10"/>
  <c r="H19" i="10" s="1"/>
  <c r="E19" i="10"/>
  <c r="H18" i="10"/>
  <c r="G18" i="10"/>
  <c r="F18" i="10"/>
  <c r="E18" i="10"/>
  <c r="G17" i="10"/>
  <c r="E17" i="10"/>
  <c r="F17" i="10" s="1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H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7" i="10" l="1"/>
  <c r="H17" i="10"/>
  <c r="H13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<sst xmlns="http://schemas.openxmlformats.org/spreadsheetml/2006/main" count="1779" uniqueCount="86">
  <si>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</si>
  <si>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</si>
  <si>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</si>
  <si>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</si>
  <si>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</si>
  <si>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</si>
  <si>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</si>
  <si>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</si>
  <si>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</si>
  <si>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</si>
  <si>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</si>
  <si>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</si>
  <si>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</si>
  <si>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</si>
  <si>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</si>
  <si>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</si>
  <si>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</si>
  <si>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</si>
  <si>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</si>
  <si>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</si>
  <si>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</si>
  <si>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</si>
  <si>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</si>
  <si>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</si>
  <si>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</si>
  <si>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</si>
  <si>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</si>
  <si>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</si>
  <si>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</si>
  <si>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</si>
  <si>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</si>
  <si>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</si>
  <si>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</si>
  <si>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</si>
  <si>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</si>
  <si>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</si>
  <si>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</si>
  <si>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</si>
  <si>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</si>
  <si>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</si>
  <si>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</si>
  <si>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</si>
  <si>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</si>
  <si>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</si>
  <si>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</si>
  <si>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</si>
  <si>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</si>
  <si>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</si>
  <si>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</si>
  <si>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</si>
  <si>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</si>
  <si>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</si>
  <si>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</si>
  <si>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</si>
  <si>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</si>
  <si>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</si>
  <si>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</si>
  <si>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</si>
  <si>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</si>
  <si>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</si>
  <si>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</si>
  <si>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</si>
  <si>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</si>
  <si>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</si>
  <si>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</si>
  <si>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</si>
  <si>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</si>
  <si>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</si>
  <si>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</si>
  <si>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</si>
  <si>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</si>
  <si>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</si>
  <si>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</si>
  <si>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</si>
  <si>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</si>
  <si>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</si>
  <si>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</si>
  <si>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</si>
  <si>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</si>
  <si>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</si>
  <si>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</si>
  <si>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</si>
  <si>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</si>
  <si>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</si>
  <si>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</si>
  <si>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WEEKLY REPORT FROM 01APRIL2026-30APRIL2026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</si>
</sst>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3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5" fillId="2" borderId="42" xfId="0" applyNumberFormat="1" applyFont="1" applyFill="1" applyBorder="1" applyAlignment="1">
      <alignment horizontal="center"/>
    </xf>
    <xf numFmtId="164" fontId="24" fillId="0" borderId="42" xfId="0" applyNumberFormat="1" applyFont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7"/>
      <c r="L1" s="1"/>
      <c r="M1" s="1"/>
      <c r="N1" s="1"/>
      <c r="O1" s="1"/>
    </row>
    <row r="2" spans="1:15" ht="30.75" customHeight="1">
      <c r="A2" s="148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49"/>
      <c r="L2" s="1"/>
      <c r="M2" s="1"/>
      <c r="N2" s="1"/>
      <c r="O2" s="1"/>
    </row>
    <row r="3" spans="1:15" ht="15" customHeight="1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2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12888063</v>
      </c>
      <c r="C10" s="18">
        <f>BUGESERA!G29</f>
        <v>1192520</v>
      </c>
      <c r="D10" s="19"/>
      <c r="E10" s="18"/>
      <c r="F10" s="14">
        <f t="shared" si="0"/>
        <v>14080583</v>
      </c>
      <c r="G10" s="17">
        <f>BUGESERA!C33</f>
        <v>0</v>
      </c>
      <c r="H10" s="18">
        <f>BUGESERA!C31</f>
        <v>13878073</v>
      </c>
      <c r="I10" s="18">
        <f>BUGESERA!C34</f>
        <v>0</v>
      </c>
      <c r="J10" s="18">
        <f>BUGESERA!C32</f>
        <v>202510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20555685</v>
      </c>
      <c r="C29" s="33">
        <f t="shared" si="1"/>
        <v>1888220</v>
      </c>
      <c r="D29" s="34">
        <f t="shared" si="1"/>
        <v>0</v>
      </c>
      <c r="E29" s="33">
        <f t="shared" si="1"/>
        <v>0</v>
      </c>
      <c r="F29" s="33">
        <f t="shared" si="1"/>
        <v>22443905</v>
      </c>
      <c r="G29" s="34">
        <f t="shared" si="1"/>
        <v>0</v>
      </c>
      <c r="H29" s="34">
        <f t="shared" si="1"/>
        <v>22241395</v>
      </c>
      <c r="I29" s="34">
        <f t="shared" si="1"/>
        <v>0</v>
      </c>
      <c r="J29" s="35">
        <f t="shared" si="1"/>
        <v>202510</v>
      </c>
      <c r="K29" s="8"/>
      <c r="L29" s="1"/>
      <c r="M29" s="36"/>
      <c r="N29" s="1"/>
      <c r="O29" s="1"/>
    </row>
    <row r="30" spans="1:15" ht="18" customHeight="1">
      <c r="A30" s="161"/>
      <c r="B30" s="106"/>
      <c r="C30" s="106"/>
      <c r="D30" s="107"/>
      <c r="E30" s="157" t="s">
        <v>32</v>
      </c>
      <c r="F30" s="112"/>
      <c r="G30" s="112"/>
      <c r="H30" s="112"/>
      <c r="I30" s="113"/>
      <c r="J30" s="153"/>
      <c r="K30" s="113"/>
      <c r="L30" s="1"/>
      <c r="M30" s="1"/>
      <c r="N30" s="1"/>
      <c r="O30" s="1"/>
    </row>
    <row r="31" spans="1:15" ht="18" customHeight="1">
      <c r="A31" s="159" t="s">
        <v>33</v>
      </c>
      <c r="B31" s="106"/>
      <c r="C31" s="106"/>
      <c r="D31" s="160"/>
      <c r="E31" s="154"/>
      <c r="F31" s="121"/>
      <c r="G31" s="121"/>
      <c r="H31" s="121"/>
      <c r="I31" s="122"/>
      <c r="J31" s="154"/>
      <c r="K31" s="122"/>
      <c r="L31" s="1"/>
      <c r="M31" s="1"/>
      <c r="N31" s="1"/>
      <c r="O31" s="1"/>
    </row>
    <row r="32" spans="1:15" ht="18" customHeight="1">
      <c r="A32" s="143" t="s">
        <v>34</v>
      </c>
      <c r="B32" s="107"/>
      <c r="C32" s="158">
        <f>SUM(B29:C29)</f>
        <v>22443905</v>
      </c>
      <c r="D32" s="112"/>
      <c r="E32" s="154"/>
      <c r="F32" s="121"/>
      <c r="G32" s="121"/>
      <c r="H32" s="121"/>
      <c r="I32" s="122"/>
      <c r="J32" s="154"/>
      <c r="K32" s="122"/>
      <c r="L32" s="1"/>
      <c r="M32" s="1"/>
      <c r="N32" s="1"/>
      <c r="O32" s="1"/>
    </row>
    <row r="33" spans="1:15" ht="18" customHeight="1">
      <c r="A33" s="143" t="s">
        <v>35</v>
      </c>
      <c r="B33" s="107"/>
      <c r="C33" s="117">
        <f>SUM(F29,G29)</f>
        <v>22443905</v>
      </c>
      <c r="D33" s="106"/>
      <c r="E33" s="154"/>
      <c r="F33" s="121"/>
      <c r="G33" s="121"/>
      <c r="H33" s="121"/>
      <c r="I33" s="122"/>
      <c r="J33" s="154"/>
      <c r="K33" s="122"/>
      <c r="L33" s="1"/>
      <c r="M33" s="1"/>
      <c r="N33" s="1"/>
      <c r="O33" s="1"/>
    </row>
    <row r="34" spans="1:15" ht="18" customHeight="1">
      <c r="A34" s="143" t="s">
        <v>36</v>
      </c>
      <c r="B34" s="107"/>
      <c r="C34" s="117">
        <f>SUM(H29,J29,I29)</f>
        <v>22443905</v>
      </c>
      <c r="D34" s="107"/>
      <c r="E34" s="154"/>
      <c r="F34" s="121"/>
      <c r="G34" s="121"/>
      <c r="H34" s="121"/>
      <c r="I34" s="122"/>
      <c r="J34" s="154"/>
      <c r="K34" s="122"/>
      <c r="L34" s="1"/>
      <c r="M34" s="1"/>
      <c r="N34" s="1"/>
      <c r="O34" s="1"/>
    </row>
    <row r="35" spans="1:15" ht="18" customHeight="1">
      <c r="A35" s="143" t="s">
        <v>37</v>
      </c>
      <c r="B35" s="107"/>
      <c r="C35" s="117">
        <f>SUM(D29:E29)</f>
        <v>0</v>
      </c>
      <c r="D35" s="107"/>
      <c r="E35" s="114"/>
      <c r="F35" s="115"/>
      <c r="G35" s="115"/>
      <c r="H35" s="115"/>
      <c r="I35" s="116"/>
      <c r="J35" s="154"/>
      <c r="K35" s="122"/>
      <c r="L35" s="1"/>
      <c r="M35" s="1"/>
      <c r="N35" s="1"/>
      <c r="O35" s="1"/>
    </row>
    <row r="36" spans="1:15" ht="18" customHeight="1">
      <c r="A36" s="143" t="s">
        <v>38</v>
      </c>
      <c r="B36" s="107"/>
      <c r="C36" s="117">
        <f>SUM(C33,C35)</f>
        <v>22443905</v>
      </c>
      <c r="D36" s="107"/>
      <c r="E36" s="155" t="s">
        <v>39</v>
      </c>
      <c r="F36" s="112"/>
      <c r="G36" s="112"/>
      <c r="H36" s="112"/>
      <c r="I36" s="113"/>
      <c r="J36" s="154"/>
      <c r="K36" s="122"/>
      <c r="L36" s="1"/>
      <c r="M36" s="1"/>
      <c r="N36" s="1"/>
      <c r="O36" s="1"/>
    </row>
    <row r="37" spans="1:15" ht="18" customHeight="1">
      <c r="A37" s="144" t="s">
        <v>40</v>
      </c>
      <c r="B37" s="116"/>
      <c r="C37" s="117">
        <f>SUM(C34:C35)</f>
        <v>22443905</v>
      </c>
      <c r="D37" s="107"/>
      <c r="E37" s="114"/>
      <c r="F37" s="115"/>
      <c r="G37" s="115"/>
      <c r="H37" s="115"/>
      <c r="I37" s="116"/>
      <c r="J37" s="154"/>
      <c r="K37" s="122"/>
      <c r="L37" s="1"/>
      <c r="M37" s="1"/>
      <c r="N37" s="1"/>
      <c r="O37" s="1"/>
    </row>
    <row r="38" spans="1:15" ht="18" customHeight="1">
      <c r="A38" s="156" t="s">
        <v>41</v>
      </c>
      <c r="B38" s="106"/>
      <c r="C38" s="106"/>
      <c r="D38" s="106"/>
      <c r="E38" s="106"/>
      <c r="F38" s="106"/>
      <c r="G38" s="106"/>
      <c r="H38" s="106"/>
      <c r="I38" s="107"/>
      <c r="J38" s="114"/>
      <c r="K38" s="11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5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66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f>SUM(C39:C44)</f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22.5" customHeight="1">
      <c r="A48" s="98"/>
      <c r="B48" s="167" t="s">
        <v>77</v>
      </c>
      <c r="C48" s="168"/>
      <c r="D48" s="169"/>
      <c r="E48" s="167" t="s">
        <v>78</v>
      </c>
      <c r="F48" s="168"/>
      <c r="G48" s="168"/>
      <c r="H48" s="169"/>
      <c r="I48" s="37"/>
      <c r="J48" s="37"/>
      <c r="K48" s="37"/>
    </row>
    <row r="49" spans="1:11" ht="21.7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22.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24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21.7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21.7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21.7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21.7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21.7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21.7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24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24.7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63" t="s">
        <v>82</v>
      </c>
      <c r="C62" s="106"/>
      <c r="D62" s="107"/>
      <c r="E62" s="164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>
        <v>7670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f>SUM(C31:C36)</f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83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>
        <v>15000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>
        <v>9000</v>
      </c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8">
        <v>7670</v>
      </c>
      <c r="D8" s="12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8">
        <v>4130</v>
      </c>
      <c r="D9" s="12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8">
        <v>2124</v>
      </c>
      <c r="D10" s="12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8">
        <v>3540</v>
      </c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>
        <v>2006</v>
      </c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8">
        <v>1357</v>
      </c>
      <c r="D13" s="12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>
        <v>8363322</v>
      </c>
      <c r="D39" s="82"/>
      <c r="E39" s="126"/>
      <c r="F39" s="127"/>
      <c r="G39" s="83"/>
      <c r="H39" s="84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f>SUM(C39:C44)</f>
        <v>8363322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20252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250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3782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B62" s="119" t="s">
        <v>82</v>
      </c>
      <c r="C62" s="106"/>
      <c r="D62" s="107"/>
      <c r="E62" s="170">
        <f>SUM(E49:H61)</f>
        <v>24284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85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6">
        <v>7670</v>
      </c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83</v>
      </c>
      <c r="C7" s="126">
        <v>4720</v>
      </c>
      <c r="D7" s="127"/>
      <c r="E7" s="44">
        <f t="shared" si="0"/>
        <v>391760</v>
      </c>
      <c r="F7" s="44">
        <f t="shared" si="1"/>
        <v>59760</v>
      </c>
      <c r="G7" s="44">
        <f t="shared" si="2"/>
        <v>4150</v>
      </c>
      <c r="H7" s="45">
        <f t="shared" si="3"/>
        <v>63910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35561</v>
      </c>
      <c r="C10" s="128">
        <v>2124</v>
      </c>
      <c r="D10" s="129"/>
      <c r="E10" s="48">
        <f t="shared" si="0"/>
        <v>75531564</v>
      </c>
      <c r="F10" s="48">
        <f t="shared" si="1"/>
        <v>11521764</v>
      </c>
      <c r="G10" s="48">
        <f t="shared" si="4"/>
        <v>1066830</v>
      </c>
      <c r="H10" s="49">
        <f t="shared" si="3"/>
        <v>12588594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4997</v>
      </c>
      <c r="C13" s="128">
        <v>1357</v>
      </c>
      <c r="D13" s="129"/>
      <c r="E13" s="48">
        <f t="shared" si="0"/>
        <v>6780929</v>
      </c>
      <c r="F13" s="48">
        <f t="shared" si="1"/>
        <v>1034379</v>
      </c>
      <c r="G13" s="48">
        <f t="shared" ref="G13:G14" si="5">PRODUCT(B13*20)</f>
        <v>99940</v>
      </c>
      <c r="H13" s="49">
        <f t="shared" si="3"/>
        <v>1134319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84</v>
      </c>
      <c r="B17" s="56">
        <v>540</v>
      </c>
      <c r="C17" s="56">
        <v>3304</v>
      </c>
      <c r="D17" s="56">
        <v>40</v>
      </c>
      <c r="E17" s="57">
        <f t="shared" ref="E17:E28" si="6">PRODUCT(B17*C17)</f>
        <v>1784160</v>
      </c>
      <c r="F17" s="58">
        <f t="shared" ref="F17:F28" si="7">PRODUCT(E17*18)/118</f>
        <v>272160</v>
      </c>
      <c r="G17" s="58">
        <f t="shared" ref="G17:G28" si="8">PRODUCT(B17*D17)</f>
        <v>21600</v>
      </c>
      <c r="H17" s="58">
        <f t="shared" ref="H17:H29" si="9">SUM(F17:G17)</f>
        <v>293760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84488413</v>
      </c>
      <c r="F29" s="74">
        <f t="shared" si="10"/>
        <v>12888063</v>
      </c>
      <c r="G29" s="75">
        <f t="shared" si="10"/>
        <v>1192520</v>
      </c>
      <c r="H29" s="76">
        <f t="shared" si="9"/>
        <v>14080583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103">
        <v>13878073</v>
      </c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104">
        <v>202510</v>
      </c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35561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83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4997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540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41181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>
        <v>1357</v>
      </c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>
        <v>2124</v>
      </c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>
        <v>2124</v>
      </c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  <c r="I48" s="37"/>
      <c r="J48" s="37"/>
      <c r="K48" s="37"/>
    </row>
    <row r="49" spans="1:11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>
        <v>1357</v>
      </c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76" t="s">
        <v>69</v>
      </c>
      <c r="B39" s="177"/>
      <c r="C39" s="81"/>
      <c r="D39" s="82"/>
      <c r="E39" s="174"/>
      <c r="F39" s="175"/>
      <c r="G39" s="83"/>
      <c r="H39" s="84"/>
    </row>
    <row r="40" spans="1:11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09" t="s">
        <v>72</v>
      </c>
      <c r="B42" s="107"/>
      <c r="C42" s="90"/>
      <c r="D42" s="74"/>
      <c r="E42" s="172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71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71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73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08">
        <f>SUM(B13:B14)</f>
        <v>0</v>
      </c>
      <c r="F51" s="106"/>
      <c r="G51" s="106"/>
      <c r="H51" s="107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8" ht="14.2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8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8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8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8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8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8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8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8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  <c r="I39" s="37"/>
      <c r="J39" s="37"/>
      <c r="K39" s="37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  <c r="I40" s="37"/>
      <c r="J40" s="37"/>
      <c r="K40" s="37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  <c r="I41" s="37"/>
      <c r="J41" s="37"/>
      <c r="K41" s="37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  <c r="I42" s="37"/>
      <c r="J42" s="37"/>
      <c r="K42" s="37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  <c r="I43" s="37"/>
      <c r="J43" s="37"/>
      <c r="K43" s="37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  <c r="I44" s="37"/>
      <c r="J44" s="37"/>
      <c r="K44" s="37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  <c r="I45" s="37"/>
      <c r="J45" s="37"/>
      <c r="K45" s="3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  <c r="I46" s="37"/>
      <c r="J46" s="37"/>
      <c r="K46" s="37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  <c r="I47" s="37"/>
      <c r="J47" s="37"/>
      <c r="K47" s="37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  <c r="I48" s="37"/>
      <c r="J48" s="37"/>
      <c r="K48" s="37"/>
    </row>
    <row r="49" spans="1:11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  <c r="I49" s="37"/>
      <c r="J49" s="37"/>
      <c r="K49" s="37"/>
    </row>
    <row r="50" spans="1:11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  <c r="I50" s="37"/>
      <c r="J50" s="37"/>
      <c r="K50" s="37"/>
    </row>
    <row r="51" spans="1:11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  <c r="I55" s="37"/>
      <c r="J55" s="37"/>
      <c r="K55" s="37"/>
    </row>
    <row r="56" spans="1:11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  <c r="I56" s="37"/>
      <c r="J56" s="37"/>
      <c r="K56" s="37"/>
    </row>
    <row r="57" spans="1:11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  <c r="I57" s="37"/>
      <c r="J57" s="37"/>
      <c r="K57" s="37"/>
    </row>
    <row r="58" spans="1:11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  <c r="I58" s="37"/>
      <c r="J58" s="37"/>
      <c r="K58" s="37"/>
    </row>
    <row r="59" spans="1:11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  <c r="I59" s="37"/>
      <c r="J59" s="37"/>
      <c r="K59" s="37"/>
    </row>
    <row r="60" spans="1:11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  <c r="I60" s="37"/>
      <c r="J60" s="37"/>
      <c r="K60" s="37"/>
    </row>
    <row r="61" spans="1:11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  <c r="I61" s="37"/>
      <c r="J61" s="37"/>
      <c r="K61" s="37"/>
    </row>
    <row r="62" spans="1:11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  <c r="I62" s="37"/>
      <c r="J62" s="37"/>
      <c r="K62" s="37"/>
    </row>
    <row r="63" spans="1:11" ht="14.25" customHeight="1">
      <c r="A63" s="37"/>
      <c r="B63" s="119"/>
      <c r="C63" s="106"/>
      <c r="D63" s="107"/>
      <c r="E63" s="118"/>
      <c r="F63" s="106"/>
      <c r="G63" s="106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SUM(B11:B14)</f>
        <v>0</v>
      </c>
      <c r="F49" s="106"/>
      <c r="G49" s="106"/>
      <c r="H49" s="107"/>
    </row>
    <row r="50" spans="1:8" ht="14.25" customHeight="1">
      <c r="A50" s="37"/>
      <c r="B50" s="105" t="s">
        <v>52</v>
      </c>
      <c r="C50" s="106"/>
      <c r="D50" s="107"/>
      <c r="E50" s="108">
        <f>SUM(B8:B10)</f>
        <v>0</v>
      </c>
      <c r="F50" s="106"/>
      <c r="G50" s="106"/>
      <c r="H50" s="107"/>
    </row>
    <row r="51" spans="1:8" ht="14.25" customHeight="1">
      <c r="A51" s="37"/>
      <c r="B51" s="105" t="s">
        <v>80</v>
      </c>
      <c r="C51" s="106"/>
      <c r="D51" s="107"/>
      <c r="E51" s="108">
        <f>SUM(B15:B16)</f>
        <v>0</v>
      </c>
      <c r="F51" s="106"/>
      <c r="G51" s="106"/>
      <c r="H51" s="107"/>
    </row>
    <row r="52" spans="1:8" ht="14.25" customHeight="1">
      <c r="A52" s="37"/>
      <c r="B52" s="119" t="s">
        <v>61</v>
      </c>
      <c r="C52" s="106"/>
      <c r="D52" s="107"/>
      <c r="E52" s="117">
        <f>SUM(B19:B20)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SUM(B29:B30)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0" si="7">B31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>B45</f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8.7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8.7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0" t="s">
        <v>65</v>
      </c>
      <c r="B38" s="131"/>
      <c r="C38" s="77" t="s">
        <v>66</v>
      </c>
      <c r="D38" s="78"/>
      <c r="E38" s="132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6"/>
      <c r="C39" s="81"/>
      <c r="D39" s="82"/>
      <c r="E39" s="126"/>
      <c r="F39" s="127"/>
      <c r="G39" s="83"/>
      <c r="H39" s="84"/>
    </row>
    <row r="40" spans="1:11" ht="15" customHeight="1">
      <c r="A40" s="109" t="s">
        <v>70</v>
      </c>
      <c r="B40" s="107"/>
      <c r="C40" s="85"/>
      <c r="D40" s="86"/>
      <c r="E40" s="128"/>
      <c r="F40" s="129"/>
      <c r="G40" s="87"/>
      <c r="H40" s="88"/>
    </row>
    <row r="41" spans="1:11" ht="14.25" customHeight="1">
      <c r="A41" s="109" t="s">
        <v>71</v>
      </c>
      <c r="B41" s="107"/>
      <c r="C41" s="89"/>
      <c r="D41" s="82"/>
      <c r="E41" s="141"/>
      <c r="F41" s="129"/>
      <c r="G41" s="87"/>
      <c r="H41" s="88"/>
    </row>
    <row r="42" spans="1:11" ht="14.25" customHeight="1">
      <c r="A42" s="125" t="s">
        <v>72</v>
      </c>
      <c r="B42" s="113"/>
      <c r="C42" s="90"/>
      <c r="D42" s="74"/>
      <c r="E42" s="134"/>
      <c r="F42" s="129"/>
      <c r="G42" s="47"/>
      <c r="H42" s="88"/>
    </row>
    <row r="43" spans="1:11" ht="14.25" customHeight="1">
      <c r="A43" s="109" t="s">
        <v>73</v>
      </c>
      <c r="B43" s="107"/>
      <c r="C43" s="91"/>
      <c r="D43" s="74"/>
      <c r="E43" s="133"/>
      <c r="F43" s="129"/>
      <c r="G43" s="47"/>
      <c r="H43" s="88"/>
    </row>
    <row r="44" spans="1:11" ht="14.25" customHeight="1">
      <c r="A44" s="109" t="s">
        <v>74</v>
      </c>
      <c r="B44" s="107"/>
      <c r="C44" s="92"/>
      <c r="D44" s="93"/>
      <c r="E44" s="133"/>
      <c r="F44" s="129"/>
      <c r="G44" s="47"/>
      <c r="H44" s="88"/>
    </row>
    <row r="45" spans="1:11" ht="14.25" customHeight="1">
      <c r="A45" s="109" t="s">
        <v>75</v>
      </c>
      <c r="B45" s="107"/>
      <c r="C45" s="94">
        <v>0</v>
      </c>
      <c r="D45" s="95"/>
      <c r="E45" s="135"/>
      <c r="F45" s="136"/>
      <c r="G45" s="96"/>
      <c r="H45" s="97"/>
    </row>
    <row r="46" spans="1:11" ht="14.25" customHeight="1">
      <c r="A46" s="111" t="s">
        <v>76</v>
      </c>
      <c r="B46" s="112"/>
      <c r="C46" s="112"/>
      <c r="D46" s="112"/>
      <c r="E46" s="112"/>
      <c r="F46" s="112"/>
      <c r="G46" s="112"/>
      <c r="H46" s="113"/>
    </row>
    <row r="47" spans="1:11" ht="15" customHeight="1">
      <c r="A47" s="114"/>
      <c r="B47" s="115"/>
      <c r="C47" s="115"/>
      <c r="D47" s="115"/>
      <c r="E47" s="115"/>
      <c r="F47" s="115"/>
      <c r="G47" s="115"/>
      <c r="H47" s="116"/>
    </row>
    <row r="48" spans="1:11" ht="14.25" customHeight="1">
      <c r="A48" s="98"/>
      <c r="B48" s="110" t="s">
        <v>77</v>
      </c>
      <c r="C48" s="106"/>
      <c r="D48" s="107"/>
      <c r="E48" s="110" t="s">
        <v>78</v>
      </c>
      <c r="F48" s="106"/>
      <c r="G48" s="106"/>
      <c r="H48" s="107"/>
    </row>
    <row r="49" spans="1:8" ht="14.25" customHeight="1">
      <c r="A49" s="98"/>
      <c r="B49" s="105" t="s">
        <v>79</v>
      </c>
      <c r="C49" s="106"/>
      <c r="D49" s="107"/>
      <c r="E49" s="108">
        <f>SUM(B9:B12)</f>
        <v>0</v>
      </c>
      <c r="F49" s="106"/>
      <c r="G49" s="106"/>
      <c r="H49" s="107"/>
    </row>
    <row r="50" spans="1:8" ht="14.25" customHeight="1">
      <c r="A50" s="98"/>
      <c r="B50" s="105" t="s">
        <v>52</v>
      </c>
      <c r="C50" s="106"/>
      <c r="D50" s="107"/>
      <c r="E50" s="108">
        <f>SUM(B6:B8)</f>
        <v>0</v>
      </c>
      <c r="F50" s="106"/>
      <c r="G50" s="106"/>
      <c r="H50" s="107"/>
    </row>
    <row r="51" spans="1:8" ht="14.25" customHeight="1">
      <c r="A51" s="98"/>
      <c r="B51" s="105" t="s">
        <v>80</v>
      </c>
      <c r="C51" s="106"/>
      <c r="D51" s="107"/>
      <c r="E51" s="120">
        <f>SUM(B13:B14)</f>
        <v>0</v>
      </c>
      <c r="F51" s="121"/>
      <c r="G51" s="121"/>
      <c r="H51" s="122"/>
    </row>
    <row r="52" spans="1:8" ht="14.25" customHeight="1">
      <c r="A52" s="37"/>
      <c r="B52" s="119" t="s">
        <v>61</v>
      </c>
      <c r="C52" s="106"/>
      <c r="D52" s="107"/>
      <c r="E52" s="117">
        <f>SUM(B17:B18)</f>
        <v>0</v>
      </c>
      <c r="F52" s="106"/>
      <c r="G52" s="106"/>
      <c r="H52" s="107"/>
    </row>
    <row r="53" spans="1:8" ht="14.25" customHeight="1">
      <c r="A53" s="37"/>
      <c r="B53" s="119" t="s">
        <v>62</v>
      </c>
      <c r="C53" s="106"/>
      <c r="D53" s="107"/>
      <c r="E53" s="117">
        <f>SUM(B19:B20)</f>
        <v>0</v>
      </c>
      <c r="F53" s="106"/>
      <c r="G53" s="106"/>
      <c r="H53" s="107"/>
    </row>
    <row r="54" spans="1:8" ht="14.25" customHeight="1">
      <c r="A54" s="37"/>
      <c r="B54" s="119" t="s">
        <v>81</v>
      </c>
      <c r="C54" s="106"/>
      <c r="D54" s="107"/>
      <c r="E54" s="117">
        <f t="shared" ref="E54:E61" si="7">B29</f>
        <v>0</v>
      </c>
      <c r="F54" s="106"/>
      <c r="G54" s="106"/>
      <c r="H54" s="107"/>
    </row>
    <row r="55" spans="1:8" ht="14.25" customHeight="1">
      <c r="A55" s="37"/>
      <c r="B55" s="119" t="s">
        <v>81</v>
      </c>
      <c r="C55" s="106"/>
      <c r="D55" s="107"/>
      <c r="E55" s="117">
        <f t="shared" si="7"/>
        <v>0</v>
      </c>
      <c r="F55" s="106"/>
      <c r="G55" s="106"/>
      <c r="H55" s="107"/>
    </row>
    <row r="56" spans="1:8" ht="14.25" customHeight="1">
      <c r="A56" s="37"/>
      <c r="B56" s="119" t="s">
        <v>81</v>
      </c>
      <c r="C56" s="106"/>
      <c r="D56" s="107"/>
      <c r="E56" s="117">
        <f t="shared" si="7"/>
        <v>0</v>
      </c>
      <c r="F56" s="106"/>
      <c r="G56" s="106"/>
      <c r="H56" s="107"/>
    </row>
    <row r="57" spans="1:8" ht="14.25" customHeight="1">
      <c r="A57" s="37"/>
      <c r="B57" s="119" t="s">
        <v>81</v>
      </c>
      <c r="C57" s="106"/>
      <c r="D57" s="107"/>
      <c r="E57" s="117">
        <f t="shared" si="7"/>
        <v>0</v>
      </c>
      <c r="F57" s="106"/>
      <c r="G57" s="106"/>
      <c r="H57" s="107"/>
    </row>
    <row r="58" spans="1:8" ht="14.25" customHeight="1">
      <c r="A58" s="37"/>
      <c r="B58" s="119" t="s">
        <v>81</v>
      </c>
      <c r="C58" s="106"/>
      <c r="D58" s="107"/>
      <c r="E58" s="117">
        <f t="shared" si="7"/>
        <v>0</v>
      </c>
      <c r="F58" s="106"/>
      <c r="G58" s="106"/>
      <c r="H58" s="107"/>
    </row>
    <row r="59" spans="1:8" ht="14.25" customHeight="1">
      <c r="A59" s="37"/>
      <c r="B59" s="119" t="s">
        <v>81</v>
      </c>
      <c r="C59" s="106"/>
      <c r="D59" s="107"/>
      <c r="E59" s="117">
        <f t="shared" si="7"/>
        <v>0</v>
      </c>
      <c r="F59" s="106"/>
      <c r="G59" s="106"/>
      <c r="H59" s="107"/>
    </row>
    <row r="60" spans="1:8" ht="14.25" customHeight="1">
      <c r="A60" s="37"/>
      <c r="B60" s="119" t="s">
        <v>81</v>
      </c>
      <c r="C60" s="106"/>
      <c r="D60" s="107"/>
      <c r="E60" s="117">
        <f t="shared" si="7"/>
        <v>0</v>
      </c>
      <c r="F60" s="106"/>
      <c r="G60" s="106"/>
      <c r="H60" s="107"/>
    </row>
    <row r="61" spans="1:8" ht="14.25" customHeight="1">
      <c r="A61" s="37"/>
      <c r="B61" s="119" t="s">
        <v>81</v>
      </c>
      <c r="C61" s="106"/>
      <c r="D61" s="107"/>
      <c r="E61" s="117">
        <f t="shared" si="7"/>
        <v>0</v>
      </c>
      <c r="F61" s="106"/>
      <c r="G61" s="106"/>
      <c r="H61" s="107"/>
    </row>
    <row r="62" spans="1:8" ht="14.25" customHeight="1">
      <c r="A62" s="37"/>
      <c r="B62" s="119" t="s">
        <v>82</v>
      </c>
      <c r="C62" s="106"/>
      <c r="D62" s="107"/>
      <c r="E62" s="117">
        <f>SUM(E49:H61)</f>
        <v>0</v>
      </c>
      <c r="F62" s="106"/>
      <c r="G62" s="106"/>
      <c r="H62" s="107"/>
    </row>
    <row r="63" spans="1:8" ht="14.25" customHeight="1">
      <c r="B63" s="119"/>
      <c r="C63" s="106"/>
      <c r="D63" s="107"/>
      <c r="E63" s="118"/>
      <c r="F63" s="106"/>
      <c r="G63" s="106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3" t="s">
        <v>42</v>
      </c>
      <c r="B1" s="112"/>
      <c r="C1" s="112"/>
      <c r="D1" s="112"/>
      <c r="E1" s="112"/>
      <c r="F1" s="112"/>
      <c r="G1" s="112"/>
      <c r="H1" s="113"/>
    </row>
    <row r="2" spans="1:8" ht="14.25" customHeight="1">
      <c r="A2" s="114"/>
      <c r="B2" s="115"/>
      <c r="C2" s="115"/>
      <c r="D2" s="115"/>
      <c r="E2" s="115"/>
      <c r="F2" s="115"/>
      <c r="G2" s="115"/>
      <c r="H2" s="116"/>
    </row>
    <row r="3" spans="1:8" ht="14.25" customHeight="1">
      <c r="A3" s="137" t="s">
        <v>43</v>
      </c>
      <c r="B3" s="138"/>
      <c r="C3" s="138"/>
      <c r="D3" s="138"/>
      <c r="E3" s="138"/>
      <c r="F3" s="138"/>
      <c r="G3" s="138"/>
      <c r="H3" s="139"/>
    </row>
    <row r="4" spans="1:8" ht="14.25" customHeight="1">
      <c r="A4" s="114"/>
      <c r="B4" s="115"/>
      <c r="C4" s="115"/>
      <c r="D4" s="115"/>
      <c r="E4" s="115"/>
      <c r="F4" s="115"/>
      <c r="G4" s="115"/>
      <c r="H4" s="116"/>
    </row>
    <row r="5" spans="1:8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6"/>
      <c r="D6" s="127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6"/>
      <c r="D7" s="127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8"/>
      <c r="D8" s="12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8"/>
      <c r="D9" s="12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8"/>
      <c r="D10" s="12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8"/>
      <c r="D11" s="12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8"/>
      <c r="D12" s="12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8"/>
      <c r="D13" s="12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8"/>
      <c r="D14" s="12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</row>
    <row r="32" spans="1:8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</row>
    <row r="33" spans="1:8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</row>
    <row r="34" spans="1:8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</row>
    <row r="35" spans="1:8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</row>
    <row r="36" spans="1:8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</row>
    <row r="37" spans="1:8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</row>
    <row r="38" spans="1:8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</row>
    <row r="39" spans="1:8" ht="15" customHeight="1">
      <c r="A39" s="114"/>
      <c r="B39" s="115"/>
      <c r="C39" s="115"/>
      <c r="D39" s="115"/>
      <c r="E39" s="115"/>
      <c r="F39" s="115"/>
      <c r="G39" s="115"/>
      <c r="H39" s="116"/>
    </row>
    <row r="40" spans="1:8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</row>
    <row r="41" spans="1:8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</row>
    <row r="42" spans="1:8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</row>
    <row r="43" spans="1:8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</row>
    <row r="44" spans="1:8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</row>
    <row r="45" spans="1:8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</row>
    <row r="46" spans="1:8" ht="14.25" customHeight="1">
      <c r="A46" s="37"/>
      <c r="B46" s="119" t="s">
        <v>81</v>
      </c>
      <c r="C46" s="106"/>
      <c r="D46" s="107"/>
      <c r="E46" s="117">
        <f t="shared" ref="E46:E53" si="11">B21</f>
        <v>0</v>
      </c>
      <c r="F46" s="106"/>
      <c r="G46" s="106"/>
      <c r="H46" s="107"/>
    </row>
    <row r="47" spans="1:8" ht="14.25" customHeight="1">
      <c r="A47" s="37"/>
      <c r="B47" s="119" t="s">
        <v>81</v>
      </c>
      <c r="C47" s="106"/>
      <c r="D47" s="107"/>
      <c r="E47" s="117">
        <f t="shared" si="11"/>
        <v>0</v>
      </c>
      <c r="F47" s="106"/>
      <c r="G47" s="106"/>
      <c r="H47" s="107"/>
    </row>
    <row r="48" spans="1:8" ht="14.25" customHeight="1">
      <c r="A48" s="37"/>
      <c r="B48" s="119" t="s">
        <v>81</v>
      </c>
      <c r="C48" s="106"/>
      <c r="D48" s="107"/>
      <c r="E48" s="117">
        <f t="shared" si="11"/>
        <v>0</v>
      </c>
      <c r="F48" s="106"/>
      <c r="G48" s="106"/>
      <c r="H48" s="107"/>
    </row>
    <row r="49" spans="1:8" ht="14.25" customHeight="1">
      <c r="A49" s="37"/>
      <c r="B49" s="119" t="s">
        <v>81</v>
      </c>
      <c r="C49" s="106"/>
      <c r="D49" s="107"/>
      <c r="E49" s="117">
        <f t="shared" si="11"/>
        <v>0</v>
      </c>
      <c r="F49" s="106"/>
      <c r="G49" s="106"/>
      <c r="H49" s="107"/>
    </row>
    <row r="50" spans="1:8" ht="14.25" customHeight="1">
      <c r="A50" s="37"/>
      <c r="B50" s="119" t="s">
        <v>81</v>
      </c>
      <c r="C50" s="106"/>
      <c r="D50" s="107"/>
      <c r="E50" s="117">
        <f t="shared" si="11"/>
        <v>0</v>
      </c>
      <c r="F50" s="106"/>
      <c r="G50" s="106"/>
      <c r="H50" s="107"/>
    </row>
    <row r="51" spans="1:8" ht="14.25" customHeight="1">
      <c r="A51" s="37"/>
      <c r="B51" s="119" t="s">
        <v>81</v>
      </c>
      <c r="C51" s="106"/>
      <c r="D51" s="107"/>
      <c r="E51" s="117">
        <f t="shared" si="11"/>
        <v>0</v>
      </c>
      <c r="F51" s="106"/>
      <c r="G51" s="106"/>
      <c r="H51" s="107"/>
    </row>
    <row r="52" spans="1:8" ht="14.25" customHeight="1">
      <c r="B52" s="119" t="s">
        <v>81</v>
      </c>
      <c r="C52" s="106"/>
      <c r="D52" s="107"/>
      <c r="E52" s="117">
        <f t="shared" si="11"/>
        <v>0</v>
      </c>
      <c r="F52" s="106"/>
      <c r="G52" s="106"/>
      <c r="H52" s="107"/>
    </row>
    <row r="53" spans="1:8" ht="14.25" customHeight="1">
      <c r="B53" s="119" t="s">
        <v>81</v>
      </c>
      <c r="C53" s="106"/>
      <c r="D53" s="107"/>
      <c r="E53" s="117">
        <f t="shared" si="11"/>
        <v>0</v>
      </c>
      <c r="F53" s="106"/>
      <c r="G53" s="106"/>
      <c r="H53" s="107"/>
    </row>
    <row r="54" spans="1:8" ht="14.25" customHeight="1">
      <c r="B54" s="119" t="s">
        <v>82</v>
      </c>
      <c r="C54" s="106"/>
      <c r="D54" s="107"/>
      <c r="E54" s="117">
        <f>SUM(E41:H53)</f>
        <v>0</v>
      </c>
      <c r="F54" s="106"/>
      <c r="G54" s="106"/>
      <c r="H54" s="107"/>
    </row>
    <row r="55" spans="1:8" ht="14.25" customHeight="1">
      <c r="B55" s="119"/>
      <c r="C55" s="106"/>
      <c r="D55" s="107"/>
      <c r="E55" s="118"/>
      <c r="F55" s="106"/>
      <c r="G55" s="106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3" t="s">
        <v>42</v>
      </c>
      <c r="B1" s="112"/>
      <c r="C1" s="112"/>
      <c r="D1" s="112"/>
      <c r="E1" s="112"/>
      <c r="F1" s="112"/>
      <c r="G1" s="112"/>
      <c r="H1" s="113"/>
      <c r="I1" s="37"/>
      <c r="J1" s="37"/>
      <c r="K1" s="37"/>
    </row>
    <row r="2" spans="1:11" ht="14.25" customHeight="1">
      <c r="A2" s="114"/>
      <c r="B2" s="115"/>
      <c r="C2" s="115"/>
      <c r="D2" s="115"/>
      <c r="E2" s="115"/>
      <c r="F2" s="115"/>
      <c r="G2" s="115"/>
      <c r="H2" s="116"/>
      <c r="I2" s="37"/>
      <c r="J2" s="37"/>
      <c r="K2" s="37"/>
    </row>
    <row r="3" spans="1:11" ht="14.25" customHeight="1">
      <c r="A3" s="137" t="s">
        <v>43</v>
      </c>
      <c r="B3" s="138"/>
      <c r="C3" s="138"/>
      <c r="D3" s="138"/>
      <c r="E3" s="138"/>
      <c r="F3" s="138"/>
      <c r="G3" s="138"/>
      <c r="H3" s="139"/>
      <c r="I3" s="37"/>
      <c r="J3" s="37"/>
      <c r="K3" s="37"/>
    </row>
    <row r="4" spans="1:11" ht="14.25" customHeight="1">
      <c r="A4" s="114"/>
      <c r="B4" s="115"/>
      <c r="C4" s="115"/>
      <c r="D4" s="115"/>
      <c r="E4" s="115"/>
      <c r="F4" s="115"/>
      <c r="G4" s="115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0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6"/>
      <c r="D6" s="127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6"/>
      <c r="D7" s="127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8"/>
      <c r="D8" s="12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8"/>
      <c r="D9" s="12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8"/>
      <c r="D10" s="12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8"/>
      <c r="D11" s="12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8"/>
      <c r="D12" s="12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8"/>
      <c r="D13" s="12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8"/>
      <c r="D14" s="12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4" t="s">
        <v>57</v>
      </c>
      <c r="B15" s="106"/>
      <c r="C15" s="106"/>
      <c r="D15" s="106"/>
      <c r="E15" s="106"/>
      <c r="F15" s="106"/>
      <c r="G15" s="106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0" t="s">
        <v>65</v>
      </c>
      <c r="B30" s="131"/>
      <c r="C30" s="77" t="s">
        <v>66</v>
      </c>
      <c r="D30" s="78"/>
      <c r="E30" s="132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6"/>
      <c r="C31" s="81"/>
      <c r="D31" s="82"/>
      <c r="E31" s="126"/>
      <c r="F31" s="127"/>
      <c r="G31" s="83"/>
      <c r="H31" s="84"/>
      <c r="I31" s="37"/>
      <c r="J31" s="37"/>
      <c r="K31" s="37"/>
    </row>
    <row r="32" spans="1:11" ht="14.25" customHeight="1">
      <c r="A32" s="109" t="s">
        <v>70</v>
      </c>
      <c r="B32" s="107"/>
      <c r="C32" s="85"/>
      <c r="D32" s="86"/>
      <c r="E32" s="128"/>
      <c r="F32" s="129"/>
      <c r="G32" s="87"/>
      <c r="H32" s="88"/>
      <c r="I32" s="37"/>
      <c r="J32" s="37"/>
      <c r="K32" s="37"/>
    </row>
    <row r="33" spans="1:11" ht="14.25" customHeight="1">
      <c r="A33" s="109" t="s">
        <v>71</v>
      </c>
      <c r="B33" s="107"/>
      <c r="C33" s="89"/>
      <c r="D33" s="82"/>
      <c r="E33" s="141"/>
      <c r="F33" s="129"/>
      <c r="G33" s="87"/>
      <c r="H33" s="88"/>
      <c r="I33" s="37"/>
      <c r="J33" s="37"/>
      <c r="K33" s="37"/>
    </row>
    <row r="34" spans="1:11" ht="14.25" customHeight="1">
      <c r="A34" s="125" t="s">
        <v>72</v>
      </c>
      <c r="B34" s="113"/>
      <c r="C34" s="90"/>
      <c r="D34" s="74"/>
      <c r="E34" s="134"/>
      <c r="F34" s="129"/>
      <c r="G34" s="47"/>
      <c r="H34" s="88"/>
      <c r="I34" s="37"/>
      <c r="J34" s="37"/>
      <c r="K34" s="37"/>
    </row>
    <row r="35" spans="1:11" ht="14.25" customHeight="1">
      <c r="A35" s="109" t="s">
        <v>73</v>
      </c>
      <c r="B35" s="107"/>
      <c r="C35" s="91"/>
      <c r="D35" s="74"/>
      <c r="E35" s="133"/>
      <c r="F35" s="129"/>
      <c r="G35" s="47"/>
      <c r="H35" s="88"/>
      <c r="I35" s="37"/>
      <c r="J35" s="37"/>
      <c r="K35" s="37"/>
    </row>
    <row r="36" spans="1:11" ht="14.25" customHeight="1">
      <c r="A36" s="109" t="s">
        <v>74</v>
      </c>
      <c r="B36" s="107"/>
      <c r="C36" s="92"/>
      <c r="D36" s="93"/>
      <c r="E36" s="133"/>
      <c r="F36" s="129"/>
      <c r="G36" s="47"/>
      <c r="H36" s="88"/>
      <c r="I36" s="37"/>
      <c r="J36" s="37"/>
      <c r="K36" s="37"/>
    </row>
    <row r="37" spans="1:11" ht="14.25" customHeight="1">
      <c r="A37" s="109" t="s">
        <v>75</v>
      </c>
      <c r="B37" s="107"/>
      <c r="C37" s="94">
        <v>0</v>
      </c>
      <c r="D37" s="95"/>
      <c r="E37" s="135"/>
      <c r="F37" s="136"/>
      <c r="G37" s="96"/>
      <c r="H37" s="97"/>
      <c r="I37" s="37"/>
      <c r="J37" s="37"/>
      <c r="K37" s="37"/>
    </row>
    <row r="38" spans="1:11" ht="14.25" customHeight="1">
      <c r="A38" s="111" t="s">
        <v>76</v>
      </c>
      <c r="B38" s="112"/>
      <c r="C38" s="112"/>
      <c r="D38" s="112"/>
      <c r="E38" s="112"/>
      <c r="F38" s="112"/>
      <c r="G38" s="112"/>
      <c r="H38" s="113"/>
      <c r="I38" s="37"/>
      <c r="J38" s="37"/>
      <c r="K38" s="37"/>
    </row>
    <row r="39" spans="1:11" ht="15" customHeight="1">
      <c r="A39" s="114"/>
      <c r="B39" s="115"/>
      <c r="C39" s="115"/>
      <c r="D39" s="115"/>
      <c r="E39" s="115"/>
      <c r="F39" s="115"/>
      <c r="G39" s="115"/>
      <c r="H39" s="116"/>
      <c r="I39" s="37"/>
      <c r="J39" s="37"/>
      <c r="K39" s="37"/>
    </row>
    <row r="40" spans="1:11" ht="14.25" customHeight="1">
      <c r="A40" s="98"/>
      <c r="B40" s="110" t="s">
        <v>77</v>
      </c>
      <c r="C40" s="106"/>
      <c r="D40" s="107"/>
      <c r="E40" s="110" t="s">
        <v>78</v>
      </c>
      <c r="F40" s="106"/>
      <c r="G40" s="106"/>
      <c r="H40" s="107"/>
      <c r="I40" s="37"/>
      <c r="J40" s="37"/>
      <c r="K40" s="37"/>
    </row>
    <row r="41" spans="1:11" ht="14.25" customHeight="1">
      <c r="A41" s="98"/>
      <c r="B41" s="105" t="s">
        <v>79</v>
      </c>
      <c r="C41" s="106"/>
      <c r="D41" s="107"/>
      <c r="E41" s="108">
        <f>SUM(B9:B12)</f>
        <v>0</v>
      </c>
      <c r="F41" s="106"/>
      <c r="G41" s="106"/>
      <c r="H41" s="107"/>
      <c r="I41" s="37"/>
      <c r="J41" s="37"/>
      <c r="K41" s="37"/>
    </row>
    <row r="42" spans="1:11" ht="14.25" customHeight="1">
      <c r="A42" s="98"/>
      <c r="B42" s="105" t="s">
        <v>52</v>
      </c>
      <c r="C42" s="106"/>
      <c r="D42" s="107"/>
      <c r="E42" s="108">
        <f>SUM(B6:B8)</f>
        <v>0</v>
      </c>
      <c r="F42" s="106"/>
      <c r="G42" s="106"/>
      <c r="H42" s="107"/>
      <c r="I42" s="37"/>
      <c r="J42" s="37"/>
      <c r="K42" s="37"/>
    </row>
    <row r="43" spans="1:11" ht="14.25" customHeight="1">
      <c r="A43" s="98"/>
      <c r="B43" s="105" t="s">
        <v>80</v>
      </c>
      <c r="C43" s="106"/>
      <c r="D43" s="107"/>
      <c r="E43" s="120">
        <f>SUM(B13:B14)</f>
        <v>0</v>
      </c>
      <c r="F43" s="121"/>
      <c r="G43" s="121"/>
      <c r="H43" s="122"/>
      <c r="I43" s="37"/>
      <c r="J43" s="37"/>
      <c r="K43" s="37"/>
    </row>
    <row r="44" spans="1:11" ht="14.25" customHeight="1">
      <c r="A44" s="37"/>
      <c r="B44" s="119" t="s">
        <v>61</v>
      </c>
      <c r="C44" s="106"/>
      <c r="D44" s="107"/>
      <c r="E44" s="117">
        <f>SUM(B17:B18)</f>
        <v>0</v>
      </c>
      <c r="F44" s="106"/>
      <c r="G44" s="106"/>
      <c r="H44" s="107"/>
      <c r="I44" s="37"/>
      <c r="J44" s="37"/>
      <c r="K44" s="37"/>
    </row>
    <row r="45" spans="1:11" ht="14.25" customHeight="1">
      <c r="A45" s="37"/>
      <c r="B45" s="119" t="s">
        <v>62</v>
      </c>
      <c r="C45" s="106"/>
      <c r="D45" s="107"/>
      <c r="E45" s="117">
        <f>SUM(B19:B20)</f>
        <v>0</v>
      </c>
      <c r="F45" s="106"/>
      <c r="G45" s="106"/>
      <c r="H45" s="107"/>
      <c r="I45" s="37"/>
      <c r="J45" s="37"/>
      <c r="K45" s="37"/>
    </row>
    <row r="46" spans="1:11" ht="14.25" customHeight="1">
      <c r="A46" s="37"/>
      <c r="B46" s="119" t="s">
        <v>81</v>
      </c>
      <c r="C46" s="106"/>
      <c r="D46" s="107"/>
      <c r="E46" s="117">
        <f t="shared" ref="E46:E53" si="0">B21</f>
        <v>0</v>
      </c>
      <c r="F46" s="106"/>
      <c r="G46" s="106"/>
      <c r="H46" s="107"/>
      <c r="I46" s="37"/>
      <c r="J46" s="37"/>
      <c r="K46" s="37"/>
    </row>
    <row r="47" spans="1:11" ht="14.25" customHeight="1">
      <c r="A47" s="37"/>
      <c r="B47" s="119" t="s">
        <v>81</v>
      </c>
      <c r="C47" s="106"/>
      <c r="D47" s="107"/>
      <c r="E47" s="117">
        <f t="shared" si="0"/>
        <v>0</v>
      </c>
      <c r="F47" s="106"/>
      <c r="G47" s="106"/>
      <c r="H47" s="107"/>
      <c r="I47" s="37"/>
      <c r="J47" s="37"/>
      <c r="K47" s="37"/>
    </row>
    <row r="48" spans="1:11" ht="14.25" customHeight="1">
      <c r="A48" s="37"/>
      <c r="B48" s="119" t="s">
        <v>81</v>
      </c>
      <c r="C48" s="106"/>
      <c r="D48" s="107"/>
      <c r="E48" s="117">
        <f t="shared" si="0"/>
        <v>0</v>
      </c>
      <c r="F48" s="106"/>
      <c r="G48" s="106"/>
      <c r="H48" s="107"/>
      <c r="I48" s="37"/>
      <c r="J48" s="37"/>
      <c r="K48" s="37"/>
    </row>
    <row r="49" spans="1:11" ht="14.25" customHeight="1">
      <c r="A49" s="37"/>
      <c r="B49" s="119" t="s">
        <v>81</v>
      </c>
      <c r="C49" s="106"/>
      <c r="D49" s="107"/>
      <c r="E49" s="117">
        <f t="shared" si="0"/>
        <v>0</v>
      </c>
      <c r="F49" s="106"/>
      <c r="G49" s="106"/>
      <c r="H49" s="107"/>
      <c r="I49" s="37"/>
      <c r="J49" s="37"/>
      <c r="K49" s="37"/>
    </row>
    <row r="50" spans="1:11" ht="14.25" customHeight="1">
      <c r="A50" s="37"/>
      <c r="B50" s="119" t="s">
        <v>81</v>
      </c>
      <c r="C50" s="106"/>
      <c r="D50" s="107"/>
      <c r="E50" s="117">
        <f t="shared" si="0"/>
        <v>0</v>
      </c>
      <c r="F50" s="106"/>
      <c r="G50" s="106"/>
      <c r="H50" s="107"/>
      <c r="I50" s="37"/>
      <c r="J50" s="37"/>
      <c r="K50" s="37"/>
    </row>
    <row r="51" spans="1:11" ht="14.25" customHeight="1">
      <c r="A51" s="37"/>
      <c r="B51" s="119" t="s">
        <v>81</v>
      </c>
      <c r="C51" s="106"/>
      <c r="D51" s="107"/>
      <c r="E51" s="117">
        <f t="shared" si="0"/>
        <v>0</v>
      </c>
      <c r="F51" s="106"/>
      <c r="G51" s="106"/>
      <c r="H51" s="107"/>
      <c r="I51" s="37"/>
      <c r="J51" s="37"/>
      <c r="K51" s="37"/>
    </row>
    <row r="52" spans="1:11" ht="14.25" customHeight="1">
      <c r="A52" s="37"/>
      <c r="B52" s="119" t="s">
        <v>81</v>
      </c>
      <c r="C52" s="106"/>
      <c r="D52" s="107"/>
      <c r="E52" s="117">
        <f t="shared" si="0"/>
        <v>0</v>
      </c>
      <c r="F52" s="106"/>
      <c r="G52" s="106"/>
      <c r="H52" s="107"/>
      <c r="I52" s="37"/>
      <c r="J52" s="37"/>
      <c r="K52" s="37"/>
    </row>
    <row r="53" spans="1:11" ht="14.25" customHeight="1">
      <c r="A53" s="37"/>
      <c r="B53" s="119" t="s">
        <v>81</v>
      </c>
      <c r="C53" s="106"/>
      <c r="D53" s="107"/>
      <c r="E53" s="117">
        <f t="shared" si="0"/>
        <v>0</v>
      </c>
      <c r="F53" s="106"/>
      <c r="G53" s="106"/>
      <c r="H53" s="107"/>
      <c r="I53" s="37"/>
      <c r="J53" s="37"/>
      <c r="K53" s="37"/>
    </row>
    <row r="54" spans="1:11" ht="14.25" customHeight="1">
      <c r="A54" s="37"/>
      <c r="B54" s="119" t="s">
        <v>82</v>
      </c>
      <c r="C54" s="106"/>
      <c r="D54" s="107"/>
      <c r="E54" s="162">
        <f>SUM(E41:H53)</f>
        <v>0</v>
      </c>
      <c r="F54" s="106"/>
      <c r="G54" s="106"/>
      <c r="H54" s="107"/>
      <c r="I54" s="37"/>
      <c r="J54" s="37"/>
      <c r="K54" s="37"/>
    </row>
    <row r="55" spans="1:11" ht="14.25" customHeight="1">
      <c r="A55" s="37"/>
      <c r="B55" s="119"/>
      <c r="C55" s="106"/>
      <c r="D55" s="107"/>
      <c r="E55" s="118"/>
      <c r="F55" s="106"/>
      <c r="G55" s="106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A1:H2"/>
    <mergeCell ref="A3:H4"/>
    <mergeCell ref="C5:D5"/>
    <mergeCell ref="C6:D6"/>
    <mergeCell ref="C7:D7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B42:D42"/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1" t="s">
        <v>76</v>
      </c>
      <c r="B1" s="112"/>
      <c r="C1" s="112"/>
      <c r="D1" s="112"/>
      <c r="E1" s="112"/>
      <c r="F1" s="112"/>
      <c r="G1" s="113"/>
    </row>
    <row r="2" spans="1:7" ht="14.25" customHeight="1">
      <c r="A2" s="114"/>
      <c r="B2" s="115"/>
      <c r="C2" s="115"/>
      <c r="D2" s="115"/>
      <c r="E2" s="115"/>
      <c r="F2" s="115"/>
      <c r="G2" s="116"/>
    </row>
    <row r="3" spans="1:7" ht="14.25" customHeight="1">
      <c r="A3" s="182" t="s">
        <v>77</v>
      </c>
      <c r="B3" s="106"/>
      <c r="C3" s="107"/>
      <c r="D3" s="182" t="s">
        <v>78</v>
      </c>
      <c r="E3" s="106"/>
      <c r="F3" s="106"/>
      <c r="G3" s="107"/>
    </row>
    <row r="4" spans="1:7" ht="41.25" customHeight="1">
      <c r="A4" s="181" t="s">
        <v>79</v>
      </c>
      <c r="B4" s="106"/>
      <c r="C4" s="107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55813</v>
      </c>
      <c r="E4" s="106"/>
      <c r="F4" s="106"/>
      <c r="G4" s="107"/>
    </row>
    <row r="5" spans="1:7" ht="36.75" customHeight="1">
      <c r="A5" s="181" t="s">
        <v>52</v>
      </c>
      <c r="B5" s="106"/>
      <c r="C5" s="107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333</v>
      </c>
      <c r="E5" s="106"/>
      <c r="F5" s="106"/>
      <c r="G5" s="107"/>
    </row>
    <row r="6" spans="1:7" ht="39.75" customHeight="1">
      <c r="A6" s="181" t="s">
        <v>56</v>
      </c>
      <c r="B6" s="106"/>
      <c r="C6" s="107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8779</v>
      </c>
      <c r="E6" s="106"/>
      <c r="F6" s="106"/>
      <c r="G6" s="107"/>
    </row>
    <row r="7" spans="1:7" ht="38.25" customHeight="1">
      <c r="A7" s="180" t="s">
        <v>61</v>
      </c>
      <c r="B7" s="106"/>
      <c r="C7" s="107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540</v>
      </c>
      <c r="E7" s="106"/>
      <c r="F7" s="106"/>
      <c r="G7" s="107"/>
    </row>
    <row r="8" spans="1:7" ht="39.75" customHeight="1">
      <c r="A8" s="180" t="s">
        <v>62</v>
      </c>
      <c r="B8" s="106"/>
      <c r="C8" s="107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6"/>
      <c r="F8" s="106"/>
      <c r="G8" s="107"/>
    </row>
    <row r="9" spans="1:7" ht="38.25" customHeight="1">
      <c r="A9" s="180" t="s">
        <v>81</v>
      </c>
      <c r="B9" s="106"/>
      <c r="C9" s="107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6"/>
      <c r="F9" s="106"/>
      <c r="G9" s="107"/>
    </row>
    <row r="10" spans="1:7" ht="37.5" customHeight="1">
      <c r="A10" s="180" t="s">
        <v>81</v>
      </c>
      <c r="B10" s="106"/>
      <c r="C10" s="107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6"/>
      <c r="F10" s="106"/>
      <c r="G10" s="107"/>
    </row>
    <row r="11" spans="1:7" ht="38.25" customHeight="1">
      <c r="A11" s="180" t="s">
        <v>81</v>
      </c>
      <c r="B11" s="106"/>
      <c r="C11" s="107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6"/>
      <c r="F11" s="106"/>
      <c r="G11" s="107"/>
    </row>
    <row r="12" spans="1:7" ht="36" customHeight="1">
      <c r="A12" s="180" t="s">
        <v>81</v>
      </c>
      <c r="B12" s="106"/>
      <c r="C12" s="107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6"/>
      <c r="F12" s="106"/>
      <c r="G12" s="107"/>
    </row>
    <row r="13" spans="1:7" ht="37.5" customHeight="1">
      <c r="A13" s="180" t="s">
        <v>81</v>
      </c>
      <c r="B13" s="106"/>
      <c r="C13" s="107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6"/>
      <c r="F13" s="106"/>
      <c r="G13" s="107"/>
    </row>
    <row r="14" spans="1:7" ht="14.25" customHeight="1">
      <c r="A14" s="180" t="s">
        <v>81</v>
      </c>
      <c r="B14" s="106"/>
      <c r="C14" s="107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6"/>
      <c r="F14" s="106"/>
      <c r="G14" s="107"/>
    </row>
    <row r="15" spans="1:7" ht="14.25" customHeight="1">
      <c r="A15" s="180" t="s">
        <v>81</v>
      </c>
      <c r="B15" s="106"/>
      <c r="C15" s="107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6"/>
      <c r="F15" s="106"/>
      <c r="G15" s="107"/>
    </row>
    <row r="16" spans="1:7" ht="14.25" customHeight="1">
      <c r="A16" s="180" t="s">
        <v>81</v>
      </c>
      <c r="B16" s="106"/>
      <c r="C16" s="107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6"/>
      <c r="F16" s="106"/>
      <c r="G16" s="107"/>
    </row>
    <row r="17" spans="1:7" ht="14.25" customHeight="1">
      <c r="A17" s="180" t="s">
        <v>82</v>
      </c>
      <c r="B17" s="106"/>
      <c r="C17" s="107"/>
      <c r="D17" s="178">
        <f>SUM(D4:D16)</f>
        <v>65465</v>
      </c>
      <c r="E17" s="106"/>
      <c r="F17" s="106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2026-04-30T18:11:49Z</dcterms:modified>
</cp:coreProperties>
</file>