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9FE5AB5-D93E-40D0-9A6D-A46548B1E90B}" xr6:coauthVersionLast="47" xr6:coauthVersionMax="47" xr10:uidLastSave="{00000000-0000-0000-0000-000000000000}"/>
  <bookViews>
    <workbookView xWindow="-110" yWindow="-110" windowWidth="19420" windowHeight="10420" tabRatio="965" firstSheet="15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<sst xmlns="http://schemas.openxmlformats.org/spreadsheetml/2006/main" count="1779" uniqueCount="85">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</sst>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03" t="s">
        <v>38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115"/>
      <c r="M1" s="115"/>
      <c r="N1" s="115"/>
    </row>
    <row r="2" spans="1:15" ht="31" customHeight="1">
      <c r="A2" s="205" t="s">
        <v>37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115"/>
      <c r="M2" s="115"/>
      <c r="N2" s="115"/>
    </row>
    <row r="3" spans="1:15" ht="15" customHeight="1" thickBot="1">
      <c r="A3" s="205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97200</v>
      </c>
      <c r="C16" s="68">
        <f>KARONGI!G37</f>
        <v>9000</v>
      </c>
      <c r="D16" s="4"/>
      <c r="E16" s="3"/>
      <c r="F16" s="70">
        <f t="shared" si="0"/>
        <v>106200</v>
      </c>
      <c r="G16" s="67">
        <f>KARONGI!C41</f>
        <v>0</v>
      </c>
      <c r="H16" s="68">
        <f>KARONGI!C39</f>
        <v>106200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7764822</v>
      </c>
      <c r="C29" s="102">
        <f t="shared" si="1"/>
        <v>704700</v>
      </c>
      <c r="D29" s="103">
        <f t="shared" si="1"/>
        <v>0</v>
      </c>
      <c r="E29" s="102">
        <f t="shared" si="1"/>
        <v>0</v>
      </c>
      <c r="F29" s="102">
        <f>SUM(F5:F28)</f>
        <v>8469522</v>
      </c>
      <c r="G29" s="103">
        <f>SUM(G5:G28)</f>
        <v>0</v>
      </c>
      <c r="H29" s="103">
        <f>SUM(H5:H28)</f>
        <v>8469522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97"/>
      <c r="B30" s="197"/>
      <c r="C30" s="197"/>
      <c r="D30" s="198"/>
      <c r="E30" s="231" t="s">
        <v>12</v>
      </c>
      <c r="F30" s="232"/>
      <c r="G30" s="232"/>
      <c r="H30" s="232"/>
      <c r="I30" s="233"/>
      <c r="J30" s="207"/>
      <c r="K30" s="208"/>
      <c r="L30" s="115"/>
    </row>
    <row r="31" spans="1:15" ht="19" thickBot="1">
      <c r="A31" s="228" t="s">
        <v>9</v>
      </c>
      <c r="B31" s="229"/>
      <c r="C31" s="229"/>
      <c r="D31" s="229"/>
      <c r="E31" s="234"/>
      <c r="F31" s="235"/>
      <c r="G31" s="235"/>
      <c r="H31" s="235"/>
      <c r="I31" s="236"/>
      <c r="J31" s="209"/>
      <c r="K31" s="210"/>
      <c r="L31" s="115"/>
    </row>
    <row r="32" spans="1:15" ht="15" thickBot="1">
      <c r="A32" s="199" t="s">
        <v>13</v>
      </c>
      <c r="B32" s="200"/>
      <c r="C32" s="201">
        <f>SUM(B29:C29)</f>
        <v>8469522</v>
      </c>
      <c r="D32" s="202"/>
      <c r="E32" s="234"/>
      <c r="F32" s="235"/>
      <c r="G32" s="235"/>
      <c r="H32" s="235"/>
      <c r="I32" s="236"/>
      <c r="J32" s="209"/>
      <c r="K32" s="210"/>
      <c r="L32" s="115"/>
    </row>
    <row r="33" spans="1:12" ht="15" thickBot="1">
      <c r="A33" s="199" t="s">
        <v>14</v>
      </c>
      <c r="B33" s="200"/>
      <c r="C33" s="222">
        <f>SUM(F29,G29)</f>
        <v>8469522</v>
      </c>
      <c r="D33" s="230"/>
      <c r="E33" s="234"/>
      <c r="F33" s="235"/>
      <c r="G33" s="235"/>
      <c r="H33" s="235"/>
      <c r="I33" s="236"/>
      <c r="J33" s="209"/>
      <c r="K33" s="210"/>
      <c r="L33" s="115"/>
    </row>
    <row r="34" spans="1:12" ht="15" thickBot="1">
      <c r="A34" s="224" t="s">
        <v>83</v>
      </c>
      <c r="B34" s="225"/>
      <c r="C34" s="222">
        <f>SUM(H29,J29,I29)</f>
        <v>8469522</v>
      </c>
      <c r="D34" s="223"/>
      <c r="E34" s="234"/>
      <c r="F34" s="235"/>
      <c r="G34" s="235"/>
      <c r="H34" s="235"/>
      <c r="I34" s="236"/>
      <c r="J34" s="209"/>
      <c r="K34" s="210"/>
      <c r="L34" s="115"/>
    </row>
    <row r="35" spans="1:12" ht="15" thickBot="1">
      <c r="A35" s="199" t="s">
        <v>11</v>
      </c>
      <c r="B35" s="200"/>
      <c r="C35" s="222">
        <f>SUM(D29:E29)</f>
        <v>0</v>
      </c>
      <c r="D35" s="223"/>
      <c r="E35" s="237"/>
      <c r="F35" s="238"/>
      <c r="G35" s="238"/>
      <c r="H35" s="238"/>
      <c r="I35" s="239"/>
      <c r="J35" s="209"/>
      <c r="K35" s="210"/>
      <c r="L35" s="115"/>
    </row>
    <row r="36" spans="1:12" ht="15" thickBot="1">
      <c r="A36" s="199" t="s">
        <v>10</v>
      </c>
      <c r="B36" s="200"/>
      <c r="C36" s="222">
        <f t="shared" ref="C36" si="2">SUM(C33,C35)</f>
        <v>8469522</v>
      </c>
      <c r="D36" s="223"/>
      <c r="E36" s="213" t="s">
        <v>36</v>
      </c>
      <c r="F36" s="214"/>
      <c r="G36" s="214"/>
      <c r="H36" s="214"/>
      <c r="I36" s="215"/>
      <c r="J36" s="209"/>
      <c r="K36" s="210"/>
      <c r="L36" s="115"/>
    </row>
    <row r="37" spans="1:12" ht="15" thickBot="1">
      <c r="A37" s="226" t="s">
        <v>15</v>
      </c>
      <c r="B37" s="227"/>
      <c r="C37" s="222">
        <f>SUM(C34:C35)</f>
        <v>8469522</v>
      </c>
      <c r="D37" s="223"/>
      <c r="E37" s="216"/>
      <c r="F37" s="217"/>
      <c r="G37" s="217"/>
      <c r="H37" s="217"/>
      <c r="I37" s="218"/>
      <c r="J37" s="209"/>
      <c r="K37" s="210"/>
      <c r="L37" s="115"/>
    </row>
    <row r="38" spans="1:12" ht="26.5" thickBot="1">
      <c r="A38" s="219" t="s">
        <v>16</v>
      </c>
      <c r="B38" s="220"/>
      <c r="C38" s="220"/>
      <c r="D38" s="220"/>
      <c r="E38" s="220"/>
      <c r="F38" s="220"/>
      <c r="G38" s="220"/>
      <c r="H38" s="220"/>
      <c r="I38" s="221"/>
      <c r="J38" s="211"/>
      <c r="K38" s="21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22" customHeight="1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22" customHeight="1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22" customHeight="1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22" customHeight="1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24.5" customHeight="1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25" customHeight="1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91" t="s">
        <v>65</v>
      </c>
      <c r="C52" s="192"/>
      <c r="D52" s="193"/>
      <c r="E52" s="185">
        <f>SUM(B17:B18)</f>
        <v>0</v>
      </c>
      <c r="F52" s="186"/>
      <c r="G52" s="186"/>
      <c r="H52" s="187"/>
    </row>
    <row r="53" spans="1:8" ht="19" thickBot="1">
      <c r="B53" s="191" t="s">
        <v>66</v>
      </c>
      <c r="C53" s="192"/>
      <c r="D53" s="193"/>
      <c r="E53" s="185">
        <f>SUM(B19:B20)</f>
        <v>0</v>
      </c>
      <c r="F53" s="186"/>
      <c r="G53" s="186"/>
      <c r="H53" s="187"/>
    </row>
    <row r="54" spans="1:8" ht="19" thickBot="1">
      <c r="B54" s="191" t="s">
        <v>58</v>
      </c>
      <c r="C54" s="192"/>
      <c r="D54" s="193"/>
      <c r="E54" s="185">
        <f>B29</f>
        <v>0</v>
      </c>
      <c r="F54" s="188"/>
      <c r="G54" s="188"/>
      <c r="H54" s="189"/>
    </row>
    <row r="55" spans="1:8" ht="19" thickBot="1">
      <c r="B55" s="191" t="s">
        <v>58</v>
      </c>
      <c r="C55" s="192"/>
      <c r="D55" s="193"/>
      <c r="E55" s="185">
        <f t="shared" ref="E55:E61" si="3">B30</f>
        <v>0</v>
      </c>
      <c r="F55" s="188"/>
      <c r="G55" s="188"/>
      <c r="H55" s="189"/>
    </row>
    <row r="56" spans="1:8" ht="19" thickBot="1">
      <c r="B56" s="191" t="s">
        <v>58</v>
      </c>
      <c r="C56" s="192"/>
      <c r="D56" s="193"/>
      <c r="E56" s="185">
        <f t="shared" si="3"/>
        <v>0</v>
      </c>
      <c r="F56" s="188"/>
      <c r="G56" s="188"/>
      <c r="H56" s="189"/>
    </row>
    <row r="57" spans="1:8" ht="19" thickBot="1">
      <c r="B57" s="191" t="s">
        <v>58</v>
      </c>
      <c r="C57" s="192"/>
      <c r="D57" s="193"/>
      <c r="E57" s="185">
        <f t="shared" si="3"/>
        <v>0</v>
      </c>
      <c r="F57" s="188"/>
      <c r="G57" s="188"/>
      <c r="H57" s="189"/>
    </row>
    <row r="58" spans="1:8" ht="19" thickBot="1">
      <c r="B58" s="191" t="s">
        <v>58</v>
      </c>
      <c r="C58" s="192"/>
      <c r="D58" s="193"/>
      <c r="E58" s="185">
        <f t="shared" si="3"/>
        <v>0</v>
      </c>
      <c r="F58" s="188"/>
      <c r="G58" s="188"/>
      <c r="H58" s="189"/>
    </row>
    <row r="59" spans="1:8" ht="19" thickBot="1">
      <c r="B59" s="191" t="s">
        <v>58</v>
      </c>
      <c r="C59" s="192"/>
      <c r="D59" s="193"/>
      <c r="E59" s="185">
        <f t="shared" si="3"/>
        <v>0</v>
      </c>
      <c r="F59" s="188"/>
      <c r="G59" s="188"/>
      <c r="H59" s="189"/>
    </row>
    <row r="60" spans="1:8" ht="19" thickBot="1">
      <c r="B60" s="191" t="s">
        <v>58</v>
      </c>
      <c r="C60" s="192"/>
      <c r="D60" s="193"/>
      <c r="E60" s="185">
        <f t="shared" si="3"/>
        <v>0</v>
      </c>
      <c r="F60" s="188"/>
      <c r="G60" s="188"/>
      <c r="H60" s="189"/>
    </row>
    <row r="61" spans="1:8" ht="19" thickBot="1">
      <c r="B61" s="191" t="s">
        <v>58</v>
      </c>
      <c r="C61" s="192"/>
      <c r="D61" s="193"/>
      <c r="E61" s="185">
        <f t="shared" si="3"/>
        <v>0</v>
      </c>
      <c r="F61" s="188"/>
      <c r="G61" s="188"/>
      <c r="H61" s="189"/>
    </row>
    <row r="62" spans="1:8" ht="24" thickBot="1">
      <c r="B62" s="191" t="s">
        <v>67</v>
      </c>
      <c r="C62" s="192"/>
      <c r="D62" s="193"/>
      <c r="E62" s="271">
        <f>SUM(E49:H61)</f>
        <v>24284</v>
      </c>
      <c r="F62" s="272"/>
      <c r="G62" s="272"/>
      <c r="H62" s="273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182" t="s">
        <v>65</v>
      </c>
      <c r="C52" s="183"/>
      <c r="D52" s="184"/>
      <c r="E52" s="185">
        <f>SUM(B19:B20)</f>
        <v>0</v>
      </c>
      <c r="F52" s="188"/>
      <c r="G52" s="188"/>
      <c r="H52" s="189"/>
    </row>
    <row r="53" spans="1:8" ht="19" thickBot="1">
      <c r="A53" s="62"/>
      <c r="B53" s="182" t="s">
        <v>66</v>
      </c>
      <c r="C53" s="183"/>
      <c r="D53" s="184"/>
      <c r="E53" s="185">
        <f>SUM(B29:B30)</f>
        <v>0</v>
      </c>
      <c r="F53" s="188"/>
      <c r="G53" s="188"/>
      <c r="H53" s="189"/>
    </row>
    <row r="54" spans="1:8" ht="19" thickBot="1">
      <c r="A54" s="62"/>
      <c r="B54" s="182" t="s">
        <v>58</v>
      </c>
      <c r="C54" s="183"/>
      <c r="D54" s="184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si="4"/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40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300</v>
      </c>
      <c r="C10" s="129">
        <v>2124</v>
      </c>
      <c r="D10" s="130"/>
      <c r="E10" s="16">
        <f t="shared" si="0"/>
        <v>637200</v>
      </c>
      <c r="F10" s="16">
        <f t="shared" si="1"/>
        <v>97200</v>
      </c>
      <c r="G10" s="16">
        <f>PRODUCT(B10*30)</f>
        <v>9000</v>
      </c>
      <c r="H10" s="17">
        <f t="shared" si="2"/>
        <v>106200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637200</v>
      </c>
      <c r="F37" s="32">
        <f>SUM(F5:F36)</f>
        <v>97200</v>
      </c>
      <c r="G37" s="32">
        <f t="shared" ref="G37:H37" si="3">SUM(G5:G36)</f>
        <v>9000</v>
      </c>
      <c r="H37" s="32">
        <f t="shared" si="3"/>
        <v>106200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106200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300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A53" s="62"/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A54" s="62"/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A55" s="62"/>
      <c r="B55" s="182" t="s">
        <v>58</v>
      </c>
      <c r="C55" s="183"/>
      <c r="D55" s="184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182" t="s">
        <v>58</v>
      </c>
      <c r="C56" s="183"/>
      <c r="D56" s="184"/>
      <c r="E56" s="185">
        <f t="shared" si="4"/>
        <v>0</v>
      </c>
      <c r="F56" s="188"/>
      <c r="G56" s="188"/>
      <c r="H56" s="189"/>
    </row>
    <row r="57" spans="1:8" ht="19" thickBot="1">
      <c r="A57" s="62"/>
      <c r="B57" s="182" t="s">
        <v>58</v>
      </c>
      <c r="C57" s="183"/>
      <c r="D57" s="184"/>
      <c r="E57" s="185">
        <f t="shared" si="4"/>
        <v>0</v>
      </c>
      <c r="F57" s="188"/>
      <c r="G57" s="188"/>
      <c r="H57" s="189"/>
    </row>
    <row r="58" spans="1:8" ht="19" thickBot="1">
      <c r="A58" s="62"/>
      <c r="B58" s="182" t="s">
        <v>58</v>
      </c>
      <c r="C58" s="183"/>
      <c r="D58" s="184"/>
      <c r="E58" s="185">
        <f t="shared" si="4"/>
        <v>0</v>
      </c>
      <c r="F58" s="188"/>
      <c r="G58" s="188"/>
      <c r="H58" s="189"/>
    </row>
    <row r="59" spans="1:8" ht="19" thickBot="1">
      <c r="A59" s="62"/>
      <c r="B59" s="182" t="s">
        <v>58</v>
      </c>
      <c r="C59" s="183"/>
      <c r="D59" s="184"/>
      <c r="E59" s="185">
        <f t="shared" si="4"/>
        <v>0</v>
      </c>
      <c r="F59" s="188"/>
      <c r="G59" s="188"/>
      <c r="H59" s="189"/>
    </row>
    <row r="60" spans="1:8" ht="19" thickBot="1">
      <c r="A60" s="62"/>
      <c r="B60" s="182" t="s">
        <v>58</v>
      </c>
      <c r="C60" s="183"/>
      <c r="D60" s="184"/>
      <c r="E60" s="185">
        <f t="shared" si="4"/>
        <v>0</v>
      </c>
      <c r="F60" s="188"/>
      <c r="G60" s="188"/>
      <c r="H60" s="189"/>
    </row>
    <row r="61" spans="1:8" ht="19" thickBot="1">
      <c r="A61" s="62"/>
      <c r="B61" s="182" t="s">
        <v>58</v>
      </c>
      <c r="C61" s="183"/>
      <c r="D61" s="184"/>
      <c r="E61" s="185">
        <f t="shared" si="4"/>
        <v>0</v>
      </c>
      <c r="F61" s="188"/>
      <c r="G61" s="188"/>
      <c r="H61" s="189"/>
    </row>
    <row r="62" spans="1:8" ht="19" thickBot="1">
      <c r="A62" s="62"/>
      <c r="B62" s="182" t="s">
        <v>67</v>
      </c>
      <c r="C62" s="183"/>
      <c r="D62" s="184"/>
      <c r="E62" s="190">
        <f>SUM(E49:H61)</f>
        <v>300</v>
      </c>
      <c r="F62" s="186"/>
      <c r="G62" s="186"/>
      <c r="H62" s="187"/>
    </row>
    <row r="63" spans="1:8" ht="19" thickBot="1">
      <c r="B63" s="191"/>
      <c r="C63" s="192"/>
      <c r="D63" s="193"/>
      <c r="E63" s="194"/>
      <c r="F63" s="195"/>
      <c r="G63" s="195"/>
      <c r="H63" s="196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91" t="s">
        <v>65</v>
      </c>
      <c r="C44" s="192"/>
      <c r="D44" s="193"/>
      <c r="E44" s="185">
        <f>SUM(B17:B18)</f>
        <v>0</v>
      </c>
      <c r="F44" s="186"/>
      <c r="G44" s="186"/>
      <c r="H44" s="187"/>
    </row>
    <row r="45" spans="1:8" ht="19" thickBot="1">
      <c r="B45" s="191" t="s">
        <v>66</v>
      </c>
      <c r="C45" s="192"/>
      <c r="D45" s="193"/>
      <c r="E45" s="185">
        <f>SUM(B19:B20)</f>
        <v>0</v>
      </c>
      <c r="F45" s="186"/>
      <c r="G45" s="186"/>
      <c r="H45" s="187"/>
    </row>
    <row r="46" spans="1:8" ht="19" thickBot="1">
      <c r="B46" s="191" t="s">
        <v>58</v>
      </c>
      <c r="C46" s="192"/>
      <c r="D46" s="193"/>
      <c r="E46" s="185">
        <f>B21</f>
        <v>0</v>
      </c>
      <c r="F46" s="188"/>
      <c r="G46" s="188"/>
      <c r="H46" s="189"/>
    </row>
    <row r="47" spans="1:8" ht="19" thickBot="1">
      <c r="B47" s="191" t="s">
        <v>58</v>
      </c>
      <c r="C47" s="192"/>
      <c r="D47" s="193"/>
      <c r="E47" s="185">
        <f t="shared" ref="E47:E53" si="10">B22</f>
        <v>0</v>
      </c>
      <c r="F47" s="188"/>
      <c r="G47" s="188"/>
      <c r="H47" s="189"/>
    </row>
    <row r="48" spans="1:8" ht="19" thickBot="1">
      <c r="B48" s="191" t="s">
        <v>58</v>
      </c>
      <c r="C48" s="192"/>
      <c r="D48" s="193"/>
      <c r="E48" s="185">
        <f t="shared" si="10"/>
        <v>0</v>
      </c>
      <c r="F48" s="188"/>
      <c r="G48" s="188"/>
      <c r="H48" s="189"/>
    </row>
    <row r="49" spans="2:8" ht="19" thickBot="1">
      <c r="B49" s="191" t="s">
        <v>58</v>
      </c>
      <c r="C49" s="192"/>
      <c r="D49" s="193"/>
      <c r="E49" s="185">
        <f t="shared" si="10"/>
        <v>0</v>
      </c>
      <c r="F49" s="188"/>
      <c r="G49" s="188"/>
      <c r="H49" s="189"/>
    </row>
    <row r="50" spans="2:8" ht="19" thickBot="1">
      <c r="B50" s="191" t="s">
        <v>58</v>
      </c>
      <c r="C50" s="192"/>
      <c r="D50" s="193"/>
      <c r="E50" s="185">
        <f t="shared" si="10"/>
        <v>0</v>
      </c>
      <c r="F50" s="188"/>
      <c r="G50" s="188"/>
      <c r="H50" s="189"/>
    </row>
    <row r="51" spans="2:8" ht="19" thickBot="1">
      <c r="B51" s="191" t="s">
        <v>58</v>
      </c>
      <c r="C51" s="192"/>
      <c r="D51" s="193"/>
      <c r="E51" s="185">
        <f t="shared" si="10"/>
        <v>0</v>
      </c>
      <c r="F51" s="188"/>
      <c r="G51" s="188"/>
      <c r="H51" s="189"/>
    </row>
    <row r="52" spans="2:8" ht="19" thickBot="1">
      <c r="B52" s="191" t="s">
        <v>58</v>
      </c>
      <c r="C52" s="192"/>
      <c r="D52" s="193"/>
      <c r="E52" s="185">
        <f t="shared" si="10"/>
        <v>0</v>
      </c>
      <c r="F52" s="188"/>
      <c r="G52" s="188"/>
      <c r="H52" s="189"/>
    </row>
    <row r="53" spans="2:8" ht="19" thickBot="1">
      <c r="B53" s="191" t="s">
        <v>58</v>
      </c>
      <c r="C53" s="192"/>
      <c r="D53" s="193"/>
      <c r="E53" s="185">
        <f t="shared" si="10"/>
        <v>0</v>
      </c>
      <c r="F53" s="188"/>
      <c r="G53" s="188"/>
      <c r="H53" s="189"/>
    </row>
    <row r="54" spans="2:8" ht="19" thickBot="1">
      <c r="B54" s="191" t="s">
        <v>67</v>
      </c>
      <c r="C54" s="192"/>
      <c r="D54" s="193"/>
      <c r="E54" s="190">
        <f>SUM(E41:H53)</f>
        <v>0</v>
      </c>
      <c r="F54" s="186"/>
      <c r="G54" s="186"/>
      <c r="H54" s="187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6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91" t="s">
        <v>65</v>
      </c>
      <c r="C44" s="192"/>
      <c r="D44" s="193"/>
      <c r="E44" s="293">
        <f>SUM(B17:B18)</f>
        <v>0</v>
      </c>
      <c r="F44" s="195"/>
      <c r="G44" s="195"/>
      <c r="H44" s="196"/>
    </row>
    <row r="45" spans="1:8" ht="19" thickBot="1">
      <c r="B45" s="191" t="s">
        <v>66</v>
      </c>
      <c r="C45" s="192"/>
      <c r="D45" s="193"/>
      <c r="E45" s="293">
        <f>SUM(B19:B20)</f>
        <v>0</v>
      </c>
      <c r="F45" s="195"/>
      <c r="G45" s="195"/>
      <c r="H45" s="196"/>
    </row>
    <row r="46" spans="1:8" ht="19" thickBot="1">
      <c r="B46" s="191" t="s">
        <v>58</v>
      </c>
      <c r="C46" s="192"/>
      <c r="D46" s="193"/>
      <c r="E46" s="293">
        <f>B21</f>
        <v>0</v>
      </c>
      <c r="F46" s="294"/>
      <c r="G46" s="294"/>
      <c r="H46" s="295"/>
    </row>
    <row r="47" spans="1:8" ht="19" thickBot="1">
      <c r="B47" s="191" t="s">
        <v>58</v>
      </c>
      <c r="C47" s="192"/>
      <c r="D47" s="193"/>
      <c r="E47" s="293">
        <f t="shared" ref="E47:E53" si="10">B22</f>
        <v>0</v>
      </c>
      <c r="F47" s="294"/>
      <c r="G47" s="294"/>
      <c r="H47" s="295"/>
    </row>
    <row r="48" spans="1:8" ht="19" thickBot="1">
      <c r="B48" s="191" t="s">
        <v>58</v>
      </c>
      <c r="C48" s="192"/>
      <c r="D48" s="193"/>
      <c r="E48" s="293">
        <f t="shared" si="10"/>
        <v>0</v>
      </c>
      <c r="F48" s="294"/>
      <c r="G48" s="294"/>
      <c r="H48" s="295"/>
    </row>
    <row r="49" spans="2:8" ht="19" thickBot="1">
      <c r="B49" s="191" t="s">
        <v>58</v>
      </c>
      <c r="C49" s="192"/>
      <c r="D49" s="193"/>
      <c r="E49" s="293">
        <f t="shared" si="10"/>
        <v>0</v>
      </c>
      <c r="F49" s="294"/>
      <c r="G49" s="294"/>
      <c r="H49" s="295"/>
    </row>
    <row r="50" spans="2:8" ht="19" thickBot="1">
      <c r="B50" s="191" t="s">
        <v>58</v>
      </c>
      <c r="C50" s="192"/>
      <c r="D50" s="193"/>
      <c r="E50" s="293">
        <f t="shared" si="10"/>
        <v>0</v>
      </c>
      <c r="F50" s="294"/>
      <c r="G50" s="294"/>
      <c r="H50" s="295"/>
    </row>
    <row r="51" spans="2:8" ht="19" thickBot="1">
      <c r="B51" s="191" t="s">
        <v>58</v>
      </c>
      <c r="C51" s="192"/>
      <c r="D51" s="193"/>
      <c r="E51" s="293">
        <f t="shared" si="10"/>
        <v>0</v>
      </c>
      <c r="F51" s="294"/>
      <c r="G51" s="294"/>
      <c r="H51" s="295"/>
    </row>
    <row r="52" spans="2:8" ht="19" thickBot="1">
      <c r="B52" s="191" t="s">
        <v>58</v>
      </c>
      <c r="C52" s="192"/>
      <c r="D52" s="193"/>
      <c r="E52" s="293">
        <f t="shared" si="10"/>
        <v>0</v>
      </c>
      <c r="F52" s="294"/>
      <c r="G52" s="294"/>
      <c r="H52" s="295"/>
    </row>
    <row r="53" spans="2:8" ht="19" thickBot="1">
      <c r="B53" s="191" t="s">
        <v>58</v>
      </c>
      <c r="C53" s="192"/>
      <c r="D53" s="193"/>
      <c r="E53" s="293">
        <f t="shared" si="10"/>
        <v>0</v>
      </c>
      <c r="F53" s="294"/>
      <c r="G53" s="294"/>
      <c r="H53" s="295"/>
    </row>
    <row r="54" spans="2:8" ht="19" thickBot="1">
      <c r="B54" s="191" t="s">
        <v>67</v>
      </c>
      <c r="C54" s="192"/>
      <c r="D54" s="193"/>
      <c r="E54" s="194">
        <f>SUM(E41:H53)</f>
        <v>0</v>
      </c>
      <c r="F54" s="195"/>
      <c r="G54" s="195"/>
      <c r="H54" s="196"/>
    </row>
    <row r="55" spans="2:8" ht="19" thickBot="1">
      <c r="B55" s="191"/>
      <c r="C55" s="192"/>
      <c r="D55" s="193"/>
      <c r="E55" s="194"/>
      <c r="F55" s="195"/>
      <c r="G55" s="195"/>
      <c r="H55" s="196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6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0"/>
        <v>0</v>
      </c>
      <c r="F53" s="188"/>
      <c r="G53" s="188"/>
      <c r="H53" s="189"/>
    </row>
    <row r="54" spans="2:8" ht="21.5" thickBot="1">
      <c r="B54" s="182" t="s">
        <v>67</v>
      </c>
      <c r="C54" s="183"/>
      <c r="D54" s="184"/>
      <c r="E54" s="240">
        <f>SUM(E41:H53)</f>
        <v>0</v>
      </c>
      <c r="F54" s="241"/>
      <c r="G54" s="241"/>
      <c r="H54" s="242"/>
    </row>
    <row r="55" spans="2:8" ht="19" thickBot="1">
      <c r="B55" s="182"/>
      <c r="C55" s="183"/>
      <c r="D55" s="184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20552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24584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2026-04-22T19:31:51Z</dcterms:modified>
</cp:coreProperties>
</file>