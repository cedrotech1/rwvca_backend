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<sst xmlns="http://schemas.openxmlformats.org/spreadsheetml/2006/main" uniqueCount="416" count="416">
  <si>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</si>
  <si>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</si>
  <si>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</si>
  <si>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</si>
  <si>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</si>
  <si>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</si>
  <si>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</si>
  <si>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</si>
  <si>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</si>
  <si>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</si>
  <si>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</si>
  <si>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</si>
  <si>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</si>
  <si>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</si>
  <si>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</si>
  <si>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</si>
  <si>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</si>
  <si>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</si>
  <si>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</si>
  <si>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</si>
  <si>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</si>
  <si>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</si>
  <si>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</si>
  <si>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</si>
  <si>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</si>
  <si>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</si>
  <si>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</si>
  <si>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</si>
  <si>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</si>
  <si>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</si>
  <si>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</si>
  <si>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</si>
  <si>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</si>
  <si>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</si>
  <si>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</si>
  <si>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</si>
  <si>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</si>
  <si>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</si>
  <si>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</si>
  <si>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</si>
  <si>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</si>
  <si>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</si>
  <si>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</si>
  <si>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</si>
  <si>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</si>
  <si>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</si>
  <si>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</si>
  <si>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</si>
  <si>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</si>
  <si>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</si>
  <si>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</si>
  <si>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</si>
  <si>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</si>
  <si>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</si>
  <si>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</si>
  <si>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</si>
  <si>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</si>
  <si>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</si>
  <si>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</si>
  <si>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</si>
  <si>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</si>
  <si>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</si>
  <si>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</si>
  <si>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</si>
  <si>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</si>
  <si>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</si>
  <si>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</si>
  <si>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</si>
  <si>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</si>
  <si>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</si>
  <si>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</si>
  <si>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</si>
  <si>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</si>
  <si>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</si>
  <si>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</si>
  <si>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</si>
  <si>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</si>
  <si>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</si>
  <si>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</si>
  <si>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</si>
  <si>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</si>
  <si>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</si>
  <si>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</si>
  <si>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</si>
  <si>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</si>
  <si>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</si>
  <si>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</si>
  <si>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</si>
  <si>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</si>
  <si>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</si>
  <si>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</si>
  <si>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</si>
  <si>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</si>
  <si>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</si>
  <si>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</si>
  <si>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</si>
  <si>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</si>
  <si>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</si>
  <si>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</si>
  <si>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</si>
  <si>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</si>
  <si>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</si>
  <si>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</si>
  <si>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</si>
  <si>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</si>
  <si>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</si>
  <si>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</si>
  <si>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</si>
  <si>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</si>
  <si>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</si>
  <si>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</si>
  <si>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</si>
  <si>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</si>
  <si>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</si>
  <si>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</si>
  <si>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</si>
  <si>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</si>
  <si>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</si>
  <si>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</si>
  <si>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</si>
  <si>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</si>
  <si>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</si>
  <si>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</si>
  <si>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</si>
  <si>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</si>
  <si>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</si>
  <si>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</si>
  <si>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</si>
  <si>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</si>
  <si>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</si>
  <si>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</si>
  <si>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</si>
  <si>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</si>
  <si>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</si>
  <si>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</si>
  <si>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</si>
  <si>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</si>
  <si>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</si>
  <si>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</si>
  <si>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</si>
  <si>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</si>
  <si>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</si>
  <si>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</si>
  <si>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</si>
  <si>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</si>
  <si>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</si>
  <si>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</si>
  <si>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</si>
  <si>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</si>
  <si>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</si>
  <si>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</si>
  <si>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</si>
  <si>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</si>
  <si>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</si>
  <si>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</si>
  <si>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</si>
  <si>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</si>
  <si>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</si>
  <si>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</si>
  <si>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</si>
  <si>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</si>
  <si>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</si>
  <si>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</si>
  <si>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</si>
  <si>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</si>
  <si>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</si>
  <si>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</si>
  <si>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</si>
  <si>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</si>
  <si>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</si>
  <si>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</si>
  <si>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</si>
  <si>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</si>
  <si>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</si>
  <si>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</si>
  <si>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</si>
  <si>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</si>
  <si>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</si>
  <si>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</si>
  <si>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</si>
  <si>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</si>
  <si>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</si>
  <si>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</si>
  <si>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</si>
  <si>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</si>
  <si>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</si>
  <si>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</si>
  <si>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</si>
  <si>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</si>
  <si>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</si>
  <si>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</si>
  <si>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</si>
  <si>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</si>
  <si>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</si>
  <si>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</si>
  <si>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</si>
  <si>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</si>
  <si>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</si>
  <si>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</si>
  <si>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</si>
  <si>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</si>
  <si>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</si>
  <si>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</si>
  <si>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</si>
  <si>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</si>
  <si>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</si>
  <si>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</si>
  <si>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</si>
  <si>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</si>
  <si>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</si>
  <si>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</si>
  <si>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</si>
  <si>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</si>
  <si>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</si>
  <si>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</si>
  <si>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</si>
  <si>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</si>
  <si>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</si>
  <si>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</si>
  <si>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</si>
  <si>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</si>
  <si>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</si>
  <si>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</si>
  <si>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</si>
  <si>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</si>
  <si>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</si>
  <si>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</si>
  <si>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</si>
  <si>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</si>
  <si>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</si>
  <si>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</si>
  <si>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</si>
  <si>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</si>
  <si>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</si>
  <si>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</si>
  <si>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</si>
  <si>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</si>
  <si>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</si>
  <si>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</si>
  <si>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</si>
  <si>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</si>
  <si>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</si>
  <si>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</si>
  <si>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</si>
  <si>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</si>
  <si>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</si>
  <si>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</si>
  <si>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</si>
  <si>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</si>
  <si>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</si>
  <si>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</si>
  <si>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</si>
  <si>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</si>
  <si>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</si>
  <si>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</si>
  <si>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</si>
  <si>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</si>
  <si>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</si>
  <si>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</si>
  <si>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</si>
  <si>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</si>
  <si>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</si>
  <si>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</si>
  <si>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</si>
  <si>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</si>
  <si>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</si>
  <si>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</si>
  <si>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</si>
  <si>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</si>
  <si>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</si>
  <si>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</si>
  <si>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</si>
  <si>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</si>
  <si>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</si>
  <si>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</si>
  <si>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</si>
  <si>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</si>
  <si>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</si>
  <si>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</si>
  <si>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</si>
  <si>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</si>
  <si>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</si>
  <si>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</si>
  <si>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</si>
  <si>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</si>
  <si>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</si>
  <si>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</si>
  <si>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</si>
  <si>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</si>
  <si>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</si>
  <si>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</si>
  <si>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</si>
  <si>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</si>
  <si>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</si>
  <si>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</si>
  <si>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</si>
  <si>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</si>
  <si>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</si>
  <si>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</si>
  <si>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</si>
  <si>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</si>
  <si>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</si>
  <si>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</si>
  <si>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</si>
  <si>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</si>
  <si>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</si>
  <si>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</si>
  <si>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</si>
  <si>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</si>
  <si>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</si>
  <si>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</si>
  <si>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</si>
  <si>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</si>
  <si>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</si>
  <si>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</si>
  <si>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</si>
  <si>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</si>
  <si>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</si>
  <si>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</si>
  <si>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</si>
  <si>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</si>
  <si>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</si>
  <si>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</si>
  <si>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</si>
  <si>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</si>
  <si>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</si>
  <si>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</si>
  <si>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</si>
  <si>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</si>
  <si>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</si>
  <si>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</si>
  <si>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</si>
  <si>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</si>
  <si>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</si>
  <si>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</si>
  <si>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</si>
  <si>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</si>
  <si>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</si>
  <si>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</si>
  <si>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</si>
  <si>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</si>
  <si>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</si>
  <si>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</si>
  <si>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</si>
  <si>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</si>
  <si>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</si>
  <si>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</si>
  <si>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</si>
  <si>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</si>
  <si>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</si>
  <si>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</si>
  <si>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</si>
  <si>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</si>
  <si>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</si>
  <si>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</si>
  <si>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</si>
  <si>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</si>
  <si>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</si>
  <si>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</si>
  <si>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</si>
  <si>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</si>
  <si>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</si>
  <si>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</si>
  <si>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</si>
  <si>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</si>
  <si>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</si>
  <si>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</si>
  <si>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</si>
  <si>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</si>
  <si>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</si>
  <si>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</si>
  <si>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</si>
  <si>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</si>
  <si>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</si>
  <si>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</si>
  <si>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</si>
  <si>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</si>
  <si>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</si>
  <si>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</si>
  <si>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</si>
  <si>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</si>
  <si>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</si>
  <si>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</si>
  <si>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</si>
  <si>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</si>
  <si>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</si>
  <si>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</si>
  <si>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</si>
  <si>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</si>
  <si>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</si>
  <si>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</si>
  <si>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</si>
  <si>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</si>
  <si>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</si>
  <si>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</si>
  <si>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</si>
  <si>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</si>
  <si>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</si>
  <si>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</si>
  <si>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</si>
  <si>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</si>
  <si>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</si>
  <si>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</si>
  <si>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</si>
  <si>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</si>
  <si>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</si>
  <si>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</si>
  <si>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</si>
  <si>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</si>
  <si>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</si>
  <si>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</si>
  <si>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</si>
  <si>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WEEKLY REPORT FROM 23RD TO 31st MARCH  2026</t>
  </si>
  <si>
    <t>WEEKLY REPORT FROM 01st TO 05th APRIL  2026</t>
  </si>
  <si>
    <t>WEEKLY REPORT FROM 06th TO 12th APRIL  2026</t>
  </si>
  <si>
    <t>WEEKLY REPORT FROM 13th TO 19th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</si>
</sst>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51"/>
  <sheetViews>
    <sheetView tabSelected="1" workbookViewId="0" zoomScale="30">
      <selection activeCell="F61" sqref="F61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415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>
        <v>700.0</v>
      </c>
      <c r="C12" s="27">
        <v>1357.0</v>
      </c>
      <c r="D12" s="28"/>
      <c r="E12" s="29">
        <f t="shared" si="3"/>
        <v>949900.0</v>
      </c>
      <c r="F12" s="29">
        <f>PRODUCT(E12*18)/118</f>
        <v>144900.0</v>
      </c>
      <c r="G12" s="29">
        <f>PRODUCT(B12*20)</f>
        <v>14000.0</v>
      </c>
      <c r="H12" s="30">
        <f t="shared" si="5"/>
        <v>158900.0</v>
      </c>
    </row>
    <row r="13" spans="8:8" ht="16.85">
      <c r="A13" s="25" t="s">
        <v>5</v>
      </c>
      <c r="B13" s="26">
        <v>2832.0</v>
      </c>
      <c r="C13" s="27">
        <v>2124.0</v>
      </c>
      <c r="D13" s="28"/>
      <c r="E13" s="29">
        <f t="shared" si="3"/>
        <v>6015168.0</v>
      </c>
      <c r="F13" s="29">
        <f t="shared" si="4"/>
        <v>917568.0</v>
      </c>
      <c r="G13" s="29">
        <f>PRODUCT(B13*30)</f>
        <v>84960.0</v>
      </c>
      <c r="H13" s="30">
        <f t="shared" si="5"/>
        <v>1002528.0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6965068.0</v>
      </c>
      <c r="F41" s="54">
        <f>SUM(F6:F40)</f>
        <v>1062468.0</v>
      </c>
      <c r="G41" s="54">
        <f>SUM(G6:G40)</f>
        <v>98960.0</v>
      </c>
      <c r="H41" s="55">
        <f>SUM(F41:G41)</f>
        <v>1161428.0</v>
      </c>
    </row>
    <row r="42" spans="8:8" ht="16.85">
      <c r="A42" s="56" t="s">
        <v>15</v>
      </c>
      <c r="B42" s="57"/>
      <c r="C42" s="58">
        <v>1161428.0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1161428.0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0:D10"/>
    <mergeCell ref="E43:F43"/>
    <mergeCell ref="C6:D6"/>
    <mergeCell ref="A46:B46"/>
    <mergeCell ref="E47:F47"/>
    <mergeCell ref="C8:D8"/>
    <mergeCell ref="A43:B43"/>
    <mergeCell ref="C7:D7"/>
    <mergeCell ref="A44:B44"/>
    <mergeCell ref="E46:F46"/>
    <mergeCell ref="C11:D11"/>
    <mergeCell ref="E44:F44"/>
    <mergeCell ref="C9:D9"/>
    <mergeCell ref="A45:B45"/>
    <mergeCell ref="A42:B42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2023-06-10T16:04:23Z</dcterms:created>
  <dcterms:modified xsi:type="dcterms:W3CDTF">2026-04-20T15:34:54Z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5f3c7539096c4bb0a88c6a21d7ee2583</vt:lpwstr>
  </property>
</Properties>
</file>