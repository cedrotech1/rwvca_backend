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workbookProtection workbookPassword="EA6E" lockStructure="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G49" i="1" l="1"/>
  <c r="G50" i="1"/>
  <c r="G51" i="1"/>
  <c r="G52" i="1"/>
  <c r="G53" i="1"/>
  <c r="G54" i="1"/>
  <c r="E49" i="1"/>
  <c r="F49" i="1" s="1"/>
  <c r="E50" i="1"/>
  <c r="F50" i="1" s="1"/>
  <c r="E51" i="1"/>
  <c r="F51" i="1" s="1"/>
  <c r="H51" i="1" s="1"/>
  <c r="E52" i="1"/>
  <c r="F52" i="1" s="1"/>
  <c r="H52" i="1" s="1"/>
  <c r="E53" i="1"/>
  <c r="F53" i="1" s="1"/>
  <c r="H53" i="1" s="1"/>
  <c r="E54" i="1"/>
  <c r="F54" i="1" s="1"/>
  <c r="H54" i="1" s="1"/>
  <c r="H50" i="1" l="1"/>
  <c r="H49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E31" i="1"/>
  <c r="F31" i="1" s="1"/>
  <c r="E32" i="1"/>
  <c r="F32" i="1" s="1"/>
  <c r="H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19" i="1"/>
  <c r="F19" i="1" s="1"/>
  <c r="H19" i="1" s="1"/>
  <c r="E20" i="1"/>
  <c r="F20" i="1" s="1"/>
  <c r="H20" i="1" s="1"/>
  <c r="E21" i="1"/>
  <c r="F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H25" i="1" l="1"/>
  <c r="H33" i="1"/>
  <c r="H21" i="1"/>
  <c r="H31" i="1"/>
  <c r="H30" i="1"/>
  <c r="H38" i="1"/>
  <c r="H29" i="1"/>
  <c r="H37" i="1"/>
  <c r="H28" i="1"/>
  <c r="H36" i="1"/>
  <c r="H27" i="1"/>
  <c r="H35" i="1"/>
  <c r="H26" i="1"/>
  <c r="H34" i="1"/>
  <c r="G60" i="1"/>
  <c r="E60" i="1"/>
  <c r="F60" i="1" s="1"/>
  <c r="G59" i="1"/>
  <c r="E59" i="1"/>
  <c r="F59" i="1" s="1"/>
  <c r="G58" i="1"/>
  <c r="E58" i="1"/>
  <c r="F58" i="1" s="1"/>
  <c r="H58" i="1" s="1"/>
  <c r="G57" i="1"/>
  <c r="E57" i="1"/>
  <c r="F57" i="1" s="1"/>
  <c r="G56" i="1"/>
  <c r="E56" i="1"/>
  <c r="F56" i="1" s="1"/>
  <c r="G55" i="1"/>
  <c r="E55" i="1"/>
  <c r="F55" i="1" s="1"/>
  <c r="G48" i="1"/>
  <c r="E48" i="1"/>
  <c r="F48" i="1" s="1"/>
  <c r="G47" i="1"/>
  <c r="E47" i="1"/>
  <c r="F47" i="1" s="1"/>
  <c r="G46" i="1"/>
  <c r="E46" i="1"/>
  <c r="F46" i="1" s="1"/>
  <c r="G45" i="1"/>
  <c r="E45" i="1"/>
  <c r="F45" i="1" s="1"/>
  <c r="G44" i="1"/>
  <c r="E44" i="1"/>
  <c r="F44" i="1" s="1"/>
  <c r="G43" i="1"/>
  <c r="E43" i="1"/>
  <c r="F43" i="1" s="1"/>
  <c r="G42" i="1"/>
  <c r="E42" i="1"/>
  <c r="F42" i="1" s="1"/>
  <c r="G41" i="1"/>
  <c r="E41" i="1"/>
  <c r="F41" i="1" s="1"/>
  <c r="G40" i="1"/>
  <c r="E40" i="1"/>
  <c r="F40" i="1" s="1"/>
  <c r="G39" i="1"/>
  <c r="E39" i="1"/>
  <c r="F39" i="1" s="1"/>
  <c r="G18" i="1"/>
  <c r="E18" i="1"/>
  <c r="F18" i="1" s="1"/>
  <c r="G17" i="1"/>
  <c r="E17" i="1"/>
  <c r="F17" i="1" s="1"/>
  <c r="G66" i="1"/>
  <c r="E66" i="1"/>
  <c r="F66" i="1" s="1"/>
  <c r="H66" i="1" s="1"/>
  <c r="G65" i="1"/>
  <c r="E65" i="1"/>
  <c r="F65" i="1" s="1"/>
  <c r="G64" i="1"/>
  <c r="E64" i="1"/>
  <c r="F64" i="1" s="1"/>
  <c r="H64" i="1" s="1"/>
  <c r="G63" i="1"/>
  <c r="E63" i="1"/>
  <c r="F63" i="1" s="1"/>
  <c r="G62" i="1"/>
  <c r="E62" i="1"/>
  <c r="F62" i="1" s="1"/>
  <c r="H62" i="1" s="1"/>
  <c r="G61" i="1"/>
  <c r="E61" i="1"/>
  <c r="F61" i="1" s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G6" i="1"/>
  <c r="E6" i="1"/>
  <c r="F6" i="1" s="1"/>
  <c r="H56" i="1" l="1"/>
  <c r="H60" i="1"/>
  <c r="G67" i="1"/>
  <c r="H55" i="1"/>
  <c r="H59" i="1"/>
  <c r="H57" i="1"/>
  <c r="H48" i="1"/>
  <c r="H14" i="1"/>
  <c r="H8" i="1"/>
  <c r="H46" i="1"/>
  <c r="H6" i="1"/>
  <c r="H17" i="1"/>
  <c r="H18" i="1"/>
  <c r="H43" i="1"/>
  <c r="H44" i="1"/>
  <c r="H39" i="1"/>
  <c r="H41" i="1"/>
  <c r="H42" i="1"/>
  <c r="H40" i="1"/>
  <c r="H12" i="1"/>
  <c r="H10" i="1"/>
  <c r="H47" i="1"/>
  <c r="H45" i="1"/>
  <c r="E67" i="1"/>
  <c r="H9" i="1"/>
  <c r="H13" i="1"/>
  <c r="H61" i="1"/>
  <c r="H63" i="1"/>
  <c r="H65" i="1"/>
  <c r="H11" i="1"/>
  <c r="F7" i="1"/>
  <c r="F67" i="1" s="1"/>
  <c r="H7" i="1" l="1"/>
  <c r="H67" i="1"/>
</calcChain>
</file>

<file path=xl/sharedStrings.xml><?xml version="1.0" encoding="utf-8"?>
<sst xmlns="http://schemas.openxmlformats.org/spreadsheetml/2006/main" count="94" uniqueCount="54">
  <si>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</si>
  <si>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</si>
  <si>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</si>
  <si>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</si>
  <si>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</si>
  <si>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</si>
  <si>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</si>
  <si>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</si>
  <si>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</si>
  <si>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</si>
  <si>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</si>
  <si>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</si>
  <si>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</si>
  <si>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</si>
  <si>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</si>
  <si>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</si>
  <si>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</si>
  <si>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</si>
  <si>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</si>
  <si>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</si>
  <si>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</si>
  <si>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</si>
  <si>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</si>
  <si>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</si>
  <si>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</si>
  <si>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ICPCs GISOZI</t>
  </si>
  <si>
    <t>NIYONKURU Alphonse</t>
  </si>
  <si>
    <t>Chantal NIYIGENA</t>
  </si>
  <si>
    <t xml:space="preserve">PINUS </t>
  </si>
  <si>
    <t>PLANCHE</t>
  </si>
  <si>
    <t>MADRIEN</t>
  </si>
  <si>
    <t>MADRIEN NTOYA</t>
  </si>
  <si>
    <t>MADRIENNINI</t>
  </si>
  <si>
    <t>IBIPANDE BYA PINUS</t>
  </si>
  <si>
    <t>Membership Supervisor Officer:</t>
  </si>
  <si>
    <t>Membership Relation Officer:</t>
  </si>
  <si>
    <t>INTURUSU NTOYA</t>
  </si>
  <si>
    <t>SIPURE</t>
  </si>
  <si>
    <t>PINUS</t>
  </si>
  <si>
    <t>PLANCHE ZA PINUS</t>
  </si>
  <si>
    <t xml:space="preserve">PINUSI NINI </t>
  </si>
  <si>
    <t>MUNYONGORO</t>
  </si>
  <si>
    <t>MADRIEN NINI</t>
  </si>
  <si>
    <t>DESCHET</t>
  </si>
  <si>
    <t>INTURUSU</t>
  </si>
  <si>
    <t>IBIPANDE BYA SIPURE</t>
  </si>
  <si>
    <t>IBIPANDE BY'INTURUSU</t>
  </si>
  <si>
    <t>Customer not invoiced</t>
  </si>
  <si>
    <t xml:space="preserve">INTURUSU </t>
  </si>
  <si>
    <t xml:space="preserve">PLANCHE  </t>
  </si>
  <si>
    <t>GEREVERIYA</t>
  </si>
  <si>
    <t>UMUSAVE</t>
  </si>
  <si>
    <t xml:space="preserve"> QUATARY REPORT APRIL TO JUNE 2026</t>
  </si>
  <si>
    <t>MOSES NIYITEGEKA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</si>
</sst>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name val="Calibri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6" fillId="0" borderId="0">
      <protection locked="0"/>
    </xf>
  </cellStyleXfs>
  <cellXfs count="98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0" xfId="1" applyNumberFormat="1" applyFont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26" xfId="1" applyNumberFormat="1" applyFont="1" applyBorder="1">
      <protection locked="0"/>
    </xf>
    <xf numFmtId="165" fontId="1" fillId="0" borderId="27" xfId="1" applyNumberFormat="1" applyFont="1" applyBorder="1">
      <protection locked="0"/>
    </xf>
    <xf numFmtId="165" fontId="1" fillId="0" borderId="29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1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32" xfId="0" applyFont="1" applyBorder="1" applyAlignment="1" applyProtection="1">
      <protection locked="0"/>
    </xf>
    <xf numFmtId="0" fontId="1" fillId="0" borderId="33" xfId="0" applyFont="1" applyBorder="1" applyAlignment="1" applyProtection="1">
      <protection locked="0"/>
    </xf>
    <xf numFmtId="0" fontId="1" fillId="0" borderId="35" xfId="0" applyFont="1" applyBorder="1" applyAlignment="1" applyProtection="1">
      <protection locked="0"/>
    </xf>
    <xf numFmtId="165" fontId="1" fillId="2" borderId="36" xfId="1" applyNumberFormat="1" applyFont="1" applyFill="1" applyBorder="1">
      <protection locked="0"/>
    </xf>
    <xf numFmtId="165" fontId="4" fillId="2" borderId="36" xfId="1" applyNumberFormat="1" applyFont="1" applyFill="1" applyBorder="1" applyProtection="1">
      <protection hidden="1"/>
    </xf>
    <xf numFmtId="165" fontId="4" fillId="2" borderId="37" xfId="1" applyNumberFormat="1" applyFont="1" applyFill="1" applyBorder="1" applyProtection="1">
      <protection hidden="1"/>
    </xf>
    <xf numFmtId="165" fontId="1" fillId="0" borderId="34" xfId="1" applyNumberFormat="1" applyFont="1" applyBorder="1">
      <protection locked="0"/>
    </xf>
    <xf numFmtId="165" fontId="4" fillId="0" borderId="34" xfId="1" applyNumberFormat="1" applyFont="1" applyBorder="1" applyProtection="1">
      <protection hidden="1"/>
    </xf>
    <xf numFmtId="165" fontId="4" fillId="0" borderId="35" xfId="1" applyNumberFormat="1" applyFont="1" applyBorder="1" applyProtection="1">
      <protection hidden="1"/>
    </xf>
    <xf numFmtId="165" fontId="1" fillId="2" borderId="38" xfId="1" applyNumberFormat="1" applyFont="1" applyFill="1" applyBorder="1">
      <protection locked="0"/>
    </xf>
    <xf numFmtId="165" fontId="4" fillId="2" borderId="39" xfId="1" applyNumberFormat="1" applyFont="1" applyFill="1" applyBorder="1" applyAlignment="1">
      <alignment vertical="center"/>
      <protection locked="0"/>
    </xf>
    <xf numFmtId="3" fontId="1" fillId="0" borderId="11" xfId="0" applyNumberFormat="1" applyFont="1" applyBorder="1" applyAlignment="1" applyProtection="1"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4" fillId="0" borderId="40" xfId="1" applyNumberFormat="1" applyFont="1" applyBorder="1" applyAlignment="1">
      <alignment horizontal="left"/>
      <protection locked="0"/>
    </xf>
    <xf numFmtId="165" fontId="4" fillId="0" borderId="41" xfId="1" applyNumberFormat="1" applyFont="1" applyBorder="1" applyAlignment="1">
      <alignment horizontal="left"/>
      <protection locked="0"/>
    </xf>
    <xf numFmtId="165" fontId="4" fillId="0" borderId="41" xfId="1" applyNumberFormat="1" applyFont="1" applyBorder="1">
      <protection locked="0"/>
    </xf>
    <xf numFmtId="165" fontId="4" fillId="0" borderId="42" xfId="1" applyNumberFormat="1" applyFont="1" applyBorder="1">
      <protection locked="0"/>
    </xf>
    <xf numFmtId="165" fontId="4" fillId="0" borderId="7" xfId="1" applyNumberFormat="1" applyFont="1" applyBorder="1">
      <protection locked="0"/>
    </xf>
    <xf numFmtId="165" fontId="1" fillId="0" borderId="20" xfId="1" applyNumberFormat="1" applyFont="1" applyBorder="1">
      <protection locked="0"/>
    </xf>
    <xf numFmtId="165" fontId="1" fillId="0" borderId="43" xfId="1" applyNumberFormat="1" applyFont="1" applyBorder="1" applyAlignment="1">
      <alignment horizontal="center"/>
      <protection locked="0"/>
    </xf>
    <xf numFmtId="165" fontId="1" fillId="0" borderId="28" xfId="1" applyNumberFormat="1" applyFont="1" applyBorder="1" applyAlignment="1">
      <alignment horizontal="center"/>
      <protection locked="0"/>
    </xf>
    <xf numFmtId="165" fontId="4" fillId="0" borderId="28" xfId="1" applyNumberFormat="1" applyFont="1" applyBorder="1" applyProtection="1">
      <protection hidden="1"/>
    </xf>
    <xf numFmtId="165" fontId="4" fillId="0" borderId="29" xfId="1" applyNumberFormat="1" applyFont="1" applyBorder="1" applyProtection="1">
      <protection hidden="1"/>
    </xf>
    <xf numFmtId="165" fontId="1" fillId="0" borderId="44" xfId="1" applyNumberFormat="1" applyFont="1" applyBorder="1" applyAlignment="1">
      <alignment horizontal="center"/>
      <protection locked="0"/>
    </xf>
    <xf numFmtId="165" fontId="1" fillId="0" borderId="44" xfId="1" applyNumberFormat="1" applyFont="1" applyBorder="1">
      <protection locked="0"/>
    </xf>
    <xf numFmtId="165" fontId="1" fillId="0" borderId="45" xfId="1" applyNumberFormat="1" applyFont="1" applyBorder="1">
      <protection locked="0"/>
    </xf>
    <xf numFmtId="0" fontId="4" fillId="0" borderId="30" xfId="0" applyFont="1" applyBorder="1" applyAlignment="1" applyProtection="1">
      <alignment horizontal="left"/>
      <protection locked="0"/>
    </xf>
    <xf numFmtId="0" fontId="4" fillId="0" borderId="25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33" xfId="0" applyFont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165" fontId="1" fillId="0" borderId="27" xfId="1" applyNumberFormat="1" applyFont="1" applyBorder="1" applyAlignment="1">
      <alignment horizontal="left"/>
      <protection locked="0"/>
    </xf>
    <xf numFmtId="165" fontId="1" fillId="0" borderId="28" xfId="1" applyNumberFormat="1" applyFont="1" applyBorder="1" applyAlignment="1">
      <alignment horizontal="left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24" xfId="1" applyNumberFormat="1" applyFont="1" applyBorder="1" applyAlignment="1">
      <alignment horizontal="center"/>
      <protection locked="0"/>
    </xf>
    <xf numFmtId="165" fontId="1" fillId="0" borderId="25" xfId="1" applyNumberFormat="1" applyFont="1" applyBorder="1" applyAlignment="1">
      <alignment horizontal="center"/>
      <protection locked="0"/>
    </xf>
    <xf numFmtId="165" fontId="2" fillId="2" borderId="1" xfId="1" applyNumberFormat="1" applyFont="1" applyFill="1" applyBorder="1" applyAlignment="1">
      <alignment horizontal="center"/>
      <protection locked="0"/>
    </xf>
    <xf numFmtId="165" fontId="2" fillId="2" borderId="2" xfId="1" applyNumberFormat="1" applyFont="1" applyFill="1" applyBorder="1" applyAlignment="1">
      <alignment horizontal="center"/>
      <protection locked="0"/>
    </xf>
    <xf numFmtId="165" fontId="2" fillId="2" borderId="3" xfId="1" applyNumberFormat="1" applyFont="1" applyFill="1" applyBorder="1" applyAlignment="1">
      <alignment horizontal="center"/>
      <protection locked="0"/>
    </xf>
    <xf numFmtId="165" fontId="2" fillId="2" borderId="4" xfId="1" applyNumberFormat="1" applyFont="1" applyFill="1" applyBorder="1" applyAlignment="1">
      <alignment horizontal="center"/>
      <protection locked="0"/>
    </xf>
    <xf numFmtId="165" fontId="2" fillId="2" borderId="5" xfId="1" applyNumberFormat="1" applyFont="1" applyFill="1" applyBorder="1" applyAlignment="1">
      <alignment horizontal="center"/>
      <protection locked="0"/>
    </xf>
    <xf numFmtId="165" fontId="2" fillId="2" borderId="6" xfId="1" applyNumberFormat="1" applyFont="1" applyFill="1" applyBorder="1" applyAlignment="1">
      <alignment horizontal="center"/>
      <protection locked="0"/>
    </xf>
    <xf numFmtId="165" fontId="3" fillId="2" borderId="7" xfId="1" applyNumberFormat="1" applyFont="1" applyFill="1" applyBorder="1" applyAlignment="1">
      <alignment horizontal="center"/>
      <protection locked="0"/>
    </xf>
    <xf numFmtId="165" fontId="3" fillId="2" borderId="0" xfId="1" applyNumberFormat="1" applyFont="1" applyFill="1" applyAlignment="1">
      <alignment horizontal="center"/>
      <protection locked="0"/>
    </xf>
    <xf numFmtId="165" fontId="3" fillId="2" borderId="8" xfId="1" applyNumberFormat="1" applyFont="1" applyFill="1" applyBorder="1" applyAlignment="1">
      <alignment horizontal="center"/>
      <protection locked="0"/>
    </xf>
    <xf numFmtId="165" fontId="3" fillId="2" borderId="4" xfId="1" applyNumberFormat="1" applyFont="1" applyFill="1" applyBorder="1" applyAlignment="1">
      <alignment horizontal="center"/>
      <protection locked="0"/>
    </xf>
    <xf numFmtId="165" fontId="3" fillId="2" borderId="5" xfId="1" applyNumberFormat="1" applyFont="1" applyFill="1" applyBorder="1" applyAlignment="1">
      <alignment horizontal="center"/>
      <protection locked="0"/>
    </xf>
    <xf numFmtId="165" fontId="3" fillId="2" borderId="6" xfId="1" applyNumberFormat="1" applyFont="1" applyFill="1" applyBorder="1" applyAlignment="1">
      <alignment horizontal="center"/>
      <protection locked="0"/>
    </xf>
    <xf numFmtId="165" fontId="5" fillId="2" borderId="10" xfId="1" applyNumberFormat="1" applyFont="1" applyFill="1" applyBorder="1" applyAlignment="1">
      <alignment horizontal="center"/>
      <protection locked="0"/>
    </xf>
    <xf numFmtId="165" fontId="5" fillId="2" borderId="12" xfId="1" applyNumberFormat="1" applyFont="1" applyFill="1" applyBorder="1" applyAlignment="1">
      <alignment horizontal="center"/>
      <protection locked="0"/>
    </xf>
    <xf numFmtId="165" fontId="5" fillId="2" borderId="11" xfId="1" applyNumberFormat="1" applyFont="1" applyFill="1" applyBorder="1" applyAlignment="1">
      <alignment horizontal="center"/>
      <protection locked="0"/>
    </xf>
    <xf numFmtId="165" fontId="4" fillId="0" borderId="23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topLeftCell="A42" zoomScaleNormal="100" workbookViewId="0">
      <selection activeCell="C69" sqref="C69"/>
    </sheetView>
  </sheetViews>
  <sheetFormatPr defaultColWidth="8.77734375" defaultRowHeight="14.4"/>
  <cols>
    <col min="1" max="1" width="18.21875" style="1" customWidth="1"/>
    <col min="2" max="3" width="14.77734375" style="1" customWidth="1"/>
    <col min="4" max="4" width="10.44140625" style="1" customWidth="1"/>
    <col min="5" max="5" width="25.109375" style="1" customWidth="1"/>
    <col min="6" max="6" width="25.33203125" style="1" customWidth="1"/>
    <col min="7" max="7" width="28.44140625" style="1" customWidth="1"/>
    <col min="8" max="8" width="31.6640625" style="1" customWidth="1"/>
    <col min="9" max="16384" width="8.77734375" style="1"/>
  </cols>
  <sheetData>
    <row r="1" spans="1:8" ht="10.199999999999999" customHeight="1">
      <c r="A1" s="76" t="s">
        <v>25</v>
      </c>
      <c r="B1" s="77"/>
      <c r="C1" s="77"/>
      <c r="D1" s="77"/>
      <c r="E1" s="77"/>
      <c r="F1" s="77"/>
      <c r="G1" s="77"/>
      <c r="H1" s="78"/>
    </row>
    <row r="2" spans="1:8" ht="12.6" customHeight="1">
      <c r="A2" s="79"/>
      <c r="B2" s="80"/>
      <c r="C2" s="80"/>
      <c r="D2" s="80"/>
      <c r="E2" s="80"/>
      <c r="F2" s="80"/>
      <c r="G2" s="80"/>
      <c r="H2" s="81"/>
    </row>
    <row r="3" spans="1:8" ht="13.2" customHeight="1">
      <c r="A3" s="82" t="s">
        <v>52</v>
      </c>
      <c r="B3" s="83"/>
      <c r="C3" s="83"/>
      <c r="D3" s="83"/>
      <c r="E3" s="83"/>
      <c r="F3" s="83"/>
      <c r="G3" s="83"/>
      <c r="H3" s="84"/>
    </row>
    <row r="4" spans="1:8">
      <c r="A4" s="85"/>
      <c r="B4" s="86"/>
      <c r="C4" s="86"/>
      <c r="D4" s="86"/>
      <c r="E4" s="86"/>
      <c r="F4" s="86"/>
      <c r="G4" s="86"/>
      <c r="H4" s="87"/>
    </row>
    <row r="5" spans="1:8">
      <c r="A5" s="2" t="s">
        <v>0</v>
      </c>
      <c r="B5" s="2" t="s">
        <v>20</v>
      </c>
      <c r="C5" s="92" t="s">
        <v>6</v>
      </c>
      <c r="D5" s="93"/>
      <c r="E5" s="2" t="s">
        <v>1</v>
      </c>
      <c r="F5" s="3" t="s">
        <v>2</v>
      </c>
      <c r="G5" s="2" t="s">
        <v>3</v>
      </c>
      <c r="H5" s="4" t="s">
        <v>4</v>
      </c>
    </row>
    <row r="6" spans="1:8">
      <c r="A6" s="5" t="s">
        <v>40</v>
      </c>
      <c r="B6" s="6">
        <v>500</v>
      </c>
      <c r="C6" s="94">
        <v>12000</v>
      </c>
      <c r="D6" s="95"/>
      <c r="E6" s="7">
        <f t="shared" ref="E6" si="0">PRODUCT(B6*C6)</f>
        <v>6000000</v>
      </c>
      <c r="F6" s="7">
        <f t="shared" ref="F6" si="1">PRODUCT(E6*18)/118</f>
        <v>915254.23728813557</v>
      </c>
      <c r="G6" s="7">
        <f>PRODUCT(B6*50)</f>
        <v>25000</v>
      </c>
      <c r="H6" s="8">
        <f t="shared" ref="H6" si="2">SUM(F6:G6)</f>
        <v>940254.23728813557</v>
      </c>
    </row>
    <row r="7" spans="1:8">
      <c r="A7" s="5" t="s">
        <v>28</v>
      </c>
      <c r="B7" s="6">
        <v>14938</v>
      </c>
      <c r="C7" s="94">
        <v>8000</v>
      </c>
      <c r="D7" s="95"/>
      <c r="E7" s="7">
        <f t="shared" ref="E7:E14" si="3">PRODUCT(B7*C7)</f>
        <v>119504000</v>
      </c>
      <c r="F7" s="7">
        <f t="shared" ref="F7:F66" si="4">PRODUCT(E7*18)/118</f>
        <v>18229423.728813559</v>
      </c>
      <c r="G7" s="7">
        <f>PRODUCT(B7*50)</f>
        <v>746900</v>
      </c>
      <c r="H7" s="8">
        <f t="shared" ref="H7:H14" si="5">SUM(F7:G7)</f>
        <v>18976323.728813559</v>
      </c>
    </row>
    <row r="8" spans="1:8">
      <c r="A8" s="9" t="s">
        <v>17</v>
      </c>
      <c r="B8" s="10"/>
      <c r="C8" s="96">
        <v>12036</v>
      </c>
      <c r="D8" s="97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>
      <c r="A9" s="9" t="s">
        <v>32</v>
      </c>
      <c r="B9" s="10">
        <v>5038</v>
      </c>
      <c r="C9" s="96">
        <v>3776</v>
      </c>
      <c r="D9" s="97"/>
      <c r="E9" s="11">
        <f t="shared" si="3"/>
        <v>19023488</v>
      </c>
      <c r="F9" s="11">
        <f t="shared" si="4"/>
        <v>2901888</v>
      </c>
      <c r="G9" s="11">
        <f>PRODUCT(B9*30)</f>
        <v>151140</v>
      </c>
      <c r="H9" s="12">
        <f t="shared" si="5"/>
        <v>3053028</v>
      </c>
    </row>
    <row r="10" spans="1:8">
      <c r="A10" s="9" t="s">
        <v>31</v>
      </c>
      <c r="B10" s="10">
        <v>62831</v>
      </c>
      <c r="C10" s="96">
        <v>2000</v>
      </c>
      <c r="D10" s="97"/>
      <c r="E10" s="11">
        <f t="shared" si="3"/>
        <v>125662000</v>
      </c>
      <c r="F10" s="11">
        <f t="shared" si="4"/>
        <v>19168779.661016949</v>
      </c>
      <c r="G10" s="11">
        <f>PRODUCT(B10*30)</f>
        <v>1884930</v>
      </c>
      <c r="H10" s="12">
        <f t="shared" si="5"/>
        <v>21053709.661016949</v>
      </c>
    </row>
    <row r="11" spans="1:8">
      <c r="A11" s="9" t="s">
        <v>29</v>
      </c>
      <c r="B11" s="10">
        <v>7300</v>
      </c>
      <c r="C11" s="96">
        <v>1357</v>
      </c>
      <c r="D11" s="97"/>
      <c r="E11" s="11">
        <f t="shared" si="3"/>
        <v>9906100</v>
      </c>
      <c r="F11" s="11">
        <f t="shared" si="4"/>
        <v>1511100</v>
      </c>
      <c r="G11" s="11">
        <f>PRODUCT(B11*20)</f>
        <v>146000</v>
      </c>
      <c r="H11" s="12">
        <f t="shared" si="5"/>
        <v>1657100</v>
      </c>
    </row>
    <row r="12" spans="1:8">
      <c r="A12" s="9" t="s">
        <v>39</v>
      </c>
      <c r="B12" s="10"/>
      <c r="C12" s="96">
        <v>2000</v>
      </c>
      <c r="D12" s="97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>
      <c r="A13" s="9" t="s">
        <v>30</v>
      </c>
      <c r="B13" s="10">
        <v>250499</v>
      </c>
      <c r="C13" s="96">
        <v>2124</v>
      </c>
      <c r="D13" s="97"/>
      <c r="E13" s="11">
        <f t="shared" si="3"/>
        <v>532059876</v>
      </c>
      <c r="F13" s="11">
        <f t="shared" si="4"/>
        <v>81161676</v>
      </c>
      <c r="G13" s="11">
        <f>PRODUCT(B13*30)</f>
        <v>7514970</v>
      </c>
      <c r="H13" s="12">
        <f t="shared" si="5"/>
        <v>88676646</v>
      </c>
    </row>
    <row r="14" spans="1:8">
      <c r="A14" s="13" t="s">
        <v>30</v>
      </c>
      <c r="B14" s="10">
        <v>450</v>
      </c>
      <c r="C14" s="96">
        <v>2596</v>
      </c>
      <c r="D14" s="97"/>
      <c r="E14" s="11">
        <f t="shared" si="3"/>
        <v>1168200</v>
      </c>
      <c r="F14" s="11">
        <f t="shared" si="4"/>
        <v>178200</v>
      </c>
      <c r="G14" s="11">
        <f>PRODUCT(B14*30)</f>
        <v>13500</v>
      </c>
      <c r="H14" s="12">
        <f t="shared" si="5"/>
        <v>191700</v>
      </c>
    </row>
    <row r="15" spans="1:8" ht="22.95" customHeight="1" thickBot="1">
      <c r="A15" s="88"/>
      <c r="B15" s="89"/>
      <c r="C15" s="89"/>
      <c r="D15" s="89"/>
      <c r="E15" s="89"/>
      <c r="F15" s="89"/>
      <c r="G15" s="89"/>
      <c r="H15" s="90"/>
    </row>
    <row r="16" spans="1:8" ht="15" thickBot="1">
      <c r="A16" s="14" t="s">
        <v>0</v>
      </c>
      <c r="B16" s="14" t="s">
        <v>20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8">
      <c r="A17" s="47" t="s">
        <v>38</v>
      </c>
      <c r="B17" s="45">
        <v>614</v>
      </c>
      <c r="C17" s="53">
        <v>10620</v>
      </c>
      <c r="D17" s="54">
        <v>50</v>
      </c>
      <c r="E17" s="55">
        <f>PRODUCT(B17*C17)</f>
        <v>6520680</v>
      </c>
      <c r="F17" s="55">
        <f t="shared" ref="F17:F42" si="6">PRODUCT(E17*18)/118</f>
        <v>994680</v>
      </c>
      <c r="G17" s="55">
        <f>PRODUCT(B17*D17)</f>
        <v>30700</v>
      </c>
      <c r="H17" s="56">
        <f>SUM(F17:G17)</f>
        <v>1025380</v>
      </c>
    </row>
    <row r="18" spans="1:8">
      <c r="A18" s="48" t="s">
        <v>38</v>
      </c>
      <c r="B18" s="46"/>
      <c r="C18" s="57">
        <v>11000</v>
      </c>
      <c r="D18" s="17">
        <v>50</v>
      </c>
      <c r="E18" s="11">
        <f t="shared" ref="E18:E42" si="7">PRODUCT(B18*C18)</f>
        <v>0</v>
      </c>
      <c r="F18" s="11">
        <f t="shared" si="6"/>
        <v>0</v>
      </c>
      <c r="G18" s="11">
        <f t="shared" ref="G18:G42" si="8">PRODUCT(B18*D18)</f>
        <v>0</v>
      </c>
      <c r="H18" s="12">
        <f t="shared" ref="H18:H42" si="9">SUM(F18:G18)</f>
        <v>0</v>
      </c>
    </row>
    <row r="19" spans="1:8">
      <c r="A19" s="48" t="s">
        <v>48</v>
      </c>
      <c r="B19" s="46">
        <v>720</v>
      </c>
      <c r="C19" s="57">
        <v>2600</v>
      </c>
      <c r="D19" s="17">
        <v>30</v>
      </c>
      <c r="E19" s="11">
        <f t="shared" si="7"/>
        <v>1872000</v>
      </c>
      <c r="F19" s="11">
        <f t="shared" si="6"/>
        <v>285559.32203389832</v>
      </c>
      <c r="G19" s="11">
        <f t="shared" si="8"/>
        <v>21600</v>
      </c>
      <c r="H19" s="12">
        <f t="shared" si="9"/>
        <v>307159.32203389832</v>
      </c>
    </row>
    <row r="20" spans="1:8">
      <c r="A20" s="48" t="s">
        <v>41</v>
      </c>
      <c r="B20" s="46"/>
      <c r="C20" s="57">
        <v>2360</v>
      </c>
      <c r="D20" s="17">
        <v>20</v>
      </c>
      <c r="E20" s="11">
        <f t="shared" si="7"/>
        <v>0</v>
      </c>
      <c r="F20" s="11">
        <f t="shared" si="6"/>
        <v>0</v>
      </c>
      <c r="G20" s="11">
        <f t="shared" si="8"/>
        <v>0</v>
      </c>
      <c r="H20" s="12">
        <f t="shared" si="9"/>
        <v>0</v>
      </c>
    </row>
    <row r="21" spans="1:8">
      <c r="A21" s="48" t="s">
        <v>44</v>
      </c>
      <c r="B21" s="46">
        <v>616</v>
      </c>
      <c r="C21" s="57">
        <v>3500</v>
      </c>
      <c r="D21" s="17">
        <v>30</v>
      </c>
      <c r="E21" s="11">
        <f t="shared" si="7"/>
        <v>2156000</v>
      </c>
      <c r="F21" s="11">
        <f t="shared" si="6"/>
        <v>328881.35593220341</v>
      </c>
      <c r="G21" s="11">
        <f t="shared" si="8"/>
        <v>18480</v>
      </c>
      <c r="H21" s="12">
        <f t="shared" si="9"/>
        <v>347361.35593220341</v>
      </c>
    </row>
    <row r="22" spans="1:8">
      <c r="A22" s="48" t="s">
        <v>38</v>
      </c>
      <c r="B22" s="46">
        <v>1307</v>
      </c>
      <c r="C22" s="57">
        <v>6000</v>
      </c>
      <c r="D22" s="17">
        <v>50</v>
      </c>
      <c r="E22" s="11">
        <f t="shared" si="7"/>
        <v>7842000</v>
      </c>
      <c r="F22" s="11">
        <f t="shared" si="6"/>
        <v>1196237.2881355933</v>
      </c>
      <c r="G22" s="11">
        <f t="shared" si="8"/>
        <v>65350</v>
      </c>
      <c r="H22" s="12">
        <f t="shared" si="9"/>
        <v>1261587.2881355933</v>
      </c>
    </row>
    <row r="23" spans="1:8">
      <c r="A23" s="48" t="s">
        <v>37</v>
      </c>
      <c r="B23" s="46"/>
      <c r="C23" s="57">
        <v>12036</v>
      </c>
      <c r="D23" s="17">
        <v>50</v>
      </c>
      <c r="E23" s="11">
        <f t="shared" si="7"/>
        <v>0</v>
      </c>
      <c r="F23" s="11">
        <f t="shared" si="6"/>
        <v>0</v>
      </c>
      <c r="G23" s="11">
        <f t="shared" si="8"/>
        <v>0</v>
      </c>
      <c r="H23" s="12">
        <f t="shared" si="9"/>
        <v>0</v>
      </c>
    </row>
    <row r="24" spans="1:8">
      <c r="A24" s="48" t="s">
        <v>45</v>
      </c>
      <c r="B24" s="46"/>
      <c r="C24" s="57">
        <v>2360</v>
      </c>
      <c r="D24" s="17">
        <v>20</v>
      </c>
      <c r="E24" s="11">
        <f t="shared" si="7"/>
        <v>0</v>
      </c>
      <c r="F24" s="11">
        <f t="shared" si="6"/>
        <v>0</v>
      </c>
      <c r="G24" s="11">
        <f t="shared" si="8"/>
        <v>0</v>
      </c>
      <c r="H24" s="12">
        <f t="shared" si="9"/>
        <v>0</v>
      </c>
    </row>
    <row r="25" spans="1:8">
      <c r="A25" s="48" t="s">
        <v>28</v>
      </c>
      <c r="B25" s="46">
        <v>1797</v>
      </c>
      <c r="C25" s="57">
        <v>5000</v>
      </c>
      <c r="D25" s="17">
        <v>50</v>
      </c>
      <c r="E25" s="11">
        <f t="shared" si="7"/>
        <v>8985000</v>
      </c>
      <c r="F25" s="11">
        <f t="shared" si="6"/>
        <v>1370593.220338983</v>
      </c>
      <c r="G25" s="11">
        <f t="shared" si="8"/>
        <v>89850</v>
      </c>
      <c r="H25" s="12">
        <f t="shared" si="9"/>
        <v>1460443.220338983</v>
      </c>
    </row>
    <row r="26" spans="1:8">
      <c r="A26" s="48" t="s">
        <v>46</v>
      </c>
      <c r="B26" s="46">
        <v>840</v>
      </c>
      <c r="C26" s="57">
        <v>1500</v>
      </c>
      <c r="D26" s="17">
        <v>20</v>
      </c>
      <c r="E26" s="11">
        <f t="shared" si="7"/>
        <v>1260000</v>
      </c>
      <c r="F26" s="11">
        <f t="shared" si="6"/>
        <v>192203.38983050847</v>
      </c>
      <c r="G26" s="11">
        <f t="shared" si="8"/>
        <v>16800</v>
      </c>
      <c r="H26" s="12">
        <f t="shared" si="9"/>
        <v>209003.38983050847</v>
      </c>
    </row>
    <row r="27" spans="1:8">
      <c r="A27" s="48" t="s">
        <v>37</v>
      </c>
      <c r="B27" s="46"/>
      <c r="C27" s="57">
        <v>18000</v>
      </c>
      <c r="D27" s="17">
        <v>50</v>
      </c>
      <c r="E27" s="11">
        <f t="shared" si="7"/>
        <v>0</v>
      </c>
      <c r="F27" s="11">
        <f t="shared" si="6"/>
        <v>0</v>
      </c>
      <c r="G27" s="11">
        <f t="shared" si="8"/>
        <v>0</v>
      </c>
      <c r="H27" s="12">
        <f t="shared" si="9"/>
        <v>0</v>
      </c>
    </row>
    <row r="28" spans="1:8">
      <c r="A28" s="48" t="s">
        <v>49</v>
      </c>
      <c r="B28" s="46"/>
      <c r="C28" s="57">
        <v>1800</v>
      </c>
      <c r="D28" s="17">
        <v>20</v>
      </c>
      <c r="E28" s="11">
        <f t="shared" si="7"/>
        <v>0</v>
      </c>
      <c r="F28" s="11">
        <f t="shared" si="6"/>
        <v>0</v>
      </c>
      <c r="G28" s="11">
        <f t="shared" si="8"/>
        <v>0</v>
      </c>
      <c r="H28" s="12">
        <f t="shared" si="9"/>
        <v>0</v>
      </c>
    </row>
    <row r="29" spans="1:8">
      <c r="A29" s="48" t="s">
        <v>37</v>
      </c>
      <c r="B29" s="46">
        <v>40</v>
      </c>
      <c r="C29" s="57">
        <v>8000</v>
      </c>
      <c r="D29" s="17">
        <v>50</v>
      </c>
      <c r="E29" s="11">
        <f t="shared" si="7"/>
        <v>320000</v>
      </c>
      <c r="F29" s="11">
        <f t="shared" si="6"/>
        <v>48813.5593220339</v>
      </c>
      <c r="G29" s="11">
        <f t="shared" si="8"/>
        <v>2000</v>
      </c>
      <c r="H29" s="12">
        <f t="shared" si="9"/>
        <v>50813.5593220339</v>
      </c>
    </row>
    <row r="30" spans="1:8">
      <c r="A30" s="48" t="s">
        <v>38</v>
      </c>
      <c r="B30" s="46"/>
      <c r="C30" s="57">
        <v>4500</v>
      </c>
      <c r="D30" s="17">
        <v>50</v>
      </c>
      <c r="E30" s="11">
        <f t="shared" si="7"/>
        <v>0</v>
      </c>
      <c r="F30" s="11">
        <f t="shared" si="6"/>
        <v>0</v>
      </c>
      <c r="G30" s="11">
        <f t="shared" si="8"/>
        <v>0</v>
      </c>
      <c r="H30" s="12">
        <f t="shared" si="9"/>
        <v>0</v>
      </c>
    </row>
    <row r="31" spans="1:8">
      <c r="A31" s="48" t="s">
        <v>29</v>
      </c>
      <c r="B31" s="46"/>
      <c r="C31" s="57">
        <v>1600</v>
      </c>
      <c r="D31" s="17">
        <v>20</v>
      </c>
      <c r="E31" s="11">
        <f t="shared" si="7"/>
        <v>0</v>
      </c>
      <c r="F31" s="11">
        <f t="shared" si="6"/>
        <v>0</v>
      </c>
      <c r="G31" s="11">
        <f t="shared" si="8"/>
        <v>0</v>
      </c>
      <c r="H31" s="12">
        <f t="shared" si="9"/>
        <v>0</v>
      </c>
    </row>
    <row r="32" spans="1:8">
      <c r="A32" s="48" t="s">
        <v>41</v>
      </c>
      <c r="B32" s="46"/>
      <c r="C32" s="57">
        <v>3800</v>
      </c>
      <c r="D32" s="17">
        <v>20</v>
      </c>
      <c r="E32" s="11">
        <f t="shared" si="7"/>
        <v>0</v>
      </c>
      <c r="F32" s="11">
        <f t="shared" si="6"/>
        <v>0</v>
      </c>
      <c r="G32" s="11">
        <f t="shared" si="8"/>
        <v>0</v>
      </c>
      <c r="H32" s="12">
        <f t="shared" si="9"/>
        <v>0</v>
      </c>
    </row>
    <row r="33" spans="1:9">
      <c r="A33" s="48" t="s">
        <v>44</v>
      </c>
      <c r="B33" s="46">
        <v>3720</v>
      </c>
      <c r="C33" s="57">
        <v>3000</v>
      </c>
      <c r="D33" s="17">
        <v>30</v>
      </c>
      <c r="E33" s="11">
        <f t="shared" si="7"/>
        <v>11160000</v>
      </c>
      <c r="F33" s="11">
        <f t="shared" si="6"/>
        <v>1702372.8813559322</v>
      </c>
      <c r="G33" s="11">
        <f t="shared" si="8"/>
        <v>111600</v>
      </c>
      <c r="H33" s="12">
        <f t="shared" si="9"/>
        <v>1813972.8813559322</v>
      </c>
    </row>
    <row r="34" spans="1:9">
      <c r="A34" s="48" t="s">
        <v>44</v>
      </c>
      <c r="B34" s="46">
        <v>400</v>
      </c>
      <c r="C34" s="57">
        <v>2500</v>
      </c>
      <c r="D34" s="17">
        <v>30</v>
      </c>
      <c r="E34" s="11">
        <f t="shared" si="7"/>
        <v>1000000</v>
      </c>
      <c r="F34" s="11">
        <f t="shared" si="6"/>
        <v>152542.37288135593</v>
      </c>
      <c r="G34" s="11">
        <f t="shared" si="8"/>
        <v>12000</v>
      </c>
      <c r="H34" s="12">
        <f t="shared" si="9"/>
        <v>164542.37288135593</v>
      </c>
    </row>
    <row r="35" spans="1:9">
      <c r="A35" s="48" t="s">
        <v>44</v>
      </c>
      <c r="B35" s="46"/>
      <c r="C35" s="57">
        <v>4000</v>
      </c>
      <c r="D35" s="17">
        <v>30</v>
      </c>
      <c r="E35" s="11">
        <f t="shared" si="7"/>
        <v>0</v>
      </c>
      <c r="F35" s="11">
        <f t="shared" si="6"/>
        <v>0</v>
      </c>
      <c r="G35" s="11">
        <f t="shared" si="8"/>
        <v>0</v>
      </c>
      <c r="H35" s="12">
        <f t="shared" si="9"/>
        <v>0</v>
      </c>
    </row>
    <row r="36" spans="1:9">
      <c r="A36" s="48" t="s">
        <v>44</v>
      </c>
      <c r="B36" s="46"/>
      <c r="C36" s="57">
        <v>5000</v>
      </c>
      <c r="D36" s="17">
        <v>30</v>
      </c>
      <c r="E36" s="11">
        <f t="shared" si="7"/>
        <v>0</v>
      </c>
      <c r="F36" s="11">
        <f t="shared" si="6"/>
        <v>0</v>
      </c>
      <c r="G36" s="11">
        <f t="shared" si="8"/>
        <v>0</v>
      </c>
      <c r="H36" s="12">
        <f t="shared" si="9"/>
        <v>0</v>
      </c>
    </row>
    <row r="37" spans="1:9">
      <c r="A37" s="48" t="s">
        <v>38</v>
      </c>
      <c r="B37" s="46"/>
      <c r="C37" s="57">
        <v>16000</v>
      </c>
      <c r="D37" s="17">
        <v>50</v>
      </c>
      <c r="E37" s="11">
        <f t="shared" si="7"/>
        <v>0</v>
      </c>
      <c r="F37" s="11">
        <f t="shared" si="6"/>
        <v>0</v>
      </c>
      <c r="G37" s="11">
        <f t="shared" si="8"/>
        <v>0</v>
      </c>
      <c r="H37" s="12">
        <f t="shared" si="9"/>
        <v>0</v>
      </c>
    </row>
    <row r="38" spans="1:9">
      <c r="A38" s="48" t="s">
        <v>38</v>
      </c>
      <c r="B38" s="46"/>
      <c r="C38" s="57">
        <v>7000</v>
      </c>
      <c r="D38" s="17">
        <v>50</v>
      </c>
      <c r="E38" s="11">
        <f t="shared" si="7"/>
        <v>0</v>
      </c>
      <c r="F38" s="11">
        <f t="shared" si="6"/>
        <v>0</v>
      </c>
      <c r="G38" s="11">
        <f t="shared" si="8"/>
        <v>0</v>
      </c>
      <c r="H38" s="12">
        <f t="shared" si="9"/>
        <v>0</v>
      </c>
    </row>
    <row r="39" spans="1:9">
      <c r="A39" s="49" t="s">
        <v>41</v>
      </c>
      <c r="B39" s="52">
        <v>2971</v>
      </c>
      <c r="C39" s="58">
        <v>3000</v>
      </c>
      <c r="D39" s="18">
        <v>20</v>
      </c>
      <c r="E39" s="11">
        <f t="shared" si="7"/>
        <v>8913000</v>
      </c>
      <c r="F39" s="11">
        <f t="shared" si="6"/>
        <v>1359610.1694915255</v>
      </c>
      <c r="G39" s="11">
        <f t="shared" si="8"/>
        <v>59420</v>
      </c>
      <c r="H39" s="12">
        <f t="shared" si="9"/>
        <v>1419030.1694915255</v>
      </c>
    </row>
    <row r="40" spans="1:9">
      <c r="A40" s="49" t="s">
        <v>18</v>
      </c>
      <c r="B40" s="52">
        <v>230</v>
      </c>
      <c r="C40" s="58">
        <v>4000</v>
      </c>
      <c r="D40" s="18">
        <v>50</v>
      </c>
      <c r="E40" s="11">
        <f t="shared" si="7"/>
        <v>920000</v>
      </c>
      <c r="F40" s="11">
        <f t="shared" si="6"/>
        <v>140338.98305084746</v>
      </c>
      <c r="G40" s="11">
        <f t="shared" si="8"/>
        <v>11500</v>
      </c>
      <c r="H40" s="12">
        <f t="shared" si="9"/>
        <v>151838.98305084746</v>
      </c>
    </row>
    <row r="41" spans="1:9">
      <c r="A41" s="49" t="s">
        <v>17</v>
      </c>
      <c r="B41" s="52"/>
      <c r="C41" s="58">
        <v>9000</v>
      </c>
      <c r="D41" s="18">
        <v>50</v>
      </c>
      <c r="E41" s="11">
        <f t="shared" si="7"/>
        <v>0</v>
      </c>
      <c r="F41" s="11">
        <f t="shared" si="6"/>
        <v>0</v>
      </c>
      <c r="G41" s="11">
        <f t="shared" si="8"/>
        <v>0</v>
      </c>
      <c r="H41" s="12">
        <f t="shared" si="9"/>
        <v>0</v>
      </c>
    </row>
    <row r="42" spans="1:9" ht="15" thickBot="1">
      <c r="A42" s="50" t="s">
        <v>33</v>
      </c>
      <c r="B42" s="52">
        <v>2007</v>
      </c>
      <c r="C42" s="58">
        <v>2000</v>
      </c>
      <c r="D42" s="18">
        <v>25</v>
      </c>
      <c r="E42" s="11">
        <f t="shared" si="7"/>
        <v>4014000</v>
      </c>
      <c r="F42" s="11">
        <f t="shared" si="6"/>
        <v>612305.08474576275</v>
      </c>
      <c r="G42" s="11">
        <f t="shared" si="8"/>
        <v>50175</v>
      </c>
      <c r="H42" s="12">
        <f t="shared" si="9"/>
        <v>662480.08474576275</v>
      </c>
    </row>
    <row r="43" spans="1:9">
      <c r="A43" s="47" t="s">
        <v>28</v>
      </c>
      <c r="B43" s="46"/>
      <c r="C43" s="57">
        <v>8260</v>
      </c>
      <c r="D43" s="17">
        <v>50</v>
      </c>
      <c r="E43" s="11">
        <f>PRODUCT(B43*C43)</f>
        <v>0</v>
      </c>
      <c r="F43" s="11">
        <f t="shared" ref="F43:F60" si="10">PRODUCT(E43*18)/118</f>
        <v>0</v>
      </c>
      <c r="G43" s="11">
        <f>PRODUCT(B43*D43)</f>
        <v>0</v>
      </c>
      <c r="H43" s="12">
        <f>SUM(F43:G43)</f>
        <v>0</v>
      </c>
    </row>
    <row r="44" spans="1:9">
      <c r="A44" s="48" t="s">
        <v>39</v>
      </c>
      <c r="B44" s="46">
        <v>300</v>
      </c>
      <c r="C44" s="57">
        <v>1770</v>
      </c>
      <c r="D44" s="17">
        <v>20</v>
      </c>
      <c r="E44" s="11">
        <f t="shared" ref="E44:E54" si="11">PRODUCT(B44*C44)</f>
        <v>531000</v>
      </c>
      <c r="F44" s="11">
        <f t="shared" si="10"/>
        <v>81000</v>
      </c>
      <c r="G44" s="11">
        <f t="shared" ref="G44:G54" si="12">PRODUCT(B44*D44)</f>
        <v>6000</v>
      </c>
      <c r="H44" s="12">
        <f t="shared" ref="H44:H54" si="13">SUM(F44:G44)</f>
        <v>87000</v>
      </c>
      <c r="I44" s="21"/>
    </row>
    <row r="45" spans="1:9">
      <c r="A45" s="49" t="s">
        <v>30</v>
      </c>
      <c r="B45" s="52"/>
      <c r="C45" s="58">
        <v>1770</v>
      </c>
      <c r="D45" s="18">
        <v>30</v>
      </c>
      <c r="E45" s="11">
        <f t="shared" si="11"/>
        <v>0</v>
      </c>
      <c r="F45" s="11">
        <f t="shared" si="10"/>
        <v>0</v>
      </c>
      <c r="G45" s="11">
        <f t="shared" si="12"/>
        <v>0</v>
      </c>
      <c r="H45" s="12">
        <f t="shared" si="13"/>
        <v>0</v>
      </c>
      <c r="I45" s="21"/>
    </row>
    <row r="46" spans="1:9">
      <c r="A46" s="49" t="s">
        <v>38</v>
      </c>
      <c r="B46" s="52">
        <v>1087</v>
      </c>
      <c r="C46" s="58">
        <v>4720</v>
      </c>
      <c r="D46" s="18">
        <v>50</v>
      </c>
      <c r="E46" s="11">
        <f t="shared" si="11"/>
        <v>5130640</v>
      </c>
      <c r="F46" s="11">
        <f t="shared" si="10"/>
        <v>782640</v>
      </c>
      <c r="G46" s="11">
        <f t="shared" si="12"/>
        <v>54350</v>
      </c>
      <c r="H46" s="12">
        <f t="shared" si="13"/>
        <v>836990</v>
      </c>
      <c r="I46" s="21"/>
    </row>
    <row r="47" spans="1:9">
      <c r="A47" s="49" t="s">
        <v>36</v>
      </c>
      <c r="B47" s="52"/>
      <c r="C47" s="58">
        <v>2006</v>
      </c>
      <c r="D47" s="18">
        <v>30</v>
      </c>
      <c r="E47" s="11">
        <f t="shared" si="11"/>
        <v>0</v>
      </c>
      <c r="F47" s="11">
        <f t="shared" si="10"/>
        <v>0</v>
      </c>
      <c r="G47" s="11">
        <f t="shared" si="12"/>
        <v>0</v>
      </c>
      <c r="H47" s="12">
        <f t="shared" si="13"/>
        <v>0</v>
      </c>
      <c r="I47" s="21"/>
    </row>
    <row r="48" spans="1:9" ht="15" thickBot="1">
      <c r="A48" s="50" t="s">
        <v>38</v>
      </c>
      <c r="B48" s="52"/>
      <c r="C48" s="58">
        <v>9000</v>
      </c>
      <c r="D48" s="18">
        <v>50</v>
      </c>
      <c r="E48" s="11">
        <f t="shared" si="11"/>
        <v>0</v>
      </c>
      <c r="F48" s="11">
        <f t="shared" si="10"/>
        <v>0</v>
      </c>
      <c r="G48" s="11">
        <f t="shared" si="12"/>
        <v>0</v>
      </c>
      <c r="H48" s="12">
        <f t="shared" si="13"/>
        <v>0</v>
      </c>
      <c r="I48" s="21"/>
    </row>
    <row r="49" spans="1:9">
      <c r="A49" s="51" t="s">
        <v>37</v>
      </c>
      <c r="B49" s="52"/>
      <c r="C49" s="58">
        <v>8000</v>
      </c>
      <c r="D49" s="18">
        <v>50</v>
      </c>
      <c r="E49" s="11">
        <f t="shared" si="11"/>
        <v>0</v>
      </c>
      <c r="F49" s="11">
        <f t="shared" si="10"/>
        <v>0</v>
      </c>
      <c r="G49" s="11">
        <f t="shared" si="12"/>
        <v>0</v>
      </c>
      <c r="H49" s="12">
        <f t="shared" si="13"/>
        <v>0</v>
      </c>
      <c r="I49" s="21"/>
    </row>
    <row r="50" spans="1:9">
      <c r="A50" s="51" t="s">
        <v>46</v>
      </c>
      <c r="B50" s="52"/>
      <c r="C50" s="58">
        <v>1000</v>
      </c>
      <c r="D50" s="18">
        <v>20</v>
      </c>
      <c r="E50" s="11">
        <f t="shared" si="11"/>
        <v>0</v>
      </c>
      <c r="F50" s="11">
        <f t="shared" si="10"/>
        <v>0</v>
      </c>
      <c r="G50" s="11">
        <f t="shared" si="12"/>
        <v>0</v>
      </c>
      <c r="H50" s="12">
        <f t="shared" si="13"/>
        <v>0</v>
      </c>
      <c r="I50" s="21"/>
    </row>
    <row r="51" spans="1:9">
      <c r="A51" s="51" t="s">
        <v>38</v>
      </c>
      <c r="B51" s="52"/>
      <c r="C51" s="58">
        <v>4000</v>
      </c>
      <c r="D51" s="18">
        <v>50</v>
      </c>
      <c r="E51" s="11">
        <f t="shared" si="11"/>
        <v>0</v>
      </c>
      <c r="F51" s="11">
        <f t="shared" si="10"/>
        <v>0</v>
      </c>
      <c r="G51" s="11">
        <f t="shared" si="12"/>
        <v>0</v>
      </c>
      <c r="H51" s="12">
        <f t="shared" si="13"/>
        <v>0</v>
      </c>
      <c r="I51" s="21"/>
    </row>
    <row r="52" spans="1:9">
      <c r="A52" s="51" t="s">
        <v>38</v>
      </c>
      <c r="B52" s="52"/>
      <c r="C52" s="58">
        <v>5310</v>
      </c>
      <c r="D52" s="18">
        <v>50</v>
      </c>
      <c r="E52" s="11">
        <f t="shared" si="11"/>
        <v>0</v>
      </c>
      <c r="F52" s="11">
        <f t="shared" si="10"/>
        <v>0</v>
      </c>
      <c r="G52" s="11">
        <f t="shared" si="12"/>
        <v>0</v>
      </c>
      <c r="H52" s="12">
        <f t="shared" si="13"/>
        <v>0</v>
      </c>
      <c r="I52" s="21"/>
    </row>
    <row r="53" spans="1:9">
      <c r="A53" s="51" t="s">
        <v>50</v>
      </c>
      <c r="B53" s="52"/>
      <c r="C53" s="58">
        <v>1300</v>
      </c>
      <c r="D53" s="18">
        <v>20</v>
      </c>
      <c r="E53" s="11">
        <f t="shared" si="11"/>
        <v>0</v>
      </c>
      <c r="F53" s="11">
        <f t="shared" si="10"/>
        <v>0</v>
      </c>
      <c r="G53" s="11">
        <f t="shared" si="12"/>
        <v>0</v>
      </c>
      <c r="H53" s="12">
        <f t="shared" si="13"/>
        <v>0</v>
      </c>
      <c r="I53" s="21"/>
    </row>
    <row r="54" spans="1:9">
      <c r="A54" s="51" t="s">
        <v>38</v>
      </c>
      <c r="B54" s="52"/>
      <c r="C54" s="58">
        <v>7000</v>
      </c>
      <c r="D54" s="18">
        <v>50</v>
      </c>
      <c r="E54" s="11">
        <f t="shared" si="11"/>
        <v>0</v>
      </c>
      <c r="F54" s="11">
        <f t="shared" si="10"/>
        <v>0</v>
      </c>
      <c r="G54" s="11">
        <f t="shared" si="12"/>
        <v>0</v>
      </c>
      <c r="H54" s="12">
        <f t="shared" si="13"/>
        <v>0</v>
      </c>
      <c r="I54" s="21"/>
    </row>
    <row r="55" spans="1:9">
      <c r="A55" s="47" t="s">
        <v>42</v>
      </c>
      <c r="B55" s="46"/>
      <c r="C55" s="57">
        <v>6000</v>
      </c>
      <c r="D55" s="17"/>
      <c r="E55" s="11">
        <f>PRODUCT(B55*C55)</f>
        <v>0</v>
      </c>
      <c r="F55" s="11">
        <f t="shared" si="10"/>
        <v>0</v>
      </c>
      <c r="G55" s="11">
        <f>PRODUCT(B55*D55)</f>
        <v>0</v>
      </c>
      <c r="H55" s="12">
        <f>SUM(F55:G55)</f>
        <v>0</v>
      </c>
      <c r="I55" s="21"/>
    </row>
    <row r="56" spans="1:9">
      <c r="A56" s="48" t="s">
        <v>43</v>
      </c>
      <c r="B56" s="46">
        <v>42</v>
      </c>
      <c r="C56" s="57">
        <v>10000</v>
      </c>
      <c r="D56" s="17"/>
      <c r="E56" s="11">
        <f t="shared" ref="E56:E60" si="14">PRODUCT(B56*C56)</f>
        <v>420000</v>
      </c>
      <c r="F56" s="11">
        <f t="shared" si="10"/>
        <v>64067.796610169491</v>
      </c>
      <c r="G56" s="11">
        <f t="shared" ref="G56:G60" si="15">PRODUCT(B56*D56)</f>
        <v>0</v>
      </c>
      <c r="H56" s="12">
        <f t="shared" ref="H56:H60" si="16">SUM(F56:G56)</f>
        <v>64067.796610169491</v>
      </c>
    </row>
    <row r="57" spans="1:9">
      <c r="A57" s="49" t="s">
        <v>43</v>
      </c>
      <c r="B57" s="52">
        <v>6</v>
      </c>
      <c r="C57" s="58"/>
      <c r="D57" s="18">
        <v>5000</v>
      </c>
      <c r="E57" s="11">
        <f t="shared" si="14"/>
        <v>0</v>
      </c>
      <c r="F57" s="11">
        <f t="shared" si="10"/>
        <v>0</v>
      </c>
      <c r="G57" s="11">
        <f t="shared" si="15"/>
        <v>30000</v>
      </c>
      <c r="H57" s="12">
        <f t="shared" si="16"/>
        <v>30000</v>
      </c>
    </row>
    <row r="58" spans="1:9">
      <c r="A58" s="49" t="s">
        <v>37</v>
      </c>
      <c r="B58" s="52"/>
      <c r="C58" s="58"/>
      <c r="D58" s="18"/>
      <c r="E58" s="11">
        <f t="shared" si="14"/>
        <v>0</v>
      </c>
      <c r="F58" s="11">
        <f t="shared" si="10"/>
        <v>0</v>
      </c>
      <c r="G58" s="11">
        <f t="shared" si="15"/>
        <v>0</v>
      </c>
      <c r="H58" s="12">
        <f t="shared" si="16"/>
        <v>0</v>
      </c>
    </row>
    <row r="59" spans="1:9">
      <c r="A59" s="49" t="s">
        <v>38</v>
      </c>
      <c r="B59" s="52"/>
      <c r="C59" s="58">
        <v>20000</v>
      </c>
      <c r="D59" s="18">
        <v>50</v>
      </c>
      <c r="E59" s="11">
        <f t="shared" si="14"/>
        <v>0</v>
      </c>
      <c r="F59" s="11">
        <f t="shared" si="10"/>
        <v>0</v>
      </c>
      <c r="G59" s="11">
        <f t="shared" si="15"/>
        <v>0</v>
      </c>
      <c r="H59" s="12">
        <f t="shared" si="16"/>
        <v>0</v>
      </c>
    </row>
    <row r="60" spans="1:9" ht="15" thickBot="1">
      <c r="A60" s="50" t="s">
        <v>51</v>
      </c>
      <c r="B60" s="52"/>
      <c r="C60" s="58">
        <v>8000</v>
      </c>
      <c r="D60" s="18">
        <v>50</v>
      </c>
      <c r="E60" s="11">
        <f t="shared" si="14"/>
        <v>0</v>
      </c>
      <c r="F60" s="11">
        <f t="shared" si="10"/>
        <v>0</v>
      </c>
      <c r="G60" s="11">
        <f t="shared" si="15"/>
        <v>0</v>
      </c>
      <c r="H60" s="12">
        <f t="shared" si="16"/>
        <v>0</v>
      </c>
    </row>
    <row r="61" spans="1:9">
      <c r="A61" s="47" t="s">
        <v>44</v>
      </c>
      <c r="B61" s="46"/>
      <c r="C61" s="57">
        <v>4720</v>
      </c>
      <c r="D61" s="17">
        <v>30</v>
      </c>
      <c r="E61" s="11">
        <f>PRODUCT(B61*C61)</f>
        <v>0</v>
      </c>
      <c r="F61" s="11">
        <f t="shared" si="4"/>
        <v>0</v>
      </c>
      <c r="G61" s="11">
        <f>PRODUCT(B61*D61)</f>
        <v>0</v>
      </c>
      <c r="H61" s="12">
        <f>SUM(F61:G61)</f>
        <v>0</v>
      </c>
    </row>
    <row r="62" spans="1:9">
      <c r="A62" s="48" t="s">
        <v>37</v>
      </c>
      <c r="B62" s="46"/>
      <c r="C62" s="57"/>
      <c r="D62" s="17"/>
      <c r="E62" s="11">
        <f t="shared" ref="E62:E66" si="17">PRODUCT(B62*C62)</f>
        <v>0</v>
      </c>
      <c r="F62" s="11">
        <f t="shared" si="4"/>
        <v>0</v>
      </c>
      <c r="G62" s="11">
        <f t="shared" ref="G62:G66" si="18">PRODUCT(B62*D62)</f>
        <v>0</v>
      </c>
      <c r="H62" s="12">
        <f t="shared" ref="H62:H66" si="19">SUM(F62:G62)</f>
        <v>0</v>
      </c>
    </row>
    <row r="63" spans="1:9">
      <c r="A63" s="49" t="s">
        <v>45</v>
      </c>
      <c r="B63" s="52"/>
      <c r="C63" s="58">
        <v>1298</v>
      </c>
      <c r="D63" s="18">
        <v>20</v>
      </c>
      <c r="E63" s="11">
        <f t="shared" si="17"/>
        <v>0</v>
      </c>
      <c r="F63" s="11">
        <f t="shared" si="4"/>
        <v>0</v>
      </c>
      <c r="G63" s="11">
        <f t="shared" si="18"/>
        <v>0</v>
      </c>
      <c r="H63" s="12">
        <f t="shared" si="19"/>
        <v>0</v>
      </c>
    </row>
    <row r="64" spans="1:9">
      <c r="A64" s="49" t="s">
        <v>46</v>
      </c>
      <c r="B64" s="52"/>
      <c r="C64" s="58">
        <v>1500</v>
      </c>
      <c r="D64" s="18">
        <v>20</v>
      </c>
      <c r="E64" s="11">
        <f t="shared" si="17"/>
        <v>0</v>
      </c>
      <c r="F64" s="11">
        <f t="shared" si="4"/>
        <v>0</v>
      </c>
      <c r="G64" s="11">
        <f t="shared" si="18"/>
        <v>0</v>
      </c>
      <c r="H64" s="12">
        <f t="shared" si="19"/>
        <v>0</v>
      </c>
    </row>
    <row r="65" spans="1:8">
      <c r="A65" s="49" t="s">
        <v>41</v>
      </c>
      <c r="B65" s="52"/>
      <c r="C65" s="58">
        <v>2500</v>
      </c>
      <c r="D65" s="18">
        <v>20</v>
      </c>
      <c r="E65" s="11">
        <f t="shared" si="17"/>
        <v>0</v>
      </c>
      <c r="F65" s="11">
        <f t="shared" si="4"/>
        <v>0</v>
      </c>
      <c r="G65" s="11">
        <f t="shared" si="18"/>
        <v>0</v>
      </c>
      <c r="H65" s="12">
        <f t="shared" si="19"/>
        <v>0</v>
      </c>
    </row>
    <row r="66" spans="1:8" ht="15" thickBot="1">
      <c r="A66" s="50" t="s">
        <v>5</v>
      </c>
      <c r="B66" s="52"/>
      <c r="C66" s="59"/>
      <c r="D66" s="39"/>
      <c r="E66" s="40">
        <f t="shared" si="17"/>
        <v>0</v>
      </c>
      <c r="F66" s="40">
        <f t="shared" si="4"/>
        <v>0</v>
      </c>
      <c r="G66" s="40">
        <f t="shared" si="18"/>
        <v>0</v>
      </c>
      <c r="H66" s="41">
        <f t="shared" si="19"/>
        <v>0</v>
      </c>
    </row>
    <row r="67" spans="1:8" ht="15" thickBot="1">
      <c r="A67" s="43" t="s">
        <v>8</v>
      </c>
      <c r="B67" s="42"/>
      <c r="C67" s="36"/>
      <c r="D67" s="36"/>
      <c r="E67" s="37">
        <f>SUM(E6:E66)</f>
        <v>874367984</v>
      </c>
      <c r="F67" s="37">
        <f>SUM(F6:F66)</f>
        <v>133378167.05084747</v>
      </c>
      <c r="G67" s="37">
        <f>SUM(G6:G66)</f>
        <v>11062265</v>
      </c>
      <c r="H67" s="38">
        <f>SUM(F67:G67)</f>
        <v>144440432.05084747</v>
      </c>
    </row>
    <row r="68" spans="1:8" ht="15" thickBot="1">
      <c r="A68" s="68" t="s">
        <v>11</v>
      </c>
      <c r="B68" s="69"/>
      <c r="C68" s="19">
        <v>144418433</v>
      </c>
      <c r="D68" s="20"/>
      <c r="E68" s="91" t="s">
        <v>47</v>
      </c>
      <c r="F68" s="91"/>
      <c r="G68" s="91"/>
      <c r="H68" s="91"/>
    </row>
    <row r="69" spans="1:8">
      <c r="A69" s="68" t="s">
        <v>15</v>
      </c>
      <c r="B69" s="69"/>
      <c r="C69" s="22"/>
      <c r="D69" s="19" t="s">
        <v>21</v>
      </c>
      <c r="E69" s="74" t="s">
        <v>12</v>
      </c>
      <c r="F69" s="75"/>
      <c r="G69" s="19" t="s">
        <v>13</v>
      </c>
      <c r="H69" s="23" t="s">
        <v>14</v>
      </c>
    </row>
    <row r="70" spans="1:8">
      <c r="A70" s="68" t="s">
        <v>19</v>
      </c>
      <c r="B70" s="69"/>
      <c r="C70" s="24"/>
      <c r="D70" s="25"/>
      <c r="E70" s="66"/>
      <c r="F70" s="67"/>
      <c r="G70" s="26"/>
      <c r="H70" s="27"/>
    </row>
    <row r="71" spans="1:8">
      <c r="A71" s="72" t="s">
        <v>16</v>
      </c>
      <c r="B71" s="73"/>
      <c r="C71" s="28"/>
      <c r="D71" s="19"/>
      <c r="E71" s="70"/>
      <c r="F71" s="71"/>
      <c r="G71" s="10"/>
      <c r="H71" s="29"/>
    </row>
    <row r="72" spans="1:8">
      <c r="A72" s="60" t="s">
        <v>23</v>
      </c>
      <c r="B72" s="61"/>
      <c r="C72" s="30"/>
      <c r="D72" s="23"/>
      <c r="E72" s="62"/>
      <c r="F72" s="63"/>
      <c r="G72" s="10"/>
      <c r="H72" s="29"/>
    </row>
    <row r="73" spans="1:8">
      <c r="A73" s="60" t="s">
        <v>24</v>
      </c>
      <c r="B73" s="61"/>
      <c r="C73" s="44"/>
      <c r="D73" s="31"/>
      <c r="E73" s="62"/>
      <c r="F73" s="63"/>
      <c r="G73" s="10"/>
      <c r="H73" s="29"/>
    </row>
    <row r="74" spans="1:8">
      <c r="A74" s="60" t="s">
        <v>22</v>
      </c>
      <c r="B74" s="61"/>
      <c r="C74" s="32">
        <f>SUM(C68,C69,C71,C72,C73)</f>
        <v>144418433</v>
      </c>
      <c r="D74" s="33"/>
      <c r="E74" s="64"/>
      <c r="F74" s="65"/>
      <c r="G74" s="34"/>
      <c r="H74" s="35"/>
    </row>
    <row r="75" spans="1:8">
      <c r="B75" s="1" t="s">
        <v>35</v>
      </c>
    </row>
    <row r="76" spans="1:8">
      <c r="B76" s="1" t="s">
        <v>53</v>
      </c>
    </row>
    <row r="77" spans="1:8">
      <c r="B77" s="1" t="s">
        <v>26</v>
      </c>
    </row>
    <row r="78" spans="1:8">
      <c r="B78" s="1" t="s">
        <v>34</v>
      </c>
    </row>
    <row r="79" spans="1:8">
      <c r="B79" s="1" t="s">
        <v>27</v>
      </c>
    </row>
  </sheetData>
  <sheetProtection insertHyperlinks="0"/>
  <mergeCells count="27">
    <mergeCell ref="A1:H2"/>
    <mergeCell ref="A3:H4"/>
    <mergeCell ref="A15:H15"/>
    <mergeCell ref="E68:H68"/>
    <mergeCell ref="C5:D5"/>
    <mergeCell ref="C6:D6"/>
    <mergeCell ref="C7:D7"/>
    <mergeCell ref="C14:D14"/>
    <mergeCell ref="C9:D9"/>
    <mergeCell ref="C8:D8"/>
    <mergeCell ref="A68:B68"/>
    <mergeCell ref="C10:D10"/>
    <mergeCell ref="C11:D11"/>
    <mergeCell ref="C12:D12"/>
    <mergeCell ref="C13:D13"/>
    <mergeCell ref="A69:B69"/>
    <mergeCell ref="A72:B72"/>
    <mergeCell ref="E71:F71"/>
    <mergeCell ref="A71:B71"/>
    <mergeCell ref="E72:F72"/>
    <mergeCell ref="E69:F69"/>
    <mergeCell ref="A70:B70"/>
    <mergeCell ref="A74:B74"/>
    <mergeCell ref="E73:F73"/>
    <mergeCell ref="E74:F74"/>
    <mergeCell ref="E70:F70"/>
    <mergeCell ref="A73:B73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2023-07-08T16:04:23Z</dcterms:created>
  <dcterms:modified xsi:type="dcterms:W3CDTF">2026-07-27T11:50:51Z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