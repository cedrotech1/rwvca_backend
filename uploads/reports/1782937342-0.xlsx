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<sst xmlns="http://schemas.openxmlformats.org/spreadsheetml/2006/main" count="1779" uniqueCount="85">
  <si>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</si>
  <si>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</si>
  <si>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</si>
  <si>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</si>
  <si>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</si>
  <si>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</si>
  <si>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</si>
  <si>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</si>
  <si>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</si>
  <si>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</si>
  <si>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</si>
  <si>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</si>
  <si>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</si>
  <si>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</si>
  <si>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</si>
  <si>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</si>
  <si>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</si>
  <si>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</si>
  <si>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</si>
  <si>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</si>
  <si>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</si>
  <si>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</si>
  <si>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</si>
  <si>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</si>
  <si>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</si>
  <si>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</si>
  <si>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</si>
  <si>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</si>
  <si>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</si>
  <si>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</si>
  <si>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</si>
  <si>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</si>
  <si>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</si>
  <si>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</si>
  <si>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</si>
  <si>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</si>
  <si>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</si>
  <si>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</si>
  <si>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</si>
  <si>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</si>
  <si>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</si>
  <si>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</si>
  <si>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</si>
  <si>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</si>
  <si>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</si>
  <si>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</si>
  <si>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</si>
  <si>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</si>
  <si>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</si>
  <si>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</si>
  <si>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</si>
  <si>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</si>
  <si>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</si>
  <si>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</si>
  <si>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</si>
  <si>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</si>
  <si>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</si>
  <si>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</si>
  <si>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</si>
  <si>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</si>
  <si>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</si>
  <si>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</si>
  <si>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</si>
  <si>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</si>
  <si>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</si>
  <si>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</si>
  <si>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</si>
  <si>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</si>
  <si>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</si>
  <si>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</si>
  <si>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</si>
  <si>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</si>
  <si>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</si>
  <si>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</si>
  <si>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</si>
  <si>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</si>
  <si>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</si>
  <si>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</si>
  <si>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</si>
  <si>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</si>
  <si>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</si>
  <si>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</si>
  <si>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</si>
  <si>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</si>
  <si>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30\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</si>
</sst>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402381.15254237287</v>
      </c>
      <c r="C16" s="68">
        <f>KARONGI!G37</f>
        <v>43850</v>
      </c>
      <c r="D16" s="4"/>
      <c r="E16" s="3"/>
      <c r="F16" s="70">
        <f t="shared" si="0"/>
        <v>446231.15254237287</v>
      </c>
      <c r="G16" s="67">
        <f>KARONGI!C41</f>
        <v>0</v>
      </c>
      <c r="H16" s="68">
        <f>KARONGI!C39</f>
        <v>446231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8070003.1525423732</v>
      </c>
      <c r="C29" s="102">
        <f t="shared" si="1"/>
        <v>739550</v>
      </c>
      <c r="D29" s="103">
        <f t="shared" si="1"/>
        <v>0</v>
      </c>
      <c r="E29" s="102">
        <f t="shared" si="1"/>
        <v>0</v>
      </c>
      <c r="F29" s="102">
        <f>SUM(F5:F28)</f>
        <v>8809553.1525423732</v>
      </c>
      <c r="G29" s="103">
        <f>SUM(G5:G28)</f>
        <v>0</v>
      </c>
      <c r="H29" s="103">
        <f>SUM(H5:H28)</f>
        <v>8809553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8809553.1525423732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8809553.1525423732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8809553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8809553.1525423732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8809553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33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>
        <v>250</v>
      </c>
      <c r="C6" s="182">
        <v>7000</v>
      </c>
      <c r="D6" s="183"/>
      <c r="E6" s="13">
        <f t="shared" ref="E6:E14" si="0">PRODUCT(B6*C6)</f>
        <v>1750000</v>
      </c>
      <c r="F6" s="13">
        <f t="shared" ref="F6:F14" si="1">PRODUCT(E6*18)/118</f>
        <v>266949.15254237287</v>
      </c>
      <c r="G6" s="13">
        <f>PRODUCT(B6*50)</f>
        <v>12500</v>
      </c>
      <c r="H6" s="14">
        <f t="shared" ref="H6:H14" si="2">SUM(F6:G6)</f>
        <v>279449.15254237287</v>
      </c>
    </row>
    <row r="7" spans="1:8">
      <c r="A7" s="42" t="s">
        <v>47</v>
      </c>
      <c r="B7" s="12">
        <v>627</v>
      </c>
      <c r="C7" s="182">
        <v>1416</v>
      </c>
      <c r="D7" s="183"/>
      <c r="E7" s="13">
        <f t="shared" si="0"/>
        <v>887832</v>
      </c>
      <c r="F7" s="13">
        <f t="shared" si="1"/>
        <v>135432</v>
      </c>
      <c r="G7" s="13">
        <f>PRODUCT(B7*50)</f>
        <v>31350</v>
      </c>
      <c r="H7" s="14">
        <f t="shared" si="2"/>
        <v>166782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2637832</v>
      </c>
      <c r="F37" s="32">
        <f>SUM(F5:F36)</f>
        <v>402381.15254237287</v>
      </c>
      <c r="G37" s="32">
        <f t="shared" ref="G37:H37" si="3">SUM(G5:G36)</f>
        <v>43850</v>
      </c>
      <c r="H37" s="32">
        <f t="shared" si="3"/>
        <v>446231.15254237287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446231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877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877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1127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25161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2026-07-01T18:07:00Z</dcterms:modified>
</cp:coreProperties>
</file>