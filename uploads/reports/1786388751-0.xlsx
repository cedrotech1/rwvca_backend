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WEEK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<sst xmlns="http://schemas.openxmlformats.org/spreadsheetml/2006/main" count="1779" uniqueCount="85">
  <si>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</si>
  <si>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</si>
  <si>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</si>
  <si>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</si>
  <si>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</si>
  <si>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</si>
  <si>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</si>
  <si>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</si>
  <si>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</si>
  <si>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</si>
  <si>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</si>
  <si>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</si>
  <si>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</si>
  <si>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</si>
  <si>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</si>
  <si>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</si>
  <si>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</si>
  <si>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</si>
  <si>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</si>
  <si>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</si>
  <si>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</si>
  <si>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</si>
  <si>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</si>
  <si>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</si>
  <si>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</si>
  <si>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</si>
  <si>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</si>
  <si>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</si>
  <si>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</si>
  <si>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</si>
  <si>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</si>
  <si>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</si>
  <si>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</si>
  <si>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</si>
  <si>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</si>
  <si>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</si>
  <si>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</si>
  <si>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</si>
  <si>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</si>
  <si>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</si>
  <si>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</si>
  <si>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</si>
  <si>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</si>
  <si>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</si>
  <si>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</si>
  <si>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</si>
  <si>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</si>
  <si>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</si>
  <si>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</si>
  <si>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</si>
  <si>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</si>
  <si>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</si>
  <si>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</si>
  <si>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</si>
  <si>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</si>
  <si>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</si>
  <si>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</si>
  <si>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</si>
  <si>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</si>
  <si>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</si>
  <si>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</si>
  <si>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</si>
  <si>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</si>
  <si>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</si>
  <si>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</si>
  <si>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</si>
  <si>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</si>
  <si>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</si>
  <si>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</si>
  <si>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</si>
  <si>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</si>
  <si>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</si>
  <si>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</si>
  <si>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</si>
  <si>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</si>
  <si>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</si>
  <si>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</si>
  <si>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</si>
  <si>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</si>
  <si>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</si>
  <si>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</si>
  <si>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</si>
  <si>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</si>
  <si>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</si>
  <si>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01/ 08/ 2026  TO  09/08/2026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</si>
</sst>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352684.06779661018</v>
      </c>
      <c r="C16" s="68">
        <f>KARONGI!G37</f>
        <v>40850</v>
      </c>
      <c r="D16" s="4"/>
      <c r="E16" s="3"/>
      <c r="F16" s="70">
        <f t="shared" si="0"/>
        <v>393534.06779661018</v>
      </c>
      <c r="G16" s="67">
        <f>KARONGI!C41</f>
        <v>0</v>
      </c>
      <c r="H16" s="68">
        <f>KARONGI!C39</f>
        <v>393534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8020306.0677966103</v>
      </c>
      <c r="C29" s="102">
        <f t="shared" si="1"/>
        <v>736550</v>
      </c>
      <c r="D29" s="103">
        <f t="shared" si="1"/>
        <v>0</v>
      </c>
      <c r="E29" s="102">
        <f t="shared" si="1"/>
        <v>0</v>
      </c>
      <c r="F29" s="102">
        <f>SUM(F5:F28)</f>
        <v>8756856.0677966103</v>
      </c>
      <c r="G29" s="103">
        <f>SUM(G5:G28)</f>
        <v>0</v>
      </c>
      <c r="H29" s="103">
        <f>SUM(H5:H28)</f>
        <v>8756856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8756856.0677966103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8756856.0677966103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8756856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8756856.0677966103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8756856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252</v>
      </c>
      <c r="C7" s="238">
        <v>6000</v>
      </c>
      <c r="D7" s="239"/>
      <c r="E7" s="13">
        <f t="shared" si="0"/>
        <v>1512000</v>
      </c>
      <c r="F7" s="13">
        <f t="shared" si="1"/>
        <v>230644.06779661018</v>
      </c>
      <c r="G7" s="13">
        <f>PRODUCT(B7*50)</f>
        <v>12600</v>
      </c>
      <c r="H7" s="14">
        <f t="shared" si="2"/>
        <v>243244.06779661018</v>
      </c>
    </row>
    <row r="8" spans="1:8">
      <c r="A8" s="43" t="s">
        <v>48</v>
      </c>
      <c r="B8" s="15">
        <v>565</v>
      </c>
      <c r="C8" s="211">
        <v>1416</v>
      </c>
      <c r="D8" s="212"/>
      <c r="E8" s="16">
        <f t="shared" si="0"/>
        <v>800040</v>
      </c>
      <c r="F8" s="16">
        <f t="shared" si="1"/>
        <v>122040</v>
      </c>
      <c r="G8" s="16">
        <f>PRODUCT(B8*50)</f>
        <v>28250</v>
      </c>
      <c r="H8" s="17">
        <f t="shared" si="2"/>
        <v>150290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2312040</v>
      </c>
      <c r="F37" s="32">
        <f>SUM(F5:F36)</f>
        <v>352684.06779661018</v>
      </c>
      <c r="G37" s="32">
        <f t="shared" ref="G37:H37" si="3">SUM(G5:G36)</f>
        <v>40850</v>
      </c>
      <c r="H37" s="32">
        <f t="shared" si="3"/>
        <v>393534.06779661018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393534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817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817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1067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25101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2026-08-10T18:46:59Z</dcterms:modified>
</cp:coreProperties>
</file>