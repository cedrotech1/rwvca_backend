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activeTab="6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24519"/>
</workbook>
</file>

<file path=xl/calcChain.xml><?xml version="1.0" encoding="utf-8"?>
<calcChain xmlns="http://schemas.openxmlformats.org/spreadsheetml/2006/main"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3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2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C20" i="1" s="1"/>
  <c r="E6" i="22"/>
  <c r="E29" s="1"/>
  <c r="E53" i="21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0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61" i="19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53" i="18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29" s="1"/>
  <c r="C19" i="1" s="1"/>
  <c r="E7" i="18"/>
  <c r="F7" s="1"/>
  <c r="G6"/>
  <c r="E6"/>
  <c r="E61" i="17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5" i="1" s="1"/>
  <c r="E7" i="17"/>
  <c r="F7" s="1"/>
  <c r="G6"/>
  <c r="E6"/>
  <c r="F6" s="1"/>
  <c r="E61" i="16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37" s="1"/>
  <c r="C14" i="1" s="1"/>
  <c r="E6" i="16"/>
  <c r="F6" s="1"/>
  <c r="E61" i="15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37" s="1"/>
  <c r="C13" i="1" s="1"/>
  <c r="E6" i="15"/>
  <c r="F6" s="1"/>
  <c r="E61" i="14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37" s="1"/>
  <c r="C12" i="1" s="1"/>
  <c r="E7" i="14"/>
  <c r="F7" s="1"/>
  <c r="G6"/>
  <c r="E6"/>
  <c r="F6" s="1"/>
  <c r="E61" i="13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1" i="1" s="1"/>
  <c r="E7" i="13"/>
  <c r="F7" s="1"/>
  <c r="G6"/>
  <c r="E6"/>
  <c r="F6" s="1"/>
  <c r="E53" i="12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29" s="1"/>
  <c r="C9" i="1" s="1"/>
  <c r="E6" i="12"/>
  <c r="F6" s="1"/>
  <c r="E53" i="11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H27" s="1"/>
  <c r="G26"/>
  <c r="E26"/>
  <c r="F26" s="1"/>
  <c r="G25"/>
  <c r="E25"/>
  <c r="F25" s="1"/>
  <c r="H25" s="1"/>
  <c r="G24"/>
  <c r="E24"/>
  <c r="F24" s="1"/>
  <c r="G23"/>
  <c r="E23"/>
  <c r="F23" s="1"/>
  <c r="H23" s="1"/>
  <c r="G22"/>
  <c r="E22"/>
  <c r="F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H17" s="1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29" s="1"/>
  <c r="C23" i="1" s="1"/>
  <c r="E6" i="11"/>
  <c r="F6" s="1"/>
  <c r="E53" i="10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G29" s="1"/>
  <c r="C10" i="1" s="1"/>
  <c r="E23" i="10"/>
  <c r="F23" s="1"/>
  <c r="G22"/>
  <c r="E22"/>
  <c r="F22" s="1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53" i="9"/>
  <c r="E52"/>
  <c r="E51"/>
  <c r="E50"/>
  <c r="E49"/>
  <c r="E48"/>
  <c r="E47"/>
  <c r="E46"/>
  <c r="E45"/>
  <c r="E44"/>
  <c r="E43"/>
  <c r="E42"/>
  <c r="E54" s="1"/>
  <c r="E41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F22"/>
  <c r="H22" s="1"/>
  <c r="E22"/>
  <c r="G21"/>
  <c r="F21"/>
  <c r="H21" s="1"/>
  <c r="E21"/>
  <c r="G20"/>
  <c r="F20"/>
  <c r="H20" s="1"/>
  <c r="E20"/>
  <c r="G19"/>
  <c r="F19"/>
  <c r="H19" s="1"/>
  <c r="E19"/>
  <c r="G18"/>
  <c r="F18"/>
  <c r="H18" s="1"/>
  <c r="E18"/>
  <c r="G17"/>
  <c r="F17"/>
  <c r="H17" s="1"/>
  <c r="E17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29" s="1"/>
  <c r="C6" i="1" s="1"/>
  <c r="F6" i="9"/>
  <c r="H6" s="1"/>
  <c r="E6"/>
  <c r="E29" s="1"/>
  <c r="E61" i="8"/>
  <c r="E60"/>
  <c r="E59"/>
  <c r="E58"/>
  <c r="E57"/>
  <c r="E56"/>
  <c r="E55"/>
  <c r="E54"/>
  <c r="E53"/>
  <c r="E52"/>
  <c r="E51"/>
  <c r="E50"/>
  <c r="E62" s="1"/>
  <c r="E49"/>
  <c r="C45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7" i="1" s="1"/>
  <c r="E6" i="8"/>
  <c r="F6" s="1"/>
  <c r="E53" i="7"/>
  <c r="E52"/>
  <c r="E51"/>
  <c r="E50"/>
  <c r="E49"/>
  <c r="E48"/>
  <c r="E47"/>
  <c r="E46"/>
  <c r="E45"/>
  <c r="E44"/>
  <c r="E43"/>
  <c r="E42"/>
  <c r="E41"/>
  <c r="C37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G19"/>
  <c r="E19"/>
  <c r="F19" s="1"/>
  <c r="H19" s="1"/>
  <c r="G18"/>
  <c r="F18"/>
  <c r="H18" s="1"/>
  <c r="E18"/>
  <c r="G17"/>
  <c r="E17"/>
  <c r="F17" s="1"/>
  <c r="H14"/>
  <c r="G14"/>
  <c r="F14"/>
  <c r="E14"/>
  <c r="G13"/>
  <c r="E13"/>
  <c r="F13" s="1"/>
  <c r="H12"/>
  <c r="G12"/>
  <c r="F12"/>
  <c r="E12"/>
  <c r="H11"/>
  <c r="G11"/>
  <c r="F11"/>
  <c r="E11"/>
  <c r="G10"/>
  <c r="E10"/>
  <c r="F10" s="1"/>
  <c r="H9"/>
  <c r="G9"/>
  <c r="F9"/>
  <c r="E9"/>
  <c r="H8"/>
  <c r="G8"/>
  <c r="F8"/>
  <c r="E8"/>
  <c r="G7"/>
  <c r="E7"/>
  <c r="F7" s="1"/>
  <c r="G6"/>
  <c r="E6"/>
  <c r="E61" i="6"/>
  <c r="E60"/>
  <c r="E59"/>
  <c r="E58"/>
  <c r="E57"/>
  <c r="E56"/>
  <c r="E55"/>
  <c r="E54"/>
  <c r="E53"/>
  <c r="E52"/>
  <c r="E51"/>
  <c r="E50"/>
  <c r="E62" s="1"/>
  <c r="E49"/>
  <c r="C45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37" s="1"/>
  <c r="C5" i="1" s="1"/>
  <c r="F6" i="6"/>
  <c r="H6" s="1"/>
  <c r="E6"/>
  <c r="E37" s="1"/>
  <c r="E53" i="5"/>
  <c r="E52"/>
  <c r="E51"/>
  <c r="E50"/>
  <c r="E49"/>
  <c r="E48"/>
  <c r="E47"/>
  <c r="E46"/>
  <c r="E45"/>
  <c r="E44"/>
  <c r="E43"/>
  <c r="E42"/>
  <c r="E41"/>
  <c r="E54" s="1"/>
  <c r="E53" i="4"/>
  <c r="E52"/>
  <c r="E51"/>
  <c r="E50"/>
  <c r="E49"/>
  <c r="E48"/>
  <c r="E47"/>
  <c r="E46"/>
  <c r="E45"/>
  <c r="E44"/>
  <c r="E43"/>
  <c r="E42"/>
  <c r="E54" s="1"/>
  <c r="E41"/>
  <c r="E53" i="3"/>
  <c r="E52"/>
  <c r="E51"/>
  <c r="E50"/>
  <c r="E49"/>
  <c r="E48"/>
  <c r="E47"/>
  <c r="E46"/>
  <c r="E45"/>
  <c r="E44"/>
  <c r="E43"/>
  <c r="E42"/>
  <c r="E41"/>
  <c r="E54" s="1"/>
  <c r="E53" i="2"/>
  <c r="E52"/>
  <c r="E51"/>
  <c r="E50"/>
  <c r="E49"/>
  <c r="E48"/>
  <c r="E47"/>
  <c r="E46"/>
  <c r="E45"/>
  <c r="E44"/>
  <c r="E43"/>
  <c r="E42"/>
  <c r="E54" s="1"/>
  <c r="E41"/>
  <c r="E29" i="1"/>
  <c r="D29"/>
  <c r="F28"/>
  <c r="F27"/>
  <c r="F26"/>
  <c r="F25"/>
  <c r="J24"/>
  <c r="I24"/>
  <c r="H24"/>
  <c r="G24"/>
  <c r="C24"/>
  <c r="B24"/>
  <c r="J23"/>
  <c r="I23"/>
  <c r="H23"/>
  <c r="G23"/>
  <c r="J22"/>
  <c r="I22"/>
  <c r="H22"/>
  <c r="G22"/>
  <c r="C22"/>
  <c r="J21"/>
  <c r="I21"/>
  <c r="H21"/>
  <c r="G21"/>
  <c r="C21"/>
  <c r="J20"/>
  <c r="I20"/>
  <c r="H20"/>
  <c r="G20"/>
  <c r="J19"/>
  <c r="I19"/>
  <c r="H19"/>
  <c r="G19"/>
  <c r="J18"/>
  <c r="I18"/>
  <c r="H18"/>
  <c r="G18"/>
  <c r="C18"/>
  <c r="J17"/>
  <c r="I17"/>
  <c r="H17"/>
  <c r="G17"/>
  <c r="C17"/>
  <c r="J16"/>
  <c r="I16"/>
  <c r="H16"/>
  <c r="G16"/>
  <c r="C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J8"/>
  <c r="I8"/>
  <c r="H8"/>
  <c r="G8"/>
  <c r="J7"/>
  <c r="I7"/>
  <c r="H7"/>
  <c r="G7"/>
  <c r="J6"/>
  <c r="I6"/>
  <c r="H6"/>
  <c r="G6"/>
  <c r="J5"/>
  <c r="I5"/>
  <c r="H5"/>
  <c r="G5"/>
  <c r="H7" i="7" l="1"/>
  <c r="H13"/>
  <c r="C35" i="1"/>
  <c r="I29"/>
  <c r="H10" i="7"/>
  <c r="E54"/>
  <c r="E29"/>
  <c r="H17"/>
  <c r="G29"/>
  <c r="C8" i="1" s="1"/>
  <c r="C29" s="1"/>
  <c r="F6" i="7"/>
  <c r="F24" i="1"/>
  <c r="G29"/>
  <c r="H29"/>
  <c r="J29"/>
  <c r="F37" i="8"/>
  <c r="B7" i="1" s="1"/>
  <c r="F7" s="1"/>
  <c r="H6" i="8"/>
  <c r="H37" s="1"/>
  <c r="H37" i="6"/>
  <c r="F37" i="13"/>
  <c r="B11" i="1" s="1"/>
  <c r="F11" s="1"/>
  <c r="H6" i="13"/>
  <c r="F37" i="17"/>
  <c r="B15" i="1" s="1"/>
  <c r="F15" s="1"/>
  <c r="H6" i="17"/>
  <c r="H6" i="12"/>
  <c r="F29"/>
  <c r="F29" i="11"/>
  <c r="H6"/>
  <c r="F37" i="15"/>
  <c r="B13" i="1" s="1"/>
  <c r="F13" s="1"/>
  <c r="H6" i="15"/>
  <c r="E37" i="8"/>
  <c r="F29" i="9"/>
  <c r="E37" i="15"/>
  <c r="D9" i="26"/>
  <c r="H27" i="10"/>
  <c r="H12" i="12"/>
  <c r="H18"/>
  <c r="H24"/>
  <c r="H28"/>
  <c r="H7" i="14"/>
  <c r="H11"/>
  <c r="H8" i="16"/>
  <c r="H14"/>
  <c r="H11" i="18"/>
  <c r="H17"/>
  <c r="H23"/>
  <c r="D4" i="26"/>
  <c r="D8"/>
  <c r="D16"/>
  <c r="F29" i="10"/>
  <c r="H8" i="11"/>
  <c r="H10"/>
  <c r="H12"/>
  <c r="H14"/>
  <c r="H18"/>
  <c r="H20"/>
  <c r="H22"/>
  <c r="H24"/>
  <c r="H26"/>
  <c r="H28"/>
  <c r="E54"/>
  <c r="H7" i="13"/>
  <c r="H9"/>
  <c r="H11"/>
  <c r="H13"/>
  <c r="E37"/>
  <c r="H8" i="15"/>
  <c r="H10"/>
  <c r="H12"/>
  <c r="H14"/>
  <c r="E62"/>
  <c r="H7" i="17"/>
  <c r="H9"/>
  <c r="H11"/>
  <c r="H13"/>
  <c r="E37"/>
  <c r="D7" i="26"/>
  <c r="D11"/>
  <c r="D15"/>
  <c r="H6" i="16"/>
  <c r="F37"/>
  <c r="B14" i="1" s="1"/>
  <c r="F14" s="1"/>
  <c r="H6" i="14"/>
  <c r="F37"/>
  <c r="B12" i="1" s="1"/>
  <c r="F12" s="1"/>
  <c r="E29" i="18"/>
  <c r="F6"/>
  <c r="F37" i="19"/>
  <c r="B16" i="1" s="1"/>
  <c r="F16" s="1"/>
  <c r="H6" i="19"/>
  <c r="H37" s="1"/>
  <c r="E29" i="11"/>
  <c r="D5" i="26"/>
  <c r="D13"/>
  <c r="F37" i="6"/>
  <c r="B5" i="1" s="1"/>
  <c r="H23" i="10"/>
  <c r="H25"/>
  <c r="E29"/>
  <c r="H8" i="12"/>
  <c r="H10"/>
  <c r="H14"/>
  <c r="H20"/>
  <c r="H22"/>
  <c r="H26"/>
  <c r="H9" i="14"/>
  <c r="H13"/>
  <c r="E37"/>
  <c r="H10" i="16"/>
  <c r="H12"/>
  <c r="E62"/>
  <c r="H7" i="18"/>
  <c r="H9"/>
  <c r="H13"/>
  <c r="H19"/>
  <c r="H21"/>
  <c r="H25"/>
  <c r="H27"/>
  <c r="E37" i="19"/>
  <c r="D12" i="26"/>
  <c r="H22" i="10"/>
  <c r="H24"/>
  <c r="H26"/>
  <c r="H28"/>
  <c r="E54"/>
  <c r="H7" i="12"/>
  <c r="H9"/>
  <c r="H11"/>
  <c r="H13"/>
  <c r="H17"/>
  <c r="H19"/>
  <c r="H21"/>
  <c r="H23"/>
  <c r="H25"/>
  <c r="H27"/>
  <c r="E29"/>
  <c r="H8" i="14"/>
  <c r="H10"/>
  <c r="H12"/>
  <c r="H14"/>
  <c r="E62"/>
  <c r="H7" i="16"/>
  <c r="H9"/>
  <c r="H11"/>
  <c r="H13"/>
  <c r="E37"/>
  <c r="H8" i="18"/>
  <c r="H10"/>
  <c r="H12"/>
  <c r="H14"/>
  <c r="H18"/>
  <c r="H20"/>
  <c r="H22"/>
  <c r="H24"/>
  <c r="H26"/>
  <c r="H28"/>
  <c r="D6" i="26"/>
  <c r="D10"/>
  <c r="D14"/>
  <c r="F6" i="20"/>
  <c r="F6" i="22"/>
  <c r="F6" i="24"/>
  <c r="E54"/>
  <c r="F6" i="21"/>
  <c r="F6" i="23"/>
  <c r="C34" i="1" l="1"/>
  <c r="C37" s="1"/>
  <c r="F29" i="7"/>
  <c r="H6"/>
  <c r="H29" i="10"/>
  <c r="B10" i="1"/>
  <c r="F10" s="1"/>
  <c r="H29" i="12"/>
  <c r="B9" i="1"/>
  <c r="F9" s="1"/>
  <c r="H6" i="20"/>
  <c r="F29"/>
  <c r="H29" i="11"/>
  <c r="B23" i="1"/>
  <c r="F23" s="1"/>
  <c r="H37" i="13"/>
  <c r="D17" i="26"/>
  <c r="F29" i="21"/>
  <c r="H6"/>
  <c r="F5" i="1"/>
  <c r="H29" i="9"/>
  <c r="B6" i="1"/>
  <c r="F6" s="1"/>
  <c r="H37" i="14"/>
  <c r="H37" i="16"/>
  <c r="H37" i="17"/>
  <c r="F29" i="23"/>
  <c r="H6"/>
  <c r="H6" i="22"/>
  <c r="F29"/>
  <c r="H6" i="24"/>
  <c r="F29"/>
  <c r="H6" i="18"/>
  <c r="F29"/>
  <c r="H37" i="15"/>
  <c r="B8" i="1" l="1"/>
  <c r="F8" s="1"/>
  <c r="H29" i="7"/>
  <c r="H29" i="20"/>
  <c r="B17" i="1"/>
  <c r="F17" s="1"/>
  <c r="H29" i="24"/>
  <c r="B22" i="1"/>
  <c r="F22" s="1"/>
  <c r="H29" i="18"/>
  <c r="B19" i="1"/>
  <c r="F19" s="1"/>
  <c r="H29" i="22"/>
  <c r="B20" i="1"/>
  <c r="F20" s="1"/>
  <c r="H29" i="21"/>
  <c r="B18" i="1"/>
  <c r="F18" s="1"/>
  <c r="H29" i="23"/>
  <c r="B21" i="1"/>
  <c r="F21" s="1"/>
  <c r="F29" l="1"/>
  <c r="C33" s="1"/>
  <c r="C36" s="1"/>
  <c r="B29"/>
  <c r="C32" s="1"/>
</calcChain>
</file>

<file path=xl/sharedStrings.xml><?xml version="1.0" encoding="utf-8"?>
<sst xmlns="http://schemas.openxmlformats.org/spreadsheetml/2006/main" count="1779" uniqueCount="87">
  <si>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</si>
  <si>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</si>
  <si>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</si>
  <si>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</si>
  <si>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</si>
  <si>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</si>
  <si>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</si>
  <si>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</si>
  <si>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</si>
  <si>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</si>
  <si>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</si>
  <si>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</si>
  <si>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</si>
  <si>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</si>
  <si>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</si>
  <si>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</si>
  <si>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</si>
  <si>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</si>
  <si>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</si>
  <si>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</si>
  <si>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</si>
  <si>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</si>
  <si>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</si>
  <si>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</si>
  <si>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</si>
  <si>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</si>
  <si>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</si>
  <si>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</si>
  <si>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</si>
  <si>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</si>
  <si>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</si>
  <si>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</si>
  <si>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</si>
  <si>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</si>
  <si>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</si>
  <si>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</si>
  <si>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</si>
  <si>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</si>
  <si>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</si>
  <si>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</si>
  <si>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</si>
  <si>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</si>
  <si>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</si>
  <si>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</si>
  <si>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</si>
  <si>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</si>
  <si>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</si>
  <si>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</si>
  <si>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</si>
  <si>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</si>
  <si>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</si>
  <si>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</si>
  <si>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</si>
  <si>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</si>
  <si>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</si>
  <si>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</si>
  <si>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</si>
  <si>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</si>
  <si>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</si>
  <si>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</si>
  <si>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</si>
  <si>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</si>
  <si>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</si>
  <si>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</si>
  <si>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</si>
  <si>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</si>
  <si>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</si>
  <si>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</si>
  <si>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</si>
  <si>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</si>
  <si>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</si>
  <si>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</si>
  <si>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</si>
  <si>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</si>
  <si>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</si>
  <si>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</si>
  <si>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</si>
  <si>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</si>
  <si>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</si>
  <si>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</si>
  <si>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</si>
  <si>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</si>
  <si>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</si>
  <si>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</si>
  <si>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IBIPANDE BYA PINUS</t>
  </si>
  <si>
    <t>MONTHS REPORT OF MAY 2026</t>
  </si>
  <si>
    <t>DECHETS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</si>
</sst>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opLeftCell="A45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"/>
      <c r="M1" s="1"/>
      <c r="N1" s="1"/>
      <c r="O1" s="1"/>
    </row>
    <row r="2" spans="1:15" ht="30.75" customHeight="1">
      <c r="A2" s="10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7"/>
      <c r="L2" s="1"/>
      <c r="M2" s="1"/>
      <c r="N2" s="1"/>
      <c r="O2" s="1"/>
    </row>
    <row r="3" spans="1:15" ht="15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10441806.101694915</v>
      </c>
      <c r="C8" s="18">
        <f>BISHENYI!G29</f>
        <v>882170</v>
      </c>
      <c r="D8" s="19"/>
      <c r="E8" s="18"/>
      <c r="F8" s="14">
        <f t="shared" si="0"/>
        <v>11323976.101694915</v>
      </c>
      <c r="G8" s="17">
        <f>BISHENYI!C33</f>
        <v>0</v>
      </c>
      <c r="H8" s="18">
        <f>BISHENYI!C31</f>
        <v>11325998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18109428.101694915</v>
      </c>
      <c r="C29" s="33">
        <f t="shared" si="1"/>
        <v>1577870</v>
      </c>
      <c r="D29" s="34">
        <f t="shared" si="1"/>
        <v>0</v>
      </c>
      <c r="E29" s="33">
        <f t="shared" si="1"/>
        <v>0</v>
      </c>
      <c r="F29" s="33">
        <f t="shared" si="1"/>
        <v>19687298.101694915</v>
      </c>
      <c r="G29" s="34">
        <f t="shared" si="1"/>
        <v>0</v>
      </c>
      <c r="H29" s="34">
        <f t="shared" si="1"/>
        <v>19689320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29"/>
      <c r="B30" s="121"/>
      <c r="C30" s="121"/>
      <c r="D30" s="122"/>
      <c r="E30" s="124" t="s">
        <v>32</v>
      </c>
      <c r="F30" s="118"/>
      <c r="G30" s="118"/>
      <c r="H30" s="118"/>
      <c r="I30" s="112"/>
      <c r="J30" s="111"/>
      <c r="K30" s="112"/>
      <c r="L30" s="1"/>
      <c r="M30" s="1"/>
      <c r="N30" s="1"/>
      <c r="O30" s="1"/>
    </row>
    <row r="31" spans="1:15" ht="18" customHeight="1">
      <c r="A31" s="127" t="s">
        <v>33</v>
      </c>
      <c r="B31" s="121"/>
      <c r="C31" s="121"/>
      <c r="D31" s="128"/>
      <c r="E31" s="113"/>
      <c r="F31" s="125"/>
      <c r="G31" s="125"/>
      <c r="H31" s="125"/>
      <c r="I31" s="114"/>
      <c r="J31" s="113"/>
      <c r="K31" s="114"/>
      <c r="L31" s="1"/>
      <c r="M31" s="1"/>
      <c r="N31" s="1"/>
      <c r="O31" s="1"/>
    </row>
    <row r="32" spans="1:15" ht="18" customHeight="1">
      <c r="A32" s="130" t="s">
        <v>34</v>
      </c>
      <c r="B32" s="122"/>
      <c r="C32" s="126">
        <f>SUM(B29:C29)</f>
        <v>19687298.101694915</v>
      </c>
      <c r="D32" s="118"/>
      <c r="E32" s="113"/>
      <c r="F32" s="125"/>
      <c r="G32" s="125"/>
      <c r="H32" s="125"/>
      <c r="I32" s="114"/>
      <c r="J32" s="113"/>
      <c r="K32" s="114"/>
      <c r="L32" s="1"/>
      <c r="M32" s="1"/>
      <c r="N32" s="1"/>
      <c r="O32" s="1"/>
    </row>
    <row r="33" spans="1:15" ht="18" customHeight="1">
      <c r="A33" s="130" t="s">
        <v>35</v>
      </c>
      <c r="B33" s="122"/>
      <c r="C33" s="123">
        <f>SUM(F29,G29)</f>
        <v>19687298.101694915</v>
      </c>
      <c r="D33" s="121"/>
      <c r="E33" s="113"/>
      <c r="F33" s="125"/>
      <c r="G33" s="125"/>
      <c r="H33" s="125"/>
      <c r="I33" s="114"/>
      <c r="J33" s="113"/>
      <c r="K33" s="114"/>
      <c r="L33" s="1"/>
      <c r="M33" s="1"/>
      <c r="N33" s="1"/>
      <c r="O33" s="1"/>
    </row>
    <row r="34" spans="1:15" ht="18" customHeight="1">
      <c r="A34" s="130" t="s">
        <v>36</v>
      </c>
      <c r="B34" s="122"/>
      <c r="C34" s="123">
        <f>SUM(H29,J29,I29)</f>
        <v>19689320</v>
      </c>
      <c r="D34" s="122"/>
      <c r="E34" s="113"/>
      <c r="F34" s="125"/>
      <c r="G34" s="125"/>
      <c r="H34" s="125"/>
      <c r="I34" s="114"/>
      <c r="J34" s="113"/>
      <c r="K34" s="114"/>
      <c r="L34" s="1"/>
      <c r="M34" s="1"/>
      <c r="N34" s="1"/>
      <c r="O34" s="1"/>
    </row>
    <row r="35" spans="1:15" ht="18" customHeight="1">
      <c r="A35" s="130" t="s">
        <v>37</v>
      </c>
      <c r="B35" s="122"/>
      <c r="C35" s="123">
        <f>SUM(D29:E29)</f>
        <v>0</v>
      </c>
      <c r="D35" s="122"/>
      <c r="E35" s="115"/>
      <c r="F35" s="119"/>
      <c r="G35" s="119"/>
      <c r="H35" s="119"/>
      <c r="I35" s="116"/>
      <c r="J35" s="113"/>
      <c r="K35" s="114"/>
      <c r="L35" s="1"/>
      <c r="M35" s="1"/>
      <c r="N35" s="1"/>
      <c r="O35" s="1"/>
    </row>
    <row r="36" spans="1:15" ht="18" customHeight="1">
      <c r="A36" s="130" t="s">
        <v>38</v>
      </c>
      <c r="B36" s="122"/>
      <c r="C36" s="123">
        <f>SUM(C33,C35)</f>
        <v>19687298.101694915</v>
      </c>
      <c r="D36" s="122"/>
      <c r="E36" s="117" t="s">
        <v>39</v>
      </c>
      <c r="F36" s="118"/>
      <c r="G36" s="118"/>
      <c r="H36" s="118"/>
      <c r="I36" s="112"/>
      <c r="J36" s="113"/>
      <c r="K36" s="114"/>
      <c r="L36" s="1"/>
      <c r="M36" s="1"/>
      <c r="N36" s="1"/>
      <c r="O36" s="1"/>
    </row>
    <row r="37" spans="1:15" ht="18" customHeight="1">
      <c r="A37" s="131" t="s">
        <v>40</v>
      </c>
      <c r="B37" s="116"/>
      <c r="C37" s="123">
        <f>SUM(C34:C35)</f>
        <v>19689320</v>
      </c>
      <c r="D37" s="122"/>
      <c r="E37" s="115"/>
      <c r="F37" s="119"/>
      <c r="G37" s="119"/>
      <c r="H37" s="119"/>
      <c r="I37" s="116"/>
      <c r="J37" s="113"/>
      <c r="K37" s="114"/>
      <c r="L37" s="1"/>
      <c r="M37" s="1"/>
      <c r="N37" s="1"/>
      <c r="O37" s="1"/>
    </row>
    <row r="38" spans="1:15" ht="18" customHeight="1">
      <c r="A38" s="120" t="s">
        <v>41</v>
      </c>
      <c r="B38" s="121"/>
      <c r="C38" s="121"/>
      <c r="D38" s="121"/>
      <c r="E38" s="121"/>
      <c r="F38" s="121"/>
      <c r="G38" s="121"/>
      <c r="H38" s="121"/>
      <c r="I38" s="122"/>
      <c r="J38" s="115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2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6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f>SUM(C39:C44)</f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  <c r="I49" s="37"/>
      <c r="J49" s="37"/>
      <c r="K49" s="37"/>
    </row>
    <row r="50" spans="1:11" ht="22.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24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21.7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21.7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21.7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21.7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21.7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21.7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24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24.7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60" t="s">
        <v>82</v>
      </c>
      <c r="C62" s="121"/>
      <c r="D62" s="122"/>
      <c r="E62" s="161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"/>
  <sheetViews>
    <sheetView tabSelected="1" topLeftCell="A16" workbookViewId="0">
      <selection activeCell="C33" sqref="C33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85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190</v>
      </c>
      <c r="C7" s="146">
        <v>7670</v>
      </c>
      <c r="D7" s="147"/>
      <c r="E7" s="44">
        <f t="shared" si="0"/>
        <v>1457300</v>
      </c>
      <c r="F7" s="44">
        <f t="shared" si="1"/>
        <v>222300</v>
      </c>
      <c r="G7" s="44">
        <f t="shared" si="2"/>
        <v>9500</v>
      </c>
      <c r="H7" s="45">
        <f t="shared" si="3"/>
        <v>231800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26839</v>
      </c>
      <c r="C10" s="137">
        <v>2360</v>
      </c>
      <c r="D10" s="138"/>
      <c r="E10" s="48">
        <f t="shared" si="0"/>
        <v>63340040</v>
      </c>
      <c r="F10" s="48">
        <f t="shared" si="1"/>
        <v>9662040</v>
      </c>
      <c r="G10" s="48">
        <f t="shared" si="4"/>
        <v>805170</v>
      </c>
      <c r="H10" s="49">
        <f t="shared" si="3"/>
        <v>10467210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1750</v>
      </c>
      <c r="C13" s="137">
        <v>1534</v>
      </c>
      <c r="D13" s="138"/>
      <c r="E13" s="48">
        <f t="shared" si="0"/>
        <v>2684500</v>
      </c>
      <c r="F13" s="48">
        <f t="shared" si="1"/>
        <v>409500</v>
      </c>
      <c r="G13" s="48">
        <f t="shared" ref="G13:G14" si="5">PRODUCT(B13*20)</f>
        <v>35000</v>
      </c>
      <c r="H13" s="49">
        <f t="shared" si="3"/>
        <v>444500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84</v>
      </c>
      <c r="B17" s="56">
        <v>450</v>
      </c>
      <c r="C17" s="56">
        <v>2000</v>
      </c>
      <c r="D17" s="56">
        <v>50</v>
      </c>
      <c r="E17" s="57">
        <f t="shared" ref="E17:E28" si="6">PRODUCT(B17*C17)</f>
        <v>900000</v>
      </c>
      <c r="F17" s="58">
        <f t="shared" ref="F17:F28" si="7">PRODUCT(E17*18)/118</f>
        <v>137288.13559322033</v>
      </c>
      <c r="G17" s="58">
        <f t="shared" ref="G17:G28" si="8">PRODUCT(B17*D17)</f>
        <v>22500</v>
      </c>
      <c r="H17" s="58">
        <f t="shared" ref="H17:H29" si="9">SUM(F17:G17)</f>
        <v>159788.13559322033</v>
      </c>
    </row>
    <row r="18" spans="1:8" ht="14.25" customHeight="1">
      <c r="A18" s="59" t="s">
        <v>86</v>
      </c>
      <c r="B18" s="60">
        <v>7</v>
      </c>
      <c r="C18" s="60">
        <v>10000</v>
      </c>
      <c r="D18" s="60"/>
      <c r="E18" s="61">
        <f t="shared" si="6"/>
        <v>70000</v>
      </c>
      <c r="F18" s="62">
        <f t="shared" si="7"/>
        <v>10677.966101694916</v>
      </c>
      <c r="G18" s="62">
        <f t="shared" si="8"/>
        <v>0</v>
      </c>
      <c r="H18" s="62">
        <f t="shared" si="9"/>
        <v>10677.966101694916</v>
      </c>
    </row>
    <row r="19" spans="1:8" ht="14.25" customHeight="1">
      <c r="A19" s="63" t="s">
        <v>86</v>
      </c>
      <c r="B19" s="64">
        <v>1</v>
      </c>
      <c r="C19" s="64"/>
      <c r="D19" s="64">
        <v>10000</v>
      </c>
      <c r="E19" s="61">
        <f t="shared" si="6"/>
        <v>0</v>
      </c>
      <c r="F19" s="62">
        <f t="shared" si="7"/>
        <v>0</v>
      </c>
      <c r="G19" s="62">
        <f t="shared" si="8"/>
        <v>10000</v>
      </c>
      <c r="H19" s="62">
        <f t="shared" si="9"/>
        <v>10000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68451840</v>
      </c>
      <c r="F29" s="74">
        <f t="shared" si="10"/>
        <v>10441806.101694915</v>
      </c>
      <c r="G29" s="75">
        <f t="shared" si="10"/>
        <v>882170</v>
      </c>
      <c r="H29" s="76">
        <f t="shared" si="9"/>
        <v>11323976.101694915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>
        <v>11325998</v>
      </c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f>SUM(C31:C36)</f>
        <v>11325998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26839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190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1750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457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1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29237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83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>
        <v>15000</v>
      </c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>
        <v>9000</v>
      </c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37">
        <v>7670</v>
      </c>
      <c r="D8" s="138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37">
        <v>4130</v>
      </c>
      <c r="D9" s="138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37">
        <v>2124</v>
      </c>
      <c r="D10" s="138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37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37">
        <v>1357</v>
      </c>
      <c r="D13" s="138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>
        <v>8363322</v>
      </c>
      <c r="D39" s="82"/>
      <c r="E39" s="146"/>
      <c r="F39" s="147"/>
      <c r="G39" s="83"/>
      <c r="H39" s="84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f>SUM(C39:C44)</f>
        <v>8363322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20252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250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3782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B62" s="132" t="s">
        <v>82</v>
      </c>
      <c r="C62" s="121"/>
      <c r="D62" s="122"/>
      <c r="E62" s="167">
        <f>SUM(E49:H61)</f>
        <v>24284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73" t="s">
        <v>69</v>
      </c>
      <c r="B39" s="174"/>
      <c r="C39" s="81"/>
      <c r="D39" s="82"/>
      <c r="E39" s="171"/>
      <c r="F39" s="172"/>
      <c r="G39" s="83"/>
      <c r="H39" s="84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42" t="s">
        <v>72</v>
      </c>
      <c r="B42" s="122"/>
      <c r="C42" s="90"/>
      <c r="D42" s="74"/>
      <c r="E42" s="169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68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68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70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59">
        <f>SUM(B13:B14)</f>
        <v>0</v>
      </c>
      <c r="F51" s="121"/>
      <c r="G51" s="121"/>
      <c r="H51" s="122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8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8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8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8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8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8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8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8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8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8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SUM(B11:B14)</f>
        <v>0</v>
      </c>
      <c r="F49" s="121"/>
      <c r="G49" s="121"/>
      <c r="H49" s="122"/>
    </row>
    <row r="50" spans="1:8" ht="14.25" customHeight="1">
      <c r="A50" s="37"/>
      <c r="B50" s="139" t="s">
        <v>52</v>
      </c>
      <c r="C50" s="121"/>
      <c r="D50" s="122"/>
      <c r="E50" s="159">
        <f>SUM(B8:B10)</f>
        <v>0</v>
      </c>
      <c r="F50" s="121"/>
      <c r="G50" s="121"/>
      <c r="H50" s="122"/>
    </row>
    <row r="51" spans="1:8" ht="14.25" customHeight="1">
      <c r="A51" s="37"/>
      <c r="B51" s="139" t="s">
        <v>80</v>
      </c>
      <c r="C51" s="121"/>
      <c r="D51" s="122"/>
      <c r="E51" s="159">
        <f>SUM(B15:B16)</f>
        <v>0</v>
      </c>
      <c r="F51" s="121"/>
      <c r="G51" s="121"/>
      <c r="H51" s="122"/>
    </row>
    <row r="52" spans="1:8" ht="14.25" customHeight="1">
      <c r="A52" s="37"/>
      <c r="B52" s="132" t="s">
        <v>61</v>
      </c>
      <c r="C52" s="121"/>
      <c r="D52" s="122"/>
      <c r="E52" s="123">
        <f>SUM(B19:B20)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SUM(B29:B30)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0" si="7">B31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>B45</f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8.7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8.7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58" t="s">
        <v>76</v>
      </c>
      <c r="B1" s="118"/>
      <c r="C1" s="118"/>
      <c r="D1" s="118"/>
      <c r="E1" s="118"/>
      <c r="F1" s="118"/>
      <c r="G1" s="112"/>
    </row>
    <row r="2" spans="1:7" ht="14.25" customHeight="1">
      <c r="A2" s="115"/>
      <c r="B2" s="119"/>
      <c r="C2" s="119"/>
      <c r="D2" s="119"/>
      <c r="E2" s="119"/>
      <c r="F2" s="119"/>
      <c r="G2" s="116"/>
    </row>
    <row r="3" spans="1:7" ht="14.25" customHeight="1">
      <c r="A3" s="179" t="s">
        <v>77</v>
      </c>
      <c r="B3" s="121"/>
      <c r="C3" s="122"/>
      <c r="D3" s="179" t="s">
        <v>78</v>
      </c>
      <c r="E3" s="121"/>
      <c r="F3" s="121"/>
      <c r="G3" s="122"/>
    </row>
    <row r="4" spans="1:7" ht="41.25" customHeight="1">
      <c r="A4" s="177" t="s">
        <v>79</v>
      </c>
      <c r="B4" s="121"/>
      <c r="C4" s="122"/>
      <c r="D4" s="175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47091</v>
      </c>
      <c r="E4" s="121"/>
      <c r="F4" s="121"/>
      <c r="G4" s="122"/>
    </row>
    <row r="5" spans="1:7" ht="36.75" customHeight="1">
      <c r="A5" s="177" t="s">
        <v>52</v>
      </c>
      <c r="B5" s="121"/>
      <c r="C5" s="122"/>
      <c r="D5" s="175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440</v>
      </c>
      <c r="E5" s="121"/>
      <c r="F5" s="121"/>
      <c r="G5" s="122"/>
    </row>
    <row r="6" spans="1:7" ht="39.75" customHeight="1">
      <c r="A6" s="177" t="s">
        <v>56</v>
      </c>
      <c r="B6" s="121"/>
      <c r="C6" s="122"/>
      <c r="D6" s="175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5532</v>
      </c>
      <c r="E6" s="121"/>
      <c r="F6" s="121"/>
      <c r="G6" s="122"/>
    </row>
    <row r="7" spans="1:7" ht="38.25" customHeight="1">
      <c r="A7" s="178" t="s">
        <v>61</v>
      </c>
      <c r="B7" s="121"/>
      <c r="C7" s="122"/>
      <c r="D7" s="175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457</v>
      </c>
      <c r="E7" s="121"/>
      <c r="F7" s="121"/>
      <c r="G7" s="122"/>
    </row>
    <row r="8" spans="1:7" ht="39.75" customHeight="1">
      <c r="A8" s="178" t="s">
        <v>62</v>
      </c>
      <c r="B8" s="121"/>
      <c r="C8" s="122"/>
      <c r="D8" s="175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1</v>
      </c>
      <c r="E8" s="121"/>
      <c r="F8" s="121"/>
      <c r="G8" s="122"/>
    </row>
    <row r="9" spans="1:7" ht="38.25" customHeight="1">
      <c r="A9" s="178" t="s">
        <v>81</v>
      </c>
      <c r="B9" s="121"/>
      <c r="C9" s="122"/>
      <c r="D9" s="175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1"/>
      <c r="F9" s="121"/>
      <c r="G9" s="122"/>
    </row>
    <row r="10" spans="1:7" ht="37.5" customHeight="1">
      <c r="A10" s="178" t="s">
        <v>81</v>
      </c>
      <c r="B10" s="121"/>
      <c r="C10" s="122"/>
      <c r="D10" s="175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1"/>
      <c r="F10" s="121"/>
      <c r="G10" s="122"/>
    </row>
    <row r="11" spans="1:7" ht="38.25" customHeight="1">
      <c r="A11" s="178" t="s">
        <v>81</v>
      </c>
      <c r="B11" s="121"/>
      <c r="C11" s="122"/>
      <c r="D11" s="175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1"/>
      <c r="F11" s="121"/>
      <c r="G11" s="122"/>
    </row>
    <row r="12" spans="1:7" ht="36" customHeight="1">
      <c r="A12" s="178" t="s">
        <v>81</v>
      </c>
      <c r="B12" s="121"/>
      <c r="C12" s="122"/>
      <c r="D12" s="175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1"/>
      <c r="F12" s="121"/>
      <c r="G12" s="122"/>
    </row>
    <row r="13" spans="1:7" ht="37.5" customHeight="1">
      <c r="A13" s="178" t="s">
        <v>81</v>
      </c>
      <c r="B13" s="121"/>
      <c r="C13" s="122"/>
      <c r="D13" s="175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1"/>
      <c r="F13" s="121"/>
      <c r="G13" s="122"/>
    </row>
    <row r="14" spans="1:7" ht="14.25" customHeight="1">
      <c r="A14" s="178" t="s">
        <v>81</v>
      </c>
      <c r="B14" s="121"/>
      <c r="C14" s="122"/>
      <c r="D14" s="175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1"/>
      <c r="F14" s="121"/>
      <c r="G14" s="122"/>
    </row>
    <row r="15" spans="1:7" ht="14.25" customHeight="1">
      <c r="A15" s="178" t="s">
        <v>81</v>
      </c>
      <c r="B15" s="121"/>
      <c r="C15" s="122"/>
      <c r="D15" s="175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1"/>
      <c r="F15" s="121"/>
      <c r="G15" s="122"/>
    </row>
    <row r="16" spans="1:7" ht="14.25" customHeight="1">
      <c r="A16" s="178" t="s">
        <v>81</v>
      </c>
      <c r="B16" s="121"/>
      <c r="C16" s="122"/>
      <c r="D16" s="175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1"/>
      <c r="F16" s="121"/>
      <c r="G16" s="122"/>
    </row>
    <row r="17" spans="1:7" ht="14.25" customHeight="1">
      <c r="A17" s="178" t="s">
        <v>82</v>
      </c>
      <c r="B17" s="121"/>
      <c r="C17" s="122"/>
      <c r="D17" s="176">
        <f>SUM(D4:D16)</f>
        <v>53521</v>
      </c>
      <c r="E17" s="121"/>
      <c r="F17" s="121"/>
      <c r="G17" s="122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2026-06-01T03:06:55Z</dcterms:modified>
</cp:coreProperties>
</file>