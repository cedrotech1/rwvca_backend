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<sst xmlns="http://schemas.openxmlformats.org/spreadsheetml/2006/main" count="66" uniqueCount="36">
  <si>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</si>
  <si>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Weekly report of 25-31/05/2026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</si>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</sst>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" workbookViewId="0">
      <selection activeCell="A3" sqref="A3:H4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600</v>
      </c>
      <c r="C6" s="21">
        <v>8850</v>
      </c>
      <c r="D6" s="22"/>
      <c r="E6" s="23">
        <f t="shared" ref="E6" si="0">PRODUCT(B6*C6)</f>
        <v>5310000</v>
      </c>
      <c r="F6" s="23">
        <f t="shared" ref="F6" si="1">PRODUCT(E6*18)/118</f>
        <v>810000</v>
      </c>
      <c r="G6" s="23">
        <f>PRODUCT(B6*50)</f>
        <v>30000</v>
      </c>
      <c r="H6" s="24">
        <f t="shared" ref="H6" si="2">SUM(F6:G6)</f>
        <v>840000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3010</v>
      </c>
      <c r="C10" s="27">
        <v>2124</v>
      </c>
      <c r="D10" s="28"/>
      <c r="E10" s="29">
        <f t="shared" si="3"/>
        <v>6393240</v>
      </c>
      <c r="F10" s="29">
        <f t="shared" si="4"/>
        <v>975240</v>
      </c>
      <c r="G10" s="29">
        <f>PRODUCT(B10*30)</f>
        <v>90300</v>
      </c>
      <c r="H10" s="30">
        <f t="shared" si="5"/>
        <v>1065540</v>
      </c>
    </row>
    <row r="11" spans="1:8">
      <c r="A11" s="25" t="s">
        <v>14</v>
      </c>
      <c r="B11" s="26">
        <v>1000</v>
      </c>
      <c r="C11" s="27">
        <v>944</v>
      </c>
      <c r="D11" s="28"/>
      <c r="E11" s="29">
        <f t="shared" si="3"/>
        <v>944000</v>
      </c>
      <c r="F11" s="29">
        <f t="shared" si="4"/>
        <v>144000</v>
      </c>
      <c r="G11" s="29">
        <f>PRODUCT(B11*20)</f>
        <v>20000</v>
      </c>
      <c r="H11" s="30">
        <f t="shared" si="5"/>
        <v>164000</v>
      </c>
    </row>
    <row r="12" spans="1:8">
      <c r="A12" s="25" t="s">
        <v>14</v>
      </c>
      <c r="B12" s="26">
        <v>790</v>
      </c>
      <c r="C12" s="27">
        <v>1180</v>
      </c>
      <c r="D12" s="28"/>
      <c r="E12" s="29">
        <f t="shared" si="3"/>
        <v>932200</v>
      </c>
      <c r="F12" s="29">
        <f t="shared" si="4"/>
        <v>142200</v>
      </c>
      <c r="G12" s="29">
        <f>PRODUCT(B12*20)</f>
        <v>15800</v>
      </c>
      <c r="H12" s="30">
        <f t="shared" si="5"/>
        <v>158000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300</v>
      </c>
      <c r="C17" s="39">
        <v>1770</v>
      </c>
      <c r="D17" s="39">
        <v>25</v>
      </c>
      <c r="E17" s="23">
        <f>PRODUCT(B17*C17)</f>
        <v>531000</v>
      </c>
      <c r="F17" s="23">
        <f t="shared" ref="F17:F22" si="6">PRODUCT(E17*18)/118</f>
        <v>81000</v>
      </c>
      <c r="G17" s="23">
        <f>PRODUCT(B17*D17)</f>
        <v>7500</v>
      </c>
      <c r="H17" s="24">
        <f>SUM(F17:G17)</f>
        <v>88500</v>
      </c>
    </row>
    <row r="18" spans="1:9">
      <c r="A18" s="40" t="s">
        <v>20</v>
      </c>
      <c r="B18" s="28">
        <v>700</v>
      </c>
      <c r="C18" s="41">
        <v>2360</v>
      </c>
      <c r="D18" s="41">
        <v>25</v>
      </c>
      <c r="E18" s="29">
        <f t="shared" ref="E18:E23" si="7">PRODUCT(B18*C18)</f>
        <v>1652000</v>
      </c>
      <c r="F18" s="29">
        <f t="shared" si="6"/>
        <v>252000</v>
      </c>
      <c r="G18" s="29">
        <f t="shared" ref="G18:G23" si="8">PRODUCT(B18*D18)</f>
        <v>17500</v>
      </c>
      <c r="H18" s="30">
        <f t="shared" ref="H18:H23" si="9">SUM(F18:G18)</f>
        <v>269500</v>
      </c>
    </row>
    <row r="19" spans="1:9">
      <c r="A19" s="25" t="s">
        <v>20</v>
      </c>
      <c r="B19" s="26">
        <v>2360</v>
      </c>
      <c r="C19" s="42">
        <v>570</v>
      </c>
      <c r="D19" s="42">
        <v>25</v>
      </c>
      <c r="E19" s="29">
        <f t="shared" si="7"/>
        <v>1345200</v>
      </c>
      <c r="F19" s="29">
        <f t="shared" si="6"/>
        <v>205200</v>
      </c>
      <c r="G19" s="29">
        <f t="shared" si="8"/>
        <v>59000</v>
      </c>
      <c r="H19" s="30">
        <f t="shared" si="9"/>
        <v>264200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17107640</v>
      </c>
      <c r="F41" s="52">
        <f>SUM(F6:F40)</f>
        <v>2609640</v>
      </c>
      <c r="G41" s="52">
        <f>SUM(G6:G40)</f>
        <v>240100</v>
      </c>
      <c r="H41" s="53">
        <f t="shared" si="19"/>
        <v>2849740</v>
      </c>
    </row>
    <row r="42" spans="1:8">
      <c r="A42" s="54" t="s">
        <v>22</v>
      </c>
      <c r="B42" s="55"/>
      <c r="C42" s="56">
        <v>2526980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322760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2849740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2026-06-01T13:17:10Z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59042E7D65394ABA8F593F5DBA5A7E21_13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