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G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H17" i="1" l="1"/>
  <c r="G41" i="1"/>
  <c r="E41" i="1"/>
  <c r="F10" i="1"/>
  <c r="F41" i="1" l="1"/>
  <c r="H41" i="1" s="1"/>
  <c r="H10" i="1"/>
</calcChain>
</file>

<file path=xl/sharedStrings.xml><?xml version="1.0" encoding="utf-8"?>
<sst xmlns="http://schemas.openxmlformats.org/spreadsheetml/2006/main" count="66" uniqueCount="37">
  <si>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</si>
  <si>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</si>
  <si>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</si>
  <si>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</si>
  <si>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</si>
  <si>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</si>
  <si>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</si>
  <si>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</si>
  <si>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</si>
  <si>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</si>
  <si>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</si>
  <si>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</si>
  <si>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</si>
  <si>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</si>
  <si>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</si>
  <si>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</si>
  <si>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</si>
  <si>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</si>
  <si>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</si>
  <si>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</si>
  <si>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</si>
  <si>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</si>
  <si>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</si>
  <si>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</si>
  <si>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</si>
  <si>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</si>
  <si>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</si>
  <si>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</si>
  <si>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</si>
  <si>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</si>
  <si>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</si>
  <si>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</si>
  <si>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</si>
  <si>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Ibipande bitoya</t>
  </si>
  <si>
    <t>ICPCs Musanze</t>
  </si>
  <si>
    <t>Daily Report of 14/04/2026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</si>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</sst>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32" workbookViewId="0">
      <selection activeCell="C43" sqref="C43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34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35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150</v>
      </c>
      <c r="C10" s="55">
        <v>2124</v>
      </c>
      <c r="D10" s="56"/>
      <c r="E10" s="13">
        <f t="shared" si="3"/>
        <v>318600</v>
      </c>
      <c r="F10" s="13">
        <f t="shared" si="4"/>
        <v>48600</v>
      </c>
      <c r="G10" s="13">
        <f>PRODUCT(B10*30)</f>
        <v>4500</v>
      </c>
      <c r="H10" s="14">
        <f t="shared" si="5"/>
        <v>53100</v>
      </c>
    </row>
    <row r="11" spans="1:8">
      <c r="A11" s="10" t="s">
        <v>12</v>
      </c>
      <c r="B11" s="11"/>
      <c r="C11" s="55">
        <v>1357</v>
      </c>
      <c r="D11" s="56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12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14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33</v>
      </c>
      <c r="B17" s="7">
        <v>320</v>
      </c>
      <c r="C17" s="20">
        <v>1770</v>
      </c>
      <c r="D17" s="20">
        <v>25</v>
      </c>
      <c r="E17" s="8">
        <f>PRODUCT(B17*C17)</f>
        <v>566400</v>
      </c>
      <c r="F17" s="8">
        <f t="shared" ref="F17:F22" si="6">PRODUCT(E17*18)/118</f>
        <v>86400</v>
      </c>
      <c r="G17" s="8">
        <f>PRODUCT(B17*D17)</f>
        <v>8000</v>
      </c>
      <c r="H17" s="9">
        <f>SUM(F17:G17)</f>
        <v>94400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885000</v>
      </c>
      <c r="F41" s="32">
        <f>SUM(F6:F40)</f>
        <v>135000</v>
      </c>
      <c r="G41" s="32">
        <f>SUM(G6:G40)</f>
        <v>12500</v>
      </c>
      <c r="H41" s="33">
        <f t="shared" si="19"/>
        <v>147500</v>
      </c>
    </row>
    <row r="42" spans="1:8">
      <c r="A42" s="60" t="s">
        <v>20</v>
      </c>
      <c r="B42" s="61"/>
      <c r="C42" s="34">
        <v>147500</v>
      </c>
      <c r="D42" s="35"/>
      <c r="E42" s="62" t="s">
        <v>21</v>
      </c>
      <c r="F42" s="62"/>
      <c r="G42" s="62"/>
      <c r="H42" s="62"/>
    </row>
    <row r="43" spans="1:8">
      <c r="A43" s="60" t="s">
        <v>22</v>
      </c>
      <c r="B43" s="61"/>
      <c r="C43" s="36"/>
      <c r="D43" s="34" t="s">
        <v>23</v>
      </c>
      <c r="E43" s="63" t="s">
        <v>24</v>
      </c>
      <c r="F43" s="64"/>
      <c r="G43" s="34" t="s">
        <v>25</v>
      </c>
      <c r="H43" s="37" t="s">
        <v>26</v>
      </c>
    </row>
    <row r="44" spans="1:8">
      <c r="A44" s="60" t="s">
        <v>27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28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29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30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31</v>
      </c>
      <c r="B48" s="72"/>
      <c r="C48" s="46">
        <f>SUM(C42:C47)</f>
        <v>147500</v>
      </c>
      <c r="D48" s="47"/>
      <c r="E48" s="75"/>
      <c r="F48" s="76"/>
      <c r="G48" s="48"/>
      <c r="H48" s="49"/>
    </row>
    <row r="49" spans="2:2">
      <c r="B49" s="1" t="s">
        <v>32</v>
      </c>
    </row>
    <row r="50" spans="2:2">
      <c r="B50" s="1" t="s">
        <v>36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2026-04-15T12:05:59Z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A9D32FE4C8CB4E8BBC7F48A96FC39569_13</vt:lpwstr>
  </property>
  <property fmtid="{D5CDD505-2E9C-101B-9397-08002B2CF9AE}" pid="3" name="KSOProductBuildVer">
    <vt:lpwstr>1033-12.2.0.23196</vt:lpwstr>
  </property>
</Properties>
</file>