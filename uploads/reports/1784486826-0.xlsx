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DAILY REPORT\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<sst xmlns="http://schemas.openxmlformats.org/spreadsheetml/2006/main" count="1779" uniqueCount="85">
  <si>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</si>
  <si>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</si>
  <si>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</si>
  <si>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</si>
  <si>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</si>
  <si>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</si>
  <si>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</si>
  <si>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</si>
  <si>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</si>
  <si>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</si>
  <si>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</si>
  <si>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</si>
  <si>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</si>
  <si>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</si>
  <si>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</si>
  <si>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</si>
  <si>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</si>
  <si>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</si>
  <si>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</si>
  <si>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</si>
  <si>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</si>
  <si>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</si>
  <si>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</si>
  <si>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</si>
  <si>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</si>
  <si>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</si>
  <si>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</si>
  <si>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</si>
  <si>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</si>
  <si>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</si>
  <si>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</si>
  <si>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</si>
  <si>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</si>
  <si>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</si>
  <si>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</si>
  <si>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</si>
  <si>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</si>
  <si>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</si>
  <si>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</si>
  <si>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</si>
  <si>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</si>
  <si>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</si>
  <si>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</si>
  <si>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</si>
  <si>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</si>
  <si>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</si>
  <si>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</si>
  <si>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</si>
  <si>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</si>
  <si>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</si>
  <si>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</si>
  <si>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</si>
  <si>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</si>
  <si>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</si>
  <si>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</si>
  <si>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</si>
  <si>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</si>
  <si>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</si>
  <si>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</si>
  <si>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</si>
  <si>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</si>
  <si>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</si>
  <si>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</si>
  <si>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</si>
  <si>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</si>
  <si>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</si>
  <si>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</si>
  <si>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</si>
  <si>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</si>
  <si>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</si>
  <si>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</si>
  <si>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</si>
  <si>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</si>
  <si>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</si>
  <si>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</si>
  <si>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</si>
  <si>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</si>
  <si>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</si>
  <si>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</si>
  <si>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</si>
  <si>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</si>
  <si>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</si>
  <si>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</si>
  <si>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</si>
  <si>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18\ 07\2026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</si>
</sst>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15"/>
      <c r="M1" s="115"/>
      <c r="N1" s="115"/>
    </row>
    <row r="2" spans="1:15" ht="31" customHeight="1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15"/>
      <c r="M2" s="115"/>
      <c r="N2" s="115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262440</v>
      </c>
      <c r="C16" s="68">
        <f>KARONGI!G37</f>
        <v>33300</v>
      </c>
      <c r="D16" s="4"/>
      <c r="E16" s="3"/>
      <c r="F16" s="70">
        <f t="shared" si="0"/>
        <v>295740</v>
      </c>
      <c r="G16" s="67">
        <f>KARONGI!C41</f>
        <v>0</v>
      </c>
      <c r="H16" s="68">
        <f>KARONGI!C39</f>
        <v>295740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7930062</v>
      </c>
      <c r="C29" s="102">
        <f t="shared" si="1"/>
        <v>729000</v>
      </c>
      <c r="D29" s="103">
        <f t="shared" si="1"/>
        <v>0</v>
      </c>
      <c r="E29" s="102">
        <f t="shared" si="1"/>
        <v>0</v>
      </c>
      <c r="F29" s="102">
        <f>SUM(F5:F28)</f>
        <v>8659062</v>
      </c>
      <c r="G29" s="103">
        <f>SUM(G5:G28)</f>
        <v>0</v>
      </c>
      <c r="H29" s="103">
        <f>SUM(H5:H28)</f>
        <v>8659062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62"/>
      <c r="B30" s="162"/>
      <c r="C30" s="162"/>
      <c r="D30" s="163"/>
      <c r="E30" s="153" t="s">
        <v>12</v>
      </c>
      <c r="F30" s="154"/>
      <c r="G30" s="154"/>
      <c r="H30" s="154"/>
      <c r="I30" s="155"/>
      <c r="J30" s="127"/>
      <c r="K30" s="128"/>
      <c r="L30" s="115"/>
    </row>
    <row r="31" spans="1:15" ht="19" thickBot="1">
      <c r="A31" s="150" t="s">
        <v>9</v>
      </c>
      <c r="B31" s="151"/>
      <c r="C31" s="151"/>
      <c r="D31" s="151"/>
      <c r="E31" s="156"/>
      <c r="F31" s="157"/>
      <c r="G31" s="157"/>
      <c r="H31" s="157"/>
      <c r="I31" s="158"/>
      <c r="J31" s="129"/>
      <c r="K31" s="130"/>
      <c r="L31" s="115"/>
    </row>
    <row r="32" spans="1:15" ht="15" thickBot="1">
      <c r="A32" s="146" t="s">
        <v>13</v>
      </c>
      <c r="B32" s="147"/>
      <c r="C32" s="164">
        <f>SUM(B29:C29)</f>
        <v>8659062</v>
      </c>
      <c r="D32" s="165"/>
      <c r="E32" s="156"/>
      <c r="F32" s="157"/>
      <c r="G32" s="157"/>
      <c r="H32" s="157"/>
      <c r="I32" s="158"/>
      <c r="J32" s="129"/>
      <c r="K32" s="130"/>
      <c r="L32" s="115"/>
    </row>
    <row r="33" spans="1:12" ht="15" thickBot="1">
      <c r="A33" s="146" t="s">
        <v>14</v>
      </c>
      <c r="B33" s="147"/>
      <c r="C33" s="142">
        <f>SUM(F29,G29)</f>
        <v>8659062</v>
      </c>
      <c r="D33" s="152"/>
      <c r="E33" s="156"/>
      <c r="F33" s="157"/>
      <c r="G33" s="157"/>
      <c r="H33" s="157"/>
      <c r="I33" s="158"/>
      <c r="J33" s="129"/>
      <c r="K33" s="130"/>
      <c r="L33" s="115"/>
    </row>
    <row r="34" spans="1:12" ht="15" thickBot="1">
      <c r="A34" s="144" t="s">
        <v>83</v>
      </c>
      <c r="B34" s="145"/>
      <c r="C34" s="142">
        <f>SUM(H29,J29,I29)</f>
        <v>8659062</v>
      </c>
      <c r="D34" s="143"/>
      <c r="E34" s="156"/>
      <c r="F34" s="157"/>
      <c r="G34" s="157"/>
      <c r="H34" s="157"/>
      <c r="I34" s="158"/>
      <c r="J34" s="129"/>
      <c r="K34" s="130"/>
      <c r="L34" s="115"/>
    </row>
    <row r="35" spans="1:12" ht="15" thickBot="1">
      <c r="A35" s="146" t="s">
        <v>11</v>
      </c>
      <c r="B35" s="147"/>
      <c r="C35" s="142">
        <f>SUM(D29:E29)</f>
        <v>0</v>
      </c>
      <c r="D35" s="143"/>
      <c r="E35" s="159"/>
      <c r="F35" s="160"/>
      <c r="G35" s="160"/>
      <c r="H35" s="160"/>
      <c r="I35" s="161"/>
      <c r="J35" s="129"/>
      <c r="K35" s="130"/>
      <c r="L35" s="115"/>
    </row>
    <row r="36" spans="1:12" ht="15" thickBot="1">
      <c r="A36" s="146" t="s">
        <v>10</v>
      </c>
      <c r="B36" s="147"/>
      <c r="C36" s="142">
        <f t="shared" ref="C36" si="2">SUM(C33,C35)</f>
        <v>8659062</v>
      </c>
      <c r="D36" s="143"/>
      <c r="E36" s="133" t="s">
        <v>36</v>
      </c>
      <c r="F36" s="134"/>
      <c r="G36" s="134"/>
      <c r="H36" s="134"/>
      <c r="I36" s="135"/>
      <c r="J36" s="129"/>
      <c r="K36" s="130"/>
      <c r="L36" s="115"/>
    </row>
    <row r="37" spans="1:12" ht="15" thickBot="1">
      <c r="A37" s="148" t="s">
        <v>15</v>
      </c>
      <c r="B37" s="149"/>
      <c r="C37" s="142">
        <f>SUM(C34:C35)</f>
        <v>8659062</v>
      </c>
      <c r="D37" s="143"/>
      <c r="E37" s="136"/>
      <c r="F37" s="137"/>
      <c r="G37" s="137"/>
      <c r="H37" s="137"/>
      <c r="I37" s="138"/>
      <c r="J37" s="129"/>
      <c r="K37" s="130"/>
      <c r="L37" s="115"/>
    </row>
    <row r="38" spans="1:12" ht="26.5" thickBot="1">
      <c r="A38" s="139" t="s">
        <v>16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9" t="s">
        <v>57</v>
      </c>
      <c r="B1" s="250"/>
      <c r="C1" s="250"/>
      <c r="D1" s="250"/>
      <c r="E1" s="250"/>
      <c r="F1" s="250"/>
      <c r="G1" s="250"/>
      <c r="H1" s="251"/>
    </row>
    <row r="2" spans="1:8" ht="15" thickBot="1">
      <c r="A2" s="252"/>
      <c r="B2" s="253"/>
      <c r="C2" s="253"/>
      <c r="D2" s="253"/>
      <c r="E2" s="253"/>
      <c r="F2" s="253"/>
      <c r="G2" s="253"/>
      <c r="H2" s="254"/>
    </row>
    <row r="3" spans="1:8">
      <c r="A3" s="255" t="s">
        <v>39</v>
      </c>
      <c r="B3" s="256"/>
      <c r="C3" s="256"/>
      <c r="D3" s="256"/>
      <c r="E3" s="256"/>
      <c r="F3" s="256"/>
      <c r="G3" s="256"/>
      <c r="H3" s="257"/>
    </row>
    <row r="4" spans="1:8" ht="15" thickBot="1">
      <c r="A4" s="258"/>
      <c r="B4" s="259"/>
      <c r="C4" s="259"/>
      <c r="D4" s="259"/>
      <c r="E4" s="259"/>
      <c r="F4" s="259"/>
      <c r="G4" s="259"/>
      <c r="H4" s="260"/>
    </row>
    <row r="5" spans="1:8" ht="15" thickBot="1">
      <c r="A5" s="93" t="s">
        <v>40</v>
      </c>
      <c r="B5" s="93" t="s">
        <v>41</v>
      </c>
      <c r="C5" s="180" t="s">
        <v>42</v>
      </c>
      <c r="D5" s="181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3" customHeight="1" thickBot="1">
      <c r="A48" s="39"/>
      <c r="B48" s="246" t="s">
        <v>60</v>
      </c>
      <c r="C48" s="247"/>
      <c r="D48" s="248"/>
      <c r="E48" s="246" t="s">
        <v>61</v>
      </c>
      <c r="F48" s="247"/>
      <c r="G48" s="247"/>
      <c r="H48" s="248"/>
    </row>
    <row r="49" spans="1:8" ht="22" customHeight="1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22.5" customHeight="1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24.5" customHeight="1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22" customHeight="1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22" customHeight="1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22" customHeight="1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22" customHeight="1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22" customHeight="1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22" customHeight="1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24.5" customHeight="1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25" customHeight="1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29" thickBot="1">
      <c r="B62" s="240" t="s">
        <v>67</v>
      </c>
      <c r="C62" s="241"/>
      <c r="D62" s="242"/>
      <c r="E62" s="243">
        <f>SUM(E49:H61)</f>
        <v>0</v>
      </c>
      <c r="F62" s="244"/>
      <c r="G62" s="244"/>
      <c r="H62" s="245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7670</v>
      </c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f>SUM(C31:C36)</f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69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>
        <v>15000</v>
      </c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>
        <v>9000</v>
      </c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66">
        <v>7670</v>
      </c>
      <c r="D8" s="167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66">
        <v>4130</v>
      </c>
      <c r="D9" s="167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66">
        <v>2124</v>
      </c>
      <c r="D10" s="167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66">
        <v>3540</v>
      </c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2006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66">
        <v>1357</v>
      </c>
      <c r="D13" s="167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>
        <v>8363322</v>
      </c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f>SUM(C39:C44)</f>
        <v>8363322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20252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250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3782</v>
      </c>
      <c r="F51" s="224"/>
      <c r="G51" s="224"/>
      <c r="H51" s="225"/>
    </row>
    <row r="52" spans="1:8" ht="19" thickBot="1">
      <c r="B52" s="262" t="s">
        <v>65</v>
      </c>
      <c r="C52" s="263"/>
      <c r="D52" s="264"/>
      <c r="E52" s="229">
        <f>SUM(B17:B18)</f>
        <v>0</v>
      </c>
      <c r="F52" s="230"/>
      <c r="G52" s="230"/>
      <c r="H52" s="231"/>
    </row>
    <row r="53" spans="1:8" ht="19" thickBot="1">
      <c r="B53" s="262" t="s">
        <v>66</v>
      </c>
      <c r="C53" s="263"/>
      <c r="D53" s="264"/>
      <c r="E53" s="229">
        <f>SUM(B19:B20)</f>
        <v>0</v>
      </c>
      <c r="F53" s="230"/>
      <c r="G53" s="230"/>
      <c r="H53" s="231"/>
    </row>
    <row r="54" spans="1:8" ht="19" thickBot="1">
      <c r="B54" s="262" t="s">
        <v>58</v>
      </c>
      <c r="C54" s="263"/>
      <c r="D54" s="264"/>
      <c r="E54" s="229">
        <f>B29</f>
        <v>0</v>
      </c>
      <c r="F54" s="232"/>
      <c r="G54" s="232"/>
      <c r="H54" s="233"/>
    </row>
    <row r="55" spans="1:8" ht="19" thickBot="1">
      <c r="B55" s="262" t="s">
        <v>58</v>
      </c>
      <c r="C55" s="263"/>
      <c r="D55" s="264"/>
      <c r="E55" s="229">
        <f t="shared" ref="E55:E61" si="3">B30</f>
        <v>0</v>
      </c>
      <c r="F55" s="232"/>
      <c r="G55" s="232"/>
      <c r="H55" s="233"/>
    </row>
    <row r="56" spans="1:8" ht="19" thickBot="1">
      <c r="B56" s="262" t="s">
        <v>58</v>
      </c>
      <c r="C56" s="263"/>
      <c r="D56" s="264"/>
      <c r="E56" s="229">
        <f t="shared" si="3"/>
        <v>0</v>
      </c>
      <c r="F56" s="232"/>
      <c r="G56" s="232"/>
      <c r="H56" s="233"/>
    </row>
    <row r="57" spans="1:8" ht="19" thickBot="1">
      <c r="B57" s="262" t="s">
        <v>58</v>
      </c>
      <c r="C57" s="263"/>
      <c r="D57" s="264"/>
      <c r="E57" s="229">
        <f t="shared" si="3"/>
        <v>0</v>
      </c>
      <c r="F57" s="232"/>
      <c r="G57" s="232"/>
      <c r="H57" s="233"/>
    </row>
    <row r="58" spans="1:8" ht="19" thickBot="1">
      <c r="B58" s="262" t="s">
        <v>58</v>
      </c>
      <c r="C58" s="263"/>
      <c r="D58" s="264"/>
      <c r="E58" s="229">
        <f t="shared" si="3"/>
        <v>0</v>
      </c>
      <c r="F58" s="232"/>
      <c r="G58" s="232"/>
      <c r="H58" s="233"/>
    </row>
    <row r="59" spans="1:8" ht="19" thickBot="1">
      <c r="B59" s="262" t="s">
        <v>58</v>
      </c>
      <c r="C59" s="263"/>
      <c r="D59" s="264"/>
      <c r="E59" s="229">
        <f t="shared" si="3"/>
        <v>0</v>
      </c>
      <c r="F59" s="232"/>
      <c r="G59" s="232"/>
      <c r="H59" s="233"/>
    </row>
    <row r="60" spans="1:8" ht="19" thickBot="1">
      <c r="B60" s="262" t="s">
        <v>58</v>
      </c>
      <c r="C60" s="263"/>
      <c r="D60" s="264"/>
      <c r="E60" s="229">
        <f t="shared" si="3"/>
        <v>0</v>
      </c>
      <c r="F60" s="232"/>
      <c r="G60" s="232"/>
      <c r="H60" s="233"/>
    </row>
    <row r="61" spans="1:8" ht="19" thickBot="1">
      <c r="B61" s="262" t="s">
        <v>58</v>
      </c>
      <c r="C61" s="263"/>
      <c r="D61" s="264"/>
      <c r="E61" s="229">
        <f t="shared" si="3"/>
        <v>0</v>
      </c>
      <c r="F61" s="232"/>
      <c r="G61" s="232"/>
      <c r="H61" s="233"/>
    </row>
    <row r="62" spans="1:8" ht="24" thickBot="1">
      <c r="B62" s="262" t="s">
        <v>67</v>
      </c>
      <c r="C62" s="263"/>
      <c r="D62" s="264"/>
      <c r="E62" s="271">
        <f>SUM(E49:H61)</f>
        <v>24284</v>
      </c>
      <c r="F62" s="272"/>
      <c r="G62" s="272"/>
      <c r="H62" s="273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>
        <v>1357</v>
      </c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>
        <v>2124</v>
      </c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>
        <v>2124</v>
      </c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3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3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3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3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3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3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3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>
        <v>1357</v>
      </c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91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84" t="s">
        <v>72</v>
      </c>
      <c r="B40" s="185"/>
      <c r="C40" s="71"/>
      <c r="D40" s="85"/>
      <c r="E40" s="166"/>
      <c r="F40" s="167"/>
      <c r="G40" s="86"/>
      <c r="H40" s="74"/>
    </row>
    <row r="41" spans="1:8" ht="15" thickBot="1">
      <c r="A41" s="184" t="s">
        <v>76</v>
      </c>
      <c r="B41" s="185"/>
      <c r="C41" s="72"/>
      <c r="D41" s="84"/>
      <c r="E41" s="283"/>
      <c r="F41" s="204"/>
      <c r="G41" s="86"/>
      <c r="H41" s="74"/>
    </row>
    <row r="42" spans="1:8" ht="15" thickBot="1">
      <c r="A42" s="184" t="s">
        <v>77</v>
      </c>
      <c r="B42" s="185"/>
      <c r="C42" s="73"/>
      <c r="D42" s="81"/>
      <c r="E42" s="284"/>
      <c r="F42" s="204"/>
      <c r="G42" s="15"/>
      <c r="H42" s="74"/>
    </row>
    <row r="43" spans="1:8" ht="15" thickBot="1">
      <c r="A43" s="184" t="s">
        <v>78</v>
      </c>
      <c r="B43" s="185"/>
      <c r="C43" s="75"/>
      <c r="D43" s="81"/>
      <c r="E43" s="285"/>
      <c r="F43" s="207"/>
      <c r="G43" s="15"/>
      <c r="H43" s="74"/>
    </row>
    <row r="44" spans="1:8" ht="15" thickBot="1">
      <c r="A44" s="184" t="s">
        <v>79</v>
      </c>
      <c r="B44" s="185"/>
      <c r="C44" s="76"/>
      <c r="D44" s="82"/>
      <c r="E44" s="285"/>
      <c r="F44" s="207"/>
      <c r="G44" s="15"/>
      <c r="H44" s="74"/>
    </row>
    <row r="45" spans="1:8" ht="15" thickBot="1">
      <c r="A45" s="184" t="s">
        <v>80</v>
      </c>
      <c r="B45" s="185"/>
      <c r="C45" s="92">
        <v>0</v>
      </c>
      <c r="D45" s="83"/>
      <c r="E45" s="286"/>
      <c r="F45" s="209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74"/>
      <c r="G49" s="274"/>
      <c r="H49" s="275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74"/>
      <c r="G50" s="274"/>
      <c r="H50" s="275"/>
    </row>
    <row r="51" spans="1:8" ht="19" thickBot="1">
      <c r="A51" s="39"/>
      <c r="B51" s="217" t="s">
        <v>64</v>
      </c>
      <c r="C51" s="218"/>
      <c r="D51" s="219"/>
      <c r="E51" s="220">
        <f>SUM(B13:B14)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5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26"/>
      <c r="C63" s="227"/>
      <c r="D63" s="228"/>
      <c r="E63" s="237"/>
      <c r="F63" s="238"/>
      <c r="G63" s="238"/>
      <c r="H63" s="23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/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SUM(B11:B14)</f>
        <v>0</v>
      </c>
      <c r="F49" s="274"/>
      <c r="G49" s="274"/>
      <c r="H49" s="275"/>
    </row>
    <row r="50" spans="1:8" ht="19" thickBot="1">
      <c r="A50" s="62"/>
      <c r="B50" s="217" t="s">
        <v>48</v>
      </c>
      <c r="C50" s="218"/>
      <c r="D50" s="219"/>
      <c r="E50" s="220">
        <f>SUM(B8:B10)</f>
        <v>0</v>
      </c>
      <c r="F50" s="274"/>
      <c r="G50" s="274"/>
      <c r="H50" s="275"/>
    </row>
    <row r="51" spans="1:8" ht="19" thickBot="1">
      <c r="A51" s="62"/>
      <c r="B51" s="217" t="s">
        <v>64</v>
      </c>
      <c r="C51" s="218"/>
      <c r="D51" s="219"/>
      <c r="E51" s="220">
        <f>SUM(B15:B16)</f>
        <v>0</v>
      </c>
      <c r="F51" s="274"/>
      <c r="G51" s="274"/>
      <c r="H51" s="275"/>
    </row>
    <row r="52" spans="1:8" ht="19" thickBot="1">
      <c r="A52" s="62"/>
      <c r="B52" s="226" t="s">
        <v>65</v>
      </c>
      <c r="C52" s="227"/>
      <c r="D52" s="228"/>
      <c r="E52" s="229">
        <f>SUM(B19:B20)</f>
        <v>0</v>
      </c>
      <c r="F52" s="232"/>
      <c r="G52" s="232"/>
      <c r="H52" s="233"/>
    </row>
    <row r="53" spans="1:8" ht="19" thickBot="1">
      <c r="A53" s="62"/>
      <c r="B53" s="226" t="s">
        <v>66</v>
      </c>
      <c r="C53" s="227"/>
      <c r="D53" s="228"/>
      <c r="E53" s="229">
        <f>SUM(B29:B30)</f>
        <v>0</v>
      </c>
      <c r="F53" s="232"/>
      <c r="G53" s="232"/>
      <c r="H53" s="233"/>
    </row>
    <row r="54" spans="1:8" ht="19" thickBot="1">
      <c r="A54" s="62"/>
      <c r="B54" s="226" t="s">
        <v>58</v>
      </c>
      <c r="C54" s="227"/>
      <c r="D54" s="228"/>
      <c r="E54" s="229">
        <f t="shared" ref="E54:E60" si="4">B31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si="4"/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ref="E61" si="5">B45</f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9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9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0" workbookViewId="0">
      <selection activeCell="B33" sqref="B33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84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300</v>
      </c>
      <c r="C8" s="166">
        <v>1416</v>
      </c>
      <c r="D8" s="167"/>
      <c r="E8" s="16">
        <f t="shared" si="0"/>
        <v>424800</v>
      </c>
      <c r="F8" s="16">
        <f t="shared" si="1"/>
        <v>64800</v>
      </c>
      <c r="G8" s="16">
        <f>PRODUCT(B8*50)</f>
        <v>15000</v>
      </c>
      <c r="H8" s="17">
        <f t="shared" si="2"/>
        <v>79800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610</v>
      </c>
      <c r="C10" s="166">
        <v>2124</v>
      </c>
      <c r="D10" s="167"/>
      <c r="E10" s="16">
        <f t="shared" si="0"/>
        <v>1295640</v>
      </c>
      <c r="F10" s="16">
        <f t="shared" si="1"/>
        <v>197640</v>
      </c>
      <c r="G10" s="16">
        <f>PRODUCT(B10*30)</f>
        <v>18300</v>
      </c>
      <c r="H10" s="17">
        <f t="shared" si="2"/>
        <v>215940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1720440</v>
      </c>
      <c r="F37" s="32">
        <f>SUM(F5:F36)</f>
        <v>262440</v>
      </c>
      <c r="G37" s="32">
        <f t="shared" ref="G37:H37" si="3">SUM(G5:G36)</f>
        <v>33300</v>
      </c>
      <c r="H37" s="32">
        <f t="shared" si="3"/>
        <v>295740</v>
      </c>
    </row>
    <row r="38" spans="1:8" ht="15" thickBot="1">
      <c r="A38" s="191" t="s">
        <v>81</v>
      </c>
      <c r="B38" s="192"/>
      <c r="C38" s="90" t="s">
        <v>75</v>
      </c>
      <c r="D38" s="79"/>
      <c r="E38" s="193" t="s">
        <v>73</v>
      </c>
      <c r="F38" s="194"/>
      <c r="G38" s="88" t="s">
        <v>74</v>
      </c>
      <c r="H38" s="89" t="s">
        <v>75</v>
      </c>
    </row>
    <row r="39" spans="1:8" ht="14.5" customHeight="1" thickBot="1">
      <c r="A39" s="195" t="s">
        <v>71</v>
      </c>
      <c r="B39" s="196"/>
      <c r="C39" s="80">
        <v>295740</v>
      </c>
      <c r="D39" s="84"/>
      <c r="E39" s="197"/>
      <c r="F39" s="197"/>
      <c r="G39" s="87"/>
      <c r="H39" s="91"/>
    </row>
    <row r="40" spans="1:8" ht="15" customHeight="1" thickBot="1">
      <c r="A40" s="184" t="s">
        <v>72</v>
      </c>
      <c r="B40" s="185"/>
      <c r="C40" s="71"/>
      <c r="D40" s="85"/>
      <c r="E40" s="186"/>
      <c r="F40" s="186"/>
      <c r="G40" s="86"/>
      <c r="H40" s="74"/>
    </row>
    <row r="41" spans="1:8" ht="15" thickBot="1">
      <c r="A41" s="184" t="s">
        <v>76</v>
      </c>
      <c r="B41" s="185"/>
      <c r="C41" s="72"/>
      <c r="D41" s="84"/>
      <c r="E41" s="201"/>
      <c r="F41" s="201"/>
      <c r="G41" s="86"/>
      <c r="H41" s="74"/>
    </row>
    <row r="42" spans="1:8" ht="15" thickBot="1">
      <c r="A42" s="202" t="s">
        <v>77</v>
      </c>
      <c r="B42" s="203"/>
      <c r="C42" s="73"/>
      <c r="D42" s="81"/>
      <c r="E42" s="204"/>
      <c r="F42" s="201"/>
      <c r="G42" s="15"/>
      <c r="H42" s="74"/>
    </row>
    <row r="43" spans="1:8" ht="15" thickBot="1">
      <c r="A43" s="205" t="s">
        <v>78</v>
      </c>
      <c r="B43" s="206"/>
      <c r="C43" s="75"/>
      <c r="D43" s="81"/>
      <c r="E43" s="207"/>
      <c r="F43" s="208"/>
      <c r="G43" s="15"/>
      <c r="H43" s="74"/>
    </row>
    <row r="44" spans="1:8" ht="15" thickBot="1">
      <c r="A44" s="205" t="s">
        <v>79</v>
      </c>
      <c r="B44" s="206"/>
      <c r="C44" s="76"/>
      <c r="D44" s="82"/>
      <c r="E44" s="207"/>
      <c r="F44" s="208"/>
      <c r="G44" s="15"/>
      <c r="H44" s="74"/>
    </row>
    <row r="45" spans="1:8" ht="15" thickBot="1">
      <c r="A45" s="205" t="s">
        <v>80</v>
      </c>
      <c r="B45" s="206"/>
      <c r="C45" s="92">
        <v>0</v>
      </c>
      <c r="D45" s="83"/>
      <c r="E45" s="209"/>
      <c r="F45" s="210"/>
      <c r="G45" s="77"/>
      <c r="H45" s="78"/>
    </row>
    <row r="46" spans="1:8" ht="14.5" customHeight="1">
      <c r="A46" s="211" t="s">
        <v>59</v>
      </c>
      <c r="B46" s="212"/>
      <c r="C46" s="212"/>
      <c r="D46" s="212"/>
      <c r="E46" s="212"/>
      <c r="F46" s="212"/>
      <c r="G46" s="212"/>
      <c r="H46" s="213"/>
    </row>
    <row r="47" spans="1:8" ht="15" customHeight="1" thickBot="1">
      <c r="A47" s="214"/>
      <c r="B47" s="215"/>
      <c r="C47" s="215"/>
      <c r="D47" s="215"/>
      <c r="E47" s="215"/>
      <c r="F47" s="215"/>
      <c r="G47" s="215"/>
      <c r="H47" s="216"/>
    </row>
    <row r="48" spans="1:8" ht="24" thickBot="1">
      <c r="A48" s="39"/>
      <c r="B48" s="198" t="s">
        <v>60</v>
      </c>
      <c r="C48" s="199"/>
      <c r="D48" s="200"/>
      <c r="E48" s="198" t="s">
        <v>61</v>
      </c>
      <c r="F48" s="199"/>
      <c r="G48" s="199"/>
      <c r="H48" s="200"/>
    </row>
    <row r="49" spans="1:8" ht="19" thickBot="1">
      <c r="A49" s="39"/>
      <c r="B49" s="217" t="s">
        <v>63</v>
      </c>
      <c r="C49" s="218"/>
      <c r="D49" s="219"/>
      <c r="E49" s="220">
        <f>SUM(B9:B12)</f>
        <v>610</v>
      </c>
      <c r="F49" s="221"/>
      <c r="G49" s="221"/>
      <c r="H49" s="222"/>
    </row>
    <row r="50" spans="1:8" ht="19" thickBot="1">
      <c r="A50" s="39"/>
      <c r="B50" s="217" t="s">
        <v>48</v>
      </c>
      <c r="C50" s="218"/>
      <c r="D50" s="219"/>
      <c r="E50" s="220">
        <f>SUM(B6:B8)</f>
        <v>300</v>
      </c>
      <c r="F50" s="221"/>
      <c r="G50" s="221"/>
      <c r="H50" s="222"/>
    </row>
    <row r="51" spans="1:8" ht="19" thickBot="1">
      <c r="A51" s="39"/>
      <c r="B51" s="217" t="s">
        <v>64</v>
      </c>
      <c r="C51" s="218"/>
      <c r="D51" s="219"/>
      <c r="E51" s="223">
        <f>SUM(B13:B14)</f>
        <v>0</v>
      </c>
      <c r="F51" s="224"/>
      <c r="G51" s="224"/>
      <c r="H51" s="225"/>
    </row>
    <row r="52" spans="1:8" ht="19" thickBot="1">
      <c r="A52" s="62"/>
      <c r="B52" s="226" t="s">
        <v>65</v>
      </c>
      <c r="C52" s="227"/>
      <c r="D52" s="228"/>
      <c r="E52" s="229">
        <f>SUM(B17:B18)</f>
        <v>0</v>
      </c>
      <c r="F52" s="230"/>
      <c r="G52" s="230"/>
      <c r="H52" s="231"/>
    </row>
    <row r="53" spans="1:8" ht="19" thickBot="1">
      <c r="A53" s="62"/>
      <c r="B53" s="226" t="s">
        <v>66</v>
      </c>
      <c r="C53" s="227"/>
      <c r="D53" s="228"/>
      <c r="E53" s="229">
        <f>SUM(B19:B20)</f>
        <v>0</v>
      </c>
      <c r="F53" s="230"/>
      <c r="G53" s="230"/>
      <c r="H53" s="231"/>
    </row>
    <row r="54" spans="1:8" ht="19" thickBot="1">
      <c r="A54" s="62"/>
      <c r="B54" s="226" t="s">
        <v>58</v>
      </c>
      <c r="C54" s="227"/>
      <c r="D54" s="228"/>
      <c r="E54" s="229">
        <f>B29</f>
        <v>0</v>
      </c>
      <c r="F54" s="232"/>
      <c r="G54" s="232"/>
      <c r="H54" s="233"/>
    </row>
    <row r="55" spans="1:8" ht="19" thickBot="1">
      <c r="A55" s="62"/>
      <c r="B55" s="226" t="s">
        <v>58</v>
      </c>
      <c r="C55" s="227"/>
      <c r="D55" s="228"/>
      <c r="E55" s="229">
        <f t="shared" ref="E55:E61" si="4">B30</f>
        <v>0</v>
      </c>
      <c r="F55" s="232"/>
      <c r="G55" s="232"/>
      <c r="H55" s="233"/>
    </row>
    <row r="56" spans="1:8" ht="19" thickBot="1">
      <c r="A56" s="62"/>
      <c r="B56" s="226" t="s">
        <v>58</v>
      </c>
      <c r="C56" s="227"/>
      <c r="D56" s="228"/>
      <c r="E56" s="229">
        <f t="shared" si="4"/>
        <v>0</v>
      </c>
      <c r="F56" s="232"/>
      <c r="G56" s="232"/>
      <c r="H56" s="233"/>
    </row>
    <row r="57" spans="1:8" ht="19" thickBot="1">
      <c r="A57" s="62"/>
      <c r="B57" s="226" t="s">
        <v>58</v>
      </c>
      <c r="C57" s="227"/>
      <c r="D57" s="228"/>
      <c r="E57" s="229">
        <f t="shared" si="4"/>
        <v>0</v>
      </c>
      <c r="F57" s="232"/>
      <c r="G57" s="232"/>
      <c r="H57" s="233"/>
    </row>
    <row r="58" spans="1:8" ht="19" thickBot="1">
      <c r="A58" s="62"/>
      <c r="B58" s="226" t="s">
        <v>58</v>
      </c>
      <c r="C58" s="227"/>
      <c r="D58" s="228"/>
      <c r="E58" s="229">
        <f t="shared" si="4"/>
        <v>0</v>
      </c>
      <c r="F58" s="232"/>
      <c r="G58" s="232"/>
      <c r="H58" s="233"/>
    </row>
    <row r="59" spans="1:8" ht="19" thickBot="1">
      <c r="A59" s="62"/>
      <c r="B59" s="226" t="s">
        <v>58</v>
      </c>
      <c r="C59" s="227"/>
      <c r="D59" s="228"/>
      <c r="E59" s="229">
        <f t="shared" si="4"/>
        <v>0</v>
      </c>
      <c r="F59" s="232"/>
      <c r="G59" s="232"/>
      <c r="H59" s="233"/>
    </row>
    <row r="60" spans="1:8" ht="19" thickBot="1">
      <c r="A60" s="62"/>
      <c r="B60" s="226" t="s">
        <v>58</v>
      </c>
      <c r="C60" s="227"/>
      <c r="D60" s="228"/>
      <c r="E60" s="229">
        <f t="shared" si="4"/>
        <v>0</v>
      </c>
      <c r="F60" s="232"/>
      <c r="G60" s="232"/>
      <c r="H60" s="233"/>
    </row>
    <row r="61" spans="1:8" ht="19" thickBot="1">
      <c r="A61" s="62"/>
      <c r="B61" s="226" t="s">
        <v>58</v>
      </c>
      <c r="C61" s="227"/>
      <c r="D61" s="228"/>
      <c r="E61" s="229">
        <f t="shared" si="4"/>
        <v>0</v>
      </c>
      <c r="F61" s="232"/>
      <c r="G61" s="232"/>
      <c r="H61" s="233"/>
    </row>
    <row r="62" spans="1:8" ht="19" thickBot="1">
      <c r="A62" s="62"/>
      <c r="B62" s="226" t="s">
        <v>67</v>
      </c>
      <c r="C62" s="227"/>
      <c r="D62" s="228"/>
      <c r="E62" s="265">
        <f>SUM(E49:H61)</f>
        <v>910</v>
      </c>
      <c r="F62" s="230"/>
      <c r="G62" s="230"/>
      <c r="H62" s="231"/>
    </row>
    <row r="63" spans="1:8" ht="19" thickBot="1">
      <c r="B63" s="262"/>
      <c r="C63" s="263"/>
      <c r="D63" s="264"/>
      <c r="E63" s="266"/>
      <c r="F63" s="267"/>
      <c r="G63" s="267"/>
      <c r="H63" s="268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66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4.5" customHeight="1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customHeight="1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62" t="s">
        <v>65</v>
      </c>
      <c r="C44" s="263"/>
      <c r="D44" s="264"/>
      <c r="E44" s="229">
        <f>SUM(B17:B18)</f>
        <v>0</v>
      </c>
      <c r="F44" s="230"/>
      <c r="G44" s="230"/>
      <c r="H44" s="231"/>
    </row>
    <row r="45" spans="1:8" ht="19" thickBot="1">
      <c r="B45" s="262" t="s">
        <v>66</v>
      </c>
      <c r="C45" s="263"/>
      <c r="D45" s="264"/>
      <c r="E45" s="229">
        <f>SUM(B19:B20)</f>
        <v>0</v>
      </c>
      <c r="F45" s="230"/>
      <c r="G45" s="230"/>
      <c r="H45" s="231"/>
    </row>
    <row r="46" spans="1:8" ht="19" thickBot="1">
      <c r="B46" s="262" t="s">
        <v>58</v>
      </c>
      <c r="C46" s="263"/>
      <c r="D46" s="264"/>
      <c r="E46" s="229">
        <f>B21</f>
        <v>0</v>
      </c>
      <c r="F46" s="232"/>
      <c r="G46" s="232"/>
      <c r="H46" s="233"/>
    </row>
    <row r="47" spans="1:8" ht="19" thickBot="1">
      <c r="B47" s="262" t="s">
        <v>58</v>
      </c>
      <c r="C47" s="263"/>
      <c r="D47" s="264"/>
      <c r="E47" s="229">
        <f t="shared" ref="E47:E53" si="10">B22</f>
        <v>0</v>
      </c>
      <c r="F47" s="232"/>
      <c r="G47" s="232"/>
      <c r="H47" s="233"/>
    </row>
    <row r="48" spans="1:8" ht="19" thickBot="1">
      <c r="B48" s="262" t="s">
        <v>58</v>
      </c>
      <c r="C48" s="263"/>
      <c r="D48" s="264"/>
      <c r="E48" s="229">
        <f t="shared" si="10"/>
        <v>0</v>
      </c>
      <c r="F48" s="232"/>
      <c r="G48" s="232"/>
      <c r="H48" s="233"/>
    </row>
    <row r="49" spans="2:8" ht="19" thickBot="1">
      <c r="B49" s="262" t="s">
        <v>58</v>
      </c>
      <c r="C49" s="263"/>
      <c r="D49" s="264"/>
      <c r="E49" s="229">
        <f t="shared" si="10"/>
        <v>0</v>
      </c>
      <c r="F49" s="232"/>
      <c r="G49" s="232"/>
      <c r="H49" s="233"/>
    </row>
    <row r="50" spans="2:8" ht="19" thickBot="1">
      <c r="B50" s="262" t="s">
        <v>58</v>
      </c>
      <c r="C50" s="263"/>
      <c r="D50" s="264"/>
      <c r="E50" s="229">
        <f t="shared" si="10"/>
        <v>0</v>
      </c>
      <c r="F50" s="232"/>
      <c r="G50" s="232"/>
      <c r="H50" s="233"/>
    </row>
    <row r="51" spans="2:8" ht="19" thickBot="1">
      <c r="B51" s="262" t="s">
        <v>58</v>
      </c>
      <c r="C51" s="263"/>
      <c r="D51" s="264"/>
      <c r="E51" s="229">
        <f t="shared" si="10"/>
        <v>0</v>
      </c>
      <c r="F51" s="232"/>
      <c r="G51" s="232"/>
      <c r="H51" s="233"/>
    </row>
    <row r="52" spans="2:8" ht="19" thickBot="1">
      <c r="B52" s="262" t="s">
        <v>58</v>
      </c>
      <c r="C52" s="263"/>
      <c r="D52" s="264"/>
      <c r="E52" s="229">
        <f t="shared" si="10"/>
        <v>0</v>
      </c>
      <c r="F52" s="232"/>
      <c r="G52" s="232"/>
      <c r="H52" s="233"/>
    </row>
    <row r="53" spans="2:8" ht="19" thickBot="1">
      <c r="B53" s="262" t="s">
        <v>58</v>
      </c>
      <c r="C53" s="263"/>
      <c r="D53" s="264"/>
      <c r="E53" s="229">
        <f t="shared" si="10"/>
        <v>0</v>
      </c>
      <c r="F53" s="232"/>
      <c r="G53" s="232"/>
      <c r="H53" s="233"/>
    </row>
    <row r="54" spans="2:8" ht="19" thickBot="1">
      <c r="B54" s="262" t="s">
        <v>67</v>
      </c>
      <c r="C54" s="263"/>
      <c r="D54" s="264"/>
      <c r="E54" s="265">
        <f>SUM(E41:H53)</f>
        <v>0</v>
      </c>
      <c r="F54" s="230"/>
      <c r="G54" s="230"/>
      <c r="H54" s="231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9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270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82"/>
      <c r="D7" s="183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66"/>
      <c r="D8" s="167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66"/>
      <c r="D9" s="167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87"/>
      <c r="D10" s="167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66"/>
      <c r="D11" s="167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66"/>
      <c r="D12" s="167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66"/>
      <c r="D13" s="167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66"/>
      <c r="D14" s="167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1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90">
        <f>SUM(B9:B12)</f>
        <v>0</v>
      </c>
      <c r="F41" s="291"/>
      <c r="G41" s="291"/>
      <c r="H41" s="292"/>
    </row>
    <row r="42" spans="1:8" ht="19" thickBot="1">
      <c r="A42" s="39"/>
      <c r="B42" s="217" t="s">
        <v>48</v>
      </c>
      <c r="C42" s="218"/>
      <c r="D42" s="219"/>
      <c r="E42" s="290">
        <f>SUM(B6:B8)</f>
        <v>0</v>
      </c>
      <c r="F42" s="291"/>
      <c r="G42" s="291"/>
      <c r="H42" s="292"/>
    </row>
    <row r="43" spans="1:8" ht="19" thickBot="1">
      <c r="A43" s="39"/>
      <c r="B43" s="217" t="s">
        <v>64</v>
      </c>
      <c r="C43" s="218"/>
      <c r="D43" s="219"/>
      <c r="E43" s="293">
        <f>SUM(B13:B14)</f>
        <v>0</v>
      </c>
      <c r="F43" s="294"/>
      <c r="G43" s="294"/>
      <c r="H43" s="295"/>
    </row>
    <row r="44" spans="1:8" ht="19" thickBot="1">
      <c r="B44" s="262" t="s">
        <v>65</v>
      </c>
      <c r="C44" s="263"/>
      <c r="D44" s="264"/>
      <c r="E44" s="287">
        <f>SUM(B17:B18)</f>
        <v>0</v>
      </c>
      <c r="F44" s="267"/>
      <c r="G44" s="267"/>
      <c r="H44" s="268"/>
    </row>
    <row r="45" spans="1:8" ht="19" thickBot="1">
      <c r="B45" s="262" t="s">
        <v>66</v>
      </c>
      <c r="C45" s="263"/>
      <c r="D45" s="264"/>
      <c r="E45" s="287">
        <f>SUM(B19:B20)</f>
        <v>0</v>
      </c>
      <c r="F45" s="267"/>
      <c r="G45" s="267"/>
      <c r="H45" s="268"/>
    </row>
    <row r="46" spans="1:8" ht="19" thickBot="1">
      <c r="B46" s="262" t="s">
        <v>58</v>
      </c>
      <c r="C46" s="263"/>
      <c r="D46" s="264"/>
      <c r="E46" s="287">
        <f>B21</f>
        <v>0</v>
      </c>
      <c r="F46" s="288"/>
      <c r="G46" s="288"/>
      <c r="H46" s="289"/>
    </row>
    <row r="47" spans="1:8" ht="19" thickBot="1">
      <c r="B47" s="262" t="s">
        <v>58</v>
      </c>
      <c r="C47" s="263"/>
      <c r="D47" s="264"/>
      <c r="E47" s="287">
        <f t="shared" ref="E47:E53" si="10">B22</f>
        <v>0</v>
      </c>
      <c r="F47" s="288"/>
      <c r="G47" s="288"/>
      <c r="H47" s="289"/>
    </row>
    <row r="48" spans="1:8" ht="19" thickBot="1">
      <c r="B48" s="262" t="s">
        <v>58</v>
      </c>
      <c r="C48" s="263"/>
      <c r="D48" s="264"/>
      <c r="E48" s="287">
        <f t="shared" si="10"/>
        <v>0</v>
      </c>
      <c r="F48" s="288"/>
      <c r="G48" s="288"/>
      <c r="H48" s="289"/>
    </row>
    <row r="49" spans="2:8" ht="19" thickBot="1">
      <c r="B49" s="262" t="s">
        <v>58</v>
      </c>
      <c r="C49" s="263"/>
      <c r="D49" s="264"/>
      <c r="E49" s="287">
        <f t="shared" si="10"/>
        <v>0</v>
      </c>
      <c r="F49" s="288"/>
      <c r="G49" s="288"/>
      <c r="H49" s="289"/>
    </row>
    <row r="50" spans="2:8" ht="19" thickBot="1">
      <c r="B50" s="262" t="s">
        <v>58</v>
      </c>
      <c r="C50" s="263"/>
      <c r="D50" s="264"/>
      <c r="E50" s="287">
        <f t="shared" si="10"/>
        <v>0</v>
      </c>
      <c r="F50" s="288"/>
      <c r="G50" s="288"/>
      <c r="H50" s="289"/>
    </row>
    <row r="51" spans="2:8" ht="19" thickBot="1">
      <c r="B51" s="262" t="s">
        <v>58</v>
      </c>
      <c r="C51" s="263"/>
      <c r="D51" s="264"/>
      <c r="E51" s="287">
        <f t="shared" si="10"/>
        <v>0</v>
      </c>
      <c r="F51" s="288"/>
      <c r="G51" s="288"/>
      <c r="H51" s="289"/>
    </row>
    <row r="52" spans="2:8" ht="19" thickBot="1">
      <c r="B52" s="262" t="s">
        <v>58</v>
      </c>
      <c r="C52" s="263"/>
      <c r="D52" s="264"/>
      <c r="E52" s="287">
        <f t="shared" si="10"/>
        <v>0</v>
      </c>
      <c r="F52" s="288"/>
      <c r="G52" s="288"/>
      <c r="H52" s="289"/>
    </row>
    <row r="53" spans="2:8" ht="19" thickBot="1">
      <c r="B53" s="262" t="s">
        <v>58</v>
      </c>
      <c r="C53" s="263"/>
      <c r="D53" s="264"/>
      <c r="E53" s="287">
        <f t="shared" si="10"/>
        <v>0</v>
      </c>
      <c r="F53" s="288"/>
      <c r="G53" s="288"/>
      <c r="H53" s="289"/>
    </row>
    <row r="54" spans="2:8" ht="19" thickBot="1">
      <c r="B54" s="262" t="s">
        <v>67</v>
      </c>
      <c r="C54" s="263"/>
      <c r="D54" s="264"/>
      <c r="E54" s="266">
        <f>SUM(E41:H53)</f>
        <v>0</v>
      </c>
      <c r="F54" s="267"/>
      <c r="G54" s="267"/>
      <c r="H54" s="268"/>
    </row>
    <row r="55" spans="2:8" ht="19" thickBot="1">
      <c r="B55" s="262"/>
      <c r="C55" s="263"/>
      <c r="D55" s="264"/>
      <c r="E55" s="266"/>
      <c r="F55" s="267"/>
      <c r="G55" s="267"/>
      <c r="H55" s="268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168" t="s">
        <v>57</v>
      </c>
      <c r="B1" s="169"/>
      <c r="C1" s="169"/>
      <c r="D1" s="169"/>
      <c r="E1" s="169"/>
      <c r="F1" s="169"/>
      <c r="G1" s="169"/>
      <c r="H1" s="170"/>
    </row>
    <row r="2" spans="1:8" ht="15" thickBot="1">
      <c r="A2" s="171"/>
      <c r="B2" s="172"/>
      <c r="C2" s="172"/>
      <c r="D2" s="172"/>
      <c r="E2" s="172"/>
      <c r="F2" s="172"/>
      <c r="G2" s="172"/>
      <c r="H2" s="173"/>
    </row>
    <row r="3" spans="1:8">
      <c r="A3" s="174" t="s">
        <v>39</v>
      </c>
      <c r="B3" s="175"/>
      <c r="C3" s="175"/>
      <c r="D3" s="175"/>
      <c r="E3" s="175"/>
      <c r="F3" s="175"/>
      <c r="G3" s="175"/>
      <c r="H3" s="176"/>
    </row>
    <row r="4" spans="1:8" ht="15" thickBot="1">
      <c r="A4" s="177"/>
      <c r="B4" s="178"/>
      <c r="C4" s="178"/>
      <c r="D4" s="178"/>
      <c r="E4" s="178"/>
      <c r="F4" s="178"/>
      <c r="G4" s="178"/>
      <c r="H4" s="179"/>
    </row>
    <row r="5" spans="1:8" ht="15" thickBot="1">
      <c r="A5" s="41" t="s">
        <v>40</v>
      </c>
      <c r="B5" s="46" t="s">
        <v>41</v>
      </c>
      <c r="C5" s="180" t="s">
        <v>42</v>
      </c>
      <c r="D5" s="181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82"/>
      <c r="D6" s="183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82"/>
      <c r="D7" s="183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66"/>
      <c r="D8" s="167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66"/>
      <c r="D9" s="167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187"/>
      <c r="D10" s="167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66"/>
      <c r="D11" s="167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66"/>
      <c r="D12" s="167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66"/>
      <c r="D13" s="167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66"/>
      <c r="D14" s="167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88" t="s">
        <v>51</v>
      </c>
      <c r="B15" s="189"/>
      <c r="C15" s="189"/>
      <c r="D15" s="189"/>
      <c r="E15" s="189"/>
      <c r="F15" s="189"/>
      <c r="G15" s="189"/>
      <c r="H15" s="190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91" t="s">
        <v>81</v>
      </c>
      <c r="B30" s="192"/>
      <c r="C30" s="90" t="s">
        <v>75</v>
      </c>
      <c r="D30" s="79"/>
      <c r="E30" s="193" t="s">
        <v>73</v>
      </c>
      <c r="F30" s="194"/>
      <c r="G30" s="88" t="s">
        <v>74</v>
      </c>
      <c r="H30" s="89" t="s">
        <v>75</v>
      </c>
    </row>
    <row r="31" spans="1:8" ht="15" thickBot="1">
      <c r="A31" s="195" t="s">
        <v>71</v>
      </c>
      <c r="B31" s="196"/>
      <c r="C31" s="80"/>
      <c r="D31" s="84"/>
      <c r="E31" s="197"/>
      <c r="F31" s="197"/>
      <c r="G31" s="87"/>
      <c r="H31" s="91"/>
    </row>
    <row r="32" spans="1:8" ht="15" thickBot="1">
      <c r="A32" s="184" t="s">
        <v>72</v>
      </c>
      <c r="B32" s="185"/>
      <c r="C32" s="71"/>
      <c r="D32" s="85"/>
      <c r="E32" s="186"/>
      <c r="F32" s="186"/>
      <c r="G32" s="86"/>
      <c r="H32" s="74"/>
    </row>
    <row r="33" spans="1:8" ht="15" thickBot="1">
      <c r="A33" s="184" t="s">
        <v>76</v>
      </c>
      <c r="B33" s="185"/>
      <c r="C33" s="72"/>
      <c r="D33" s="84"/>
      <c r="E33" s="201"/>
      <c r="F33" s="201"/>
      <c r="G33" s="86"/>
      <c r="H33" s="74"/>
    </row>
    <row r="34" spans="1:8" ht="15" thickBot="1">
      <c r="A34" s="202" t="s">
        <v>77</v>
      </c>
      <c r="B34" s="203"/>
      <c r="C34" s="73"/>
      <c r="D34" s="81"/>
      <c r="E34" s="204"/>
      <c r="F34" s="201"/>
      <c r="G34" s="15"/>
      <c r="H34" s="74"/>
    </row>
    <row r="35" spans="1:8" ht="15" thickBot="1">
      <c r="A35" s="205" t="s">
        <v>78</v>
      </c>
      <c r="B35" s="206"/>
      <c r="C35" s="75"/>
      <c r="D35" s="81"/>
      <c r="E35" s="207"/>
      <c r="F35" s="208"/>
      <c r="G35" s="15"/>
      <c r="H35" s="74"/>
    </row>
    <row r="36" spans="1:8" ht="15" thickBot="1">
      <c r="A36" s="205" t="s">
        <v>79</v>
      </c>
      <c r="B36" s="206"/>
      <c r="C36" s="76"/>
      <c r="D36" s="82"/>
      <c r="E36" s="207"/>
      <c r="F36" s="208"/>
      <c r="G36" s="15"/>
      <c r="H36" s="74"/>
    </row>
    <row r="37" spans="1:8" ht="15" thickBot="1">
      <c r="A37" s="205" t="s">
        <v>80</v>
      </c>
      <c r="B37" s="206"/>
      <c r="C37" s="92">
        <v>0</v>
      </c>
      <c r="D37" s="83"/>
      <c r="E37" s="209"/>
      <c r="F37" s="210"/>
      <c r="G37" s="77"/>
      <c r="H37" s="78"/>
    </row>
    <row r="38" spans="1:8" ht="14.5" customHeight="1">
      <c r="A38" s="211" t="s">
        <v>59</v>
      </c>
      <c r="B38" s="212"/>
      <c r="C38" s="212"/>
      <c r="D38" s="212"/>
      <c r="E38" s="212"/>
      <c r="F38" s="212"/>
      <c r="G38" s="212"/>
      <c r="H38" s="213"/>
    </row>
    <row r="39" spans="1:8" ht="15" customHeight="1" thickBot="1">
      <c r="A39" s="214"/>
      <c r="B39" s="215"/>
      <c r="C39" s="215"/>
      <c r="D39" s="215"/>
      <c r="E39" s="215"/>
      <c r="F39" s="215"/>
      <c r="G39" s="215"/>
      <c r="H39" s="216"/>
    </row>
    <row r="40" spans="1:8" ht="24" thickBot="1">
      <c r="A40" s="39"/>
      <c r="B40" s="198" t="s">
        <v>60</v>
      </c>
      <c r="C40" s="199"/>
      <c r="D40" s="200"/>
      <c r="E40" s="198" t="s">
        <v>61</v>
      </c>
      <c r="F40" s="199"/>
      <c r="G40" s="199"/>
      <c r="H40" s="200"/>
    </row>
    <row r="41" spans="1:8" ht="19" thickBot="1">
      <c r="A41" s="39"/>
      <c r="B41" s="217" t="s">
        <v>63</v>
      </c>
      <c r="C41" s="218"/>
      <c r="D41" s="219"/>
      <c r="E41" s="220">
        <f>SUM(B9:B12)</f>
        <v>0</v>
      </c>
      <c r="F41" s="221"/>
      <c r="G41" s="221"/>
      <c r="H41" s="222"/>
    </row>
    <row r="42" spans="1:8" ht="19" thickBot="1">
      <c r="A42" s="39"/>
      <c r="B42" s="217" t="s">
        <v>48</v>
      </c>
      <c r="C42" s="218"/>
      <c r="D42" s="219"/>
      <c r="E42" s="220">
        <f>SUM(B6:B8)</f>
        <v>0</v>
      </c>
      <c r="F42" s="221"/>
      <c r="G42" s="221"/>
      <c r="H42" s="222"/>
    </row>
    <row r="43" spans="1:8" ht="19" thickBot="1">
      <c r="A43" s="39"/>
      <c r="B43" s="217" t="s">
        <v>64</v>
      </c>
      <c r="C43" s="218"/>
      <c r="D43" s="219"/>
      <c r="E43" s="223">
        <f>SUM(B13:B14)</f>
        <v>0</v>
      </c>
      <c r="F43" s="224"/>
      <c r="G43" s="224"/>
      <c r="H43" s="225"/>
    </row>
    <row r="44" spans="1:8" ht="19" thickBot="1">
      <c r="B44" s="226" t="s">
        <v>65</v>
      </c>
      <c r="C44" s="227"/>
      <c r="D44" s="228"/>
      <c r="E44" s="229">
        <f>SUM(B17:B18)</f>
        <v>0</v>
      </c>
      <c r="F44" s="230"/>
      <c r="G44" s="230"/>
      <c r="H44" s="231"/>
    </row>
    <row r="45" spans="1:8" ht="19" thickBot="1">
      <c r="B45" s="226" t="s">
        <v>66</v>
      </c>
      <c r="C45" s="227"/>
      <c r="D45" s="228"/>
      <c r="E45" s="229">
        <f>SUM(B19:B20)</f>
        <v>0</v>
      </c>
      <c r="F45" s="230"/>
      <c r="G45" s="230"/>
      <c r="H45" s="231"/>
    </row>
    <row r="46" spans="1:8" ht="19" thickBot="1">
      <c r="B46" s="226" t="s">
        <v>58</v>
      </c>
      <c r="C46" s="227"/>
      <c r="D46" s="228"/>
      <c r="E46" s="229">
        <f>B21</f>
        <v>0</v>
      </c>
      <c r="F46" s="232"/>
      <c r="G46" s="232"/>
      <c r="H46" s="233"/>
    </row>
    <row r="47" spans="1:8" ht="19" thickBot="1">
      <c r="B47" s="226" t="s">
        <v>58</v>
      </c>
      <c r="C47" s="227"/>
      <c r="D47" s="228"/>
      <c r="E47" s="229">
        <f t="shared" ref="E47:E53" si="0">B22</f>
        <v>0</v>
      </c>
      <c r="F47" s="232"/>
      <c r="G47" s="232"/>
      <c r="H47" s="233"/>
    </row>
    <row r="48" spans="1:8" ht="19" thickBot="1">
      <c r="B48" s="226" t="s">
        <v>58</v>
      </c>
      <c r="C48" s="227"/>
      <c r="D48" s="228"/>
      <c r="E48" s="229">
        <f t="shared" si="0"/>
        <v>0</v>
      </c>
      <c r="F48" s="232"/>
      <c r="G48" s="232"/>
      <c r="H48" s="233"/>
    </row>
    <row r="49" spans="2:8" ht="19" thickBot="1">
      <c r="B49" s="226" t="s">
        <v>58</v>
      </c>
      <c r="C49" s="227"/>
      <c r="D49" s="228"/>
      <c r="E49" s="229">
        <f t="shared" si="0"/>
        <v>0</v>
      </c>
      <c r="F49" s="232"/>
      <c r="G49" s="232"/>
      <c r="H49" s="233"/>
    </row>
    <row r="50" spans="2:8" ht="19" thickBot="1">
      <c r="B50" s="226" t="s">
        <v>58</v>
      </c>
      <c r="C50" s="227"/>
      <c r="D50" s="228"/>
      <c r="E50" s="229">
        <f t="shared" si="0"/>
        <v>0</v>
      </c>
      <c r="F50" s="232"/>
      <c r="G50" s="232"/>
      <c r="H50" s="233"/>
    </row>
    <row r="51" spans="2:8" ht="19" thickBot="1">
      <c r="B51" s="226" t="s">
        <v>58</v>
      </c>
      <c r="C51" s="227"/>
      <c r="D51" s="228"/>
      <c r="E51" s="229">
        <f t="shared" si="0"/>
        <v>0</v>
      </c>
      <c r="F51" s="232"/>
      <c r="G51" s="232"/>
      <c r="H51" s="233"/>
    </row>
    <row r="52" spans="2:8" ht="19" thickBot="1">
      <c r="B52" s="226" t="s">
        <v>58</v>
      </c>
      <c r="C52" s="227"/>
      <c r="D52" s="228"/>
      <c r="E52" s="229">
        <f t="shared" si="0"/>
        <v>0</v>
      </c>
      <c r="F52" s="232"/>
      <c r="G52" s="232"/>
      <c r="H52" s="233"/>
    </row>
    <row r="53" spans="2:8" ht="19" thickBot="1">
      <c r="B53" s="226" t="s">
        <v>58</v>
      </c>
      <c r="C53" s="227"/>
      <c r="D53" s="228"/>
      <c r="E53" s="229">
        <f t="shared" si="0"/>
        <v>0</v>
      </c>
      <c r="F53" s="232"/>
      <c r="G53" s="232"/>
      <c r="H53" s="233"/>
    </row>
    <row r="54" spans="2:8" ht="21.5" thickBot="1">
      <c r="B54" s="226" t="s">
        <v>67</v>
      </c>
      <c r="C54" s="227"/>
      <c r="D54" s="228"/>
      <c r="E54" s="234">
        <f>SUM(E41:H53)</f>
        <v>0</v>
      </c>
      <c r="F54" s="235"/>
      <c r="G54" s="235"/>
      <c r="H54" s="236"/>
    </row>
    <row r="55" spans="2:8" ht="19" thickBot="1">
      <c r="B55" s="226"/>
      <c r="C55" s="227"/>
      <c r="D55" s="228"/>
      <c r="E55" s="237"/>
      <c r="F55" s="238"/>
      <c r="G55" s="238"/>
      <c r="H55" s="23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1" t="s">
        <v>59</v>
      </c>
      <c r="B1" s="212"/>
      <c r="C1" s="212"/>
      <c r="D1" s="212"/>
      <c r="E1" s="212"/>
      <c r="F1" s="212"/>
      <c r="G1" s="213"/>
    </row>
    <row r="2" spans="1:7" ht="15" thickBot="1">
      <c r="A2" s="214"/>
      <c r="B2" s="215"/>
      <c r="C2" s="215"/>
      <c r="D2" s="215"/>
      <c r="E2" s="215"/>
      <c r="F2" s="215"/>
      <c r="G2" s="21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20862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25194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2026-07-18T20:42:04Z</dcterms:modified>
</cp:coreProperties>
</file>