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workbookProtection workbookPassword="EA6E" lockStructure="1"/>
  <bookViews>
    <workbookView xWindow="0" yWindow="0" windowWidth="19200" windowHeight="5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G19" i="1"/>
  <c r="E19" i="1"/>
  <c r="F19" i="1" s="1"/>
  <c r="H18" i="1"/>
  <c r="G18" i="1"/>
  <c r="F18" i="1"/>
  <c r="E18" i="1"/>
  <c r="G17" i="1"/>
  <c r="E17" i="1"/>
  <c r="F17" i="1" s="1"/>
  <c r="H17" i="1" s="1"/>
  <c r="H14" i="1"/>
  <c r="G14" i="1"/>
  <c r="F14" i="1"/>
  <c r="E14" i="1"/>
  <c r="G13" i="1"/>
  <c r="E13" i="1"/>
  <c r="F13" i="1" s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19" i="1" l="1"/>
  <c r="G41" i="1"/>
  <c r="H13" i="1"/>
  <c r="F41" i="1"/>
  <c r="E41" i="1"/>
  <c r="H41" i="1" l="1"/>
</calcChain>
</file>

<file path=xl/sharedStrings.xml><?xml version="1.0" encoding="utf-8"?>
<sst xmlns="http://schemas.openxmlformats.org/spreadsheetml/2006/main" count="73" uniqueCount="46">
  <si>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</si>
  <si>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</si>
  <si>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</si>
  <si>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</si>
  <si>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</si>
  <si>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</si>
  <si>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</si>
  <si>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</si>
  <si>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</si>
  <si>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</si>
  <si>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</si>
  <si>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</si>
  <si>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</si>
  <si>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</si>
  <si>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</si>
  <si>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</si>
  <si>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</si>
  <si>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</si>
  <si>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</si>
  <si>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</si>
  <si>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</si>
  <si>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</si>
  <si>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</si>
  <si>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</si>
  <si>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</si>
  <si>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</si>
  <si>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</si>
  <si>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</si>
  <si>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</si>
  <si>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</si>
  <si>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</si>
  <si>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IBIPANDE</t>
  </si>
  <si>
    <t>ISHIMWE Odille</t>
  </si>
  <si>
    <t>OTHER</t>
  </si>
  <si>
    <t>MADRIEN NINI</t>
  </si>
  <si>
    <t>Billing Officer</t>
  </si>
  <si>
    <t>MUHANGA ICPCS</t>
  </si>
  <si>
    <t>I</t>
  </si>
  <si>
    <t>::</t>
  </si>
  <si>
    <t xml:space="preserve"> </t>
  </si>
  <si>
    <t>MUHANGA DAILY REPORT FROM 9/4/2026</t>
  </si>
  <si>
    <t>09/4</t>
  </si>
  <si>
    <t>NEPOMUSCENE NSABIMANA</t>
  </si>
  <si>
    <t>RWAYITARE EMMANUEL</t>
  </si>
  <si>
    <t>0788746434</t>
  </si>
  <si>
    <t>0781211374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</si>
</sst>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name val="Calibri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6" fillId="0" borderId="0">
      <protection locked="0"/>
    </xf>
  </cellStyleXfs>
  <cellXfs count="91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4" fontId="4" fillId="0" borderId="9" xfId="1" applyNumberFormat="1" applyFont="1" applyBorder="1" applyAlignment="1">
      <protection locked="0"/>
    </xf>
    <xf numFmtId="164" fontId="4" fillId="0" borderId="12" xfId="1" applyNumberFormat="1" applyFont="1" applyBorder="1" applyAlignment="1">
      <protection locked="0"/>
    </xf>
    <xf numFmtId="164" fontId="4" fillId="0" borderId="11" xfId="1" applyNumberFormat="1" applyFont="1" applyBorder="1" applyAlignment="1">
      <protection locked="0"/>
    </xf>
    <xf numFmtId="164" fontId="4" fillId="0" borderId="13" xfId="1" applyNumberFormat="1" applyFont="1" applyBorder="1" applyAlignment="1">
      <protection locked="0"/>
    </xf>
    <xf numFmtId="164" fontId="1" fillId="0" borderId="14" xfId="1" applyNumberFormat="1" applyFont="1" applyBorder="1" applyAlignment="1">
      <protection locked="0"/>
    </xf>
    <xf numFmtId="164" fontId="4" fillId="0" borderId="16" xfId="1" applyNumberFormat="1" applyFont="1" applyBorder="1" applyAlignment="1" applyProtection="1">
      <protection hidden="1"/>
    </xf>
    <xf numFmtId="164" fontId="4" fillId="0" borderId="17" xfId="1" applyNumberFormat="1" applyFont="1" applyBorder="1" applyAlignment="1" applyProtection="1">
      <protection hidden="1"/>
    </xf>
    <xf numFmtId="164" fontId="4" fillId="0" borderId="18" xfId="1" applyNumberFormat="1" applyFont="1" applyBorder="1" applyAlignment="1">
      <protection locked="0"/>
    </xf>
    <xf numFmtId="164" fontId="1" fillId="0" borderId="19" xfId="1" applyNumberFormat="1" applyFont="1" applyBorder="1" applyAlignment="1">
      <protection locked="0"/>
    </xf>
    <xf numFmtId="164" fontId="4" fillId="0" borderId="21" xfId="1" applyNumberFormat="1" applyFont="1" applyBorder="1" applyAlignment="1" applyProtection="1">
      <protection hidden="1"/>
    </xf>
    <xf numFmtId="164" fontId="4" fillId="0" borderId="22" xfId="1" applyNumberFormat="1" applyFont="1" applyBorder="1" applyAlignment="1" applyProtection="1">
      <protection hidden="1"/>
    </xf>
    <xf numFmtId="164" fontId="1" fillId="0" borderId="18" xfId="1" applyNumberFormat="1" applyFont="1" applyBorder="1" applyAlignment="1">
      <protection locked="0"/>
    </xf>
    <xf numFmtId="164" fontId="4" fillId="0" borderId="9" xfId="1" applyNumberFormat="1" applyFont="1" applyBorder="1" applyAlignment="1">
      <alignment horizontal="center"/>
      <protection locked="0"/>
    </xf>
    <xf numFmtId="164" fontId="4" fillId="0" borderId="9" xfId="1" applyNumberFormat="1" applyFont="1" applyBorder="1" applyAlignment="1" applyProtection="1">
      <protection hidden="1"/>
    </xf>
    <xf numFmtId="164" fontId="4" fillId="0" borderId="11" xfId="1" applyNumberFormat="1" applyFont="1" applyBorder="1" applyAlignment="1" applyProtection="1">
      <protection hidden="1"/>
    </xf>
    <xf numFmtId="164" fontId="4" fillId="0" borderId="13" xfId="1" applyNumberFormat="1" applyFont="1" applyBorder="1" applyAlignment="1">
      <alignment horizontal="left"/>
      <protection locked="0"/>
    </xf>
    <xf numFmtId="164" fontId="1" fillId="0" borderId="14" xfId="1" applyNumberFormat="1" applyFont="1" applyBorder="1" applyAlignment="1">
      <alignment horizontal="center"/>
      <protection locked="0"/>
    </xf>
    <xf numFmtId="164" fontId="1" fillId="0" borderId="16" xfId="1" applyNumberFormat="1" applyFont="1" applyBorder="1" applyAlignment="1">
      <alignment horizontal="center"/>
      <protection locked="0"/>
    </xf>
    <xf numFmtId="164" fontId="4" fillId="0" borderId="18" xfId="1" applyNumberFormat="1" applyFont="1" applyBorder="1" applyAlignment="1">
      <alignment horizontal="left"/>
      <protection locked="0"/>
    </xf>
    <xf numFmtId="164" fontId="1" fillId="0" borderId="19" xfId="1" applyNumberFormat="1" applyFont="1" applyBorder="1" applyAlignment="1">
      <alignment horizontal="center"/>
      <protection locked="0"/>
    </xf>
    <xf numFmtId="164" fontId="1" fillId="0" borderId="21" xfId="1" applyNumberFormat="1" applyFont="1" applyBorder="1" applyAlignment="1">
      <alignment horizontal="center"/>
      <protection locked="0"/>
    </xf>
    <xf numFmtId="164" fontId="1" fillId="0" borderId="21" xfId="1" applyNumberFormat="1" applyFont="1" applyBorder="1" applyAlignment="1">
      <protection locked="0"/>
    </xf>
    <xf numFmtId="164" fontId="4" fillId="0" borderId="23" xfId="1" applyNumberFormat="1" applyFont="1" applyBorder="1" applyAlignment="1">
      <protection locked="0"/>
    </xf>
    <xf numFmtId="164" fontId="1" fillId="0" borderId="24" xfId="1" applyNumberFormat="1" applyFont="1" applyBorder="1" applyAlignment="1">
      <protection locked="0"/>
    </xf>
    <xf numFmtId="164" fontId="1" fillId="0" borderId="25" xfId="1" applyNumberFormat="1" applyFont="1" applyBorder="1" applyAlignment="1">
      <protection locked="0"/>
    </xf>
    <xf numFmtId="164" fontId="4" fillId="0" borderId="25" xfId="1" applyNumberFormat="1" applyFont="1" applyBorder="1" applyAlignment="1" applyProtection="1">
      <protection hidden="1"/>
    </xf>
    <xf numFmtId="164" fontId="4" fillId="0" borderId="26" xfId="1" applyNumberFormat="1" applyFont="1" applyBorder="1" applyAlignment="1" applyProtection="1">
      <protection hidden="1"/>
    </xf>
    <xf numFmtId="164" fontId="1" fillId="0" borderId="0" xfId="1" applyNumberFormat="1" applyFont="1" applyAlignment="1">
      <protection locked="0"/>
    </xf>
    <xf numFmtId="164" fontId="4" fillId="2" borderId="27" xfId="1" applyNumberFormat="1" applyFont="1" applyFill="1" applyBorder="1" applyAlignment="1">
      <alignment vertical="center"/>
      <protection locked="0"/>
    </xf>
    <xf numFmtId="164" fontId="1" fillId="2" borderId="28" xfId="1" applyNumberFormat="1" applyFont="1" applyFill="1" applyBorder="1" applyAlignment="1">
      <protection locked="0"/>
    </xf>
    <xf numFmtId="164" fontId="1" fillId="2" borderId="29" xfId="1" applyNumberFormat="1" applyFont="1" applyFill="1" applyBorder="1" applyAlignment="1">
      <protection locked="0"/>
    </xf>
    <xf numFmtId="164" fontId="4" fillId="2" borderId="29" xfId="1" applyNumberFormat="1" applyFont="1" applyFill="1" applyBorder="1" applyAlignment="1" applyProtection="1">
      <protection hidden="1"/>
    </xf>
    <xf numFmtId="164" fontId="4" fillId="2" borderId="30" xfId="1" applyNumberFormat="1" applyFont="1" applyFill="1" applyBorder="1" applyAlignment="1" applyProtection="1">
      <protection hidden="1"/>
    </xf>
    <xf numFmtId="164" fontId="1" fillId="0" borderId="9" xfId="1" applyNumberFormat="1" applyFont="1" applyBorder="1" applyAlignment="1">
      <protection locked="0"/>
    </xf>
    <xf numFmtId="164" fontId="1" fillId="0" borderId="2" xfId="1" applyNumberFormat="1" applyFont="1" applyBorder="1" applyAlignment="1">
      <protection locked="0"/>
    </xf>
    <xf numFmtId="164" fontId="1" fillId="0" borderId="7" xfId="1" applyNumberFormat="1" applyFont="1" applyBorder="1" applyAlignment="1">
      <protection locked="0"/>
    </xf>
    <xf numFmtId="164" fontId="1" fillId="0" borderId="11" xfId="1" applyNumberFormat="1" applyFont="1" applyBorder="1" applyAlignment="1">
      <protection locked="0"/>
    </xf>
    <xf numFmtId="164" fontId="1" fillId="0" borderId="10" xfId="1" applyNumberFormat="1" applyFont="1" applyBorder="1" applyAlignment="1">
      <protection locked="0"/>
    </xf>
    <xf numFmtId="49" fontId="1" fillId="0" borderId="34" xfId="1" applyNumberFormat="1" applyFont="1" applyBorder="1" applyAlignment="1">
      <protection locked="0"/>
    </xf>
    <xf numFmtId="164" fontId="1" fillId="0" borderId="37" xfId="1" applyNumberFormat="1" applyFont="1" applyBorder="1" applyAlignment="1">
      <protection locked="0"/>
    </xf>
    <xf numFmtId="164" fontId="1" fillId="0" borderId="1" xfId="1" applyNumberFormat="1" applyFont="1" applyBorder="1" applyAlignment="1">
      <protection locked="0"/>
    </xf>
    <xf numFmtId="49" fontId="1" fillId="0" borderId="9" xfId="1" applyNumberFormat="1" applyFont="1" applyBorder="1" applyAlignment="1">
      <protection locked="0"/>
    </xf>
    <xf numFmtId="164" fontId="1" fillId="0" borderId="22" xfId="1" applyNumberFormat="1" applyFont="1" applyBorder="1" applyAlignment="1">
      <protection locked="0"/>
    </xf>
    <xf numFmtId="0" fontId="1" fillId="0" borderId="11" xfId="0" applyFont="1" applyBorder="1" applyAlignment="1" applyProtection="1">
      <protection locked="0"/>
    </xf>
    <xf numFmtId="164" fontId="1" fillId="0" borderId="39" xfId="1" applyNumberFormat="1" applyFont="1" applyBorder="1" applyAlignment="1">
      <protection locked="0"/>
    </xf>
    <xf numFmtId="164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4" fontId="2" fillId="0" borderId="1" xfId="1" applyNumberFormat="1" applyFont="1" applyBorder="1" applyAlignment="1">
      <alignment horizontal="center"/>
      <protection locked="0"/>
    </xf>
    <xf numFmtId="164" fontId="2" fillId="0" borderId="2" xfId="1" applyNumberFormat="1" applyFont="1" applyBorder="1" applyAlignment="1">
      <alignment horizontal="center"/>
      <protection locked="0"/>
    </xf>
    <xf numFmtId="164" fontId="2" fillId="0" borderId="3" xfId="1" applyNumberFormat="1" applyFont="1" applyBorder="1" applyAlignment="1">
      <alignment horizontal="center"/>
      <protection locked="0"/>
    </xf>
    <xf numFmtId="164" fontId="2" fillId="0" borderId="4" xfId="1" applyNumberFormat="1" applyFont="1" applyBorder="1" applyAlignment="1">
      <alignment horizontal="center"/>
      <protection locked="0"/>
    </xf>
    <xf numFmtId="164" fontId="2" fillId="0" borderId="5" xfId="1" applyNumberFormat="1" applyFont="1" applyBorder="1" applyAlignment="1">
      <alignment horizontal="center"/>
      <protection locked="0"/>
    </xf>
    <xf numFmtId="164" fontId="2" fillId="0" borderId="6" xfId="1" applyNumberFormat="1" applyFont="1" applyBorder="1" applyAlignment="1">
      <alignment horizontal="center"/>
      <protection locked="0"/>
    </xf>
    <xf numFmtId="164" fontId="3" fillId="0" borderId="7" xfId="1" applyNumberFormat="1" applyFont="1" applyBorder="1" applyAlignment="1">
      <alignment horizontal="center"/>
      <protection locked="0"/>
    </xf>
    <xf numFmtId="164" fontId="3" fillId="0" borderId="0" xfId="1" applyNumberFormat="1" applyFont="1" applyAlignment="1">
      <alignment horizontal="center"/>
      <protection locked="0"/>
    </xf>
    <xf numFmtId="164" fontId="3" fillId="0" borderId="8" xfId="1" applyNumberFormat="1" applyFont="1" applyBorder="1" applyAlignment="1">
      <alignment horizontal="center"/>
      <protection locked="0"/>
    </xf>
    <xf numFmtId="164" fontId="3" fillId="0" borderId="4" xfId="1" applyNumberFormat="1" applyFont="1" applyBorder="1" applyAlignment="1">
      <alignment horizontal="center"/>
      <protection locked="0"/>
    </xf>
    <xf numFmtId="164" fontId="3" fillId="0" borderId="5" xfId="1" applyNumberFormat="1" applyFont="1" applyBorder="1" applyAlignment="1">
      <alignment horizontal="center"/>
      <protection locked="0"/>
    </xf>
    <xf numFmtId="164" fontId="3" fillId="0" borderId="6" xfId="1" applyNumberFormat="1" applyFont="1" applyBorder="1" applyAlignment="1">
      <alignment horizontal="center"/>
      <protection locked="0"/>
    </xf>
    <xf numFmtId="164" fontId="5" fillId="0" borderId="10" xfId="1" applyNumberFormat="1" applyFont="1" applyBorder="1" applyAlignment="1">
      <alignment horizontal="center"/>
      <protection locked="0"/>
    </xf>
    <xf numFmtId="164" fontId="5" fillId="0" borderId="12" xfId="1" applyNumberFormat="1" applyFont="1" applyBorder="1" applyAlignment="1">
      <alignment horizontal="center"/>
      <protection locked="0"/>
    </xf>
    <xf numFmtId="164" fontId="5" fillId="0" borderId="11" xfId="1" applyNumberFormat="1" applyFont="1" applyBorder="1" applyAlignment="1">
      <alignment horizontal="center"/>
      <protection locked="0"/>
    </xf>
    <xf numFmtId="164" fontId="4" fillId="0" borderId="31" xfId="1" applyNumberFormat="1" applyFont="1" applyBorder="1" applyAlignment="1">
      <alignment horizontal="center"/>
      <protection locked="0"/>
    </xf>
    <xf numFmtId="164" fontId="4" fillId="0" borderId="10" xfId="1" applyNumberFormat="1" applyFont="1" applyBorder="1" applyAlignment="1">
      <alignment horizontal="center"/>
      <protection locked="0"/>
    </xf>
    <xf numFmtId="164" fontId="4" fillId="0" borderId="11" xfId="1" applyNumberFormat="1" applyFont="1" applyBorder="1" applyAlignment="1">
      <alignment horizontal="center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4" fontId="1" fillId="0" borderId="20" xfId="1" applyNumberFormat="1" applyFont="1" applyBorder="1" applyAlignment="1">
      <alignment horizontal="center"/>
      <protection locked="0"/>
    </xf>
    <xf numFmtId="164" fontId="1" fillId="0" borderId="19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4" fontId="1" fillId="0" borderId="15" xfId="1" applyNumberFormat="1" applyFont="1" applyBorder="1" applyAlignment="1">
      <alignment horizontal="center"/>
      <protection locked="0"/>
    </xf>
    <xf numFmtId="164" fontId="1" fillId="0" borderId="14" xfId="1" applyNumberFormat="1" applyFont="1" applyBorder="1" applyAlignment="1">
      <alignment horizontal="center"/>
      <protection locked="0"/>
    </xf>
    <xf numFmtId="164" fontId="1" fillId="0" borderId="32" xfId="1" applyNumberFormat="1" applyFont="1" applyBorder="1" applyAlignment="1">
      <alignment horizontal="center"/>
      <protection locked="0"/>
    </xf>
    <xf numFmtId="164" fontId="1" fillId="0" borderId="33" xfId="1" applyNumberFormat="1" applyFont="1" applyBorder="1" applyAlignment="1">
      <alignment horizontal="center"/>
      <protection locked="0"/>
    </xf>
    <xf numFmtId="164" fontId="1" fillId="0" borderId="35" xfId="1" applyNumberFormat="1" applyFont="1" applyBorder="1" applyAlignment="1">
      <alignment horizontal="left"/>
      <protection locked="0"/>
    </xf>
    <xf numFmtId="164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4" fontId="1" fillId="0" borderId="19" xfId="1" applyNumberFormat="1" applyFont="1" applyBorder="1" applyAlignment="1">
      <alignment horizontal="left"/>
      <protection locked="0"/>
    </xf>
    <xf numFmtId="164" fontId="1" fillId="0" borderId="21" xfId="1" applyNumberFormat="1" applyFont="1" applyBorder="1" applyAlignment="1">
      <alignment horizontal="left"/>
      <protection locked="0"/>
    </xf>
    <xf numFmtId="164" fontId="1" fillId="0" borderId="35" xfId="1" quotePrefix="1" applyNumberFormat="1" applyFont="1" applyBorder="1" applyAlignment="1">
      <protection locked="0"/>
    </xf>
    <xf numFmtId="164" fontId="1" fillId="0" borderId="19" xfId="1" quotePrefix="1" applyNumberFormat="1" applyFont="1" applyBorder="1" applyAlignment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zoomScale="84" workbookViewId="0">
      <selection activeCell="O40" sqref="O40"/>
    </sheetView>
  </sheetViews>
  <sheetFormatPr defaultColWidth="8.81640625" defaultRowHeight="14.5" x14ac:dyDescent="0.3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bestFit="1" customWidth="1"/>
    <col min="7" max="7" width="13.26953125" style="1" customWidth="1"/>
    <col min="8" max="8" width="16.1796875" style="1" customWidth="1"/>
    <col min="9" max="16384" width="8.81640625" style="1"/>
  </cols>
  <sheetData>
    <row r="1" spans="1:10" ht="10.15" customHeight="1" x14ac:dyDescent="0.35">
      <c r="A1" s="51" t="s">
        <v>36</v>
      </c>
      <c r="B1" s="52"/>
      <c r="C1" s="52"/>
      <c r="D1" s="52"/>
      <c r="E1" s="52"/>
      <c r="F1" s="52"/>
      <c r="G1" s="52"/>
      <c r="H1" s="53"/>
    </row>
    <row r="2" spans="1:10" ht="12.65" customHeight="1" x14ac:dyDescent="0.35">
      <c r="A2" s="54"/>
      <c r="B2" s="55"/>
      <c r="C2" s="55"/>
      <c r="D2" s="55"/>
      <c r="E2" s="55"/>
      <c r="F2" s="55"/>
      <c r="G2" s="55"/>
      <c r="H2" s="56"/>
    </row>
    <row r="3" spans="1:10" ht="13.15" customHeight="1" x14ac:dyDescent="0.35">
      <c r="A3" s="57" t="s">
        <v>40</v>
      </c>
      <c r="B3" s="58"/>
      <c r="C3" s="58"/>
      <c r="D3" s="58"/>
      <c r="E3" s="58"/>
      <c r="F3" s="58"/>
      <c r="G3" s="58"/>
      <c r="H3" s="59"/>
    </row>
    <row r="4" spans="1:10" x14ac:dyDescent="0.35">
      <c r="A4" s="60"/>
      <c r="B4" s="61"/>
      <c r="C4" s="61"/>
      <c r="D4" s="61"/>
      <c r="E4" s="61"/>
      <c r="F4" s="61"/>
      <c r="G4" s="61"/>
      <c r="H4" s="62"/>
    </row>
    <row r="5" spans="1:10" x14ac:dyDescent="0.35">
      <c r="A5" s="2" t="s">
        <v>0</v>
      </c>
      <c r="B5" s="2" t="s">
        <v>26</v>
      </c>
      <c r="C5" s="67" t="s">
        <v>9</v>
      </c>
      <c r="D5" s="68"/>
      <c r="E5" s="2" t="s">
        <v>1</v>
      </c>
      <c r="F5" s="3" t="s">
        <v>2</v>
      </c>
      <c r="G5" s="2" t="s">
        <v>3</v>
      </c>
      <c r="H5" s="4" t="s">
        <v>4</v>
      </c>
    </row>
    <row r="6" spans="1:10" x14ac:dyDescent="0.35">
      <c r="A6" s="5" t="s">
        <v>20</v>
      </c>
      <c r="B6" s="6"/>
      <c r="C6" s="79">
        <v>9440</v>
      </c>
      <c r="D6" s="80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10" x14ac:dyDescent="0.35">
      <c r="A7" s="5" t="s">
        <v>21</v>
      </c>
      <c r="B7" s="6"/>
      <c r="C7" s="79">
        <v>7670</v>
      </c>
      <c r="D7" s="80"/>
      <c r="E7" s="7">
        <f t="shared" ref="E7:E14" si="3">PRODUCT(B7*C7)</f>
        <v>0</v>
      </c>
      <c r="F7" s="7">
        <f t="shared" ref="F7:F40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10" x14ac:dyDescent="0.35">
      <c r="A8" s="9" t="s">
        <v>6</v>
      </c>
      <c r="B8" s="10"/>
      <c r="C8" s="75">
        <v>2360</v>
      </c>
      <c r="D8" s="76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10" x14ac:dyDescent="0.35">
      <c r="A9" s="9" t="s">
        <v>22</v>
      </c>
      <c r="B9" s="10"/>
      <c r="C9" s="75">
        <v>3500</v>
      </c>
      <c r="D9" s="76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  <c r="J9" s="1" t="s">
        <v>38</v>
      </c>
    </row>
    <row r="10" spans="1:10" x14ac:dyDescent="0.35">
      <c r="A10" s="9" t="s">
        <v>23</v>
      </c>
      <c r="B10" s="10"/>
      <c r="C10" s="75">
        <v>2200</v>
      </c>
      <c r="D10" s="76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10" x14ac:dyDescent="0.35">
      <c r="A11" s="9" t="s">
        <v>7</v>
      </c>
      <c r="B11" s="10"/>
      <c r="C11" s="75">
        <v>1416</v>
      </c>
      <c r="D11" s="76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10" x14ac:dyDescent="0.35">
      <c r="A12" s="9" t="s">
        <v>7</v>
      </c>
      <c r="B12" s="10"/>
      <c r="C12" s="75">
        <v>1200</v>
      </c>
      <c r="D12" s="76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10" x14ac:dyDescent="0.35">
      <c r="A13" s="9" t="s">
        <v>5</v>
      </c>
      <c r="B13" s="10">
        <v>450</v>
      </c>
      <c r="C13" s="75">
        <v>2596</v>
      </c>
      <c r="D13" s="76"/>
      <c r="E13" s="11">
        <f t="shared" si="3"/>
        <v>1168200</v>
      </c>
      <c r="F13" s="11">
        <f t="shared" si="4"/>
        <v>178200</v>
      </c>
      <c r="G13" s="11">
        <f>PRODUCT(B13*30)</f>
        <v>13500</v>
      </c>
      <c r="H13" s="12">
        <f t="shared" si="5"/>
        <v>191700</v>
      </c>
    </row>
    <row r="14" spans="1:10" x14ac:dyDescent="0.35">
      <c r="A14" s="13" t="s">
        <v>5</v>
      </c>
      <c r="B14" s="10"/>
      <c r="C14" s="75">
        <v>2200.6</v>
      </c>
      <c r="D14" s="76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10" ht="22.9" customHeight="1" x14ac:dyDescent="0.6">
      <c r="A15" s="63" t="s">
        <v>10</v>
      </c>
      <c r="B15" s="64"/>
      <c r="C15" s="64"/>
      <c r="D15" s="64"/>
      <c r="E15" s="64"/>
      <c r="F15" s="64"/>
      <c r="G15" s="64"/>
      <c r="H15" s="65"/>
    </row>
    <row r="16" spans="1:10" x14ac:dyDescent="0.35">
      <c r="A16" s="14" t="s">
        <v>0</v>
      </c>
      <c r="B16" s="14"/>
      <c r="C16" s="14" t="s">
        <v>11</v>
      </c>
      <c r="D16" s="14" t="s">
        <v>3</v>
      </c>
      <c r="E16" s="15" t="s">
        <v>1</v>
      </c>
      <c r="F16" s="15" t="s">
        <v>13</v>
      </c>
      <c r="G16" s="15" t="s">
        <v>3</v>
      </c>
      <c r="H16" s="16" t="s">
        <v>14</v>
      </c>
    </row>
    <row r="17" spans="1:9" x14ac:dyDescent="0.35">
      <c r="A17" s="17" t="s">
        <v>31</v>
      </c>
      <c r="B17" s="18">
        <v>700</v>
      </c>
      <c r="C17" s="19">
        <v>1180</v>
      </c>
      <c r="D17" s="19">
        <v>20</v>
      </c>
      <c r="E17" s="7">
        <f>PRODUCT(B17*C17)</f>
        <v>826000</v>
      </c>
      <c r="F17" s="7">
        <f t="shared" ref="F17:F22" si="6">PRODUCT(E17*18)/118</f>
        <v>126000</v>
      </c>
      <c r="G17" s="7">
        <f>PRODUCT(B17*D17)</f>
        <v>14000</v>
      </c>
      <c r="H17" s="8">
        <f>SUM(F17:G17)</f>
        <v>140000</v>
      </c>
    </row>
    <row r="18" spans="1:9" x14ac:dyDescent="0.35">
      <c r="A18" s="20" t="s">
        <v>31</v>
      </c>
      <c r="B18" s="21"/>
      <c r="C18" s="22">
        <v>1000</v>
      </c>
      <c r="D18" s="22">
        <v>20</v>
      </c>
      <c r="E18" s="11">
        <f t="shared" ref="E18:E22" si="7">PRODUCT(B18*C18)</f>
        <v>0</v>
      </c>
      <c r="F18" s="11">
        <f t="shared" si="6"/>
        <v>0</v>
      </c>
      <c r="G18" s="11">
        <f t="shared" ref="G18:G22" si="8">PRODUCT(B18*D18)</f>
        <v>0</v>
      </c>
      <c r="H18" s="12">
        <f t="shared" ref="H18:H22" si="9">SUM(F18:G18)</f>
        <v>0</v>
      </c>
    </row>
    <row r="19" spans="1:9" x14ac:dyDescent="0.35">
      <c r="A19" s="9" t="s">
        <v>34</v>
      </c>
      <c r="B19" s="10">
        <v>200</v>
      </c>
      <c r="C19" s="23">
        <v>4000</v>
      </c>
      <c r="D19" s="23">
        <v>50</v>
      </c>
      <c r="E19" s="11">
        <f t="shared" si="7"/>
        <v>800000</v>
      </c>
      <c r="F19" s="11">
        <f t="shared" si="6"/>
        <v>122033.89830508475</v>
      </c>
      <c r="G19" s="11">
        <f t="shared" si="8"/>
        <v>10000</v>
      </c>
      <c r="H19" s="12">
        <f t="shared" si="9"/>
        <v>132033.89830508473</v>
      </c>
    </row>
    <row r="20" spans="1:9" x14ac:dyDescent="0.35">
      <c r="A20" s="9" t="s">
        <v>33</v>
      </c>
      <c r="B20" s="10"/>
      <c r="C20" s="23"/>
      <c r="D20" s="23"/>
      <c r="E20" s="11">
        <f t="shared" si="7"/>
        <v>0</v>
      </c>
      <c r="F20" s="11">
        <f t="shared" si="6"/>
        <v>0</v>
      </c>
      <c r="G20" s="11">
        <f t="shared" si="8"/>
        <v>0</v>
      </c>
      <c r="H20" s="12">
        <f t="shared" si="9"/>
        <v>0</v>
      </c>
    </row>
    <row r="21" spans="1:9" x14ac:dyDescent="0.35">
      <c r="A21" s="9" t="s">
        <v>33</v>
      </c>
      <c r="B21" s="10"/>
      <c r="C21" s="23"/>
      <c r="D21" s="23"/>
      <c r="E21" s="11">
        <f t="shared" si="7"/>
        <v>0</v>
      </c>
      <c r="F21" s="11">
        <f t="shared" si="6"/>
        <v>0</v>
      </c>
      <c r="G21" s="11">
        <f t="shared" si="8"/>
        <v>0</v>
      </c>
      <c r="H21" s="12">
        <f t="shared" si="9"/>
        <v>0</v>
      </c>
    </row>
    <row r="22" spans="1:9" x14ac:dyDescent="0.35">
      <c r="A22" s="24" t="s">
        <v>33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 x14ac:dyDescent="0.35">
      <c r="A23" s="17" t="s">
        <v>33</v>
      </c>
      <c r="B23" s="18"/>
      <c r="C23" s="19"/>
      <c r="D23" s="19"/>
      <c r="E23" s="7">
        <f>PRODUCT(B23*C23)</f>
        <v>0</v>
      </c>
      <c r="F23" s="7">
        <f t="shared" ref="F23:F34" si="10">PRODUCT(E23*18)/118</f>
        <v>0</v>
      </c>
      <c r="G23" s="7">
        <f>PRODUCT(B23*D23)</f>
        <v>0</v>
      </c>
      <c r="H23" s="8">
        <f>SUM(F23:G23)</f>
        <v>0</v>
      </c>
    </row>
    <row r="24" spans="1:9" x14ac:dyDescent="0.35">
      <c r="A24" s="20" t="s">
        <v>33</v>
      </c>
      <c r="B24" s="21"/>
      <c r="C24" s="22"/>
      <c r="D24" s="22"/>
      <c r="E24" s="11">
        <f t="shared" ref="E24:E28" si="11">PRODUCT(B24*C24)</f>
        <v>0</v>
      </c>
      <c r="F24" s="11">
        <f t="shared" si="10"/>
        <v>0</v>
      </c>
      <c r="G24" s="11">
        <f t="shared" ref="G24:G28" si="12">PRODUCT(B24*D24)</f>
        <v>0</v>
      </c>
      <c r="H24" s="12">
        <f t="shared" ref="H24:H28" si="13">SUM(F24:G24)</f>
        <v>0</v>
      </c>
      <c r="I24" s="29"/>
    </row>
    <row r="25" spans="1:9" x14ac:dyDescent="0.35">
      <c r="A25" s="9" t="s">
        <v>33</v>
      </c>
      <c r="B25" s="10"/>
      <c r="C25" s="23"/>
      <c r="D25" s="23"/>
      <c r="E25" s="11">
        <f t="shared" si="11"/>
        <v>0</v>
      </c>
      <c r="F25" s="11">
        <f t="shared" si="10"/>
        <v>0</v>
      </c>
      <c r="G25" s="11">
        <f t="shared" si="12"/>
        <v>0</v>
      </c>
      <c r="H25" s="12">
        <f t="shared" si="13"/>
        <v>0</v>
      </c>
      <c r="I25" s="29"/>
    </row>
    <row r="26" spans="1:9" x14ac:dyDescent="0.35">
      <c r="A26" s="9" t="s">
        <v>33</v>
      </c>
      <c r="B26" s="10"/>
      <c r="C26" s="23"/>
      <c r="D26" s="23"/>
      <c r="E26" s="11">
        <f t="shared" si="11"/>
        <v>0</v>
      </c>
      <c r="F26" s="11">
        <f t="shared" si="10"/>
        <v>0</v>
      </c>
      <c r="G26" s="11">
        <f t="shared" si="12"/>
        <v>0</v>
      </c>
      <c r="H26" s="12">
        <f t="shared" si="13"/>
        <v>0</v>
      </c>
      <c r="I26" s="29"/>
    </row>
    <row r="27" spans="1:9" x14ac:dyDescent="0.35">
      <c r="A27" s="9" t="s">
        <v>8</v>
      </c>
      <c r="B27" s="10"/>
      <c r="C27" s="23"/>
      <c r="D27" s="23"/>
      <c r="E27" s="11">
        <f t="shared" si="11"/>
        <v>0</v>
      </c>
      <c r="F27" s="11">
        <f t="shared" si="10"/>
        <v>0</v>
      </c>
      <c r="G27" s="11">
        <f t="shared" si="12"/>
        <v>0</v>
      </c>
      <c r="H27" s="12">
        <f t="shared" si="13"/>
        <v>0</v>
      </c>
      <c r="I27" s="29"/>
    </row>
    <row r="28" spans="1:9" x14ac:dyDescent="0.35">
      <c r="A28" s="24" t="s">
        <v>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29"/>
    </row>
    <row r="29" spans="1:9" x14ac:dyDescent="0.35">
      <c r="A29" s="17" t="s">
        <v>8</v>
      </c>
      <c r="B29" s="18"/>
      <c r="C29" s="19"/>
      <c r="D29" s="19"/>
      <c r="E29" s="7">
        <f>PRODUCT(B29*C29)</f>
        <v>0</v>
      </c>
      <c r="F29" s="7">
        <f t="shared" si="10"/>
        <v>0</v>
      </c>
      <c r="G29" s="7">
        <f>PRODUCT(B29*D29)</f>
        <v>0</v>
      </c>
      <c r="H29" s="8">
        <f>SUM(F29:G29)</f>
        <v>0</v>
      </c>
      <c r="I29" s="29"/>
    </row>
    <row r="30" spans="1:9" x14ac:dyDescent="0.35">
      <c r="A30" s="20" t="s">
        <v>8</v>
      </c>
      <c r="B30" s="21"/>
      <c r="C30" s="22"/>
      <c r="D30" s="22"/>
      <c r="E30" s="11">
        <f t="shared" ref="E30:E34" si="14">PRODUCT(B30*C30)</f>
        <v>0</v>
      </c>
      <c r="F30" s="11">
        <f t="shared" si="10"/>
        <v>0</v>
      </c>
      <c r="G30" s="11">
        <f t="shared" ref="G30:G34" si="15">PRODUCT(B30*D30)</f>
        <v>0</v>
      </c>
      <c r="H30" s="12">
        <f t="shared" ref="H30:H34" si="16">SUM(F30:G30)</f>
        <v>0</v>
      </c>
    </row>
    <row r="31" spans="1:9" x14ac:dyDescent="0.35">
      <c r="A31" s="9" t="s">
        <v>8</v>
      </c>
      <c r="B31" s="10"/>
      <c r="C31" s="23"/>
      <c r="D31" s="23"/>
      <c r="E31" s="11">
        <f t="shared" si="14"/>
        <v>0</v>
      </c>
      <c r="F31" s="11">
        <f t="shared" si="10"/>
        <v>0</v>
      </c>
      <c r="G31" s="11">
        <f t="shared" si="15"/>
        <v>0</v>
      </c>
      <c r="H31" s="12">
        <f t="shared" si="16"/>
        <v>0</v>
      </c>
    </row>
    <row r="32" spans="1:9" x14ac:dyDescent="0.35">
      <c r="A32" s="9" t="s">
        <v>8</v>
      </c>
      <c r="B32" s="10"/>
      <c r="C32" s="23"/>
      <c r="D32" s="23"/>
      <c r="E32" s="11">
        <f t="shared" si="14"/>
        <v>0</v>
      </c>
      <c r="F32" s="11">
        <f t="shared" si="10"/>
        <v>0</v>
      </c>
      <c r="G32" s="11">
        <f t="shared" si="15"/>
        <v>0</v>
      </c>
      <c r="H32" s="12">
        <f t="shared" si="16"/>
        <v>0</v>
      </c>
    </row>
    <row r="33" spans="1:11" x14ac:dyDescent="0.35">
      <c r="A33" s="9" t="s">
        <v>8</v>
      </c>
      <c r="B33" s="10"/>
      <c r="C33" s="23"/>
      <c r="D33" s="23"/>
      <c r="E33" s="11">
        <f t="shared" si="14"/>
        <v>0</v>
      </c>
      <c r="F33" s="11">
        <f t="shared" si="10"/>
        <v>0</v>
      </c>
      <c r="G33" s="11">
        <f t="shared" si="15"/>
        <v>0</v>
      </c>
      <c r="H33" s="12">
        <f t="shared" si="16"/>
        <v>0</v>
      </c>
    </row>
    <row r="34" spans="1:11" x14ac:dyDescent="0.35">
      <c r="A34" s="24" t="s">
        <v>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11" x14ac:dyDescent="0.35">
      <c r="A35" s="17" t="s">
        <v>8</v>
      </c>
      <c r="B35" s="18"/>
      <c r="C35" s="19"/>
      <c r="D35" s="19"/>
      <c r="E35" s="7">
        <f>PRODUCT(B35*C35)</f>
        <v>0</v>
      </c>
      <c r="F35" s="7">
        <f t="shared" si="4"/>
        <v>0</v>
      </c>
      <c r="G35" s="7">
        <f>PRODUCT(B35*D35)</f>
        <v>0</v>
      </c>
      <c r="H35" s="8">
        <f>SUM(F35:G35)</f>
        <v>0</v>
      </c>
    </row>
    <row r="36" spans="1:11" x14ac:dyDescent="0.35">
      <c r="A36" s="20" t="s">
        <v>8</v>
      </c>
      <c r="B36" s="21"/>
      <c r="C36" s="22"/>
      <c r="D36" s="22"/>
      <c r="E36" s="11">
        <f t="shared" ref="E36:E40" si="17">PRODUCT(B36*C36)</f>
        <v>0</v>
      </c>
      <c r="F36" s="11">
        <f t="shared" si="4"/>
        <v>0</v>
      </c>
      <c r="G36" s="11">
        <f t="shared" ref="G36:G40" si="18">PRODUCT(B36*D36)</f>
        <v>0</v>
      </c>
      <c r="H36" s="12">
        <f t="shared" ref="H36:H40" si="19">SUM(F36:G36)</f>
        <v>0</v>
      </c>
    </row>
    <row r="37" spans="1:11" x14ac:dyDescent="0.35">
      <c r="A37" s="9" t="s">
        <v>8</v>
      </c>
      <c r="B37" s="10"/>
      <c r="C37" s="23"/>
      <c r="D37" s="23"/>
      <c r="E37" s="11">
        <f t="shared" si="17"/>
        <v>0</v>
      </c>
      <c r="F37" s="11">
        <f t="shared" si="4"/>
        <v>0</v>
      </c>
      <c r="G37" s="11">
        <f t="shared" si="18"/>
        <v>0</v>
      </c>
      <c r="H37" s="12">
        <f t="shared" si="19"/>
        <v>0</v>
      </c>
      <c r="K37" s="1" t="s">
        <v>37</v>
      </c>
    </row>
    <row r="38" spans="1:11" x14ac:dyDescent="0.35">
      <c r="A38" s="9" t="s">
        <v>8</v>
      </c>
      <c r="B38" s="10"/>
      <c r="C38" s="23"/>
      <c r="D38" s="23"/>
      <c r="E38" s="11">
        <f t="shared" si="17"/>
        <v>0</v>
      </c>
      <c r="F38" s="11">
        <f t="shared" si="4"/>
        <v>0</v>
      </c>
      <c r="G38" s="11">
        <f t="shared" si="18"/>
        <v>0</v>
      </c>
      <c r="H38" s="12">
        <f t="shared" si="19"/>
        <v>0</v>
      </c>
    </row>
    <row r="39" spans="1:11" x14ac:dyDescent="0.35">
      <c r="A39" s="9" t="s">
        <v>8</v>
      </c>
      <c r="B39" s="10"/>
      <c r="C39" s="23"/>
      <c r="D39" s="23"/>
      <c r="E39" s="11">
        <f t="shared" si="17"/>
        <v>0</v>
      </c>
      <c r="F39" s="11">
        <f t="shared" si="4"/>
        <v>0</v>
      </c>
      <c r="G39" s="11">
        <f t="shared" si="18"/>
        <v>0</v>
      </c>
      <c r="H39" s="12">
        <f t="shared" si="19"/>
        <v>0</v>
      </c>
    </row>
    <row r="40" spans="1:11" x14ac:dyDescent="0.35">
      <c r="A40" s="24" t="s">
        <v>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11" x14ac:dyDescent="0.35">
      <c r="A41" s="30" t="s">
        <v>12</v>
      </c>
      <c r="B41" s="31"/>
      <c r="C41" s="32"/>
      <c r="D41" s="32"/>
      <c r="E41" s="33">
        <f>SUM(E6:E40)</f>
        <v>2794200</v>
      </c>
      <c r="F41" s="33">
        <f>SUM(F6:F40)</f>
        <v>426233.89830508473</v>
      </c>
      <c r="G41" s="33">
        <f>SUM(G6:G40)</f>
        <v>37500</v>
      </c>
      <c r="H41" s="34">
        <f>SUM(F41:G41)</f>
        <v>463733.89830508473</v>
      </c>
    </row>
    <row r="42" spans="1:11" x14ac:dyDescent="0.35">
      <c r="A42" s="77" t="s">
        <v>15</v>
      </c>
      <c r="B42" s="78"/>
      <c r="C42" s="35">
        <v>522074</v>
      </c>
      <c r="D42" s="36"/>
      <c r="E42" s="66" t="s">
        <v>24</v>
      </c>
      <c r="F42" s="66"/>
      <c r="G42" s="66"/>
      <c r="H42" s="66"/>
    </row>
    <row r="43" spans="1:11" x14ac:dyDescent="0.35">
      <c r="A43" s="77" t="s">
        <v>18</v>
      </c>
      <c r="B43" s="78"/>
      <c r="C43" s="37"/>
      <c r="D43" s="35" t="s">
        <v>27</v>
      </c>
      <c r="E43" s="81" t="s">
        <v>16</v>
      </c>
      <c r="F43" s="82"/>
      <c r="G43" s="35" t="s">
        <v>17</v>
      </c>
      <c r="H43" s="38" t="s">
        <v>39</v>
      </c>
    </row>
    <row r="44" spans="1:11" x14ac:dyDescent="0.35">
      <c r="A44" s="77" t="s">
        <v>25</v>
      </c>
      <c r="B44" s="78"/>
      <c r="C44" s="39"/>
      <c r="D44" s="40" t="s">
        <v>41</v>
      </c>
      <c r="E44" s="83" t="s">
        <v>42</v>
      </c>
      <c r="F44" s="84"/>
      <c r="G44" s="89" t="s">
        <v>44</v>
      </c>
      <c r="H44" s="41">
        <v>20000</v>
      </c>
    </row>
    <row r="45" spans="1:11" x14ac:dyDescent="0.35">
      <c r="A45" s="85" t="s">
        <v>19</v>
      </c>
      <c r="B45" s="86"/>
      <c r="C45" s="42"/>
      <c r="D45" s="43" t="s">
        <v>41</v>
      </c>
      <c r="E45" s="87" t="s">
        <v>43</v>
      </c>
      <c r="F45" s="88"/>
      <c r="G45" s="90" t="s">
        <v>45</v>
      </c>
      <c r="H45" s="44">
        <v>38340</v>
      </c>
    </row>
    <row r="46" spans="1:11" x14ac:dyDescent="0.35">
      <c r="A46" s="69" t="s">
        <v>29</v>
      </c>
      <c r="B46" s="70"/>
      <c r="C46" s="45"/>
      <c r="D46" s="38"/>
      <c r="E46" s="71"/>
      <c r="F46" s="72"/>
      <c r="G46" s="10"/>
      <c r="H46" s="44"/>
    </row>
    <row r="47" spans="1:11" x14ac:dyDescent="0.35">
      <c r="A47" s="69" t="s">
        <v>30</v>
      </c>
      <c r="B47" s="70"/>
      <c r="C47" s="45"/>
      <c r="D47" s="46"/>
      <c r="E47" s="71"/>
      <c r="F47" s="72"/>
      <c r="G47" s="10"/>
      <c r="H47" s="44"/>
    </row>
    <row r="48" spans="1:11" x14ac:dyDescent="0.35">
      <c r="A48" s="69" t="s">
        <v>28</v>
      </c>
      <c r="B48" s="70"/>
      <c r="C48" s="47">
        <f>SUM(C42:C47)</f>
        <v>522074</v>
      </c>
      <c r="D48" s="48"/>
      <c r="E48" s="73"/>
      <c r="F48" s="74"/>
      <c r="G48" s="49"/>
      <c r="H48" s="50"/>
    </row>
    <row r="49" spans="2:2" x14ac:dyDescent="0.35">
      <c r="B49" s="1" t="s">
        <v>35</v>
      </c>
    </row>
    <row r="50" spans="2:2" x14ac:dyDescent="0.35">
      <c r="B50" s="1" t="s">
        <v>32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E45:F45"/>
    <mergeCell ref="A48:B48"/>
    <mergeCell ref="E47:F47"/>
    <mergeCell ref="E48:F48"/>
    <mergeCell ref="C11:D11"/>
    <mergeCell ref="A42:B42"/>
    <mergeCell ref="E43:F43"/>
    <mergeCell ref="A47:B47"/>
    <mergeCell ref="A46:B46"/>
    <mergeCell ref="E46:F46"/>
    <mergeCell ref="E44:F44"/>
    <mergeCell ref="A44:B44"/>
    <mergeCell ref="A45:B45"/>
    <mergeCell ref="C14:D14"/>
    <mergeCell ref="C13:D13"/>
    <mergeCell ref="C12:D12"/>
    <mergeCell ref="A43:B43"/>
    <mergeCell ref="A1:H2"/>
    <mergeCell ref="A3:H4"/>
    <mergeCell ref="A15:H15"/>
    <mergeCell ref="E42:H42"/>
    <mergeCell ref="C5:D5"/>
    <mergeCell ref="C6:D6"/>
    <mergeCell ref="C8:D8"/>
    <mergeCell ref="C7:D7"/>
    <mergeCell ref="C10:D10"/>
    <mergeCell ref="C9:D9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2023-06-22T06:04:23Z</dcterms:created>
  <dcterms:modified xsi:type="dcterms:W3CDTF">2026-04-10T08:25:31Z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ad203ac331584083af12783f602d1e88</vt:lpwstr>
  </property>
</Properties>
</file>