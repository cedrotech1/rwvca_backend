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<sst xmlns="http://schemas.openxmlformats.org/spreadsheetml/2006/main" count="1779" uniqueCount="85">
  <si>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</si>
  <si>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</si>
  <si>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</si>
  <si>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</si>
  <si>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</si>
  <si>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</si>
  <si>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</si>
  <si>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</si>
  <si>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</si>
  <si>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</si>
  <si>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</si>
  <si>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</si>
  <si>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</si>
  <si>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</si>
  <si>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</si>
  <si>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</si>
  <si>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</si>
  <si>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</si>
  <si>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</si>
  <si>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</si>
  <si>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</si>
  <si>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</si>
  <si>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</si>
  <si>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</si>
  <si>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</si>
  <si>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</si>
  <si>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</si>
  <si>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</si>
  <si>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</si>
  <si>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</si>
  <si>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</si>
  <si>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</si>
  <si>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</si>
  <si>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</si>
  <si>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</si>
  <si>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</si>
  <si>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</si>
  <si>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</si>
  <si>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</si>
  <si>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</si>
  <si>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</si>
  <si>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</si>
  <si>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</si>
  <si>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</si>
  <si>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</si>
  <si>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</si>
  <si>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</si>
  <si>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</si>
  <si>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</si>
  <si>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</si>
  <si>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</si>
  <si>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</si>
  <si>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</si>
  <si>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</si>
  <si>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</si>
  <si>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</si>
  <si>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</si>
  <si>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</si>
  <si>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</si>
  <si>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</si>
  <si>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</si>
  <si>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</si>
  <si>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</si>
  <si>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</si>
  <si>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</si>
  <si>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</si>
  <si>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</si>
  <si>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</si>
  <si>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</si>
  <si>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</si>
  <si>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</si>
  <si>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</si>
  <si>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</si>
  <si>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</si>
  <si>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</si>
  <si>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</si>
  <si>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</si>
  <si>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</si>
  <si>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</si>
  <si>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</si>
  <si>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</si>
  <si>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</si>
  <si>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</si>
  <si>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</si>
  <si>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09\ 08 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</si>
</sst>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230644.06779661018</v>
      </c>
      <c r="C16" s="68">
        <f>KARONGI!G37</f>
        <v>12600</v>
      </c>
      <c r="D16" s="4"/>
      <c r="E16" s="3"/>
      <c r="F16" s="70">
        <f t="shared" si="0"/>
        <v>243244.06779661018</v>
      </c>
      <c r="G16" s="67">
        <f>KARONGI!C41</f>
        <v>0</v>
      </c>
      <c r="H16" s="68">
        <f>KARONGI!C39</f>
        <v>243244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7898266.0677966103</v>
      </c>
      <c r="C29" s="102">
        <f t="shared" si="1"/>
        <v>708300</v>
      </c>
      <c r="D29" s="103">
        <f t="shared" si="1"/>
        <v>0</v>
      </c>
      <c r="E29" s="102">
        <f t="shared" si="1"/>
        <v>0</v>
      </c>
      <c r="F29" s="102">
        <f>SUM(F5:F28)</f>
        <v>8606566.0677966103</v>
      </c>
      <c r="G29" s="103">
        <f>SUM(G5:G28)</f>
        <v>0</v>
      </c>
      <c r="H29" s="103">
        <f>SUM(H5:H28)</f>
        <v>8606566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8606566.0677966103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8606566.0677966103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8606566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8606566.0677966103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8606566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0" workbookViewId="0">
      <selection activeCell="C41" sqref="C41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252</v>
      </c>
      <c r="C8" s="166">
        <v>6000</v>
      </c>
      <c r="D8" s="167"/>
      <c r="E8" s="16">
        <f t="shared" si="0"/>
        <v>1512000</v>
      </c>
      <c r="F8" s="16">
        <f t="shared" si="1"/>
        <v>230644.06779661018</v>
      </c>
      <c r="G8" s="16">
        <f>PRODUCT(B8*50)</f>
        <v>12600</v>
      </c>
      <c r="H8" s="17">
        <f t="shared" si="2"/>
        <v>243244.06779661018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1512000</v>
      </c>
      <c r="F37" s="32">
        <f>SUM(F5:F36)</f>
        <v>230644.06779661018</v>
      </c>
      <c r="G37" s="32">
        <f t="shared" ref="G37:H37" si="3">SUM(G5:G36)</f>
        <v>12600</v>
      </c>
      <c r="H37" s="32">
        <f t="shared" si="3"/>
        <v>243244.06779661018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243244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252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252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502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24536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2026-08-10T18:30:31Z</dcterms:modified>
</cp:coreProperties>
</file>