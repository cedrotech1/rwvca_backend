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B121D26-A217-487D-80D7-C282D9B6D502}" xr6:coauthVersionLast="47" xr6:coauthVersionMax="47" xr10:uidLastSave="{00000000-0000-0000-0000-000000000000}"/>
  <bookViews>
    <workbookView xWindow="-110" yWindow="-110" windowWidth="19420" windowHeight="10300" tabRatio="965" firstSheet="8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<sst xmlns="http://schemas.openxmlformats.org/spreadsheetml/2006/main" count="1779" uniqueCount="85">
  <si>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</si>
  <si>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</si>
  <si>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</si>
  <si>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</si>
  <si>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</si>
  <si>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</si>
  <si>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</si>
  <si>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</si>
  <si>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</si>
  <si>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</si>
  <si>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</si>
  <si>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</si>
  <si>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</si>
  <si>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</si>
  <si>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</si>
  <si>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</si>
  <si>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</si>
  <si>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</si>
  <si>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</si>
  <si>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</si>
  <si>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</si>
  <si>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</si>
  <si>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</si>
  <si>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</si>
  <si>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</si>
  <si>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</si>
  <si>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</si>
  <si>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</si>
  <si>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</si>
  <si>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</si>
  <si>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</si>
  <si>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</si>
  <si>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</si>
  <si>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</si>
  <si>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</si>
  <si>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</si>
  <si>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</si>
  <si>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</si>
  <si>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</si>
  <si>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</si>
  <si>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</si>
  <si>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</si>
  <si>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</si>
  <si>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</si>
  <si>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</si>
  <si>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</si>
  <si>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</si>
  <si>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</si>
  <si>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</si>
  <si>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</si>
  <si>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</si>
  <si>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</si>
  <si>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</si>
  <si>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</si>
  <si>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</si>
  <si>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</si>
  <si>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</si>
  <si>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</si>
  <si>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</si>
  <si>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</si>
  <si>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</si>
  <si>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</si>
  <si>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</si>
  <si>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</si>
  <si>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</si>
  <si>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</si>
  <si>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</si>
  <si>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</si>
  <si>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</si>
  <si>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</si>
  <si>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</si>
  <si>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</si>
  <si>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</si>
  <si>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</si>
  <si>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</si>
  <si>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</si>
  <si>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</si>
  <si>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</si>
  <si>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</si>
  <si>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</si>
  <si>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</si>
  <si>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</si>
  <si>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</si>
  <si>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</si>
  <si>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WEEKLY Report From 20/04 - 26/04/2026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</si>
</sst>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218" t="s">
        <v>38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115"/>
      <c r="M1" s="115"/>
      <c r="N1" s="115"/>
    </row>
    <row r="2" spans="1:15" ht="31" customHeight="1">
      <c r="A2" s="220" t="s">
        <v>37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115"/>
      <c r="M2" s="115"/>
      <c r="N2" s="115"/>
    </row>
    <row r="3" spans="1:15" ht="15" customHeight="1" thickBot="1">
      <c r="A3" s="220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293220</v>
      </c>
      <c r="C16" s="68">
        <f>KARONGI!G37</f>
        <v>27150</v>
      </c>
      <c r="D16" s="4"/>
      <c r="E16" s="3"/>
      <c r="F16" s="70">
        <f t="shared" si="0"/>
        <v>320370</v>
      </c>
      <c r="G16" s="67">
        <f>KARONGI!C41</f>
        <v>0</v>
      </c>
      <c r="H16" s="68">
        <f>KARONGI!C39</f>
        <v>320370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7960842</v>
      </c>
      <c r="C29" s="102">
        <f t="shared" si="1"/>
        <v>722850</v>
      </c>
      <c r="D29" s="103">
        <f t="shared" si="1"/>
        <v>0</v>
      </c>
      <c r="E29" s="102">
        <f t="shared" si="1"/>
        <v>0</v>
      </c>
      <c r="F29" s="102">
        <f>SUM(F5:F28)</f>
        <v>8683692</v>
      </c>
      <c r="G29" s="103">
        <f>SUM(G5:G28)</f>
        <v>0</v>
      </c>
      <c r="H29" s="103">
        <f>SUM(H5:H28)</f>
        <v>8683692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212"/>
      <c r="B30" s="212"/>
      <c r="C30" s="212"/>
      <c r="D30" s="213"/>
      <c r="E30" s="203" t="s">
        <v>12</v>
      </c>
      <c r="F30" s="204"/>
      <c r="G30" s="204"/>
      <c r="H30" s="204"/>
      <c r="I30" s="205"/>
      <c r="J30" s="222"/>
      <c r="K30" s="223"/>
      <c r="L30" s="115"/>
    </row>
    <row r="31" spans="1:15" ht="19" thickBot="1">
      <c r="A31" s="199" t="s">
        <v>9</v>
      </c>
      <c r="B31" s="200"/>
      <c r="C31" s="200"/>
      <c r="D31" s="200"/>
      <c r="E31" s="206"/>
      <c r="F31" s="207"/>
      <c r="G31" s="207"/>
      <c r="H31" s="207"/>
      <c r="I31" s="208"/>
      <c r="J31" s="224"/>
      <c r="K31" s="225"/>
      <c r="L31" s="115"/>
    </row>
    <row r="32" spans="1:15" ht="15" thickBot="1">
      <c r="A32" s="214" t="s">
        <v>13</v>
      </c>
      <c r="B32" s="215"/>
      <c r="C32" s="216">
        <f>SUM(B29:C29)</f>
        <v>8683692</v>
      </c>
      <c r="D32" s="217"/>
      <c r="E32" s="206"/>
      <c r="F32" s="207"/>
      <c r="G32" s="207"/>
      <c r="H32" s="207"/>
      <c r="I32" s="208"/>
      <c r="J32" s="224"/>
      <c r="K32" s="225"/>
      <c r="L32" s="115"/>
    </row>
    <row r="33" spans="1:12" ht="15" thickBot="1">
      <c r="A33" s="214" t="s">
        <v>14</v>
      </c>
      <c r="B33" s="215"/>
      <c r="C33" s="201">
        <f>SUM(F29,G29)</f>
        <v>8683692</v>
      </c>
      <c r="D33" s="202"/>
      <c r="E33" s="206"/>
      <c r="F33" s="207"/>
      <c r="G33" s="207"/>
      <c r="H33" s="207"/>
      <c r="I33" s="208"/>
      <c r="J33" s="224"/>
      <c r="K33" s="225"/>
      <c r="L33" s="115"/>
    </row>
    <row r="34" spans="1:12" ht="15" thickBot="1">
      <c r="A34" s="238" t="s">
        <v>83</v>
      </c>
      <c r="B34" s="239"/>
      <c r="C34" s="201">
        <f>SUM(H29,J29,I29)</f>
        <v>8683692</v>
      </c>
      <c r="D34" s="237"/>
      <c r="E34" s="206"/>
      <c r="F34" s="207"/>
      <c r="G34" s="207"/>
      <c r="H34" s="207"/>
      <c r="I34" s="208"/>
      <c r="J34" s="224"/>
      <c r="K34" s="225"/>
      <c r="L34" s="115"/>
    </row>
    <row r="35" spans="1:12" ht="15" thickBot="1">
      <c r="A35" s="214" t="s">
        <v>11</v>
      </c>
      <c r="B35" s="215"/>
      <c r="C35" s="201">
        <f>SUM(D29:E29)</f>
        <v>0</v>
      </c>
      <c r="D35" s="237"/>
      <c r="E35" s="209"/>
      <c r="F35" s="210"/>
      <c r="G35" s="210"/>
      <c r="H35" s="210"/>
      <c r="I35" s="211"/>
      <c r="J35" s="224"/>
      <c r="K35" s="225"/>
      <c r="L35" s="115"/>
    </row>
    <row r="36" spans="1:12" ht="15" thickBot="1">
      <c r="A36" s="214" t="s">
        <v>10</v>
      </c>
      <c r="B36" s="215"/>
      <c r="C36" s="201">
        <f t="shared" ref="C36" si="2">SUM(C33,C35)</f>
        <v>8683692</v>
      </c>
      <c r="D36" s="237"/>
      <c r="E36" s="228" t="s">
        <v>36</v>
      </c>
      <c r="F36" s="229"/>
      <c r="G36" s="229"/>
      <c r="H36" s="229"/>
      <c r="I36" s="230"/>
      <c r="J36" s="224"/>
      <c r="K36" s="225"/>
      <c r="L36" s="115"/>
    </row>
    <row r="37" spans="1:12" ht="15" thickBot="1">
      <c r="A37" s="197" t="s">
        <v>15</v>
      </c>
      <c r="B37" s="198"/>
      <c r="C37" s="201">
        <f>SUM(C34:C35)</f>
        <v>8683692</v>
      </c>
      <c r="D37" s="237"/>
      <c r="E37" s="231"/>
      <c r="F37" s="232"/>
      <c r="G37" s="232"/>
      <c r="H37" s="232"/>
      <c r="I37" s="233"/>
      <c r="J37" s="224"/>
      <c r="K37" s="225"/>
      <c r="L37" s="115"/>
    </row>
    <row r="38" spans="1:12" ht="26.5" thickBot="1">
      <c r="A38" s="234" t="s">
        <v>16</v>
      </c>
      <c r="B38" s="235"/>
      <c r="C38" s="235"/>
      <c r="D38" s="235"/>
      <c r="E38" s="235"/>
      <c r="F38" s="235"/>
      <c r="G38" s="235"/>
      <c r="H38" s="235"/>
      <c r="I38" s="236"/>
      <c r="J38" s="226"/>
      <c r="K38" s="227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0" t="s">
        <v>57</v>
      </c>
      <c r="B1" s="251"/>
      <c r="C1" s="251"/>
      <c r="D1" s="251"/>
      <c r="E1" s="251"/>
      <c r="F1" s="251"/>
      <c r="G1" s="251"/>
      <c r="H1" s="252"/>
    </row>
    <row r="2" spans="1:8" ht="15" thickBot="1">
      <c r="A2" s="253"/>
      <c r="B2" s="254"/>
      <c r="C2" s="254"/>
      <c r="D2" s="254"/>
      <c r="E2" s="254"/>
      <c r="F2" s="254"/>
      <c r="G2" s="254"/>
      <c r="H2" s="255"/>
    </row>
    <row r="3" spans="1:8">
      <c r="A3" s="256" t="s">
        <v>39</v>
      </c>
      <c r="B3" s="257"/>
      <c r="C3" s="257"/>
      <c r="D3" s="257"/>
      <c r="E3" s="257"/>
      <c r="F3" s="257"/>
      <c r="G3" s="257"/>
      <c r="H3" s="258"/>
    </row>
    <row r="4" spans="1:8" ht="15" thickBot="1">
      <c r="A4" s="259"/>
      <c r="B4" s="260"/>
      <c r="C4" s="260"/>
      <c r="D4" s="260"/>
      <c r="E4" s="260"/>
      <c r="F4" s="260"/>
      <c r="G4" s="260"/>
      <c r="H4" s="261"/>
    </row>
    <row r="5" spans="1:8" ht="15" thickBot="1">
      <c r="A5" s="93" t="s">
        <v>40</v>
      </c>
      <c r="B5" s="93" t="s">
        <v>41</v>
      </c>
      <c r="C5" s="143" t="s">
        <v>42</v>
      </c>
      <c r="D5" s="144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3" customHeight="1" thickBot="1">
      <c r="A48" s="39"/>
      <c r="B48" s="262" t="s">
        <v>60</v>
      </c>
      <c r="C48" s="263"/>
      <c r="D48" s="264"/>
      <c r="E48" s="262" t="s">
        <v>61</v>
      </c>
      <c r="F48" s="263"/>
      <c r="G48" s="263"/>
      <c r="H48" s="264"/>
    </row>
    <row r="49" spans="1:8" ht="22" customHeight="1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22.5" customHeight="1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24.5" customHeight="1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22" customHeight="1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22" customHeight="1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22" customHeight="1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22" customHeight="1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22" customHeight="1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22" customHeight="1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24.5" customHeight="1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25" customHeight="1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29" thickBot="1">
      <c r="B62" s="265" t="s">
        <v>67</v>
      </c>
      <c r="C62" s="266"/>
      <c r="D62" s="267"/>
      <c r="E62" s="268">
        <f>SUM(E49:H61)</f>
        <v>0</v>
      </c>
      <c r="F62" s="269"/>
      <c r="G62" s="269"/>
      <c r="H62" s="270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7670</v>
      </c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f>SUM(C31:C36)</f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69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15000</v>
      </c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>
        <v>9000</v>
      </c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29">
        <v>7670</v>
      </c>
      <c r="D8" s="130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29">
        <v>4130</v>
      </c>
      <c r="D9" s="130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29">
        <v>2124</v>
      </c>
      <c r="D10" s="130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29">
        <v>3540</v>
      </c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2006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29">
        <v>1357</v>
      </c>
      <c r="D13" s="130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>
        <v>8363322</v>
      </c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8363322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20252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250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3782</v>
      </c>
      <c r="F51" s="180"/>
      <c r="G51" s="180"/>
      <c r="H51" s="181"/>
    </row>
    <row r="52" spans="1:8" ht="19" thickBot="1">
      <c r="B52" s="191" t="s">
        <v>65</v>
      </c>
      <c r="C52" s="192"/>
      <c r="D52" s="193"/>
      <c r="E52" s="185">
        <f>SUM(B17:B18)</f>
        <v>0</v>
      </c>
      <c r="F52" s="186"/>
      <c r="G52" s="186"/>
      <c r="H52" s="187"/>
    </row>
    <row r="53" spans="1:8" ht="19" thickBot="1">
      <c r="B53" s="191" t="s">
        <v>66</v>
      </c>
      <c r="C53" s="192"/>
      <c r="D53" s="193"/>
      <c r="E53" s="185">
        <f>SUM(B19:B20)</f>
        <v>0</v>
      </c>
      <c r="F53" s="186"/>
      <c r="G53" s="186"/>
      <c r="H53" s="187"/>
    </row>
    <row r="54" spans="1:8" ht="19" thickBot="1">
      <c r="B54" s="191" t="s">
        <v>58</v>
      </c>
      <c r="C54" s="192"/>
      <c r="D54" s="193"/>
      <c r="E54" s="185">
        <f>B29</f>
        <v>0</v>
      </c>
      <c r="F54" s="188"/>
      <c r="G54" s="188"/>
      <c r="H54" s="189"/>
    </row>
    <row r="55" spans="1:8" ht="19" thickBot="1">
      <c r="B55" s="191" t="s">
        <v>58</v>
      </c>
      <c r="C55" s="192"/>
      <c r="D55" s="193"/>
      <c r="E55" s="185">
        <f t="shared" ref="E55:E61" si="3">B30</f>
        <v>0</v>
      </c>
      <c r="F55" s="188"/>
      <c r="G55" s="188"/>
      <c r="H55" s="189"/>
    </row>
    <row r="56" spans="1:8" ht="19" thickBot="1">
      <c r="B56" s="191" t="s">
        <v>58</v>
      </c>
      <c r="C56" s="192"/>
      <c r="D56" s="193"/>
      <c r="E56" s="185">
        <f t="shared" si="3"/>
        <v>0</v>
      </c>
      <c r="F56" s="188"/>
      <c r="G56" s="188"/>
      <c r="H56" s="189"/>
    </row>
    <row r="57" spans="1:8" ht="19" thickBot="1">
      <c r="B57" s="191" t="s">
        <v>58</v>
      </c>
      <c r="C57" s="192"/>
      <c r="D57" s="193"/>
      <c r="E57" s="185">
        <f t="shared" si="3"/>
        <v>0</v>
      </c>
      <c r="F57" s="188"/>
      <c r="G57" s="188"/>
      <c r="H57" s="189"/>
    </row>
    <row r="58" spans="1:8" ht="19" thickBot="1">
      <c r="B58" s="191" t="s">
        <v>58</v>
      </c>
      <c r="C58" s="192"/>
      <c r="D58" s="193"/>
      <c r="E58" s="185">
        <f t="shared" si="3"/>
        <v>0</v>
      </c>
      <c r="F58" s="188"/>
      <c r="G58" s="188"/>
      <c r="H58" s="189"/>
    </row>
    <row r="59" spans="1:8" ht="19" thickBot="1">
      <c r="B59" s="191" t="s">
        <v>58</v>
      </c>
      <c r="C59" s="192"/>
      <c r="D59" s="193"/>
      <c r="E59" s="185">
        <f t="shared" si="3"/>
        <v>0</v>
      </c>
      <c r="F59" s="188"/>
      <c r="G59" s="188"/>
      <c r="H59" s="189"/>
    </row>
    <row r="60" spans="1:8" ht="19" thickBot="1">
      <c r="B60" s="191" t="s">
        <v>58</v>
      </c>
      <c r="C60" s="192"/>
      <c r="D60" s="193"/>
      <c r="E60" s="185">
        <f t="shared" si="3"/>
        <v>0</v>
      </c>
      <c r="F60" s="188"/>
      <c r="G60" s="188"/>
      <c r="H60" s="189"/>
    </row>
    <row r="61" spans="1:8" ht="19" thickBot="1">
      <c r="B61" s="191" t="s">
        <v>58</v>
      </c>
      <c r="C61" s="192"/>
      <c r="D61" s="193"/>
      <c r="E61" s="185">
        <f t="shared" si="3"/>
        <v>0</v>
      </c>
      <c r="F61" s="188"/>
      <c r="G61" s="188"/>
      <c r="H61" s="189"/>
    </row>
    <row r="62" spans="1:8" ht="24" thickBot="1">
      <c r="B62" s="191" t="s">
        <v>67</v>
      </c>
      <c r="C62" s="192"/>
      <c r="D62" s="193"/>
      <c r="E62" s="271">
        <f>SUM(E49:H61)</f>
        <v>24284</v>
      </c>
      <c r="F62" s="272"/>
      <c r="G62" s="272"/>
      <c r="H62" s="273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>
        <v>1357</v>
      </c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2124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>
        <v>1357</v>
      </c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3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0" t="s">
        <v>72</v>
      </c>
      <c r="B40" s="161"/>
      <c r="C40" s="71"/>
      <c r="D40" s="85"/>
      <c r="E40" s="129"/>
      <c r="F40" s="130"/>
      <c r="G40" s="86"/>
      <c r="H40" s="74"/>
    </row>
    <row r="41" spans="1:8" ht="15" thickBot="1">
      <c r="A41" s="160" t="s">
        <v>76</v>
      </c>
      <c r="B41" s="161"/>
      <c r="C41" s="72"/>
      <c r="D41" s="84"/>
      <c r="E41" s="283"/>
      <c r="F41" s="166"/>
      <c r="G41" s="86"/>
      <c r="H41" s="74"/>
    </row>
    <row r="42" spans="1:8" ht="15" thickBot="1">
      <c r="A42" s="160" t="s">
        <v>77</v>
      </c>
      <c r="B42" s="161"/>
      <c r="C42" s="73"/>
      <c r="D42" s="81"/>
      <c r="E42" s="284"/>
      <c r="F42" s="166"/>
      <c r="G42" s="15"/>
      <c r="H42" s="74"/>
    </row>
    <row r="43" spans="1:8" ht="15" thickBot="1">
      <c r="A43" s="160" t="s">
        <v>78</v>
      </c>
      <c r="B43" s="161"/>
      <c r="C43" s="75"/>
      <c r="D43" s="81"/>
      <c r="E43" s="274"/>
      <c r="F43" s="123"/>
      <c r="G43" s="15"/>
      <c r="H43" s="74"/>
    </row>
    <row r="44" spans="1:8" ht="15" thickBot="1">
      <c r="A44" s="160" t="s">
        <v>79</v>
      </c>
      <c r="B44" s="161"/>
      <c r="C44" s="76"/>
      <c r="D44" s="82"/>
      <c r="E44" s="274"/>
      <c r="F44" s="123"/>
      <c r="G44" s="15"/>
      <c r="H44" s="74"/>
    </row>
    <row r="45" spans="1:8" ht="15" thickBot="1">
      <c r="A45" s="160" t="s">
        <v>80</v>
      </c>
      <c r="B45" s="161"/>
      <c r="C45" s="92">
        <v>0</v>
      </c>
      <c r="D45" s="83"/>
      <c r="E45" s="275"/>
      <c r="F45" s="127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285"/>
      <c r="G49" s="285"/>
      <c r="H49" s="286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285"/>
      <c r="G50" s="285"/>
      <c r="H50" s="286"/>
    </row>
    <row r="51" spans="1:8" ht="19" thickBot="1">
      <c r="A51" s="39"/>
      <c r="B51" s="173" t="s">
        <v>64</v>
      </c>
      <c r="C51" s="174"/>
      <c r="D51" s="175"/>
      <c r="E51" s="176">
        <f>SUM(B13:B14)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SUM(B11:B14)</f>
        <v>0</v>
      </c>
      <c r="F49" s="285"/>
      <c r="G49" s="285"/>
      <c r="H49" s="286"/>
    </row>
    <row r="50" spans="1:8" ht="19" thickBot="1">
      <c r="A50" s="62"/>
      <c r="B50" s="173" t="s">
        <v>48</v>
      </c>
      <c r="C50" s="174"/>
      <c r="D50" s="175"/>
      <c r="E50" s="176">
        <f>SUM(B8:B10)</f>
        <v>0</v>
      </c>
      <c r="F50" s="285"/>
      <c r="G50" s="285"/>
      <c r="H50" s="286"/>
    </row>
    <row r="51" spans="1:8" ht="19" thickBot="1">
      <c r="A51" s="62"/>
      <c r="B51" s="173" t="s">
        <v>64</v>
      </c>
      <c r="C51" s="174"/>
      <c r="D51" s="175"/>
      <c r="E51" s="176">
        <f>SUM(B15:B16)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SUM(B19:B20)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SUM(B29:B30)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 t="shared" ref="E54:E60" si="4">B31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si="4"/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ref="E61" si="5">B45</f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9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9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39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84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905</v>
      </c>
      <c r="C10" s="129">
        <v>2124</v>
      </c>
      <c r="D10" s="130"/>
      <c r="E10" s="16">
        <f t="shared" si="0"/>
        <v>1922220</v>
      </c>
      <c r="F10" s="16">
        <f t="shared" si="1"/>
        <v>293220</v>
      </c>
      <c r="G10" s="16">
        <f>PRODUCT(B10*30)</f>
        <v>27150</v>
      </c>
      <c r="H10" s="17">
        <f t="shared" si="2"/>
        <v>320370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1922220</v>
      </c>
      <c r="F37" s="32">
        <f>SUM(F5:F36)</f>
        <v>293220</v>
      </c>
      <c r="G37" s="32">
        <f t="shared" ref="G37:H37" si="3">SUM(G5:G36)</f>
        <v>27150</v>
      </c>
      <c r="H37" s="32">
        <f t="shared" si="3"/>
        <v>320370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>
        <v>320370</v>
      </c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905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905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6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67" t="s">
        <v>59</v>
      </c>
      <c r="B1" s="168"/>
      <c r="C1" s="168"/>
      <c r="D1" s="168"/>
      <c r="E1" s="168"/>
      <c r="F1" s="168"/>
      <c r="G1" s="169"/>
    </row>
    <row r="2" spans="1:7" ht="15" thickBot="1">
      <c r="A2" s="170"/>
      <c r="B2" s="171"/>
      <c r="C2" s="171"/>
      <c r="D2" s="171"/>
      <c r="E2" s="171"/>
      <c r="F2" s="171"/>
      <c r="G2" s="172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21157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25189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2026-04-27T10:24:43Z</dcterms:modified>
</cp:coreProperties>
</file>