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<sst xmlns="http://schemas.openxmlformats.org/spreadsheetml/2006/main" uniqueCount="89" count="89">
  <si>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</si>
  <si>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</si>
  <si>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</si>
  <si>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</si>
  <si>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</si>
  <si>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</si>
  <si>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</si>
  <si>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</si>
  <si>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</si>
  <si>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</si>
  <si>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</si>
  <si>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</si>
  <si>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</si>
  <si>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</si>
  <si>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</si>
  <si>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</si>
  <si>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</si>
  <si>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</si>
  <si>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</si>
  <si>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</si>
  <si>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</si>
  <si>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</si>
  <si>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</si>
  <si>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</si>
  <si>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</si>
  <si>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</si>
  <si>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</si>
  <si>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</si>
  <si>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</si>
  <si>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</si>
  <si>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</si>
  <si>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</si>
  <si>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</si>
  <si>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</si>
  <si>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</si>
  <si>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</si>
  <si>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</si>
  <si>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</si>
  <si>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</si>
  <si>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</si>
  <si>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</si>
  <si>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</si>
  <si>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</si>
  <si>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</si>
  <si>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</si>
  <si>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</si>
  <si>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</si>
  <si>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</si>
  <si>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</si>
  <si>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</si>
  <si>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</si>
  <si>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</si>
  <si>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</si>
  <si>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</si>
  <si>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</si>
  <si>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</si>
  <si>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</si>
  <si>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</si>
  <si>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</si>
  <si>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</si>
  <si>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</si>
  <si>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</si>
  <si>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</si>
  <si>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</si>
  <si>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</si>
  <si>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</si>
  <si>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</si>
  <si>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</si>
  <si>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</si>
  <si>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</si>
  <si>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</si>
  <si>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</si>
  <si>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</si>
  <si>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</si>
  <si>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</si>
  <si>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</si>
  <si>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</si>
  <si>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</si>
  <si>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</si>
  <si>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</si>
  <si>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</si>
  <si>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</si>
  <si>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</si>
  <si>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</si>
  <si>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WEEKLY REPORT FROM 18MAY2026-24MAY2026</t>
  </si>
  <si>
    <t>IBIPANDE BYA CEDERERA</t>
  </si>
  <si>
    <t>IBIPANDE BYA PINUSI</t>
  </si>
  <si>
    <t xml:space="preserve">INTURUSU NINI </t>
  </si>
  <si>
    <t>MONTHLY REPORT FROM 01MAY2026-31MAY2026</t>
  </si>
</sst>
</file>

<file path=xl/styles.xml><?xml version="1.0" encoding="utf-8"?>
<styleSheet xmlns="http://schemas.openxmlformats.org/spreadsheetml/2006/main">
  <numFmts count="4">
    <numFmt numFmtId="0" formatCode="General"/>
    <numFmt numFmtId="165" formatCode="_(* #,##0_);_(* \(#,##0\);_(* &quot;-&quot;??_);_(@_)"/>
    <numFmt numFmtId="3" formatCode="#,##0"/>
    <numFmt numFmtId="164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4" fontId="28" fillId="0" borderId="0">
      <alignment vertical="top"/>
      <protection locked="0" hidden="0"/>
    </xf>
  </cellStyleXfs>
  <cellXfs count="183">
    <xf numFmtId="0" fontId="0" fillId="0" borderId="0" xfId="0">
      <alignment vertical="center"/>
    </xf>
    <xf numFmtId="165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5" fontId="3" fillId="0" borderId="0" xfId="0" applyNumberFormat="1" applyFont="1" applyAlignment="1">
      <alignment vertical="bottom"/>
    </xf>
    <xf numFmtId="165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5" fontId="5" fillId="2" borderId="2" xfId="0" applyNumberFormat="1" applyFont="1" applyFill="1" applyBorder="1" applyAlignment="1">
      <alignment vertical="bottom"/>
    </xf>
    <xf numFmtId="165" fontId="5" fillId="3" borderId="2" xfId="0" applyNumberFormat="1" applyFont="1" applyFill="1" applyBorder="1" applyAlignment="1">
      <alignment vertical="bottom"/>
    </xf>
    <xf numFmtId="165" fontId="5" fillId="3" borderId="3" xfId="0" applyNumberFormat="1" applyFont="1" applyFill="1" applyBorder="1" applyAlignment="1">
      <alignment vertical="bottom"/>
    </xf>
    <xf numFmtId="165" fontId="5" fillId="3" borderId="4" xfId="0" applyNumberFormat="1" applyFont="1" applyFill="1" applyBorder="1" applyAlignment="1">
      <alignment vertical="bottom"/>
    </xf>
    <xf numFmtId="165" fontId="5" fillId="3" borderId="5" xfId="0" applyNumberFormat="1" applyFont="1" applyFill="1" applyBorder="1" applyAlignment="1">
      <alignment vertical="bottom"/>
    </xf>
    <xf numFmtId="165" fontId="6" fillId="3" borderId="6" xfId="0" applyNumberFormat="1" applyFont="1" applyFill="1" applyBorder="1" applyAlignment="1">
      <alignment vertical="bottom"/>
    </xf>
    <xf numFmtId="165" fontId="3" fillId="2" borderId="7" xfId="0" applyNumberFormat="1" applyFont="1" applyFill="1" applyBorder="1" applyAlignment="1">
      <alignment horizontal="center" vertical="bottom"/>
    </xf>
    <xf numFmtId="165" fontId="5" fillId="3" borderId="0" xfId="0" applyNumberFormat="1" applyFont="1" applyFill="1" applyBorder="1" applyAlignment="1">
      <alignment vertical="bottom"/>
    </xf>
    <xf numFmtId="165" fontId="5" fillId="2" borderId="8" xfId="0" applyNumberFormat="1" applyFont="1" applyFill="1" applyBorder="1" applyAlignment="1">
      <alignment vertical="bottom"/>
    </xf>
    <xf numFmtId="165" fontId="5" fillId="0" borderId="8" xfId="0" applyNumberFormat="1" applyFont="1" applyBorder="1" applyAlignment="1">
      <alignment vertical="bottom"/>
    </xf>
    <xf numFmtId="165" fontId="5" fillId="0" borderId="9" xfId="0" applyNumberFormat="1" applyFont="1" applyBorder="1" applyAlignment="1">
      <alignment vertical="bottom"/>
    </xf>
    <xf numFmtId="165" fontId="5" fillId="0" borderId="10" xfId="0" applyNumberFormat="1" applyFont="1" applyBorder="1" applyAlignment="1">
      <alignment vertical="bottom"/>
    </xf>
    <xf numFmtId="165" fontId="5" fillId="0" borderId="5" xfId="0" applyNumberFormat="1" applyFont="1" applyBorder="1" applyAlignment="1">
      <alignment vertical="bottom"/>
    </xf>
    <xf numFmtId="165" fontId="5" fillId="0" borderId="0" xfId="0" applyNumberFormat="1" applyFont="1" applyAlignment="1">
      <alignment vertical="bottom"/>
    </xf>
    <xf numFmtId="165" fontId="5" fillId="2" borderId="11" xfId="0" applyNumberFormat="1" applyFont="1" applyFill="1" applyBorder="1" applyAlignment="1">
      <alignment vertical="bottom"/>
    </xf>
    <xf numFmtId="165" fontId="5" fillId="0" borderId="11" xfId="0" applyNumberFormat="1" applyFont="1" applyBorder="1" applyAlignment="1">
      <alignment vertical="bottom"/>
    </xf>
    <xf numFmtId="165" fontId="5" fillId="0" borderId="12" xfId="0" applyNumberFormat="1" applyFont="1" applyBorder="1" applyAlignment="1">
      <alignment vertical="bottom"/>
    </xf>
    <xf numFmtId="165" fontId="5" fillId="0" borderId="13" xfId="0" applyNumberFormat="1" applyFont="1" applyBorder="1" applyAlignment="1">
      <alignment vertical="bottom"/>
    </xf>
    <xf numFmtId="165" fontId="3" fillId="0" borderId="13" xfId="0" applyNumberFormat="1" applyFont="1" applyBorder="1" applyAlignment="1">
      <alignment vertical="bottom"/>
    </xf>
    <xf numFmtId="165" fontId="3" fillId="0" borderId="12" xfId="0" applyNumberFormat="1" applyFont="1" applyBorder="1" applyAlignment="1">
      <alignment vertical="bottom"/>
    </xf>
    <xf numFmtId="165" fontId="5" fillId="0" borderId="14" xfId="0" applyNumberFormat="1" applyFont="1" applyBorder="1" applyAlignment="1">
      <alignment vertical="bottom"/>
    </xf>
    <xf numFmtId="165" fontId="3" fillId="2" borderId="11" xfId="0" applyNumberFormat="1" applyFont="1" applyFill="1" applyBorder="1" applyAlignment="1">
      <alignment vertical="bottom"/>
    </xf>
    <xf numFmtId="165" fontId="3" fillId="0" borderId="15" xfId="0" applyNumberFormat="1" applyFont="1" applyBorder="1" applyAlignment="1">
      <alignment vertical="bottom"/>
    </xf>
    <xf numFmtId="165" fontId="3" fillId="0" borderId="16" xfId="0" applyNumberFormat="1" applyFont="1" applyBorder="1" applyAlignment="1">
      <alignment vertical="bottom"/>
    </xf>
    <xf numFmtId="165" fontId="3" fillId="0" borderId="17" xfId="0" applyNumberFormat="1" applyFont="1" applyBorder="1" applyAlignment="1">
      <alignment vertical="bottom"/>
    </xf>
    <xf numFmtId="165" fontId="3" fillId="2" borderId="18" xfId="0" applyNumberFormat="1" applyFont="1" applyFill="1" applyBorder="1" applyAlignment="1">
      <alignment vertical="bottom"/>
    </xf>
    <xf numFmtId="165" fontId="5" fillId="0" borderId="18" xfId="0" applyNumberFormat="1" applyFont="1" applyBorder="1" applyAlignment="1">
      <alignment vertical="bottom"/>
    </xf>
    <xf numFmtId="165" fontId="3" fillId="0" borderId="19" xfId="0" applyNumberFormat="1" applyFont="1" applyBorder="1" applyAlignment="1">
      <alignment vertical="bottom"/>
    </xf>
    <xf numFmtId="165" fontId="3" fillId="0" borderId="14" xfId="0" applyNumberFormat="1" applyFont="1" applyBorder="1" applyAlignment="1">
      <alignment vertical="bottom"/>
    </xf>
    <xf numFmtId="165" fontId="3" fillId="0" borderId="20" xfId="0" applyNumberFormat="1" applyFont="1" applyBorder="1" applyAlignment="1">
      <alignment vertical="bottom"/>
    </xf>
    <xf numFmtId="165" fontId="7" fillId="2" borderId="21" xfId="0" applyNumberFormat="1" applyFont="1" applyFill="1" applyBorder="1" applyAlignment="1">
      <alignment vertical="bottom"/>
    </xf>
    <xf numFmtId="165" fontId="7" fillId="2" borderId="22" xfId="0" applyNumberFormat="1" applyFont="1" applyFill="1" applyBorder="1" applyAlignment="1">
      <alignment vertical="bottom"/>
    </xf>
    <xf numFmtId="165" fontId="7" fillId="2" borderId="23" xfId="0" applyNumberFormat="1" applyFont="1" applyFill="1" applyBorder="1" applyAlignment="1">
      <alignment vertical="bottom"/>
    </xf>
    <xf numFmtId="165" fontId="5" fillId="2" borderId="7" xfId="0" applyNumberFormat="1" applyFont="1" applyFill="1" applyBorder="1" applyAlignment="1">
      <alignment vertical="bottom"/>
    </xf>
    <xf numFmtId="165" fontId="7" fillId="2" borderId="0" xfId="0" applyNumberFormat="1" applyFont="1" applyFill="1" applyBorder="1" applyAlignment="1">
      <alignment vertical="bottom"/>
    </xf>
    <xf numFmtId="165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5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5" fontId="3" fillId="2" borderId="2" xfId="0" applyNumberFormat="1" applyFont="1" applyFill="1" applyBorder="1" applyAlignment="1">
      <alignment horizontal="center" vertical="bottom"/>
    </xf>
    <xf numFmtId="165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5" fontId="8" fillId="0" borderId="26" xfId="0" applyNumberFormat="1" applyFont="1" applyBorder="1" applyAlignment="1">
      <alignment horizontal="left" vertical="bottom"/>
    </xf>
    <xf numFmtId="165" fontId="3" fillId="0" borderId="2" xfId="0" applyNumberFormat="1" applyFont="1" applyBorder="1" applyAlignment="1">
      <alignment horizontal="center" vertical="bottom"/>
    </xf>
    <xf numFmtId="165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5" fontId="11" fillId="0" borderId="2" xfId="0" applyNumberFormat="1" applyFont="1" applyBorder="1" applyAlignment="1">
      <alignment horizontal="left" vertical="bottom"/>
    </xf>
    <xf numFmtId="165" fontId="8" fillId="0" borderId="29" xfId="0" applyNumberFormat="1" applyFont="1" applyBorder="1" applyAlignment="1">
      <alignment horizontal="center" vertical="bottom"/>
    </xf>
    <xf numFmtId="165" fontId="12" fillId="2" borderId="26" xfId="0" applyNumberFormat="1" applyFont="1" applyFill="1" applyBorder="1" applyAlignment="1">
      <alignment horizontal="center" vertical="bottom"/>
    </xf>
    <xf numFmtId="165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5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5" fontId="15" fillId="5" borderId="5" xfId="0" applyNumberFormat="1" applyFont="1" applyFill="1" applyBorder="1" applyAlignment="1">
      <alignment vertical="bottom"/>
    </xf>
    <xf numFmtId="165" fontId="15" fillId="4" borderId="5" xfId="0" applyNumberFormat="1" applyFont="1" applyFill="1" applyBorder="1" applyAlignment="1">
      <alignment vertical="bottom"/>
    </xf>
    <xf numFmtId="165" fontId="15" fillId="4" borderId="26" xfId="0" applyNumberFormat="1" applyFont="1" applyFill="1" applyBorder="1" applyAlignment="1">
      <alignment horizontal="center" vertical="bottom"/>
    </xf>
    <xf numFmtId="165" fontId="15" fillId="4" borderId="24" xfId="0" applyNumberFormat="1" applyFont="1" applyFill="1" applyBorder="1" applyAlignment="1">
      <alignment vertical="bottom"/>
    </xf>
    <xf numFmtId="165" fontId="15" fillId="4" borderId="25" xfId="0" applyNumberFormat="1" applyFont="1" applyFill="1" applyBorder="1" applyAlignment="1">
      <alignment vertical="bottom"/>
    </xf>
    <xf numFmtId="165" fontId="15" fillId="5" borderId="15" xfId="0" applyNumberFormat="1" applyFont="1" applyFill="1" applyBorder="1" applyAlignment="1">
      <alignment vertical="bottom"/>
    </xf>
    <xf numFmtId="165" fontId="16" fillId="0" borderId="30" xfId="0" applyNumberFormat="1" applyFont="1" applyBorder="1" applyAlignment="1">
      <alignment vertical="bottom"/>
    </xf>
    <xf numFmtId="165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5" fontId="15" fillId="0" borderId="32" xfId="0" applyNumberFormat="1" applyFont="1" applyBorder="1" applyAlignment="1">
      <alignment vertical="bottom"/>
    </xf>
    <xf numFmtId="165" fontId="15" fillId="0" borderId="33" xfId="0" applyNumberFormat="1" applyFont="1" applyBorder="1" applyAlignment="1">
      <alignment vertical="bottom"/>
    </xf>
    <xf numFmtId="165" fontId="15" fillId="5" borderId="12" xfId="0" applyNumberFormat="1" applyFont="1" applyFill="1" applyBorder="1" applyAlignment="1">
      <alignment vertical="bottom"/>
    </xf>
    <xf numFmtId="165" fontId="16" fillId="0" borderId="34" xfId="0" applyNumberFormat="1" applyFont="1" applyBorder="1" applyAlignment="1">
      <alignment vertical="bottom"/>
    </xf>
    <xf numFmtId="165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5" fontId="15" fillId="0" borderId="36" xfId="0" applyNumberFormat="1" applyFont="1" applyBorder="1" applyAlignment="1">
      <alignment vertical="bottom"/>
    </xf>
    <xf numFmtId="165" fontId="15" fillId="0" borderId="37" xfId="0" applyNumberFormat="1" applyFont="1" applyBorder="1" applyAlignment="1">
      <alignment vertical="bottom"/>
    </xf>
    <xf numFmtId="165" fontId="16" fillId="5" borderId="12" xfId="0" applyNumberFormat="1" applyFont="1" applyFill="1" applyBorder="1" applyAlignment="1">
      <alignment vertical="bottom"/>
    </xf>
    <xf numFmtId="165" fontId="17" fillId="4" borderId="26" xfId="0" applyNumberFormat="1" applyFont="1" applyFill="1" applyBorder="1" applyAlignment="1">
      <alignment horizontal="center" vertical="bottom"/>
    </xf>
    <xf numFmtId="165" fontId="15" fillId="2" borderId="5" xfId="0" applyNumberFormat="1" applyFont="1" applyFill="1" applyBorder="1" applyAlignment="1">
      <alignment horizontal="center" vertical="bottom"/>
    </xf>
    <xf numFmtId="165" fontId="15" fillId="0" borderId="5" xfId="0" applyNumberFormat="1" applyFont="1" applyBorder="1" applyAlignment="1">
      <alignment horizontal="center" vertical="bottom"/>
    </xf>
    <xf numFmtId="165" fontId="15" fillId="0" borderId="5" xfId="0" applyNumberFormat="1" applyFont="1" applyBorder="1" applyAlignment="1">
      <alignment vertical="bottom"/>
    </xf>
    <xf numFmtId="165" fontId="15" fillId="0" borderId="25" xfId="0" applyNumberFormat="1" applyFont="1" applyBorder="1" applyAlignment="1">
      <alignment vertical="bottom"/>
    </xf>
    <xf numFmtId="165" fontId="15" fillId="2" borderId="8" xfId="0" applyNumberFormat="1" applyFont="1" applyFill="1" applyBorder="1" applyAlignment="1">
      <alignment horizontal="left" vertical="bottom"/>
    </xf>
    <xf numFmtId="165" fontId="16" fillId="0" borderId="9" xfId="0" applyNumberFormat="1" applyFont="1" applyBorder="1" applyAlignment="1">
      <alignment horizontal="center" vertical="bottom"/>
    </xf>
    <xf numFmtId="165" fontId="15" fillId="0" borderId="10" xfId="0" applyNumberFormat="1" applyFont="1" applyBorder="1" applyAlignment="1">
      <alignment vertical="bottom"/>
    </xf>
    <xf numFmtId="165" fontId="15" fillId="0" borderId="9" xfId="0" applyNumberFormat="1" applyFont="1" applyBorder="1" applyAlignment="1">
      <alignment vertical="bottom"/>
    </xf>
    <xf numFmtId="165" fontId="15" fillId="2" borderId="11" xfId="0" applyNumberFormat="1" applyFont="1" applyFill="1" applyBorder="1" applyAlignment="1">
      <alignment horizontal="left" vertical="bottom"/>
    </xf>
    <xf numFmtId="165" fontId="16" fillId="0" borderId="12" xfId="0" applyNumberFormat="1" applyFont="1" applyBorder="1" applyAlignment="1">
      <alignment horizontal="center" vertical="bottom"/>
    </xf>
    <xf numFmtId="165" fontId="15" fillId="0" borderId="13" xfId="0" applyNumberFormat="1" applyFont="1" applyBorder="1" applyAlignment="1">
      <alignment vertical="bottom"/>
    </xf>
    <xf numFmtId="165" fontId="15" fillId="0" borderId="12" xfId="0" applyNumberFormat="1" applyFont="1" applyBorder="1" applyAlignment="1">
      <alignment vertical="bottom"/>
    </xf>
    <xf numFmtId="165" fontId="15" fillId="2" borderId="11" xfId="0" applyNumberFormat="1" applyFont="1" applyFill="1" applyBorder="1" applyAlignment="1">
      <alignment vertical="bottom"/>
    </xf>
    <xf numFmtId="165" fontId="16" fillId="0" borderId="12" xfId="0" applyNumberFormat="1" applyFont="1" applyBorder="1" applyAlignment="1">
      <alignment vertical="bottom"/>
    </xf>
    <xf numFmtId="165" fontId="16" fillId="0" borderId="15" xfId="0" applyNumberFormat="1" applyFont="1" applyBorder="1" applyAlignment="1">
      <alignment horizontal="center" vertical="bottom"/>
    </xf>
    <xf numFmtId="165" fontId="15" fillId="2" borderId="38" xfId="0" applyNumberFormat="1" applyFont="1" applyFill="1" applyBorder="1" applyAlignment="1">
      <alignment vertical="bottom"/>
    </xf>
    <xf numFmtId="165" fontId="16" fillId="0" borderId="14" xfId="0" applyNumberFormat="1" applyFont="1" applyBorder="1" applyAlignment="1">
      <alignment vertical="bottom"/>
    </xf>
    <xf numFmtId="165" fontId="15" fillId="0" borderId="39" xfId="0" applyNumberFormat="1" applyFont="1" applyBorder="1" applyAlignment="1">
      <alignment vertical="bottom"/>
    </xf>
    <xf numFmtId="165" fontId="15" fillId="0" borderId="40" xfId="0" applyNumberFormat="1" applyFont="1" applyBorder="1" applyAlignment="1">
      <alignment vertical="bottom"/>
    </xf>
    <xf numFmtId="165" fontId="15" fillId="0" borderId="14" xfId="0" applyNumberFormat="1" applyFont="1" applyBorder="1" applyAlignment="1">
      <alignment vertical="bottom"/>
    </xf>
    <xf numFmtId="165" fontId="15" fillId="2" borderId="41" xfId="0" applyNumberFormat="1" applyFont="1" applyFill="1" applyBorder="1">
      <alignment vertical="center"/>
    </xf>
    <xf numFmtId="165" fontId="16" fillId="2" borderId="42" xfId="0" applyNumberFormat="1" applyFont="1" applyFill="1" applyBorder="1" applyAlignment="1">
      <alignment vertical="bottom"/>
    </xf>
    <xf numFmtId="165" fontId="15" fillId="2" borderId="43" xfId="0" applyNumberFormat="1" applyFont="1" applyFill="1" applyBorder="1" applyAlignment="1">
      <alignment vertical="bottom"/>
    </xf>
    <xf numFmtId="165" fontId="15" fillId="2" borderId="5" xfId="0" applyNumberFormat="1" applyFont="1" applyFill="1" applyBorder="1" applyAlignment="1">
      <alignment vertical="bottom"/>
    </xf>
    <xf numFmtId="165" fontId="15" fillId="2" borderId="44" xfId="0" applyNumberFormat="1" applyFont="1" applyFill="1" applyBorder="1" applyAlignment="1">
      <alignment vertical="bottom"/>
    </xf>
    <xf numFmtId="165" fontId="15" fillId="2" borderId="45" xfId="0" applyNumberFormat="1" applyFont="1" applyFill="1" applyBorder="1" applyAlignment="1">
      <alignment vertical="bottom"/>
    </xf>
    <xf numFmtId="165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5" fontId="16" fillId="4" borderId="48" xfId="0" applyNumberFormat="1" applyFont="1" applyFill="1" applyBorder="1" applyAlignment="1">
      <alignment vertical="bottom"/>
    </xf>
    <xf numFmtId="165" fontId="16" fillId="2" borderId="6" xfId="0" applyNumberFormat="1" applyFont="1" applyFill="1" applyBorder="1" applyAlignment="1">
      <alignment vertical="bottom"/>
    </xf>
    <xf numFmtId="165" fontId="16" fillId="4" borderId="26" xfId="0" applyNumberFormat="1" applyFont="1" applyFill="1" applyBorder="1" applyAlignment="1">
      <alignment horizontal="center" vertical="bottom"/>
    </xf>
    <xf numFmtId="165" fontId="16" fillId="4" borderId="5" xfId="0" applyNumberFormat="1" applyFont="1" applyFill="1" applyBorder="1" applyAlignment="1">
      <alignment vertical="bottom"/>
    </xf>
    <xf numFmtId="165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5" fontId="16" fillId="0" borderId="22" xfId="0" applyNumberFormat="1" applyFont="1" applyBorder="1" applyAlignment="1">
      <alignment vertical="bottom"/>
    </xf>
    <xf numFmtId="165" fontId="15" fillId="2" borderId="2" xfId="0" applyNumberFormat="1" applyFont="1" applyFill="1" applyBorder="1" applyAlignment="1">
      <alignment vertical="bottom"/>
    </xf>
    <xf numFmtId="165" fontId="16" fillId="0" borderId="32" xfId="0" applyNumberFormat="1" applyFont="1" applyBorder="1" applyAlignment="1">
      <alignment vertical="bottom"/>
    </xf>
    <xf numFmtId="165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5" fontId="16" fillId="0" borderId="1" xfId="0" applyNumberFormat="1" applyFont="1" applyBorder="1" applyAlignment="1">
      <alignment vertical="bottom"/>
    </xf>
    <xf numFmtId="165" fontId="15" fillId="2" borderId="26" xfId="0" applyNumberFormat="1" applyFont="1" applyFill="1" applyBorder="1" applyAlignment="1">
      <alignment vertical="bottom"/>
    </xf>
    <xf numFmtId="165" fontId="16" fillId="0" borderId="36" xfId="0" applyNumberFormat="1" applyFont="1" applyBorder="1" applyAlignment="1">
      <alignment vertical="bottom"/>
    </xf>
    <xf numFmtId="165" fontId="16" fillId="0" borderId="37" xfId="0" applyNumberFormat="1" applyFont="1" applyBorder="1" applyAlignment="1">
      <alignment vertical="bottom"/>
    </xf>
    <xf numFmtId="165" fontId="16" fillId="0" borderId="26" xfId="0" applyNumberFormat="1" applyFont="1" applyBorder="1" applyAlignment="1">
      <alignment vertical="bottom"/>
    </xf>
    <xf numFmtId="165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5" fontId="16" fillId="0" borderId="2" xfId="0" applyNumberFormat="1" applyFont="1" applyBorder="1" applyAlignment="1">
      <alignment vertical="bottom"/>
    </xf>
    <xf numFmtId="165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5" fontId="15" fillId="2" borderId="15" xfId="0" applyNumberFormat="1" applyFont="1" applyFill="1" applyBorder="1" applyAlignment="1">
      <alignment vertical="bottom"/>
    </xf>
    <xf numFmtId="165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5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5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5" fontId="16" fillId="0" borderId="26" xfId="0" applyNumberFormat="1" applyFont="1" applyBorder="1" applyAlignment="1">
      <alignment horizontal="center" vertical="bottom"/>
    </xf>
    <xf numFmtId="165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5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5" fontId="13" fillId="6" borderId="2" xfId="0" applyNumberFormat="1" applyFont="1" applyFill="1" applyBorder="1" applyAlignment="1">
      <alignment horizontal="center" vertical="bottom"/>
    </xf>
    <xf numFmtId="165" fontId="14" fillId="6" borderId="1" xfId="0" applyNumberFormat="1" applyFont="1" applyFill="1" applyBorder="1" applyAlignment="1">
      <alignment horizontal="center" vertical="bottom"/>
    </xf>
    <xf numFmtId="165" fontId="15" fillId="2" borderId="12" xfId="0" applyNumberFormat="1" applyFont="1" applyFill="1" applyBorder="1" applyAlignment="1">
      <alignment vertical="bottom"/>
    </xf>
    <xf numFmtId="165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5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5" fontId="21" fillId="2" borderId="26" xfId="0" applyNumberFormat="1" applyFont="1" applyFill="1" applyBorder="1" applyAlignment="1">
      <alignment horizontal="center" vertical="bottom"/>
    </xf>
    <xf numFmtId="165" fontId="22" fillId="0" borderId="26" xfId="0" applyNumberFormat="1" applyFont="1" applyBorder="1" applyAlignment="1">
      <alignment horizontal="center" vertical="bottom"/>
    </xf>
    <xf numFmtId="165" fontId="23" fillId="0" borderId="51" xfId="1" applyNumberFormat="1" applyFont="1" applyBorder="1" applyAlignment="1">
      <alignment vertical="bottom"/>
      <protection locked="0" hidden="0"/>
    </xf>
    <xf numFmtId="165" fontId="23" fillId="0" borderId="52" xfId="1" applyNumberFormat="1" applyFont="1" applyBorder="1" applyAlignment="1">
      <alignment vertical="bottom"/>
      <protection locked="0" hidden="0"/>
    </xf>
    <xf numFmtId="165" fontId="23" fillId="0" borderId="53" xfId="1" applyNumberFormat="1" applyFont="1" applyBorder="1" applyAlignment="1">
      <alignment vertical="bottom"/>
      <protection locked="0" hidden="0"/>
    </xf>
    <xf numFmtId="0" fontId="15" fillId="0" borderId="54" xfId="0" applyFont="1" applyBorder="1" applyAlignment="1">
      <alignment horizontal="left" vertical="bottom"/>
    </xf>
    <xf numFmtId="0" fontId="2" fillId="0" borderId="55" xfId="0" applyFont="1" applyBorder="1" applyAlignment="1">
      <alignment vertical="bottom"/>
    </xf>
    <xf numFmtId="165" fontId="16" fillId="0" borderId="56" xfId="0" applyNumberFormat="1" applyFont="1" applyBorder="1" applyAlignment="1">
      <alignment horizontal="center" vertical="bottom"/>
    </xf>
    <xf numFmtId="0" fontId="2" fillId="0" borderId="57" xfId="0" applyFont="1" applyBorder="1" applyAlignment="1">
      <alignment vertical="bottom"/>
    </xf>
    <xf numFmtId="165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5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5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5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1.3663503E7</v>
      </c>
      <c r="C10" s="27">
        <f>BUGESERA!G29</f>
        <v>1262790.0</v>
      </c>
      <c r="D10" s="28"/>
      <c r="E10" s="27"/>
      <c r="F10" s="23">
        <f t="shared" si="0"/>
        <v>1.4926293E7</v>
      </c>
      <c r="G10" s="26">
        <f>BUGESERA!C33</f>
        <v>0.0</v>
      </c>
      <c r="H10" s="27">
        <f>BUGESERA!C31</f>
        <v>1.4287663E7</v>
      </c>
      <c r="I10" s="27">
        <f>BUGESERA!C34</f>
        <v>0.0</v>
      </c>
      <c r="J10" s="27">
        <f>BUGESERA!C32</f>
        <v>638660.0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2.1331125E7</v>
      </c>
      <c r="C29" s="42">
        <f t="shared" si="1"/>
        <v>1958490.0</v>
      </c>
      <c r="D29" s="43">
        <f t="shared" si="1"/>
        <v>0.0</v>
      </c>
      <c r="E29" s="42">
        <f t="shared" si="1"/>
        <v>0.0</v>
      </c>
      <c r="F29" s="42">
        <f t="shared" si="1"/>
        <v>2.3289615E7</v>
      </c>
      <c r="G29" s="43">
        <f t="shared" si="1"/>
        <v>0.0</v>
      </c>
      <c r="H29" s="43">
        <f t="shared" si="1"/>
        <v>2.2650985E7</v>
      </c>
      <c r="I29" s="43">
        <f t="shared" si="1"/>
        <v>0.0</v>
      </c>
      <c r="J29" s="44">
        <f t="shared" si="1"/>
        <v>638660.0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2.3289615E7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2.3289615E7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2.3289645E7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2.3289615E7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2.3289645E7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A33:B33"/>
    <mergeCell ref="E36:I37"/>
    <mergeCell ref="A35:B35"/>
    <mergeCell ref="A37:B37"/>
    <mergeCell ref="C35:D35"/>
    <mergeCell ref="E30:I35"/>
    <mergeCell ref="A31:D31"/>
    <mergeCell ref="A30:D30"/>
    <mergeCell ref="A1:K1"/>
    <mergeCell ref="A2:K3"/>
    <mergeCell ref="J30:K38"/>
    <mergeCell ref="A34:B34"/>
    <mergeCell ref="A38:I38"/>
    <mergeCell ref="C34:D34"/>
    <mergeCell ref="C36:D36"/>
    <mergeCell ref="A36:B36"/>
    <mergeCell ref="C37:D37"/>
    <mergeCell ref="C32:D32"/>
    <mergeCell ref="C33:D33"/>
    <mergeCell ref="A32:B32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C10:D10"/>
    <mergeCell ref="C6:D6"/>
    <mergeCell ref="C8:D8"/>
    <mergeCell ref="C7:D7"/>
    <mergeCell ref="B56:D56"/>
    <mergeCell ref="E59:H59"/>
    <mergeCell ref="B63:D63"/>
    <mergeCell ref="E54:H54"/>
    <mergeCell ref="E52:H52"/>
    <mergeCell ref="B52:D52"/>
    <mergeCell ref="B48:D48"/>
    <mergeCell ref="E48:H48"/>
    <mergeCell ref="E63:H63"/>
    <mergeCell ref="B58:D58"/>
    <mergeCell ref="B62:D62"/>
    <mergeCell ref="E62:H62"/>
    <mergeCell ref="E53:H53"/>
    <mergeCell ref="B53:D53"/>
    <mergeCell ref="B55:D55"/>
    <mergeCell ref="B54:D54"/>
    <mergeCell ref="A38:B38"/>
    <mergeCell ref="E51:H51"/>
    <mergeCell ref="B60:D60"/>
    <mergeCell ref="E50:H50"/>
    <mergeCell ref="A41:B41"/>
    <mergeCell ref="B50:D50"/>
    <mergeCell ref="E41:F41"/>
    <mergeCell ref="A39:B39"/>
    <mergeCell ref="E55:H55"/>
    <mergeCell ref="A40:B40"/>
    <mergeCell ref="E49:H49"/>
    <mergeCell ref="B59:D59"/>
    <mergeCell ref="E60:H60"/>
    <mergeCell ref="E57:H57"/>
    <mergeCell ref="B57:D57"/>
    <mergeCell ref="E58:H58"/>
    <mergeCell ref="A45:B45"/>
    <mergeCell ref="E44:F44"/>
    <mergeCell ref="B51:D51"/>
    <mergeCell ref="E61:H61"/>
    <mergeCell ref="E43:F43"/>
    <mergeCell ref="E38:F38"/>
    <mergeCell ref="E39:F39"/>
    <mergeCell ref="A44:B44"/>
    <mergeCell ref="E45:F45"/>
    <mergeCell ref="E42:F42"/>
    <mergeCell ref="A43:B43"/>
    <mergeCell ref="A42:B42"/>
    <mergeCell ref="E40:F40"/>
    <mergeCell ref="C14:D14"/>
    <mergeCell ref="A3:H4"/>
    <mergeCell ref="C11:D11"/>
    <mergeCell ref="C9:D9"/>
    <mergeCell ref="C5:D5"/>
    <mergeCell ref="C13:D13"/>
    <mergeCell ref="A15:H15"/>
    <mergeCell ref="B61:D61"/>
    <mergeCell ref="E56:H56"/>
    <mergeCell ref="B49:D49"/>
    <mergeCell ref="A46:H47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B53:D53"/>
    <mergeCell ref="B46:D46"/>
    <mergeCell ref="E51:H51"/>
    <mergeCell ref="E41:H41"/>
    <mergeCell ref="B52:D52"/>
    <mergeCell ref="E54:H54"/>
    <mergeCell ref="B49:D49"/>
    <mergeCell ref="C6:D6"/>
    <mergeCell ref="E47:H47"/>
    <mergeCell ref="C7:D7"/>
    <mergeCell ref="E48:H48"/>
    <mergeCell ref="B45:D45"/>
    <mergeCell ref="E42:H42"/>
    <mergeCell ref="C5:D5"/>
    <mergeCell ref="B55:D55"/>
    <mergeCell ref="E40:H40"/>
    <mergeCell ref="A37:B37"/>
    <mergeCell ref="B40:D40"/>
    <mergeCell ref="B41:D41"/>
    <mergeCell ref="E55:H55"/>
    <mergeCell ref="A38:H39"/>
    <mergeCell ref="E53:H53"/>
    <mergeCell ref="E35:F35"/>
    <mergeCell ref="E34:F34"/>
    <mergeCell ref="E31:F31"/>
    <mergeCell ref="B50:D50"/>
    <mergeCell ref="E44:H44"/>
    <mergeCell ref="B43:D43"/>
    <mergeCell ref="E49:H49"/>
    <mergeCell ref="A34:B34"/>
    <mergeCell ref="A30:B30"/>
    <mergeCell ref="E30:F30"/>
    <mergeCell ref="C14:D14"/>
    <mergeCell ref="E43:H43"/>
    <mergeCell ref="B47:D47"/>
    <mergeCell ref="E50:H50"/>
    <mergeCell ref="B44:D44"/>
    <mergeCell ref="E46:H46"/>
    <mergeCell ref="A35:B35"/>
    <mergeCell ref="A15:H15"/>
    <mergeCell ref="C13:D13"/>
    <mergeCell ref="E52:H52"/>
    <mergeCell ref="A33:B33"/>
    <mergeCell ref="E32:F32"/>
    <mergeCell ref="A31:B31"/>
    <mergeCell ref="A32:B32"/>
    <mergeCell ref="B54:D54"/>
    <mergeCell ref="E33:F33"/>
    <mergeCell ref="E37:F37"/>
    <mergeCell ref="E36:F36"/>
    <mergeCell ref="A36:B36"/>
    <mergeCell ref="B51:D51"/>
    <mergeCell ref="E45:H45"/>
    <mergeCell ref="B42:D42"/>
    <mergeCell ref="C8:D8"/>
    <mergeCell ref="C9:D9"/>
    <mergeCell ref="C10:D10"/>
    <mergeCell ref="C11:D11"/>
    <mergeCell ref="C12:D12"/>
    <mergeCell ref="A3:H4"/>
    <mergeCell ref="B48:D48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I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88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>
        <v>677.0</v>
      </c>
      <c r="C7" s="78">
        <v>4720.0</v>
      </c>
      <c r="D7" s="79"/>
      <c r="E7" s="80">
        <f t="shared" si="0"/>
        <v>3195440.0</v>
      </c>
      <c r="F7" s="80">
        <f t="shared" si="1"/>
        <v>487440.0</v>
      </c>
      <c r="G7" s="80">
        <f t="shared" si="2"/>
        <v>33850.0</v>
      </c>
      <c r="H7" s="81">
        <f t="shared" si="3"/>
        <v>521290.0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>
        <v>34534.0</v>
      </c>
      <c r="C10" s="84">
        <v>2124.0</v>
      </c>
      <c r="D10" s="85"/>
      <c r="E10" s="86">
        <f t="shared" si="0"/>
        <v>7.3350216E7</v>
      </c>
      <c r="F10" s="86">
        <f t="shared" si="1"/>
        <v>1.1189016E7</v>
      </c>
      <c r="G10" s="86">
        <f t="shared" si="4"/>
        <v>1036020.0</v>
      </c>
      <c r="H10" s="87">
        <f t="shared" si="3"/>
        <v>1.2225036E7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9293.0</v>
      </c>
      <c r="C13" s="84">
        <v>1357.0</v>
      </c>
      <c r="D13" s="85"/>
      <c r="E13" s="86">
        <f t="shared" si="0"/>
        <v>1.2610601E7</v>
      </c>
      <c r="F13" s="86">
        <f t="shared" si="1"/>
        <v>1923651.0</v>
      </c>
      <c r="G13" s="86">
        <f t="shared" si="5" ref="G13:G14">PRODUCT(B13*20)</f>
        <v>185860.0</v>
      </c>
      <c r="H13" s="87">
        <f t="shared" si="3"/>
        <v>2109511.0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86</v>
      </c>
      <c r="B17" s="95">
        <v>60.0</v>
      </c>
      <c r="C17" s="95">
        <v>2006.0</v>
      </c>
      <c r="D17" s="95">
        <v>30.0</v>
      </c>
      <c r="E17" s="96">
        <f t="shared" si="6" ref="E17:E28">PRODUCT(B17*C17)</f>
        <v>120360.0</v>
      </c>
      <c r="F17" s="97">
        <f t="shared" si="7" ref="F17:F28">PRODUCT(E17*18)/118</f>
        <v>18360.0</v>
      </c>
      <c r="G17" s="97">
        <f t="shared" si="8" ref="G17:G28">PRODUCT(B17*D17)</f>
        <v>1800.0</v>
      </c>
      <c r="H17" s="97">
        <f t="shared" si="9" ref="H17:H29">SUM(F17:G17)</f>
        <v>20160.0</v>
      </c>
    </row>
    <row r="18" spans="8:8" ht="14.25" customHeight="1">
      <c r="A18" s="98" t="s">
        <v>85</v>
      </c>
      <c r="B18" s="99">
        <v>118.0</v>
      </c>
      <c r="C18" s="99">
        <v>1298.0</v>
      </c>
      <c r="D18" s="99">
        <v>30.0</v>
      </c>
      <c r="E18" s="100">
        <f t="shared" si="6"/>
        <v>153164.0</v>
      </c>
      <c r="F18" s="101">
        <f t="shared" si="7"/>
        <v>23364.0</v>
      </c>
      <c r="G18" s="101">
        <f t="shared" si="8"/>
        <v>3540.0</v>
      </c>
      <c r="H18" s="101">
        <f t="shared" si="9"/>
        <v>26904.0</v>
      </c>
    </row>
    <row r="19" spans="8:8" ht="14.25" customHeight="1">
      <c r="A19" s="102" t="s">
        <v>87</v>
      </c>
      <c r="B19" s="103">
        <v>43.0</v>
      </c>
      <c r="C19" s="103">
        <v>3304.0</v>
      </c>
      <c r="D19" s="103">
        <v>40.0</v>
      </c>
      <c r="E19" s="100">
        <f t="shared" si="6"/>
        <v>142072.0</v>
      </c>
      <c r="F19" s="101">
        <f t="shared" si="7"/>
        <v>21672.0</v>
      </c>
      <c r="G19" s="101">
        <f t="shared" si="8"/>
        <v>1720.0</v>
      </c>
      <c r="H19" s="101">
        <f t="shared" si="9"/>
        <v>23392.0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8.9571853E7</v>
      </c>
      <c r="F29" s="113">
        <f t="shared" si="10"/>
        <v>1.3663503E7</v>
      </c>
      <c r="G29" s="114">
        <f t="shared" si="10"/>
        <v>1262790.0</v>
      </c>
      <c r="H29" s="115">
        <f t="shared" si="9"/>
        <v>1.4926293E7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69">
        <v>1.4287663E7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0">
        <v>638660.0</v>
      </c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34534.0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677.0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9293.0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178.0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43.0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44725.0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B63:D63"/>
    <mergeCell ref="E53:H53"/>
    <mergeCell ref="B52:D52"/>
    <mergeCell ref="E54:H54"/>
    <mergeCell ref="B59:D59"/>
    <mergeCell ref="B60:D60"/>
    <mergeCell ref="E62:H62"/>
    <mergeCell ref="E63:H63"/>
    <mergeCell ref="E60:H60"/>
    <mergeCell ref="B55:D55"/>
    <mergeCell ref="B56:D56"/>
    <mergeCell ref="E57:H57"/>
    <mergeCell ref="B58:D58"/>
    <mergeCell ref="E61:H61"/>
    <mergeCell ref="A38:B38"/>
    <mergeCell ref="E49:H49"/>
    <mergeCell ref="B50:D50"/>
    <mergeCell ref="A46:H47"/>
    <mergeCell ref="A43:B43"/>
    <mergeCell ref="A3:H4"/>
    <mergeCell ref="B54:D54"/>
    <mergeCell ref="E59:H59"/>
    <mergeCell ref="E56:H56"/>
    <mergeCell ref="E55:H55"/>
    <mergeCell ref="E58:H58"/>
    <mergeCell ref="C9:D9"/>
    <mergeCell ref="E45:F45"/>
    <mergeCell ref="A40:B40"/>
    <mergeCell ref="E48:H48"/>
    <mergeCell ref="B57:D57"/>
    <mergeCell ref="C6:D6"/>
    <mergeCell ref="E50:H50"/>
    <mergeCell ref="A42:B42"/>
    <mergeCell ref="E39:F39"/>
    <mergeCell ref="E38:F38"/>
    <mergeCell ref="E51:H51"/>
    <mergeCell ref="A39:B39"/>
    <mergeCell ref="A44:B44"/>
    <mergeCell ref="B49:D49"/>
    <mergeCell ref="A45:B45"/>
    <mergeCell ref="C11:D11"/>
    <mergeCell ref="E40:F40"/>
    <mergeCell ref="C13:D13"/>
    <mergeCell ref="C10:D10"/>
    <mergeCell ref="E43:F43"/>
    <mergeCell ref="C12:D12"/>
    <mergeCell ref="E42:F42"/>
    <mergeCell ref="E41:F41"/>
    <mergeCell ref="C14:D14"/>
    <mergeCell ref="E52:H52"/>
    <mergeCell ref="B62:D62"/>
    <mergeCell ref="B61:D61"/>
    <mergeCell ref="B53:D53"/>
    <mergeCell ref="B48:D48"/>
    <mergeCell ref="C7:D7"/>
    <mergeCell ref="E44:F44"/>
    <mergeCell ref="B51:D51"/>
    <mergeCell ref="A41:B41"/>
    <mergeCell ref="C8:D8"/>
    <mergeCell ref="C5:D5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1" t="s">
        <v>69</v>
      </c>
      <c r="B39" s="172"/>
      <c r="C39" s="124"/>
      <c r="D39" s="125"/>
      <c r="E39" s="173"/>
      <c r="F39" s="174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5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6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6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7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5:D5"/>
    <mergeCell ref="C11:D11"/>
    <mergeCell ref="C8:D8"/>
    <mergeCell ref="A45:B45"/>
    <mergeCell ref="E62:H62"/>
    <mergeCell ref="E40:F40"/>
    <mergeCell ref="B50:D50"/>
    <mergeCell ref="A39:B39"/>
    <mergeCell ref="E42:F42"/>
    <mergeCell ref="B62:D62"/>
    <mergeCell ref="B63:D63"/>
    <mergeCell ref="A15:H15"/>
    <mergeCell ref="A3:H4"/>
    <mergeCell ref="C10:D10"/>
    <mergeCell ref="C12:D12"/>
    <mergeCell ref="C6:D6"/>
    <mergeCell ref="C7:D7"/>
    <mergeCell ref="E50:H50"/>
    <mergeCell ref="B55:D55"/>
    <mergeCell ref="E59:H59"/>
    <mergeCell ref="E63:H63"/>
    <mergeCell ref="B49:D49"/>
    <mergeCell ref="E44:F44"/>
    <mergeCell ref="E61:H61"/>
    <mergeCell ref="E60:H60"/>
    <mergeCell ref="E49:H49"/>
    <mergeCell ref="B59:D59"/>
    <mergeCell ref="B60:D60"/>
    <mergeCell ref="B58:D58"/>
    <mergeCell ref="E52:H52"/>
    <mergeCell ref="B51:D51"/>
    <mergeCell ref="B54:D54"/>
    <mergeCell ref="B53:D53"/>
    <mergeCell ref="E53:H53"/>
    <mergeCell ref="E38:F38"/>
    <mergeCell ref="C14:D14"/>
    <mergeCell ref="C9:D9"/>
    <mergeCell ref="A38:B38"/>
    <mergeCell ref="B48:D48"/>
    <mergeCell ref="E41:F41"/>
    <mergeCell ref="A40:B40"/>
    <mergeCell ref="A42:B42"/>
    <mergeCell ref="A44:B44"/>
    <mergeCell ref="A41:B41"/>
    <mergeCell ref="B61:D61"/>
    <mergeCell ref="B57:D57"/>
    <mergeCell ref="E45:F45"/>
    <mergeCell ref="A43:B43"/>
    <mergeCell ref="E48:H48"/>
    <mergeCell ref="E43:F43"/>
    <mergeCell ref="B56:D56"/>
    <mergeCell ref="E57:H57"/>
    <mergeCell ref="E54:H54"/>
    <mergeCell ref="A46:H47"/>
    <mergeCell ref="E39:F39"/>
    <mergeCell ref="E51:H51"/>
    <mergeCell ref="E58:H58"/>
    <mergeCell ref="B52:D52"/>
    <mergeCell ref="E56:H56"/>
    <mergeCell ref="E55:H55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38:H39"/>
    <mergeCell ref="B40:D40"/>
    <mergeCell ref="A37:B37"/>
    <mergeCell ref="C14:D14"/>
    <mergeCell ref="A1:H2"/>
    <mergeCell ref="E55:H55"/>
    <mergeCell ref="B46:D46"/>
    <mergeCell ref="E44:H44"/>
    <mergeCell ref="E51:H51"/>
    <mergeCell ref="A31:B31"/>
    <mergeCell ref="E30:F30"/>
    <mergeCell ref="A15:H15"/>
    <mergeCell ref="E36:F36"/>
    <mergeCell ref="C6:D6"/>
    <mergeCell ref="C5:D5"/>
    <mergeCell ref="A32:B32"/>
    <mergeCell ref="E49:H49"/>
    <mergeCell ref="B55:D55"/>
    <mergeCell ref="A30:B30"/>
    <mergeCell ref="B50:D50"/>
    <mergeCell ref="E34:F34"/>
    <mergeCell ref="E33:F33"/>
    <mergeCell ref="B49:D49"/>
    <mergeCell ref="E32:F32"/>
    <mergeCell ref="E31:F31"/>
    <mergeCell ref="E37:F37"/>
    <mergeCell ref="C8:D8"/>
    <mergeCell ref="C13:D13"/>
    <mergeCell ref="C12:D12"/>
    <mergeCell ref="C9:D9"/>
    <mergeCell ref="C10:D10"/>
    <mergeCell ref="C11:D11"/>
    <mergeCell ref="E52:H52"/>
    <mergeCell ref="B41:D41"/>
    <mergeCell ref="E42:H42"/>
    <mergeCell ref="B51:D51"/>
    <mergeCell ref="E45:H45"/>
    <mergeCell ref="B42:D42"/>
    <mergeCell ref="A34:B34"/>
    <mergeCell ref="E54:H54"/>
    <mergeCell ref="B47:D47"/>
    <mergeCell ref="E41:H41"/>
    <mergeCell ref="E40:H40"/>
    <mergeCell ref="C7:D7"/>
    <mergeCell ref="A36:B36"/>
    <mergeCell ref="B45:D45"/>
    <mergeCell ref="E53:H53"/>
    <mergeCell ref="B54:D54"/>
    <mergeCell ref="B43:D43"/>
    <mergeCell ref="E43:H43"/>
    <mergeCell ref="B44:D44"/>
    <mergeCell ref="E50:H50"/>
    <mergeCell ref="B53:D53"/>
    <mergeCell ref="E46:H46"/>
    <mergeCell ref="E48:H48"/>
    <mergeCell ref="B48:D48"/>
    <mergeCell ref="A33:B33"/>
    <mergeCell ref="E47:H47"/>
    <mergeCell ref="B52:D52"/>
    <mergeCell ref="A3:H4"/>
    <mergeCell ref="E35:F35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0:H40"/>
    <mergeCell ref="C6:D6"/>
    <mergeCell ref="C13:D13"/>
    <mergeCell ref="C12:D12"/>
    <mergeCell ref="C11:D11"/>
    <mergeCell ref="C10:D10"/>
    <mergeCell ref="C9:D9"/>
    <mergeCell ref="C5:D5"/>
    <mergeCell ref="E47:H47"/>
    <mergeCell ref="A33:B33"/>
    <mergeCell ref="B51:D51"/>
    <mergeCell ref="E35:F35"/>
    <mergeCell ref="B53:D53"/>
    <mergeCell ref="E53:H53"/>
    <mergeCell ref="E34:F34"/>
    <mergeCell ref="E31:F31"/>
    <mergeCell ref="A15:H15"/>
    <mergeCell ref="B50:D50"/>
    <mergeCell ref="A38:H39"/>
    <mergeCell ref="C7:D7"/>
    <mergeCell ref="B40:D40"/>
    <mergeCell ref="C8:D8"/>
    <mergeCell ref="A35:B35"/>
    <mergeCell ref="B41:D41"/>
    <mergeCell ref="A30:B30"/>
    <mergeCell ref="E46:H46"/>
    <mergeCell ref="B47:D47"/>
    <mergeCell ref="E30:F30"/>
    <mergeCell ref="A31:B31"/>
    <mergeCell ref="C14:D14"/>
    <mergeCell ref="A32:B32"/>
    <mergeCell ref="B46:D46"/>
    <mergeCell ref="E32:F32"/>
    <mergeCell ref="B42:D42"/>
    <mergeCell ref="B45:D45"/>
    <mergeCell ref="A34:B34"/>
    <mergeCell ref="E33:F33"/>
    <mergeCell ref="E54:H54"/>
    <mergeCell ref="E44:H44"/>
    <mergeCell ref="B48:D48"/>
    <mergeCell ref="E55:H55"/>
    <mergeCell ref="B55:D55"/>
    <mergeCell ref="A1:H2"/>
    <mergeCell ref="E41:H41"/>
    <mergeCell ref="E49:H49"/>
    <mergeCell ref="B43:D43"/>
    <mergeCell ref="E42:H42"/>
    <mergeCell ref="B49:D49"/>
    <mergeCell ref="E50:H50"/>
    <mergeCell ref="E51:H51"/>
    <mergeCell ref="E52:H52"/>
    <mergeCell ref="A36:B36"/>
    <mergeCell ref="A3:H4"/>
    <mergeCell ref="A37:B37"/>
    <mergeCell ref="B54:D54"/>
    <mergeCell ref="E43:H43"/>
    <mergeCell ref="E45:H45"/>
    <mergeCell ref="B52:D52"/>
    <mergeCell ref="E48:H48"/>
    <mergeCell ref="B44:D44"/>
    <mergeCell ref="E36:F36"/>
    <mergeCell ref="E37:F37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12:D12"/>
    <mergeCell ref="A34:B34"/>
    <mergeCell ref="E33:F33"/>
    <mergeCell ref="C5:D5"/>
    <mergeCell ref="C6:D6"/>
    <mergeCell ref="C7:D7"/>
    <mergeCell ref="E54:H54"/>
    <mergeCell ref="A37:B37"/>
    <mergeCell ref="E34:F34"/>
    <mergeCell ref="B40:D40"/>
    <mergeCell ref="B42:D42"/>
    <mergeCell ref="E55:H55"/>
    <mergeCell ref="E46:H46"/>
    <mergeCell ref="B44:D44"/>
    <mergeCell ref="E42:H42"/>
    <mergeCell ref="B46:D46"/>
    <mergeCell ref="B45:D45"/>
    <mergeCell ref="E44:H44"/>
    <mergeCell ref="A15:H15"/>
    <mergeCell ref="E31:F31"/>
    <mergeCell ref="C10:D10"/>
    <mergeCell ref="A1:H2"/>
    <mergeCell ref="A3:H4"/>
    <mergeCell ref="E36:F36"/>
    <mergeCell ref="A31:B31"/>
    <mergeCell ref="E30:F30"/>
    <mergeCell ref="A35:B35"/>
    <mergeCell ref="A33:B33"/>
    <mergeCell ref="B43:D43"/>
    <mergeCell ref="B54:D54"/>
    <mergeCell ref="B48:D48"/>
    <mergeCell ref="B53:D53"/>
    <mergeCell ref="E47:H47"/>
    <mergeCell ref="E52:H52"/>
    <mergeCell ref="B49:D49"/>
    <mergeCell ref="B50:D50"/>
    <mergeCell ref="B47:D47"/>
    <mergeCell ref="E51:H51"/>
    <mergeCell ref="E53:H53"/>
    <mergeCell ref="E37:F37"/>
    <mergeCell ref="C14:D14"/>
    <mergeCell ref="A32:B32"/>
    <mergeCell ref="E35:F35"/>
    <mergeCell ref="C8:D8"/>
    <mergeCell ref="C13:D13"/>
    <mergeCell ref="E48:H48"/>
    <mergeCell ref="C9:D9"/>
    <mergeCell ref="E40:H40"/>
    <mergeCell ref="E41:H41"/>
    <mergeCell ref="E49:H49"/>
    <mergeCell ref="A36:B36"/>
    <mergeCell ref="B55:D55"/>
    <mergeCell ref="E43:H43"/>
    <mergeCell ref="E32:F32"/>
    <mergeCell ref="E45:H45"/>
    <mergeCell ref="B52:D52"/>
    <mergeCell ref="A38:H39"/>
    <mergeCell ref="C11:D11"/>
    <mergeCell ref="B41:D41"/>
    <mergeCell ref="A30:B30"/>
    <mergeCell ref="E50:H50"/>
    <mergeCell ref="B51:D51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H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8" t="s">
        <v>77</v>
      </c>
      <c r="B3" s="47"/>
      <c r="C3" s="48"/>
      <c r="D3" s="178" t="s">
        <v>78</v>
      </c>
      <c r="E3" s="47"/>
      <c r="F3" s="47"/>
      <c r="G3" s="48"/>
    </row>
    <row r="4" spans="8:8" ht="41.25" customHeight="1">
      <c r="A4" s="179" t="s">
        <v>79</v>
      </c>
      <c r="B4" s="47"/>
      <c r="C4" s="48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54786.0</v>
      </c>
      <c r="E4" s="47"/>
      <c r="F4" s="47"/>
      <c r="G4" s="48"/>
    </row>
    <row r="5" spans="8:8" ht="36.75" customHeight="1">
      <c r="A5" s="179" t="s">
        <v>52</v>
      </c>
      <c r="B5" s="47"/>
      <c r="C5" s="48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927.0</v>
      </c>
      <c r="E5" s="47"/>
      <c r="F5" s="47"/>
      <c r="G5" s="48"/>
    </row>
    <row r="6" spans="8:8" ht="39.75" customHeight="1">
      <c r="A6" s="179" t="s">
        <v>56</v>
      </c>
      <c r="B6" s="47"/>
      <c r="C6" s="48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13075.0</v>
      </c>
      <c r="E6" s="47"/>
      <c r="F6" s="47"/>
      <c r="G6" s="48"/>
    </row>
    <row r="7" spans="8:8" ht="38.25" customHeight="1">
      <c r="A7" s="181" t="s">
        <v>61</v>
      </c>
      <c r="B7" s="47"/>
      <c r="C7" s="48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178.0</v>
      </c>
      <c r="E7" s="47"/>
      <c r="F7" s="47"/>
      <c r="G7" s="48"/>
    </row>
    <row r="8" spans="8:8" ht="39.75" customHeight="1">
      <c r="A8" s="181" t="s">
        <v>62</v>
      </c>
      <c r="B8" s="47"/>
      <c r="C8" s="48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43.0</v>
      </c>
      <c r="E8" s="47"/>
      <c r="F8" s="47"/>
      <c r="G8" s="48"/>
    </row>
    <row r="9" spans="8:8" ht="38.25" customHeight="1">
      <c r="A9" s="181" t="s">
        <v>81</v>
      </c>
      <c r="B9" s="47"/>
      <c r="C9" s="48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1" t="s">
        <v>81</v>
      </c>
      <c r="B10" s="47"/>
      <c r="C10" s="48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1" t="s">
        <v>81</v>
      </c>
      <c r="B11" s="47"/>
      <c r="C11" s="48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1" t="s">
        <v>81</v>
      </c>
      <c r="B12" s="47"/>
      <c r="C12" s="48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1" t="s">
        <v>81</v>
      </c>
      <c r="B13" s="47"/>
      <c r="C13" s="48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1" t="s">
        <v>81</v>
      </c>
      <c r="B14" s="47"/>
      <c r="C14" s="48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1" t="s">
        <v>81</v>
      </c>
      <c r="B15" s="47"/>
      <c r="C15" s="48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1" t="s">
        <v>81</v>
      </c>
      <c r="B16" s="47"/>
      <c r="C16" s="48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1" t="s">
        <v>82</v>
      </c>
      <c r="B17" s="47"/>
      <c r="C17" s="48"/>
      <c r="D17" s="182">
        <f>SUM(D4:D16)</f>
        <v>69009.0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D17:G17"/>
    <mergeCell ref="D7:G7"/>
    <mergeCell ref="D16:G16"/>
    <mergeCell ref="A17:C17"/>
    <mergeCell ref="A15:C15"/>
    <mergeCell ref="D15:G15"/>
    <mergeCell ref="A16:C16"/>
    <mergeCell ref="A6:C6"/>
    <mergeCell ref="A7:C7"/>
    <mergeCell ref="D14:G14"/>
    <mergeCell ref="A10:C10"/>
    <mergeCell ref="D9:G9"/>
    <mergeCell ref="A11:C11"/>
    <mergeCell ref="A12:C12"/>
    <mergeCell ref="A14:C14"/>
    <mergeCell ref="A4:C4"/>
    <mergeCell ref="D4:G4"/>
    <mergeCell ref="A8:C8"/>
    <mergeCell ref="D13:G13"/>
    <mergeCell ref="D6:G6"/>
    <mergeCell ref="A5:C5"/>
    <mergeCell ref="D5:G5"/>
    <mergeCell ref="A1:G2"/>
    <mergeCell ref="A9:C9"/>
    <mergeCell ref="D12:G12"/>
    <mergeCell ref="A13:C13"/>
    <mergeCell ref="D11:G11"/>
    <mergeCell ref="D10:G10"/>
    <mergeCell ref="D8:G8"/>
    <mergeCell ref="A3:C3"/>
    <mergeCell ref="D3:G3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2023-12-29T08:10:15Z</dcterms:created>
  <dcterms:modified xsi:type="dcterms:W3CDTF">2026-05-31T18:48:26Z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7a864749497c410398e779a6be1f1d81</vt:lpwstr>
  </property>
</Properties>
</file>