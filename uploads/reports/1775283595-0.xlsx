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<sst xmlns="http://schemas.openxmlformats.org/spreadsheetml/2006/main" uniqueCount="414" count="414">
  <si>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</si>
  <si>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</si>
  <si>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</si>
  <si>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</si>
  <si>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</si>
  <si>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</si>
  <si>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</si>
  <si>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</si>
  <si>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</si>
  <si>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</si>
  <si>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</si>
  <si>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</si>
  <si>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</si>
  <si>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</si>
  <si>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</si>
  <si>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</si>
  <si>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</si>
  <si>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</si>
  <si>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</si>
  <si>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</si>
  <si>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</si>
  <si>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</si>
  <si>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</si>
  <si>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</si>
  <si>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</si>
  <si>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</si>
  <si>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</si>
  <si>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</si>
  <si>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</si>
  <si>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</si>
  <si>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</si>
  <si>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</si>
  <si>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</si>
  <si>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</si>
  <si>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</si>
  <si>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</si>
  <si>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</si>
  <si>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</si>
  <si>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</si>
  <si>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</si>
  <si>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</si>
  <si>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</si>
  <si>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</si>
  <si>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</si>
  <si>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</si>
  <si>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</si>
  <si>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</si>
  <si>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</si>
  <si>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</si>
  <si>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</si>
  <si>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</si>
  <si>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</si>
  <si>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</si>
  <si>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</si>
  <si>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</si>
  <si>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</si>
  <si>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</si>
  <si>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</si>
  <si>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</si>
  <si>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</si>
  <si>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</si>
  <si>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</si>
  <si>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</si>
  <si>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</si>
  <si>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</si>
  <si>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</si>
  <si>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</si>
  <si>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</si>
  <si>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</si>
  <si>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</si>
  <si>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</si>
  <si>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</si>
  <si>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</si>
  <si>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</si>
  <si>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</si>
  <si>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</si>
  <si>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</si>
  <si>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</si>
  <si>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</si>
  <si>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</si>
  <si>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</si>
  <si>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</si>
  <si>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</si>
  <si>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</si>
  <si>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</si>
  <si>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</si>
  <si>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</si>
  <si>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</si>
  <si>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</si>
  <si>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</si>
  <si>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</si>
  <si>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</si>
  <si>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</si>
  <si>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</si>
  <si>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</si>
  <si>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</si>
  <si>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</si>
  <si>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</si>
  <si>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</si>
  <si>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</si>
  <si>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</si>
  <si>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</si>
  <si>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</si>
  <si>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</si>
  <si>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</si>
  <si>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</si>
  <si>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</si>
  <si>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</si>
  <si>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</si>
  <si>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</si>
  <si>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</si>
  <si>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</si>
  <si>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</si>
  <si>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</si>
  <si>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</si>
  <si>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</si>
  <si>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</si>
  <si>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</si>
  <si>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</si>
  <si>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</si>
  <si>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</si>
  <si>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</si>
  <si>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</si>
  <si>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</si>
  <si>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</si>
  <si>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</si>
  <si>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</si>
  <si>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</si>
  <si>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</si>
  <si>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</si>
  <si>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</si>
  <si>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</si>
  <si>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</si>
  <si>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</si>
  <si>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</si>
  <si>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</si>
  <si>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</si>
  <si>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</si>
  <si>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</si>
  <si>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</si>
  <si>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</si>
  <si>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</si>
  <si>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</si>
  <si>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</si>
  <si>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</si>
  <si>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</si>
  <si>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</si>
  <si>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</si>
  <si>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</si>
  <si>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</si>
  <si>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</si>
  <si>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</si>
  <si>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</si>
  <si>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</si>
  <si>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</si>
  <si>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</si>
  <si>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</si>
  <si>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</si>
  <si>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</si>
  <si>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</si>
  <si>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</si>
  <si>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</si>
  <si>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</si>
  <si>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</si>
  <si>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</si>
  <si>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</si>
  <si>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</si>
  <si>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</si>
  <si>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</si>
  <si>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</si>
  <si>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</si>
  <si>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</si>
  <si>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</si>
  <si>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</si>
  <si>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</si>
  <si>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</si>
  <si>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</si>
  <si>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</si>
  <si>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</si>
  <si>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</si>
  <si>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</si>
  <si>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</si>
  <si>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</si>
  <si>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</si>
  <si>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</si>
  <si>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</si>
  <si>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</si>
  <si>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</si>
  <si>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</si>
  <si>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</si>
  <si>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</si>
  <si>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</si>
  <si>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</si>
  <si>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</si>
  <si>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</si>
  <si>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</si>
  <si>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</si>
  <si>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</si>
  <si>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</si>
  <si>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</si>
  <si>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</si>
  <si>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</si>
  <si>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</si>
  <si>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</si>
  <si>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</si>
  <si>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</si>
  <si>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</si>
  <si>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</si>
  <si>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</si>
  <si>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</si>
  <si>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</si>
  <si>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</si>
  <si>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</si>
  <si>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</si>
  <si>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</si>
  <si>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</si>
  <si>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</si>
  <si>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</si>
  <si>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</si>
  <si>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</si>
  <si>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</si>
  <si>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</si>
  <si>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</si>
  <si>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</si>
  <si>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</si>
  <si>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</si>
  <si>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</si>
  <si>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</si>
  <si>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</si>
  <si>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</si>
  <si>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</si>
  <si>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</si>
  <si>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</si>
  <si>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</si>
  <si>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</si>
  <si>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</si>
  <si>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</si>
  <si>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</si>
  <si>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</si>
  <si>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</si>
  <si>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</si>
  <si>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</si>
  <si>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</si>
  <si>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</si>
  <si>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</si>
  <si>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</si>
  <si>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</si>
  <si>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</si>
  <si>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</si>
  <si>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</si>
  <si>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</si>
  <si>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</si>
  <si>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</si>
  <si>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</si>
  <si>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</si>
  <si>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</si>
  <si>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</si>
  <si>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</si>
  <si>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</si>
  <si>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</si>
  <si>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</si>
  <si>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</si>
  <si>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</si>
  <si>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</si>
  <si>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</si>
  <si>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</si>
  <si>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</si>
  <si>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</si>
  <si>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</si>
  <si>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</si>
  <si>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</si>
  <si>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</si>
  <si>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</si>
  <si>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</si>
  <si>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</si>
  <si>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</si>
  <si>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</si>
  <si>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</si>
  <si>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</si>
  <si>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</si>
  <si>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</si>
  <si>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</si>
  <si>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</si>
  <si>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</si>
  <si>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</si>
  <si>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</si>
  <si>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</si>
  <si>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</si>
  <si>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</si>
  <si>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</si>
  <si>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</si>
  <si>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</si>
  <si>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</si>
  <si>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</si>
  <si>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</si>
  <si>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</si>
  <si>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</si>
  <si>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</si>
  <si>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</si>
  <si>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</si>
  <si>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</si>
  <si>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</si>
  <si>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</si>
  <si>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</si>
  <si>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</si>
  <si>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</si>
  <si>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</si>
  <si>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</si>
  <si>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</si>
  <si>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</si>
  <si>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</si>
  <si>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</si>
  <si>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</si>
  <si>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</si>
  <si>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</si>
  <si>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</si>
  <si>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</si>
  <si>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</si>
  <si>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</si>
  <si>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</si>
  <si>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</si>
  <si>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</si>
  <si>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</si>
  <si>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</si>
  <si>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</si>
  <si>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</si>
  <si>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</si>
  <si>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</si>
  <si>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</si>
  <si>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</si>
  <si>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</si>
  <si>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</si>
  <si>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</si>
  <si>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</si>
  <si>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</si>
  <si>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</si>
  <si>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</si>
  <si>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</si>
  <si>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</si>
  <si>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</si>
  <si>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</si>
  <si>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</si>
  <si>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</si>
  <si>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</si>
  <si>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</si>
  <si>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</si>
  <si>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</si>
  <si>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</si>
  <si>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</si>
  <si>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</si>
  <si>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</si>
  <si>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</si>
  <si>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</si>
  <si>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</si>
  <si>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</si>
  <si>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</si>
  <si>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</si>
  <si>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</si>
  <si>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</si>
  <si>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</si>
  <si>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</si>
  <si>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</si>
  <si>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</si>
  <si>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</si>
  <si>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</si>
  <si>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</si>
  <si>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</si>
  <si>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</si>
  <si>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</si>
  <si>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</si>
  <si>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</si>
  <si>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</si>
  <si>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</si>
  <si>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</si>
  <si>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</si>
  <si>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</si>
  <si>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</si>
  <si>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</si>
  <si>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</si>
  <si>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</si>
  <si>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</si>
  <si>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</si>
  <si>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</si>
  <si>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</si>
  <si>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</si>
  <si>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</si>
  <si>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</si>
  <si>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</si>
  <si>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</si>
  <si>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</si>
  <si>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</si>
  <si>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</si>
  <si>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</si>
  <si>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</si>
  <si>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</si>
  <si>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</si>
  <si>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</si>
  <si>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</si>
  <si>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</si>
  <si>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</si>
  <si>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</si>
  <si>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</si>
  <si>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</si>
  <si>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</si>
  <si>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</si>
  <si>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</si>
  <si>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</si>
  <si>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</si>
  <si>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</si>
  <si>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</si>
  <si>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</si>
  <si>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</si>
  <si>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</si>
  <si>
    <t>QUARTERLY REPORT FROM 01ST JANUARY TO 31st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</si>
</sst>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51"/>
  <sheetViews>
    <sheetView tabSelected="1" workbookViewId="0" zoomScale="30">
      <selection activeCell="B60" sqref="B60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413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>
        <v>220.0</v>
      </c>
      <c r="C7" s="21">
        <v>7670.0</v>
      </c>
      <c r="D7" s="22"/>
      <c r="E7" s="23">
        <f t="shared" si="3" ref="E7:E14">PRODUCT(B7*C7)</f>
        <v>1687400.0</v>
      </c>
      <c r="F7" s="23">
        <f t="shared" si="4" ref="F7:F40">PRODUCT(E7*18)/118</f>
        <v>257400.0</v>
      </c>
      <c r="G7" s="23">
        <f>PRODUCT(B7*50)</f>
        <v>11000.0</v>
      </c>
      <c r="H7" s="24">
        <f t="shared" si="5" ref="H7:H14">SUM(F7:G7)</f>
        <v>268400.0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>
        <v>4850.0</v>
      </c>
      <c r="C12" s="27">
        <v>1357.0</v>
      </c>
      <c r="D12" s="28"/>
      <c r="E12" s="29">
        <f t="shared" si="3"/>
        <v>6581450.0</v>
      </c>
      <c r="F12" s="29">
        <f>PRODUCT(E12*18)/118</f>
        <v>1003950.0</v>
      </c>
      <c r="G12" s="29">
        <f>PRODUCT(B12*20)</f>
        <v>97000.0</v>
      </c>
      <c r="H12" s="30">
        <f t="shared" si="5"/>
        <v>1100950.0</v>
      </c>
    </row>
    <row r="13" spans="8:8" ht="16.85">
      <c r="A13" s="25" t="s">
        <v>5</v>
      </c>
      <c r="B13" s="26">
        <v>35423.0</v>
      </c>
      <c r="C13" s="27">
        <v>2124.0</v>
      </c>
      <c r="D13" s="28"/>
      <c r="E13" s="29">
        <f t="shared" si="3"/>
        <v>7.5238452E7</v>
      </c>
      <c r="F13" s="29">
        <f t="shared" si="4"/>
        <v>1.1477052E7</v>
      </c>
      <c r="G13" s="29">
        <f>PRODUCT(B13*30)</f>
        <v>1062690.0</v>
      </c>
      <c r="H13" s="30">
        <f t="shared" si="5"/>
        <v>1.2539742E7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6.85">
      <c r="A20" s="25" t="s">
        <v>302</v>
      </c>
      <c r="B20" s="26">
        <v>190.0</v>
      </c>
      <c r="C20" s="44">
        <v>3540.0</v>
      </c>
      <c r="D20" s="44">
        <v>30.0</v>
      </c>
      <c r="E20" s="29">
        <f t="shared" si="7"/>
        <v>672600.0</v>
      </c>
      <c r="F20" s="29">
        <f t="shared" si="6"/>
        <v>102600.0</v>
      </c>
      <c r="G20" s="29">
        <f t="shared" si="8"/>
        <v>5700.0</v>
      </c>
      <c r="H20" s="30">
        <f t="shared" si="9"/>
        <v>108300.0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8.4179902E7</v>
      </c>
      <c r="F41" s="54">
        <f>SUM(F6:F40)</f>
        <v>1.2841002E7</v>
      </c>
      <c r="G41" s="54">
        <f>SUM(G6:G40)</f>
        <v>1176390.0</v>
      </c>
      <c r="H41" s="55">
        <f>SUM(F41:G41)</f>
        <v>1.4017392E7</v>
      </c>
    </row>
    <row r="42" spans="8:8" ht="16.85">
      <c r="A42" s="56" t="s">
        <v>15</v>
      </c>
      <c r="B42" s="57"/>
      <c r="C42" s="58">
        <v>1.4017392E7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85">
      <c r="A46" s="77" t="s">
        <v>30</v>
      </c>
      <c r="B46" s="78"/>
      <c r="C46" s="79">
        <v>50000.0</v>
      </c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350000.0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1.4417392E7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2023-06-10T20:04:23Z</dcterms:created>
  <dcterms:modified xsi:type="dcterms:W3CDTF">2026-04-04T06:03:11Z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