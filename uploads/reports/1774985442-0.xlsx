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88BFDDB1-76DB-4904-9D2E-6A89EB828F2D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G18" i="6"/>
  <c r="F18" i="6"/>
  <c r="H18" i="6" s="1"/>
  <c r="E18" i="6"/>
  <c r="G17" i="6"/>
  <c r="E17" i="6"/>
  <c r="F17" i="6" s="1"/>
  <c r="H17" i="6" s="1"/>
  <c r="G14" i="6"/>
  <c r="E14" i="6"/>
  <c r="F14" i="6" s="1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G6" i="6"/>
  <c r="E6" i="6"/>
  <c r="F6" i="6" s="1"/>
  <c r="H6" i="6" s="1"/>
  <c r="H14" i="6" l="1"/>
  <c r="H13" i="6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<sst xmlns="http://schemas.openxmlformats.org/spreadsheetml/2006/main" count="1502" uniqueCount="93">
  <si>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</si>
  <si>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</si>
  <si>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</si>
  <si>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</si>
  <si>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</si>
  <si>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</si>
  <si>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</si>
  <si>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</si>
  <si>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</si>
  <si>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</si>
  <si>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</si>
  <si>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</si>
  <si>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</si>
  <si>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</si>
  <si>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</si>
  <si>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</si>
  <si>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</si>
  <si>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</si>
  <si>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</si>
  <si>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</si>
  <si>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</si>
  <si>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</si>
  <si>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</si>
  <si>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</si>
  <si>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</si>
  <si>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</si>
  <si>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</si>
  <si>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</si>
  <si>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</si>
  <si>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</si>
  <si>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</si>
  <si>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</si>
  <si>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</si>
  <si>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</si>
  <si>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</si>
  <si>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</si>
  <si>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</si>
  <si>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</si>
  <si>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</si>
  <si>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</si>
  <si>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</si>
  <si>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</si>
  <si>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</si>
  <si>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</si>
  <si>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</si>
  <si>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</si>
  <si>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</si>
  <si>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</si>
  <si>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</si>
  <si>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</si>
  <si>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</si>
  <si>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</si>
  <si>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</si>
  <si>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</si>
  <si>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</si>
  <si>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</si>
  <si>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</si>
  <si>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</si>
  <si>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</si>
  <si>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</si>
  <si>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</si>
  <si>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</si>
  <si>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</si>
  <si>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</si>
  <si>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</si>
  <si>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</si>
  <si>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</si>
  <si>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</si>
  <si>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</si>
  <si>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</si>
  <si>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</si>
  <si>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</si>
  <si>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</si>
  <si>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</si>
  <si>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</si>
  <si>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</si>
  <si>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</si>
  <si>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</si>
  <si>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</si>
  <si>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</si>
  <si>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</si>
  <si>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</si>
  <si>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</si>
  <si>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</si>
  <si>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</si>
  <si>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</si>
  <si>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</si>
  <si>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</si>
  <si>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</si>
  <si>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</si>
  <si>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</si>
  <si>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</si>
  <si>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31March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</si>
</sst>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left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2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31" customHeight="1">
      <c r="A2" s="194" t="s">
        <v>1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3" ht="15" customHeight="1">
      <c r="A3" s="194"/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396954</v>
      </c>
      <c r="C10" s="21">
        <f>BUGESERA!G29</f>
        <v>29690</v>
      </c>
      <c r="D10" s="22"/>
      <c r="E10" s="23"/>
      <c r="F10" s="18">
        <f t="shared" si="0"/>
        <v>426644</v>
      </c>
      <c r="G10" s="20">
        <f>BUGESERA!C33</f>
        <v>0</v>
      </c>
      <c r="H10" s="21">
        <f>BUGESERA!C31</f>
        <v>426644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11042955</v>
      </c>
      <c r="C29" s="40">
        <f t="shared" si="1"/>
        <v>1002720</v>
      </c>
      <c r="D29" s="41">
        <f t="shared" si="1"/>
        <v>0</v>
      </c>
      <c r="E29" s="40">
        <f t="shared" si="1"/>
        <v>0</v>
      </c>
      <c r="F29" s="40">
        <f t="shared" si="1"/>
        <v>12045675</v>
      </c>
      <c r="G29" s="41">
        <f t="shared" si="1"/>
        <v>0</v>
      </c>
      <c r="H29" s="41">
        <f t="shared" si="1"/>
        <v>426644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202"/>
      <c r="B30" s="202"/>
      <c r="C30" s="202"/>
      <c r="D30" s="203"/>
      <c r="E30" s="209" t="s">
        <v>32</v>
      </c>
      <c r="F30" s="210"/>
      <c r="G30" s="210"/>
      <c r="H30" s="210"/>
      <c r="I30" s="211"/>
      <c r="J30" s="196"/>
      <c r="K30" s="197"/>
    </row>
    <row r="31" spans="1:13">
      <c r="A31" s="207" t="s">
        <v>33</v>
      </c>
      <c r="B31" s="208"/>
      <c r="C31" s="208"/>
      <c r="D31" s="208"/>
      <c r="E31" s="212"/>
      <c r="F31" s="213"/>
      <c r="G31" s="213"/>
      <c r="H31" s="213"/>
      <c r="I31" s="214"/>
      <c r="J31" s="198"/>
      <c r="K31" s="199"/>
    </row>
    <row r="32" spans="1:13" ht="14">
      <c r="A32" s="188" t="s">
        <v>34</v>
      </c>
      <c r="B32" s="189"/>
      <c r="C32" s="190">
        <f>SUM(B29:C29)</f>
        <v>12045675</v>
      </c>
      <c r="D32" s="191"/>
      <c r="E32" s="212"/>
      <c r="F32" s="213"/>
      <c r="G32" s="213"/>
      <c r="H32" s="213"/>
      <c r="I32" s="214"/>
      <c r="J32" s="198"/>
      <c r="K32" s="199"/>
    </row>
    <row r="33" spans="1:11" ht="14">
      <c r="A33" s="188" t="s">
        <v>35</v>
      </c>
      <c r="B33" s="189"/>
      <c r="C33" s="184">
        <f>SUM(F29,G29)</f>
        <v>12045675</v>
      </c>
      <c r="D33" s="226"/>
      <c r="E33" s="212"/>
      <c r="F33" s="213"/>
      <c r="G33" s="213"/>
      <c r="H33" s="213"/>
      <c r="I33" s="214"/>
      <c r="J33" s="198"/>
      <c r="K33" s="199"/>
    </row>
    <row r="34" spans="1:11" ht="14">
      <c r="A34" s="186" t="s">
        <v>36</v>
      </c>
      <c r="B34" s="187"/>
      <c r="C34" s="184">
        <f>SUM(H29,J29,I29)</f>
        <v>426644</v>
      </c>
      <c r="D34" s="185"/>
      <c r="E34" s="212"/>
      <c r="F34" s="213"/>
      <c r="G34" s="213"/>
      <c r="H34" s="213"/>
      <c r="I34" s="214"/>
      <c r="J34" s="198"/>
      <c r="K34" s="199"/>
    </row>
    <row r="35" spans="1:11" ht="14">
      <c r="A35" s="188" t="s">
        <v>37</v>
      </c>
      <c r="B35" s="189"/>
      <c r="C35" s="184">
        <f>SUM(D29:E29)</f>
        <v>0</v>
      </c>
      <c r="D35" s="185"/>
      <c r="E35" s="215"/>
      <c r="F35" s="216"/>
      <c r="G35" s="216"/>
      <c r="H35" s="216"/>
      <c r="I35" s="217"/>
      <c r="J35" s="198"/>
      <c r="K35" s="199"/>
    </row>
    <row r="36" spans="1:11" ht="14">
      <c r="A36" s="188" t="s">
        <v>38</v>
      </c>
      <c r="B36" s="189"/>
      <c r="C36" s="184">
        <f t="shared" ref="C36" si="2">SUM(C33,C35)</f>
        <v>12045675</v>
      </c>
      <c r="D36" s="185"/>
      <c r="E36" s="218" t="s">
        <v>39</v>
      </c>
      <c r="F36" s="219"/>
      <c r="G36" s="219"/>
      <c r="H36" s="219"/>
      <c r="I36" s="220"/>
      <c r="J36" s="198"/>
      <c r="K36" s="199"/>
    </row>
    <row r="37" spans="1:11" ht="14">
      <c r="A37" s="224" t="s">
        <v>40</v>
      </c>
      <c r="B37" s="225"/>
      <c r="C37" s="184">
        <f>SUM(C34:C35)</f>
        <v>426644</v>
      </c>
      <c r="D37" s="185"/>
      <c r="E37" s="221"/>
      <c r="F37" s="222"/>
      <c r="G37" s="222"/>
      <c r="H37" s="222"/>
      <c r="I37" s="223"/>
      <c r="J37" s="198"/>
      <c r="K37" s="199"/>
    </row>
    <row r="38" spans="1:11" ht="25.5">
      <c r="A38" s="204" t="s">
        <v>41</v>
      </c>
      <c r="B38" s="205"/>
      <c r="C38" s="205"/>
      <c r="D38" s="205"/>
      <c r="E38" s="205"/>
      <c r="F38" s="205"/>
      <c r="G38" s="205"/>
      <c r="H38" s="205"/>
      <c r="I38" s="206"/>
      <c r="J38" s="200"/>
      <c r="K38" s="201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  <mergeCell ref="C32:D32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27" t="s">
        <v>42</v>
      </c>
      <c r="B1" s="228"/>
      <c r="C1" s="228"/>
      <c r="D1" s="228"/>
      <c r="E1" s="228"/>
      <c r="F1" s="228"/>
      <c r="G1" s="228"/>
      <c r="H1" s="229"/>
    </row>
    <row r="2" spans="1:8">
      <c r="A2" s="230"/>
      <c r="B2" s="231"/>
      <c r="C2" s="231"/>
      <c r="D2" s="231"/>
      <c r="E2" s="231"/>
      <c r="F2" s="231"/>
      <c r="G2" s="231"/>
      <c r="H2" s="232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 ht="15">
      <c r="A5" s="45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13">
        <v>4720</v>
      </c>
      <c r="D7" s="114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15">
        <v>3304</v>
      </c>
      <c r="D9" s="116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15">
        <v>2124</v>
      </c>
      <c r="D10" s="116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15">
        <v>1357</v>
      </c>
      <c r="D13" s="116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15" customHeight="1">
      <c r="A48" s="105"/>
      <c r="B48" s="242" t="s">
        <v>78</v>
      </c>
      <c r="C48" s="243"/>
      <c r="D48" s="244"/>
      <c r="E48" s="242" t="s">
        <v>79</v>
      </c>
      <c r="F48" s="243"/>
      <c r="G48" s="243"/>
      <c r="H48" s="244"/>
    </row>
    <row r="49" spans="1:8" ht="22" customHeight="1">
      <c r="A49" s="105"/>
      <c r="B49" s="162" t="s">
        <v>80</v>
      </c>
      <c r="C49" s="163"/>
      <c r="D49" s="164"/>
      <c r="E49" s="159">
        <f>SUM(B9:B12)</f>
        <v>27923</v>
      </c>
      <c r="F49" s="160"/>
      <c r="G49" s="160"/>
      <c r="H49" s="161"/>
    </row>
    <row r="50" spans="1:8" ht="22.5" customHeight="1">
      <c r="A50" s="105"/>
      <c r="B50" s="162" t="s">
        <v>52</v>
      </c>
      <c r="C50" s="163"/>
      <c r="D50" s="164"/>
      <c r="E50" s="159">
        <f>SUM(B6:B8)</f>
        <v>480</v>
      </c>
      <c r="F50" s="160"/>
      <c r="G50" s="160"/>
      <c r="H50" s="161"/>
    </row>
    <row r="51" spans="1:8" ht="24.65" customHeight="1">
      <c r="A51" s="105"/>
      <c r="B51" s="162" t="s">
        <v>81</v>
      </c>
      <c r="C51" s="163"/>
      <c r="D51" s="164"/>
      <c r="E51" s="129">
        <f>SUM(B13:B14)</f>
        <v>5567</v>
      </c>
      <c r="F51" s="130"/>
      <c r="G51" s="130"/>
      <c r="H51" s="131"/>
    </row>
    <row r="52" spans="1:8" ht="22" customHeight="1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22" customHeight="1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22" customHeight="1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22" customHeight="1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22" customHeight="1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22" customHeight="1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24.65" customHeight="1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25" customHeight="1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27.5">
      <c r="B62" s="245" t="s">
        <v>82</v>
      </c>
      <c r="C62" s="246"/>
      <c r="D62" s="247"/>
      <c r="E62" s="248">
        <f>SUM(E49:H61)</f>
        <v>33970</v>
      </c>
      <c r="F62" s="249"/>
      <c r="G62" s="249"/>
      <c r="H62" s="25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f>SUM(C31:C36)</f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83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15000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9000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>
        <v>7670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4130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>
        <v>3540</v>
      </c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>
        <v>2006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126" t="s">
        <v>61</v>
      </c>
      <c r="C52" s="127"/>
      <c r="D52" s="128"/>
      <c r="E52" s="123">
        <f>SUM(B17:B18)</f>
        <v>0</v>
      </c>
      <c r="F52" s="169"/>
      <c r="G52" s="169"/>
      <c r="H52" s="170"/>
    </row>
    <row r="53" spans="1:8" ht="17.5">
      <c r="B53" s="126" t="s">
        <v>62</v>
      </c>
      <c r="C53" s="127"/>
      <c r="D53" s="128"/>
      <c r="E53" s="123">
        <f>SUM(B19:B20)</f>
        <v>0</v>
      </c>
      <c r="F53" s="169"/>
      <c r="G53" s="169"/>
      <c r="H53" s="170"/>
    </row>
    <row r="54" spans="1:8" ht="17.5">
      <c r="B54" s="126" t="s">
        <v>63</v>
      </c>
      <c r="C54" s="127"/>
      <c r="D54" s="128"/>
      <c r="E54" s="123">
        <f>B29</f>
        <v>0</v>
      </c>
      <c r="F54" s="124"/>
      <c r="G54" s="124"/>
      <c r="H54" s="125"/>
    </row>
    <row r="55" spans="1:8" ht="17.5">
      <c r="B55" s="126" t="s">
        <v>63</v>
      </c>
      <c r="C55" s="127"/>
      <c r="D55" s="128"/>
      <c r="E55" s="123">
        <f t="shared" ref="E55:E61" si="6">B30</f>
        <v>0</v>
      </c>
      <c r="F55" s="124"/>
      <c r="G55" s="124"/>
      <c r="H55" s="125"/>
    </row>
    <row r="56" spans="1:8" ht="17.5">
      <c r="B56" s="126" t="s">
        <v>63</v>
      </c>
      <c r="C56" s="127"/>
      <c r="D56" s="128"/>
      <c r="E56" s="123">
        <f t="shared" si="6"/>
        <v>0</v>
      </c>
      <c r="F56" s="124"/>
      <c r="G56" s="124"/>
      <c r="H56" s="125"/>
    </row>
    <row r="57" spans="1:8" ht="17.5">
      <c r="B57" s="126" t="s">
        <v>63</v>
      </c>
      <c r="C57" s="127"/>
      <c r="D57" s="128"/>
      <c r="E57" s="123">
        <f t="shared" si="6"/>
        <v>0</v>
      </c>
      <c r="F57" s="124"/>
      <c r="G57" s="124"/>
      <c r="H57" s="125"/>
    </row>
    <row r="58" spans="1:8" ht="17.5">
      <c r="B58" s="126" t="s">
        <v>63</v>
      </c>
      <c r="C58" s="127"/>
      <c r="D58" s="128"/>
      <c r="E58" s="123">
        <f t="shared" si="6"/>
        <v>0</v>
      </c>
      <c r="F58" s="124"/>
      <c r="G58" s="124"/>
      <c r="H58" s="125"/>
    </row>
    <row r="59" spans="1:8" ht="17.5">
      <c r="B59" s="126" t="s">
        <v>63</v>
      </c>
      <c r="C59" s="127"/>
      <c r="D59" s="128"/>
      <c r="E59" s="123">
        <f t="shared" si="6"/>
        <v>0</v>
      </c>
      <c r="F59" s="124"/>
      <c r="G59" s="124"/>
      <c r="H59" s="125"/>
    </row>
    <row r="60" spans="1:8" ht="17.5">
      <c r="B60" s="126" t="s">
        <v>63</v>
      </c>
      <c r="C60" s="127"/>
      <c r="D60" s="128"/>
      <c r="E60" s="123">
        <f t="shared" si="6"/>
        <v>0</v>
      </c>
      <c r="F60" s="124"/>
      <c r="G60" s="124"/>
      <c r="H60" s="125"/>
    </row>
    <row r="61" spans="1:8" ht="17.5">
      <c r="B61" s="126" t="s">
        <v>63</v>
      </c>
      <c r="C61" s="127"/>
      <c r="D61" s="128"/>
      <c r="E61" s="123">
        <f t="shared" si="6"/>
        <v>0</v>
      </c>
      <c r="F61" s="124"/>
      <c r="G61" s="124"/>
      <c r="H61" s="125"/>
    </row>
    <row r="62" spans="1:8" ht="23">
      <c r="B62" s="126" t="s">
        <v>82</v>
      </c>
      <c r="C62" s="127"/>
      <c r="D62" s="128"/>
      <c r="E62" s="254">
        <f>SUM(E49:H61)</f>
        <v>0</v>
      </c>
      <c r="F62" s="255"/>
      <c r="G62" s="255"/>
      <c r="H62" s="256"/>
    </row>
    <row r="63" spans="1:8" ht="17.5">
      <c r="B63" s="126"/>
      <c r="C63" s="127"/>
      <c r="D63" s="128"/>
      <c r="E63" s="148"/>
      <c r="F63" s="149"/>
      <c r="G63" s="149"/>
      <c r="H63" s="150"/>
    </row>
  </sheetData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A7" sqref="A7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92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>
        <v>125</v>
      </c>
      <c r="C6" s="113">
        <v>7670</v>
      </c>
      <c r="D6" s="114"/>
      <c r="E6" s="50">
        <f t="shared" ref="E6:E14" si="0">PRODUCT(B6*C6)</f>
        <v>958750</v>
      </c>
      <c r="F6" s="50">
        <f t="shared" ref="F6:F28" si="1">PRODUCT(E6*18)/118</f>
        <v>146250</v>
      </c>
      <c r="G6" s="50">
        <f t="shared" ref="G6:G8" si="2">PRODUCT(B6*50)</f>
        <v>6250</v>
      </c>
      <c r="H6" s="51">
        <f t="shared" ref="H6:H14" si="3">SUM(F6:G6)</f>
        <v>152500</v>
      </c>
    </row>
    <row r="7" spans="1:8" ht="14.5">
      <c r="A7" s="107" t="s">
        <v>51</v>
      </c>
      <c r="B7" s="49"/>
      <c r="C7" s="113">
        <v>4720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15">
        <v>2006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3304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600</v>
      </c>
      <c r="C10" s="115">
        <v>2124</v>
      </c>
      <c r="D10" s="116"/>
      <c r="E10" s="54">
        <f t="shared" si="0"/>
        <v>1274400</v>
      </c>
      <c r="F10" s="54">
        <f t="shared" si="1"/>
        <v>194400</v>
      </c>
      <c r="G10" s="54">
        <f t="shared" si="4"/>
        <v>18000</v>
      </c>
      <c r="H10" s="55">
        <f t="shared" si="3"/>
        <v>212400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>
        <v>272</v>
      </c>
      <c r="C14" s="115">
        <v>1357</v>
      </c>
      <c r="D14" s="116"/>
      <c r="E14" s="54">
        <f t="shared" si="0"/>
        <v>369104</v>
      </c>
      <c r="F14" s="54">
        <f t="shared" si="1"/>
        <v>56304</v>
      </c>
      <c r="G14" s="54">
        <f>PRODUCT(B14*20)</f>
        <v>5440</v>
      </c>
      <c r="H14" s="55">
        <f t="shared" si="3"/>
        <v>61744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>
        <v>2006</v>
      </c>
      <c r="D18" s="66">
        <v>25</v>
      </c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2602254</v>
      </c>
      <c r="F29" s="80">
        <f t="shared" si="12"/>
        <v>396954</v>
      </c>
      <c r="G29" s="81">
        <f t="shared" si="12"/>
        <v>29690</v>
      </c>
      <c r="H29" s="82">
        <f t="shared" si="11"/>
        <v>426644</v>
      </c>
    </row>
    <row r="30" spans="1:8" ht="14.5">
      <c r="A30" s="172" t="s">
        <v>66</v>
      </c>
      <c r="B30" s="173"/>
      <c r="C30" s="84"/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>
        <v>426644</v>
      </c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600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125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272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997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>
        <v>2124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260" t="s">
        <v>68</v>
      </c>
      <c r="F38" s="261"/>
      <c r="G38" s="86" t="s">
        <v>69</v>
      </c>
      <c r="H38" s="87" t="s">
        <v>67</v>
      </c>
    </row>
    <row r="39" spans="1:8" ht="14.5">
      <c r="A39" s="264" t="s">
        <v>70</v>
      </c>
      <c r="B39" s="265"/>
      <c r="C39" s="88"/>
      <c r="D39" s="89"/>
      <c r="E39" s="257"/>
      <c r="F39" s="258"/>
      <c r="G39" s="90"/>
      <c r="H39" s="91"/>
    </row>
    <row r="40" spans="1:8" ht="14.5">
      <c r="A40" s="141" t="s">
        <v>71</v>
      </c>
      <c r="B40" s="142"/>
      <c r="C40" s="92"/>
      <c r="D40" s="93"/>
      <c r="E40" s="115"/>
      <c r="F40" s="116"/>
      <c r="G40" s="94"/>
      <c r="H40" s="95"/>
    </row>
    <row r="41" spans="1:8" ht="14.5">
      <c r="A41" s="141" t="s">
        <v>72</v>
      </c>
      <c r="B41" s="142"/>
      <c r="C41" s="96"/>
      <c r="D41" s="89"/>
      <c r="E41" s="266"/>
      <c r="F41" s="180"/>
      <c r="G41" s="94"/>
      <c r="H41" s="95"/>
    </row>
    <row r="42" spans="1:8" ht="14.5">
      <c r="A42" s="141" t="s">
        <v>73</v>
      </c>
      <c r="B42" s="142"/>
      <c r="C42" s="97"/>
      <c r="D42" s="98"/>
      <c r="E42" s="259"/>
      <c r="F42" s="180"/>
      <c r="G42" s="53"/>
      <c r="H42" s="95"/>
    </row>
    <row r="43" spans="1:8" ht="14.5">
      <c r="A43" s="141" t="s">
        <v>74</v>
      </c>
      <c r="B43" s="142"/>
      <c r="C43" s="99"/>
      <c r="D43" s="98"/>
      <c r="E43" s="267"/>
      <c r="F43" s="157"/>
      <c r="G43" s="53"/>
      <c r="H43" s="95"/>
    </row>
    <row r="44" spans="1:8" ht="14.5">
      <c r="A44" s="141" t="s">
        <v>75</v>
      </c>
      <c r="B44" s="142"/>
      <c r="C44" s="100"/>
      <c r="D44" s="48"/>
      <c r="E44" s="267"/>
      <c r="F44" s="157"/>
      <c r="G44" s="53"/>
      <c r="H44" s="95"/>
    </row>
    <row r="45" spans="1:8" ht="14.5">
      <c r="A45" s="141" t="s">
        <v>76</v>
      </c>
      <c r="B45" s="142"/>
      <c r="C45" s="101">
        <v>0</v>
      </c>
      <c r="D45" s="102"/>
      <c r="E45" s="268"/>
      <c r="F45" s="181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262"/>
      <c r="G49" s="262"/>
      <c r="H49" s="263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262"/>
      <c r="G50" s="262"/>
      <c r="H50" s="263"/>
    </row>
    <row r="51" spans="1:8" ht="18.5">
      <c r="A51" s="105"/>
      <c r="B51" s="162" t="s">
        <v>81</v>
      </c>
      <c r="C51" s="163"/>
      <c r="D51" s="164"/>
      <c r="E51" s="159">
        <f>SUM(B13:B14)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SUM(B11:B14)</f>
        <v>0</v>
      </c>
      <c r="F49" s="262"/>
      <c r="G49" s="262"/>
      <c r="H49" s="263"/>
    </row>
    <row r="50" spans="1:8" ht="18.5">
      <c r="A50" s="44"/>
      <c r="B50" s="162" t="s">
        <v>52</v>
      </c>
      <c r="C50" s="163"/>
      <c r="D50" s="164"/>
      <c r="E50" s="159">
        <f>SUM(B8:B10)</f>
        <v>0</v>
      </c>
      <c r="F50" s="262"/>
      <c r="G50" s="262"/>
      <c r="H50" s="263"/>
    </row>
    <row r="51" spans="1:8" ht="18.5">
      <c r="A51" s="44"/>
      <c r="B51" s="162" t="s">
        <v>81</v>
      </c>
      <c r="C51" s="163"/>
      <c r="D51" s="164"/>
      <c r="E51" s="159">
        <f>SUM(B15:B16)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SUM(B19:B20)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SUM(B29:B30)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 t="shared" ref="E54:E60" si="6">B31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si="6"/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ref="E61" si="7">B45</f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9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9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13"/>
      <c r="D7" s="114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15"/>
      <c r="D8" s="116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15"/>
      <c r="D9" s="116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15"/>
      <c r="D10" s="116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15"/>
      <c r="D11" s="116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15"/>
      <c r="D12" s="116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15"/>
      <c r="D13" s="116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15"/>
      <c r="D14" s="116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233" t="s">
        <v>61</v>
      </c>
      <c r="C44" s="234"/>
      <c r="D44" s="235"/>
      <c r="E44" s="123">
        <f>SUM(B17:B18)</f>
        <v>0</v>
      </c>
      <c r="F44" s="169"/>
      <c r="G44" s="169"/>
      <c r="H44" s="170"/>
    </row>
    <row r="45" spans="1:8" ht="17.5">
      <c r="B45" s="233" t="s">
        <v>62</v>
      </c>
      <c r="C45" s="234"/>
      <c r="D45" s="235"/>
      <c r="E45" s="123">
        <f>SUM(B19:B20)</f>
        <v>0</v>
      </c>
      <c r="F45" s="169"/>
      <c r="G45" s="169"/>
      <c r="H45" s="170"/>
    </row>
    <row r="46" spans="1:8" ht="17.5">
      <c r="B46" s="233" t="s">
        <v>63</v>
      </c>
      <c r="C46" s="234"/>
      <c r="D46" s="235"/>
      <c r="E46" s="123">
        <f>B21</f>
        <v>0</v>
      </c>
      <c r="F46" s="124"/>
      <c r="G46" s="124"/>
      <c r="H46" s="125"/>
    </row>
    <row r="47" spans="1:8" ht="17.5">
      <c r="B47" s="233" t="s">
        <v>63</v>
      </c>
      <c r="C47" s="234"/>
      <c r="D47" s="235"/>
      <c r="E47" s="123">
        <f t="shared" ref="E47:E53" si="0">B22</f>
        <v>0</v>
      </c>
      <c r="F47" s="124"/>
      <c r="G47" s="124"/>
      <c r="H47" s="125"/>
    </row>
    <row r="48" spans="1:8" ht="17.5">
      <c r="B48" s="233" t="s">
        <v>63</v>
      </c>
      <c r="C48" s="234"/>
      <c r="D48" s="235"/>
      <c r="E48" s="123">
        <f t="shared" si="0"/>
        <v>0</v>
      </c>
      <c r="F48" s="124"/>
      <c r="G48" s="124"/>
      <c r="H48" s="125"/>
    </row>
    <row r="49" spans="2:8" ht="17.5">
      <c r="B49" s="233" t="s">
        <v>63</v>
      </c>
      <c r="C49" s="234"/>
      <c r="D49" s="235"/>
      <c r="E49" s="123">
        <f t="shared" si="0"/>
        <v>0</v>
      </c>
      <c r="F49" s="124"/>
      <c r="G49" s="124"/>
      <c r="H49" s="125"/>
    </row>
    <row r="50" spans="2:8" ht="17.5">
      <c r="B50" s="233" t="s">
        <v>63</v>
      </c>
      <c r="C50" s="234"/>
      <c r="D50" s="235"/>
      <c r="E50" s="123">
        <f t="shared" si="0"/>
        <v>0</v>
      </c>
      <c r="F50" s="124"/>
      <c r="G50" s="124"/>
      <c r="H50" s="125"/>
    </row>
    <row r="51" spans="2:8" ht="17.5">
      <c r="B51" s="233" t="s">
        <v>63</v>
      </c>
      <c r="C51" s="234"/>
      <c r="D51" s="235"/>
      <c r="E51" s="123">
        <f t="shared" si="0"/>
        <v>0</v>
      </c>
      <c r="F51" s="124"/>
      <c r="G51" s="124"/>
      <c r="H51" s="125"/>
    </row>
    <row r="52" spans="2:8" ht="17.5">
      <c r="B52" s="233" t="s">
        <v>63</v>
      </c>
      <c r="C52" s="234"/>
      <c r="D52" s="235"/>
      <c r="E52" s="123">
        <f t="shared" si="0"/>
        <v>0</v>
      </c>
      <c r="F52" s="124"/>
      <c r="G52" s="124"/>
      <c r="H52" s="125"/>
    </row>
    <row r="53" spans="2:8" ht="17.5">
      <c r="B53" s="233" t="s">
        <v>63</v>
      </c>
      <c r="C53" s="234"/>
      <c r="D53" s="235"/>
      <c r="E53" s="123">
        <f t="shared" si="0"/>
        <v>0</v>
      </c>
      <c r="F53" s="124"/>
      <c r="G53" s="124"/>
      <c r="H53" s="125"/>
    </row>
    <row r="54" spans="2:8" ht="21">
      <c r="B54" s="233" t="s">
        <v>82</v>
      </c>
      <c r="C54" s="234"/>
      <c r="D54" s="235"/>
      <c r="E54" s="278">
        <f>SUM(E41:H53)</f>
        <v>0</v>
      </c>
      <c r="F54" s="279"/>
      <c r="G54" s="279"/>
      <c r="H54" s="280"/>
    </row>
    <row r="55" spans="2:8" ht="17.5">
      <c r="B55" s="233"/>
      <c r="C55" s="234"/>
      <c r="D55" s="235"/>
      <c r="E55" s="251"/>
      <c r="F55" s="252"/>
      <c r="G55" s="252"/>
      <c r="H55" s="253"/>
    </row>
  </sheetData>
  <sheetProtection password="C8CD" sheet="1" objects="1" scenarios="1" formatCells="0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17" t="s">
        <v>77</v>
      </c>
      <c r="B1" s="118"/>
      <c r="C1" s="118"/>
      <c r="D1" s="118"/>
      <c r="E1" s="118"/>
      <c r="F1" s="118"/>
      <c r="G1" s="119"/>
    </row>
    <row r="2" spans="1:7">
      <c r="A2" s="120"/>
      <c r="B2" s="121"/>
      <c r="C2" s="121"/>
      <c r="D2" s="121"/>
      <c r="E2" s="121"/>
      <c r="F2" s="121"/>
      <c r="G2" s="122"/>
    </row>
    <row r="3" spans="1:7" ht="28">
      <c r="A3" s="287" t="s">
        <v>78</v>
      </c>
      <c r="B3" s="288"/>
      <c r="C3" s="289"/>
      <c r="D3" s="287" t="s">
        <v>79</v>
      </c>
      <c r="E3" s="288"/>
      <c r="F3" s="288"/>
      <c r="G3" s="289"/>
    </row>
    <row r="4" spans="1:7" ht="41.5" customHeight="1">
      <c r="A4" s="290" t="s">
        <v>80</v>
      </c>
      <c r="B4" s="291"/>
      <c r="C4" s="292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28523</v>
      </c>
      <c r="E4" s="282"/>
      <c r="F4" s="282"/>
      <c r="G4" s="283"/>
    </row>
    <row r="5" spans="1:7" ht="37" customHeight="1">
      <c r="A5" s="290" t="s">
        <v>52</v>
      </c>
      <c r="B5" s="291"/>
      <c r="C5" s="292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605</v>
      </c>
      <c r="E5" s="282"/>
      <c r="F5" s="282"/>
      <c r="G5" s="283"/>
    </row>
    <row r="6" spans="1:7" ht="40" customHeight="1">
      <c r="A6" s="290" t="s">
        <v>56</v>
      </c>
      <c r="B6" s="291"/>
      <c r="C6" s="292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5839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93">
        <f>SUM(D4:D16)</f>
        <v>34967</v>
      </c>
      <c r="E17" s="294"/>
      <c r="F17" s="294"/>
      <c r="G17" s="295"/>
    </row>
  </sheetData>
  <sheetProtection password="C8CD" sheet="1" objects="1" scenarios="1"/>
  <mergeCells count="31"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2026-03-31T19:27:02Z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