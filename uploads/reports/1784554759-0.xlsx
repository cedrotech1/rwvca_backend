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workbookProtection workbookPassword="EA6E" lockStructure="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E34" i="1"/>
  <c r="F34" i="1" s="1"/>
  <c r="H34" i="1" s="1"/>
  <c r="G33" i="1"/>
  <c r="E33" i="1"/>
  <c r="F33" i="1" s="1"/>
  <c r="H33" i="1" s="1"/>
  <c r="G32" i="1"/>
  <c r="E32" i="1"/>
  <c r="F32" i="1" s="1"/>
  <c r="H32" i="1" s="1"/>
  <c r="G31" i="1"/>
  <c r="E31" i="1"/>
  <c r="F31" i="1" s="1"/>
  <c r="H31" i="1" s="1"/>
  <c r="G30" i="1"/>
  <c r="E30" i="1"/>
  <c r="F30" i="1" s="1"/>
  <c r="H30" i="1" s="1"/>
  <c r="G29" i="1"/>
  <c r="E29" i="1"/>
  <c r="F29" i="1" s="1"/>
  <c r="H29" i="1" s="1"/>
  <c r="G28" i="1"/>
  <c r="E28" i="1"/>
  <c r="F28" i="1" s="1"/>
  <c r="G27" i="1"/>
  <c r="E27" i="1"/>
  <c r="F27" i="1" s="1"/>
  <c r="G26" i="1"/>
  <c r="E26" i="1"/>
  <c r="F26" i="1" s="1"/>
  <c r="G25" i="1"/>
  <c r="E25" i="1"/>
  <c r="F25" i="1" s="1"/>
  <c r="G24" i="1"/>
  <c r="E24" i="1"/>
  <c r="F24" i="1" s="1"/>
  <c r="G23" i="1"/>
  <c r="E23" i="1"/>
  <c r="F23" i="1" s="1"/>
  <c r="G22" i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G40" i="1"/>
  <c r="E40" i="1"/>
  <c r="F40" i="1" s="1"/>
  <c r="H40" i="1" s="1"/>
  <c r="G39" i="1"/>
  <c r="E39" i="1"/>
  <c r="F39" i="1" s="1"/>
  <c r="G38" i="1"/>
  <c r="E38" i="1"/>
  <c r="F38" i="1" s="1"/>
  <c r="H38" i="1" s="1"/>
  <c r="G37" i="1"/>
  <c r="E37" i="1"/>
  <c r="F37" i="1" s="1"/>
  <c r="G36" i="1"/>
  <c r="E36" i="1"/>
  <c r="F36" i="1" s="1"/>
  <c r="H36" i="1" s="1"/>
  <c r="G35" i="1"/>
  <c r="E35" i="1"/>
  <c r="F35" i="1" s="1"/>
  <c r="G14" i="1"/>
  <c r="E14" i="1"/>
  <c r="F14" i="1" s="1"/>
  <c r="G13" i="1"/>
  <c r="E13" i="1"/>
  <c r="F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G6" i="1"/>
  <c r="E6" i="1"/>
  <c r="F6" i="1" s="1"/>
  <c r="H14" i="1" l="1"/>
  <c r="H28" i="1"/>
  <c r="H8" i="1"/>
  <c r="H26" i="1"/>
  <c r="H6" i="1"/>
  <c r="H17" i="1"/>
  <c r="H18" i="1"/>
  <c r="H23" i="1"/>
  <c r="H24" i="1"/>
  <c r="H19" i="1"/>
  <c r="H21" i="1"/>
  <c r="H22" i="1"/>
  <c r="H20" i="1"/>
  <c r="H12" i="1"/>
  <c r="H10" i="1"/>
  <c r="H27" i="1"/>
  <c r="G41" i="1"/>
  <c r="H25" i="1"/>
  <c r="E41" i="1"/>
  <c r="H9" i="1"/>
  <c r="H13" i="1"/>
  <c r="H35" i="1"/>
  <c r="H37" i="1"/>
  <c r="H39" i="1"/>
  <c r="H11" i="1"/>
  <c r="F7" i="1"/>
  <c r="F41" i="1" s="1"/>
  <c r="H7" i="1" l="1"/>
  <c r="H41" i="1"/>
</calcChain>
</file>

<file path=xl/sharedStrings.xml><?xml version="1.0" encoding="utf-8"?>
<sst xmlns="http://schemas.openxmlformats.org/spreadsheetml/2006/main" count="68" uniqueCount="48">
  <si>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</si>
  <si>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</si>
  <si>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</si>
  <si>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</si>
  <si>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</si>
  <si>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</si>
  <si>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</si>
  <si>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</si>
  <si>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</si>
  <si>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</si>
  <si>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</si>
  <si>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</si>
  <si>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</si>
  <si>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</si>
  <si>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</si>
  <si>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</si>
  <si>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</si>
  <si>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</si>
  <si>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</si>
  <si>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</si>
  <si>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</si>
  <si>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</si>
  <si>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</si>
  <si>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</si>
  <si>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</si>
  <si>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</si>
  <si>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ICPCs GISOZI</t>
  </si>
  <si>
    <t>Chantal NIYIGENA</t>
  </si>
  <si>
    <t xml:space="preserve">PINUS </t>
  </si>
  <si>
    <t>PLANCHE</t>
  </si>
  <si>
    <t>MADRIEN</t>
  </si>
  <si>
    <t>MADRIEN NTOYA</t>
  </si>
  <si>
    <t>MADRIENNINI</t>
  </si>
  <si>
    <t>IBIPANDE BYA PINUS</t>
  </si>
  <si>
    <t>IBIPANDE BY'INTURUSU</t>
  </si>
  <si>
    <t>Membership Supervisor Officer:</t>
  </si>
  <si>
    <t>Membership Relation Officer:</t>
  </si>
  <si>
    <t>INTURUSU NTOYA</t>
  </si>
  <si>
    <t>PINUS</t>
  </si>
  <si>
    <t>PLANCHE ZA PINUS</t>
  </si>
  <si>
    <t xml:space="preserve">PLANCHE   </t>
  </si>
  <si>
    <t>DECHET</t>
  </si>
  <si>
    <t>MUNYONGORO</t>
  </si>
  <si>
    <t xml:space="preserve">PLANCHE </t>
  </si>
  <si>
    <t xml:space="preserve">SIPURE </t>
  </si>
  <si>
    <t>Moses NIYITEGEKA</t>
  </si>
  <si>
    <t>Alphonse NIYONKURU</t>
  </si>
  <si>
    <t>WEEKLY REPORT 13-19/07/2026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</si>
</sst>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1"/>
      <name val="Calibri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6" fillId="0" borderId="0">
      <protection locked="0"/>
    </xf>
  </cellStyleXfs>
  <cellXfs count="91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1" fillId="0" borderId="16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0" xfId="1" applyNumberFormat="1" applyFont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26" xfId="1" applyNumberFormat="1" applyFont="1" applyBorder="1">
      <protection locked="0"/>
    </xf>
    <xf numFmtId="165" fontId="1" fillId="0" borderId="27" xfId="1" applyNumberFormat="1" applyFont="1" applyBorder="1">
      <protection locked="0"/>
    </xf>
    <xf numFmtId="165" fontId="1" fillId="0" borderId="29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1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32" xfId="0" applyFont="1" applyBorder="1" applyAlignment="1" applyProtection="1">
      <protection locked="0"/>
    </xf>
    <xf numFmtId="0" fontId="1" fillId="0" borderId="33" xfId="0" applyFont="1" applyBorder="1" applyAlignment="1" applyProtection="1">
      <protection locked="0"/>
    </xf>
    <xf numFmtId="0" fontId="1" fillId="0" borderId="35" xfId="0" applyFont="1" applyBorder="1" applyAlignment="1" applyProtection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1" fillId="2" borderId="36" xfId="1" applyNumberFormat="1" applyFont="1" applyFill="1" applyBorder="1">
      <protection locked="0"/>
    </xf>
    <xf numFmtId="165" fontId="4" fillId="2" borderId="36" xfId="1" applyNumberFormat="1" applyFont="1" applyFill="1" applyBorder="1" applyProtection="1">
      <protection hidden="1"/>
    </xf>
    <xf numFmtId="165" fontId="4" fillId="2" borderId="37" xfId="1" applyNumberFormat="1" applyFont="1" applyFill="1" applyBorder="1" applyProtection="1">
      <protection hidden="1"/>
    </xf>
    <xf numFmtId="165" fontId="1" fillId="0" borderId="34" xfId="1" applyNumberFormat="1" applyFont="1" applyBorder="1">
      <protection locked="0"/>
    </xf>
    <xf numFmtId="165" fontId="4" fillId="0" borderId="34" xfId="1" applyNumberFormat="1" applyFont="1" applyBorder="1" applyProtection="1">
      <protection hidden="1"/>
    </xf>
    <xf numFmtId="165" fontId="4" fillId="0" borderId="35" xfId="1" applyNumberFormat="1" applyFont="1" applyBorder="1" applyProtection="1">
      <protection hidden="1"/>
    </xf>
    <xf numFmtId="165" fontId="1" fillId="0" borderId="33" xfId="1" applyNumberFormat="1" applyFont="1" applyBorder="1">
      <protection locked="0"/>
    </xf>
    <xf numFmtId="165" fontId="1" fillId="2" borderId="38" xfId="1" applyNumberFormat="1" applyFont="1" applyFill="1" applyBorder="1">
      <protection locked="0"/>
    </xf>
    <xf numFmtId="165" fontId="4" fillId="0" borderId="13" xfId="1" applyNumberFormat="1" applyFont="1" applyBorder="1" applyAlignment="1">
      <alignment horizontal="left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4" fillId="0" borderId="39" xfId="1" applyNumberFormat="1" applyFont="1" applyBorder="1">
      <protection locked="0"/>
    </xf>
    <xf numFmtId="165" fontId="4" fillId="2" borderId="40" xfId="1" applyNumberFormat="1" applyFont="1" applyFill="1" applyBorder="1" applyAlignment="1">
      <alignment vertical="center"/>
      <protection locked="0"/>
    </xf>
    <xf numFmtId="3" fontId="1" fillId="0" borderId="11" xfId="0" applyNumberFormat="1" applyFont="1" applyBorder="1" applyAlignment="1" applyProtection="1">
      <protection locked="0"/>
    </xf>
    <xf numFmtId="0" fontId="0" fillId="0" borderId="0" xfId="0" applyAlignment="1" applyProtection="1">
      <protection locked="0"/>
    </xf>
    <xf numFmtId="0" fontId="4" fillId="0" borderId="30" xfId="0" applyFont="1" applyBorder="1" applyAlignment="1" applyProtection="1">
      <alignment horizontal="left"/>
      <protection locked="0"/>
    </xf>
    <xf numFmtId="0" fontId="4" fillId="0" borderId="25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33" xfId="0" applyFont="1" applyBorder="1" applyAlignment="1" applyProtection="1">
      <alignment horizontal="left"/>
      <protection locked="0"/>
    </xf>
    <xf numFmtId="0" fontId="1" fillId="0" borderId="34" xfId="0" applyFont="1" applyBorder="1" applyAlignment="1" applyProtection="1">
      <alignment horizontal="left"/>
      <protection locked="0"/>
    </xf>
    <xf numFmtId="165" fontId="1" fillId="0" borderId="27" xfId="1" applyNumberFormat="1" applyFont="1" applyBorder="1" applyAlignment="1">
      <alignment horizontal="left"/>
      <protection locked="0"/>
    </xf>
    <xf numFmtId="165" fontId="1" fillId="0" borderId="28" xfId="1" applyNumberFormat="1" applyFont="1" applyBorder="1" applyAlignment="1">
      <alignment horizontal="left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24" xfId="1" applyNumberFormat="1" applyFont="1" applyBorder="1" applyAlignment="1">
      <alignment horizontal="center"/>
      <protection locked="0"/>
    </xf>
    <xf numFmtId="165" fontId="1" fillId="0" borderId="25" xfId="1" applyNumberFormat="1" applyFont="1" applyBorder="1" applyAlignment="1">
      <alignment horizontal="center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23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A18" zoomScaleNormal="100" workbookViewId="0">
      <selection activeCell="C45" sqref="C45"/>
    </sheetView>
  </sheetViews>
  <sheetFormatPr defaultColWidth="8.77734375" defaultRowHeight="14.4"/>
  <cols>
    <col min="1" max="1" width="18.21875" style="1" customWidth="1"/>
    <col min="2" max="3" width="14.77734375" style="1" customWidth="1"/>
    <col min="4" max="4" width="7.21875" style="1" customWidth="1"/>
    <col min="5" max="5" width="15.5546875" style="1" customWidth="1"/>
    <col min="6" max="6" width="11.44140625" style="1" bestFit="1" customWidth="1"/>
    <col min="7" max="7" width="13.21875" style="1" customWidth="1"/>
    <col min="8" max="8" width="16.21875" style="1" customWidth="1"/>
    <col min="9" max="16384" width="8.77734375" style="1"/>
  </cols>
  <sheetData>
    <row r="1" spans="1:8" ht="10.199999999999999" customHeight="1">
      <c r="A1" s="69" t="s">
        <v>26</v>
      </c>
      <c r="B1" s="70"/>
      <c r="C1" s="70"/>
      <c r="D1" s="70"/>
      <c r="E1" s="70"/>
      <c r="F1" s="70"/>
      <c r="G1" s="70"/>
      <c r="H1" s="71"/>
    </row>
    <row r="2" spans="1:8" ht="12.6" customHeight="1">
      <c r="A2" s="72"/>
      <c r="B2" s="73"/>
      <c r="C2" s="73"/>
      <c r="D2" s="73"/>
      <c r="E2" s="73"/>
      <c r="F2" s="73"/>
      <c r="G2" s="73"/>
      <c r="H2" s="74"/>
    </row>
    <row r="3" spans="1:8" ht="13.2" customHeight="1">
      <c r="A3" s="75" t="s">
        <v>47</v>
      </c>
      <c r="B3" s="76"/>
      <c r="C3" s="76"/>
      <c r="D3" s="76"/>
      <c r="E3" s="76"/>
      <c r="F3" s="76"/>
      <c r="G3" s="76"/>
      <c r="H3" s="77"/>
    </row>
    <row r="4" spans="1:8">
      <c r="A4" s="78"/>
      <c r="B4" s="79"/>
      <c r="C4" s="79"/>
      <c r="D4" s="79"/>
      <c r="E4" s="79"/>
      <c r="F4" s="79"/>
      <c r="G4" s="79"/>
      <c r="H4" s="80"/>
    </row>
    <row r="5" spans="1:8">
      <c r="A5" s="2" t="s">
        <v>0</v>
      </c>
      <c r="B5" s="2" t="s">
        <v>21</v>
      </c>
      <c r="C5" s="85" t="s">
        <v>6</v>
      </c>
      <c r="D5" s="86"/>
      <c r="E5" s="2" t="s">
        <v>1</v>
      </c>
      <c r="F5" s="3" t="s">
        <v>2</v>
      </c>
      <c r="G5" s="2" t="s">
        <v>3</v>
      </c>
      <c r="H5" s="4" t="s">
        <v>4</v>
      </c>
    </row>
    <row r="6" spans="1:8">
      <c r="A6" s="5" t="s">
        <v>17</v>
      </c>
      <c r="B6" s="6">
        <v>150</v>
      </c>
      <c r="C6" s="87">
        <v>12036</v>
      </c>
      <c r="D6" s="88"/>
      <c r="E6" s="7">
        <f t="shared" ref="E6" si="0">PRODUCT(B6*C6)</f>
        <v>1805400</v>
      </c>
      <c r="F6" s="7">
        <f t="shared" ref="F6" si="1">PRODUCT(E6*18)/118</f>
        <v>275400</v>
      </c>
      <c r="G6" s="7">
        <f>PRODUCT(B6*50)</f>
        <v>7500</v>
      </c>
      <c r="H6" s="8">
        <f t="shared" ref="H6" si="2">SUM(F6:G6)</f>
        <v>282900</v>
      </c>
    </row>
    <row r="7" spans="1:8">
      <c r="A7" s="5" t="s">
        <v>18</v>
      </c>
      <c r="B7" s="6"/>
      <c r="C7" s="87">
        <v>6000</v>
      </c>
      <c r="D7" s="88"/>
      <c r="E7" s="7">
        <f t="shared" ref="E7:E14" si="3">PRODUCT(B7*C7)</f>
        <v>0</v>
      </c>
      <c r="F7" s="7">
        <f t="shared" ref="F7:F40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>
      <c r="A8" s="9" t="s">
        <v>38</v>
      </c>
      <c r="B8" s="10">
        <v>830</v>
      </c>
      <c r="C8" s="89">
        <v>8000</v>
      </c>
      <c r="D8" s="90"/>
      <c r="E8" s="11">
        <f t="shared" si="3"/>
        <v>6640000</v>
      </c>
      <c r="F8" s="11">
        <f t="shared" si="4"/>
        <v>1012881.3559322034</v>
      </c>
      <c r="G8" s="11">
        <f>PRODUCT(B8*50)</f>
        <v>41500</v>
      </c>
      <c r="H8" s="12">
        <f t="shared" si="5"/>
        <v>1054381.3559322034</v>
      </c>
    </row>
    <row r="9" spans="1:8">
      <c r="A9" s="9" t="s">
        <v>32</v>
      </c>
      <c r="B9" s="10">
        <v>350</v>
      </c>
      <c r="C9" s="89">
        <v>3776</v>
      </c>
      <c r="D9" s="90"/>
      <c r="E9" s="11">
        <f t="shared" si="3"/>
        <v>1321600</v>
      </c>
      <c r="F9" s="11">
        <f t="shared" si="4"/>
        <v>201600</v>
      </c>
      <c r="G9" s="11">
        <f>PRODUCT(B9*30)</f>
        <v>10500</v>
      </c>
      <c r="H9" s="12">
        <f t="shared" si="5"/>
        <v>212100</v>
      </c>
    </row>
    <row r="10" spans="1:8">
      <c r="A10" s="9" t="s">
        <v>31</v>
      </c>
      <c r="B10" s="10">
        <v>3315</v>
      </c>
      <c r="C10" s="89">
        <v>2000</v>
      </c>
      <c r="D10" s="90"/>
      <c r="E10" s="11">
        <f t="shared" si="3"/>
        <v>6630000</v>
      </c>
      <c r="F10" s="11">
        <f t="shared" si="4"/>
        <v>1011355.9322033898</v>
      </c>
      <c r="G10" s="11">
        <f>PRODUCT(B10*30)</f>
        <v>99450</v>
      </c>
      <c r="H10" s="12">
        <f t="shared" si="5"/>
        <v>1110805.9322033897</v>
      </c>
    </row>
    <row r="11" spans="1:8">
      <c r="A11" s="9" t="s">
        <v>29</v>
      </c>
      <c r="B11" s="10">
        <v>1300</v>
      </c>
      <c r="C11" s="89">
        <v>1357</v>
      </c>
      <c r="D11" s="90"/>
      <c r="E11" s="11">
        <f t="shared" si="3"/>
        <v>1764100</v>
      </c>
      <c r="F11" s="11">
        <f t="shared" si="4"/>
        <v>269100</v>
      </c>
      <c r="G11" s="11">
        <f>PRODUCT(B11*20)</f>
        <v>26000</v>
      </c>
      <c r="H11" s="12">
        <f t="shared" si="5"/>
        <v>295100</v>
      </c>
    </row>
    <row r="12" spans="1:8">
      <c r="A12" s="9" t="s">
        <v>43</v>
      </c>
      <c r="B12" s="10"/>
      <c r="C12" s="89">
        <v>1200</v>
      </c>
      <c r="D12" s="90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>
      <c r="A13" s="9" t="s">
        <v>30</v>
      </c>
      <c r="B13" s="10">
        <v>16016</v>
      </c>
      <c r="C13" s="89">
        <v>2124</v>
      </c>
      <c r="D13" s="90"/>
      <c r="E13" s="11">
        <f t="shared" si="3"/>
        <v>34017984</v>
      </c>
      <c r="F13" s="11">
        <f t="shared" si="4"/>
        <v>5189184</v>
      </c>
      <c r="G13" s="11">
        <f>PRODUCT(B13*30)</f>
        <v>480480</v>
      </c>
      <c r="H13" s="12">
        <f t="shared" si="5"/>
        <v>5669664</v>
      </c>
    </row>
    <row r="14" spans="1:8">
      <c r="A14" s="13" t="s">
        <v>30</v>
      </c>
      <c r="B14" s="10"/>
      <c r="C14" s="89">
        <v>3000</v>
      </c>
      <c r="D14" s="90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95" customHeight="1" thickBot="1">
      <c r="A15" s="81"/>
      <c r="B15" s="82"/>
      <c r="C15" s="82"/>
      <c r="D15" s="82"/>
      <c r="E15" s="82"/>
      <c r="F15" s="82"/>
      <c r="G15" s="82"/>
      <c r="H15" s="83"/>
    </row>
    <row r="16" spans="1:8" ht="15" thickBot="1">
      <c r="A16" s="14" t="s">
        <v>0</v>
      </c>
      <c r="B16" s="14" t="s">
        <v>21</v>
      </c>
      <c r="C16" s="14" t="s">
        <v>7</v>
      </c>
      <c r="D16" s="14" t="s">
        <v>3</v>
      </c>
      <c r="E16" s="15" t="s">
        <v>1</v>
      </c>
      <c r="F16" s="15" t="s">
        <v>9</v>
      </c>
      <c r="G16" s="15" t="s">
        <v>3</v>
      </c>
      <c r="H16" s="16" t="s">
        <v>10</v>
      </c>
    </row>
    <row r="17" spans="1:9">
      <c r="A17" s="47" t="s">
        <v>38</v>
      </c>
      <c r="B17" s="38"/>
      <c r="C17" s="17">
        <v>10000</v>
      </c>
      <c r="D17" s="17">
        <v>50</v>
      </c>
      <c r="E17" s="7">
        <f>PRODUCT(B17*C17)</f>
        <v>0</v>
      </c>
      <c r="F17" s="7">
        <f t="shared" ref="F17:F22" si="6">PRODUCT(E17*18)/118</f>
        <v>0</v>
      </c>
      <c r="G17" s="7">
        <f>PRODUCT(B17*D17)</f>
        <v>0</v>
      </c>
      <c r="H17" s="8">
        <f>SUM(F17:G17)</f>
        <v>0</v>
      </c>
    </row>
    <row r="18" spans="1:9">
      <c r="A18" s="48" t="s">
        <v>42</v>
      </c>
      <c r="B18" s="37"/>
      <c r="C18" s="18">
        <v>2360</v>
      </c>
      <c r="D18" s="18">
        <v>20</v>
      </c>
      <c r="E18" s="11">
        <f t="shared" ref="E18:E22" si="7">PRODUCT(B18*C18)</f>
        <v>0</v>
      </c>
      <c r="F18" s="11">
        <f t="shared" si="6"/>
        <v>0</v>
      </c>
      <c r="G18" s="11">
        <f t="shared" ref="G18:G22" si="8">PRODUCT(B18*D18)</f>
        <v>0</v>
      </c>
      <c r="H18" s="12">
        <f t="shared" ref="H18:H22" si="9">SUM(F18:G18)</f>
        <v>0</v>
      </c>
    </row>
    <row r="19" spans="1:9">
      <c r="A19" s="9" t="s">
        <v>30</v>
      </c>
      <c r="B19" s="10"/>
      <c r="C19" s="19">
        <v>2500</v>
      </c>
      <c r="D19" s="19">
        <v>30</v>
      </c>
      <c r="E19" s="11">
        <f t="shared" si="7"/>
        <v>0</v>
      </c>
      <c r="F19" s="11">
        <f t="shared" si="6"/>
        <v>0</v>
      </c>
      <c r="G19" s="11">
        <f t="shared" si="8"/>
        <v>0</v>
      </c>
      <c r="H19" s="12">
        <f t="shared" si="9"/>
        <v>0</v>
      </c>
    </row>
    <row r="20" spans="1:9">
      <c r="A20" s="9" t="s">
        <v>18</v>
      </c>
      <c r="B20" s="10"/>
      <c r="C20" s="19">
        <v>4000</v>
      </c>
      <c r="D20" s="19">
        <v>50</v>
      </c>
      <c r="E20" s="11">
        <f t="shared" si="7"/>
        <v>0</v>
      </c>
      <c r="F20" s="11">
        <f t="shared" si="6"/>
        <v>0</v>
      </c>
      <c r="G20" s="11">
        <f t="shared" si="8"/>
        <v>0</v>
      </c>
      <c r="H20" s="12">
        <f t="shared" si="9"/>
        <v>0</v>
      </c>
    </row>
    <row r="21" spans="1:9">
      <c r="A21" s="9" t="s">
        <v>34</v>
      </c>
      <c r="B21" s="10"/>
      <c r="C21" s="19">
        <v>1500</v>
      </c>
      <c r="D21" s="19">
        <v>20</v>
      </c>
      <c r="E21" s="11">
        <f t="shared" si="7"/>
        <v>0</v>
      </c>
      <c r="F21" s="11">
        <f t="shared" si="6"/>
        <v>0</v>
      </c>
      <c r="G21" s="11">
        <f t="shared" si="8"/>
        <v>0</v>
      </c>
      <c r="H21" s="12">
        <f t="shared" si="9"/>
        <v>0</v>
      </c>
    </row>
    <row r="22" spans="1:9" ht="15" thickBot="1">
      <c r="A22" s="49" t="s">
        <v>33</v>
      </c>
      <c r="B22" s="45"/>
      <c r="C22" s="42">
        <v>2000</v>
      </c>
      <c r="D22" s="42">
        <v>25</v>
      </c>
      <c r="E22" s="43">
        <f t="shared" si="7"/>
        <v>0</v>
      </c>
      <c r="F22" s="43">
        <f t="shared" si="6"/>
        <v>0</v>
      </c>
      <c r="G22" s="43">
        <f t="shared" si="8"/>
        <v>0</v>
      </c>
      <c r="H22" s="44">
        <f t="shared" si="9"/>
        <v>0</v>
      </c>
    </row>
    <row r="23" spans="1:9">
      <c r="A23" s="47" t="s">
        <v>28</v>
      </c>
      <c r="B23" s="38"/>
      <c r="C23" s="17">
        <v>5000</v>
      </c>
      <c r="D23" s="17">
        <v>50</v>
      </c>
      <c r="E23" s="7">
        <f>PRODUCT(B23*C23)</f>
        <v>0</v>
      </c>
      <c r="F23" s="7">
        <f t="shared" ref="F23:F34" si="10">PRODUCT(E23*18)/118</f>
        <v>0</v>
      </c>
      <c r="G23" s="7">
        <f>PRODUCT(B23*D23)</f>
        <v>0</v>
      </c>
      <c r="H23" s="8">
        <f>SUM(F23:G23)</f>
        <v>0</v>
      </c>
    </row>
    <row r="24" spans="1:9">
      <c r="A24" s="48" t="s">
        <v>39</v>
      </c>
      <c r="B24" s="37"/>
      <c r="C24" s="18">
        <v>1770</v>
      </c>
      <c r="D24" s="18">
        <v>20</v>
      </c>
      <c r="E24" s="11">
        <f t="shared" ref="E24:E28" si="11">PRODUCT(B24*C24)</f>
        <v>0</v>
      </c>
      <c r="F24" s="11">
        <f t="shared" si="10"/>
        <v>0</v>
      </c>
      <c r="G24" s="11">
        <f t="shared" ref="G24:G28" si="12">PRODUCT(B24*D24)</f>
        <v>0</v>
      </c>
      <c r="H24" s="12">
        <f t="shared" ref="H24:H28" si="13">SUM(F24:G24)</f>
        <v>0</v>
      </c>
      <c r="I24" s="22"/>
    </row>
    <row r="25" spans="1:9">
      <c r="A25" s="9" t="s">
        <v>40</v>
      </c>
      <c r="B25" s="10"/>
      <c r="C25" s="19">
        <v>1800</v>
      </c>
      <c r="D25" s="19">
        <v>20</v>
      </c>
      <c r="E25" s="11">
        <f t="shared" si="11"/>
        <v>0</v>
      </c>
      <c r="F25" s="11">
        <f t="shared" si="10"/>
        <v>0</v>
      </c>
      <c r="G25" s="11">
        <f t="shared" si="12"/>
        <v>0</v>
      </c>
      <c r="H25" s="12">
        <f t="shared" si="13"/>
        <v>0</v>
      </c>
      <c r="I25" s="22"/>
    </row>
    <row r="26" spans="1:9">
      <c r="A26" s="9" t="s">
        <v>44</v>
      </c>
      <c r="B26" s="10"/>
      <c r="C26" s="19">
        <v>18000</v>
      </c>
      <c r="D26" s="19">
        <v>50</v>
      </c>
      <c r="E26" s="11">
        <f t="shared" si="11"/>
        <v>0</v>
      </c>
      <c r="F26" s="11">
        <f t="shared" si="10"/>
        <v>0</v>
      </c>
      <c r="G26" s="11">
        <f t="shared" si="12"/>
        <v>0</v>
      </c>
      <c r="H26" s="12">
        <f t="shared" si="13"/>
        <v>0</v>
      </c>
      <c r="I26" s="22"/>
    </row>
    <row r="27" spans="1:9">
      <c r="A27" s="9" t="s">
        <v>37</v>
      </c>
      <c r="B27" s="10"/>
      <c r="C27" s="19">
        <v>2596</v>
      </c>
      <c r="D27" s="19">
        <v>30</v>
      </c>
      <c r="E27" s="11">
        <f t="shared" si="11"/>
        <v>0</v>
      </c>
      <c r="F27" s="11">
        <f t="shared" si="10"/>
        <v>0</v>
      </c>
      <c r="G27" s="11">
        <f t="shared" si="12"/>
        <v>0</v>
      </c>
      <c r="H27" s="12">
        <f t="shared" si="13"/>
        <v>0</v>
      </c>
      <c r="I27" s="22"/>
    </row>
    <row r="28" spans="1:9" ht="15" thickBot="1">
      <c r="A28" s="49" t="s">
        <v>41</v>
      </c>
      <c r="B28" s="45">
        <v>14</v>
      </c>
      <c r="C28" s="42">
        <v>10000</v>
      </c>
      <c r="D28" s="42"/>
      <c r="E28" s="43">
        <f t="shared" si="11"/>
        <v>140000</v>
      </c>
      <c r="F28" s="43">
        <f t="shared" si="10"/>
        <v>21355.932203389832</v>
      </c>
      <c r="G28" s="43">
        <f t="shared" si="12"/>
        <v>0</v>
      </c>
      <c r="H28" s="44">
        <f t="shared" si="13"/>
        <v>21355.932203389832</v>
      </c>
      <c r="I28" s="22"/>
    </row>
    <row r="29" spans="1:9">
      <c r="A29" s="47" t="s">
        <v>41</v>
      </c>
      <c r="B29" s="38">
        <v>2</v>
      </c>
      <c r="C29" s="17"/>
      <c r="D29" s="17">
        <v>5000</v>
      </c>
      <c r="E29" s="7">
        <f>PRODUCT(B29*C29)</f>
        <v>0</v>
      </c>
      <c r="F29" s="7">
        <f t="shared" si="10"/>
        <v>0</v>
      </c>
      <c r="G29" s="7">
        <f>PRODUCT(B29*D29)</f>
        <v>10000</v>
      </c>
      <c r="H29" s="8">
        <f>SUM(F29:G29)</f>
        <v>10000</v>
      </c>
      <c r="I29" s="22"/>
    </row>
    <row r="30" spans="1:9">
      <c r="A30" s="48" t="s">
        <v>42</v>
      </c>
      <c r="B30" s="37"/>
      <c r="C30" s="18">
        <v>3000</v>
      </c>
      <c r="D30" s="18">
        <v>20</v>
      </c>
      <c r="E30" s="11">
        <f t="shared" ref="E30:E34" si="14">PRODUCT(B30*C30)</f>
        <v>0</v>
      </c>
      <c r="F30" s="11">
        <f t="shared" si="10"/>
        <v>0</v>
      </c>
      <c r="G30" s="11">
        <f t="shared" ref="G30:G34" si="15">PRODUCT(B30*D30)</f>
        <v>0</v>
      </c>
      <c r="H30" s="12">
        <f t="shared" ref="H30:H34" si="16">SUM(F30:G30)</f>
        <v>0</v>
      </c>
    </row>
    <row r="31" spans="1:9">
      <c r="A31" s="9" t="s">
        <v>44</v>
      </c>
      <c r="B31" s="10"/>
      <c r="C31" s="19">
        <v>12036</v>
      </c>
      <c r="D31" s="19">
        <v>50</v>
      </c>
      <c r="E31" s="11">
        <f t="shared" si="14"/>
        <v>0</v>
      </c>
      <c r="F31" s="11">
        <f t="shared" si="10"/>
        <v>0</v>
      </c>
      <c r="G31" s="11">
        <f t="shared" si="15"/>
        <v>0</v>
      </c>
      <c r="H31" s="12">
        <f t="shared" si="16"/>
        <v>0</v>
      </c>
    </row>
    <row r="32" spans="1:9">
      <c r="A32" s="9" t="s">
        <v>5</v>
      </c>
      <c r="B32" s="10"/>
      <c r="C32" s="19"/>
      <c r="D32" s="19"/>
      <c r="E32" s="11">
        <f t="shared" si="14"/>
        <v>0</v>
      </c>
      <c r="F32" s="11">
        <f t="shared" si="10"/>
        <v>0</v>
      </c>
      <c r="G32" s="11">
        <f t="shared" si="15"/>
        <v>0</v>
      </c>
      <c r="H32" s="12">
        <f t="shared" si="16"/>
        <v>0</v>
      </c>
    </row>
    <row r="33" spans="1:8">
      <c r="A33" s="9" t="s">
        <v>5</v>
      </c>
      <c r="B33" s="10"/>
      <c r="C33" s="19"/>
      <c r="D33" s="19"/>
      <c r="E33" s="11">
        <f t="shared" si="14"/>
        <v>0</v>
      </c>
      <c r="F33" s="11">
        <f t="shared" si="10"/>
        <v>0</v>
      </c>
      <c r="G33" s="11">
        <f t="shared" si="15"/>
        <v>0</v>
      </c>
      <c r="H33" s="12">
        <f t="shared" si="16"/>
        <v>0</v>
      </c>
    </row>
    <row r="34" spans="1:8" ht="15" thickBot="1">
      <c r="A34" s="49" t="s">
        <v>5</v>
      </c>
      <c r="B34" s="45"/>
      <c r="C34" s="42"/>
      <c r="D34" s="42"/>
      <c r="E34" s="43">
        <f t="shared" si="14"/>
        <v>0</v>
      </c>
      <c r="F34" s="43">
        <f t="shared" si="10"/>
        <v>0</v>
      </c>
      <c r="G34" s="43">
        <f t="shared" si="15"/>
        <v>0</v>
      </c>
      <c r="H34" s="44">
        <f t="shared" si="16"/>
        <v>0</v>
      </c>
    </row>
    <row r="35" spans="1:8">
      <c r="A35" s="47" t="s">
        <v>5</v>
      </c>
      <c r="B35" s="38"/>
      <c r="C35" s="17"/>
      <c r="D35" s="17"/>
      <c r="E35" s="7">
        <f>PRODUCT(B35*C35)</f>
        <v>0</v>
      </c>
      <c r="F35" s="7">
        <f t="shared" si="4"/>
        <v>0</v>
      </c>
      <c r="G35" s="7">
        <f>PRODUCT(B35*D35)</f>
        <v>0</v>
      </c>
      <c r="H35" s="8">
        <f>SUM(F35:G35)</f>
        <v>0</v>
      </c>
    </row>
    <row r="36" spans="1:8">
      <c r="A36" s="48" t="s">
        <v>5</v>
      </c>
      <c r="B36" s="37"/>
      <c r="C36" s="18"/>
      <c r="D36" s="18"/>
      <c r="E36" s="11">
        <f t="shared" ref="E36:E40" si="17">PRODUCT(B36*C36)</f>
        <v>0</v>
      </c>
      <c r="F36" s="11">
        <f t="shared" si="4"/>
        <v>0</v>
      </c>
      <c r="G36" s="11">
        <f t="shared" ref="G36:G40" si="18">PRODUCT(B36*D36)</f>
        <v>0</v>
      </c>
      <c r="H36" s="12">
        <f t="shared" ref="H36:H40" si="19">SUM(F36:G36)</f>
        <v>0</v>
      </c>
    </row>
    <row r="37" spans="1:8">
      <c r="A37" s="9" t="s">
        <v>5</v>
      </c>
      <c r="B37" s="10"/>
      <c r="C37" s="19"/>
      <c r="D37" s="19"/>
      <c r="E37" s="11">
        <f t="shared" si="17"/>
        <v>0</v>
      </c>
      <c r="F37" s="11">
        <f t="shared" si="4"/>
        <v>0</v>
      </c>
      <c r="G37" s="11">
        <f t="shared" si="18"/>
        <v>0</v>
      </c>
      <c r="H37" s="12">
        <f t="shared" si="19"/>
        <v>0</v>
      </c>
    </row>
    <row r="38" spans="1:8">
      <c r="A38" s="9" t="s">
        <v>5</v>
      </c>
      <c r="B38" s="10"/>
      <c r="C38" s="19"/>
      <c r="D38" s="19"/>
      <c r="E38" s="11">
        <f t="shared" si="17"/>
        <v>0</v>
      </c>
      <c r="F38" s="11">
        <f t="shared" si="4"/>
        <v>0</v>
      </c>
      <c r="G38" s="11">
        <f t="shared" si="18"/>
        <v>0</v>
      </c>
      <c r="H38" s="12">
        <f t="shared" si="19"/>
        <v>0</v>
      </c>
    </row>
    <row r="39" spans="1:8">
      <c r="A39" s="9" t="s">
        <v>5</v>
      </c>
      <c r="B39" s="10"/>
      <c r="C39" s="19"/>
      <c r="D39" s="19"/>
      <c r="E39" s="11">
        <f t="shared" si="17"/>
        <v>0</v>
      </c>
      <c r="F39" s="11">
        <f t="shared" si="4"/>
        <v>0</v>
      </c>
      <c r="G39" s="11">
        <f t="shared" si="18"/>
        <v>0</v>
      </c>
      <c r="H39" s="12">
        <f t="shared" si="19"/>
        <v>0</v>
      </c>
    </row>
    <row r="40" spans="1:8" ht="15" thickBot="1">
      <c r="A40" s="49" t="s">
        <v>5</v>
      </c>
      <c r="B40" s="45"/>
      <c r="C40" s="42"/>
      <c r="D40" s="42"/>
      <c r="E40" s="43">
        <f t="shared" si="17"/>
        <v>0</v>
      </c>
      <c r="F40" s="43">
        <f t="shared" si="4"/>
        <v>0</v>
      </c>
      <c r="G40" s="43">
        <f t="shared" si="18"/>
        <v>0</v>
      </c>
      <c r="H40" s="44">
        <f t="shared" si="19"/>
        <v>0</v>
      </c>
    </row>
    <row r="41" spans="1:8" ht="15" thickBot="1">
      <c r="A41" s="50" t="s">
        <v>8</v>
      </c>
      <c r="B41" s="46"/>
      <c r="C41" s="39"/>
      <c r="D41" s="39"/>
      <c r="E41" s="40">
        <f>SUM(E6:E40)</f>
        <v>52319084</v>
      </c>
      <c r="F41" s="40">
        <f>SUM(F6:F40)</f>
        <v>7980877.2203389835</v>
      </c>
      <c r="G41" s="40">
        <f>SUM(G6:G40)</f>
        <v>675430</v>
      </c>
      <c r="H41" s="41">
        <f>SUM(F41:G41)</f>
        <v>8656307.2203389835</v>
      </c>
    </row>
    <row r="42" spans="1:8" ht="15" thickBot="1">
      <c r="A42" s="61" t="s">
        <v>11</v>
      </c>
      <c r="B42" s="62"/>
      <c r="C42" s="20">
        <v>8656618</v>
      </c>
      <c r="D42" s="21"/>
      <c r="E42" s="84" t="s">
        <v>19</v>
      </c>
      <c r="F42" s="84"/>
      <c r="G42" s="84"/>
      <c r="H42" s="84"/>
    </row>
    <row r="43" spans="1:8">
      <c r="A43" s="61" t="s">
        <v>15</v>
      </c>
      <c r="B43" s="62"/>
      <c r="C43" s="23"/>
      <c r="D43" s="20" t="s">
        <v>22</v>
      </c>
      <c r="E43" s="67" t="s">
        <v>12</v>
      </c>
      <c r="F43" s="68"/>
      <c r="G43" s="20" t="s">
        <v>13</v>
      </c>
      <c r="H43" s="24" t="s">
        <v>14</v>
      </c>
    </row>
    <row r="44" spans="1:8">
      <c r="A44" s="61" t="s">
        <v>20</v>
      </c>
      <c r="B44" s="62"/>
      <c r="C44" s="25">
        <v>93780</v>
      </c>
      <c r="D44" s="26"/>
      <c r="E44" s="59"/>
      <c r="F44" s="60"/>
      <c r="G44" s="27"/>
      <c r="H44" s="28"/>
    </row>
    <row r="45" spans="1:8">
      <c r="A45" s="65" t="s">
        <v>16</v>
      </c>
      <c r="B45" s="66"/>
      <c r="C45" s="29"/>
      <c r="D45" s="20"/>
      <c r="E45" s="63"/>
      <c r="F45" s="64"/>
      <c r="G45" s="10"/>
      <c r="H45" s="30"/>
    </row>
    <row r="46" spans="1:8">
      <c r="A46" s="53" t="s">
        <v>24</v>
      </c>
      <c r="B46" s="54"/>
      <c r="C46" s="31"/>
      <c r="D46" s="24"/>
      <c r="E46" s="55"/>
      <c r="F46" s="56"/>
      <c r="G46" s="10"/>
      <c r="H46" s="30"/>
    </row>
    <row r="47" spans="1:8">
      <c r="A47" s="53" t="s">
        <v>25</v>
      </c>
      <c r="B47" s="54"/>
      <c r="C47" s="51"/>
      <c r="D47" s="32"/>
      <c r="E47" s="55"/>
      <c r="F47" s="56"/>
      <c r="G47" s="10"/>
      <c r="H47" s="30"/>
    </row>
    <row r="48" spans="1:8">
      <c r="A48" s="53" t="s">
        <v>23</v>
      </c>
      <c r="B48" s="54"/>
      <c r="C48" s="33"/>
      <c r="D48" s="34"/>
      <c r="E48" s="57"/>
      <c r="F48" s="58"/>
      <c r="G48" s="35"/>
      <c r="H48" s="36"/>
    </row>
    <row r="49" spans="1:2">
      <c r="B49" s="1" t="s">
        <v>36</v>
      </c>
    </row>
    <row r="50" spans="1:2">
      <c r="B50" s="1" t="s">
        <v>46</v>
      </c>
    </row>
    <row r="51" spans="1:2">
      <c r="B51" s="1" t="s">
        <v>45</v>
      </c>
    </row>
    <row r="52" spans="1:2">
      <c r="B52" s="1" t="s">
        <v>35</v>
      </c>
    </row>
    <row r="53" spans="1:2">
      <c r="B53" s="1" t="s">
        <v>27</v>
      </c>
    </row>
    <row r="55" spans="1:2">
      <c r="A55" s="52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C6:D6"/>
    <mergeCell ref="C7:D7"/>
    <mergeCell ref="C14:D14"/>
    <mergeCell ref="C9:D9"/>
    <mergeCell ref="C8:D8"/>
    <mergeCell ref="A42:B42"/>
    <mergeCell ref="C10:D10"/>
    <mergeCell ref="C11:D11"/>
    <mergeCell ref="C12:D12"/>
    <mergeCell ref="C13:D13"/>
    <mergeCell ref="A43:B43"/>
    <mergeCell ref="A46:B46"/>
    <mergeCell ref="E45:F45"/>
    <mergeCell ref="A45:B45"/>
    <mergeCell ref="E46:F46"/>
    <mergeCell ref="E43:F43"/>
    <mergeCell ref="A44:B44"/>
    <mergeCell ref="A48:B48"/>
    <mergeCell ref="E47:F47"/>
    <mergeCell ref="E48:F48"/>
    <mergeCell ref="E44:F44"/>
    <mergeCell ref="A47:B47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2023-07-08T16:04:23Z</dcterms:created>
  <dcterms:modified xsi:type="dcterms:W3CDTF">2026-07-20T13:34:53Z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