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<sst xmlns="http://schemas.openxmlformats.org/spreadsheetml/2006/main" count="1779" uniqueCount="85">
  <si>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</si>
  <si>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</si>
  <si>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</si>
  <si>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</si>
  <si>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</si>
  <si>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</si>
  <si>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</si>
  <si>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</si>
  <si>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</si>
  <si>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</si>
  <si>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</si>
  <si>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</si>
  <si>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</si>
  <si>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</si>
  <si>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</si>
  <si>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</si>
  <si>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</si>
  <si>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</si>
  <si>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</si>
  <si>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</si>
  <si>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</si>
  <si>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</si>
  <si>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</si>
  <si>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</si>
  <si>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</si>
  <si>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</si>
  <si>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</si>
  <si>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</si>
  <si>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</si>
  <si>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</si>
  <si>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</si>
  <si>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</si>
  <si>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</si>
  <si>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</si>
  <si>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</si>
  <si>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</si>
  <si>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</si>
  <si>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</si>
  <si>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</si>
  <si>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</si>
  <si>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</si>
  <si>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</si>
  <si>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</si>
  <si>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</si>
  <si>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</si>
  <si>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</si>
  <si>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</si>
  <si>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</si>
  <si>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</si>
  <si>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</si>
  <si>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</si>
  <si>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</si>
  <si>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</si>
  <si>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</si>
  <si>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</si>
  <si>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</si>
  <si>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</si>
  <si>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</si>
  <si>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</si>
  <si>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</si>
  <si>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</si>
  <si>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</si>
  <si>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</si>
  <si>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</si>
  <si>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</si>
  <si>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</si>
  <si>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</si>
  <si>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</si>
  <si>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</si>
  <si>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</si>
  <si>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</si>
  <si>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</si>
  <si>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</si>
  <si>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</si>
  <si>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</si>
  <si>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</si>
  <si>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</si>
  <si>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</si>
  <si>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</si>
  <si>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</si>
  <si>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</si>
  <si>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</si>
  <si>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</si>
  <si>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</si>
  <si>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22\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</si>
</sst>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326013.55932203389</v>
      </c>
      <c r="C16" s="68">
        <f>KARONGI!G37</f>
        <v>21500</v>
      </c>
      <c r="D16" s="4"/>
      <c r="E16" s="3"/>
      <c r="F16" s="70">
        <f t="shared" si="0"/>
        <v>347513.55932203389</v>
      </c>
      <c r="G16" s="67">
        <f>KARONGI!C41</f>
        <v>0</v>
      </c>
      <c r="H16" s="68">
        <f>KARONGI!C39</f>
        <v>347514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7993635.559322034</v>
      </c>
      <c r="C29" s="102">
        <f t="shared" si="1"/>
        <v>717200</v>
      </c>
      <c r="D29" s="103">
        <f t="shared" si="1"/>
        <v>0</v>
      </c>
      <c r="E29" s="102">
        <f t="shared" si="1"/>
        <v>0</v>
      </c>
      <c r="F29" s="102">
        <f>SUM(F5:F28)</f>
        <v>8710835.5593220331</v>
      </c>
      <c r="G29" s="103">
        <f>SUM(G5:G28)</f>
        <v>0</v>
      </c>
      <c r="H29" s="103">
        <f>SUM(H5:H28)</f>
        <v>8710836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8710835.5593220331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8710835.5593220331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8710836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8710835.5593220331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8710836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2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250</v>
      </c>
      <c r="C8" s="211">
        <v>6000</v>
      </c>
      <c r="D8" s="212"/>
      <c r="E8" s="16">
        <f t="shared" si="0"/>
        <v>1500000</v>
      </c>
      <c r="F8" s="16">
        <f t="shared" si="1"/>
        <v>228813.55932203389</v>
      </c>
      <c r="G8" s="16">
        <f>PRODUCT(B8*50)</f>
        <v>12500</v>
      </c>
      <c r="H8" s="17">
        <f t="shared" si="2"/>
        <v>241313.55932203389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300</v>
      </c>
      <c r="C10" s="211">
        <v>2124</v>
      </c>
      <c r="D10" s="212"/>
      <c r="E10" s="16">
        <f t="shared" si="0"/>
        <v>637200</v>
      </c>
      <c r="F10" s="16">
        <f t="shared" si="1"/>
        <v>97200</v>
      </c>
      <c r="G10" s="16">
        <f>PRODUCT(B10*30)</f>
        <v>9000</v>
      </c>
      <c r="H10" s="17">
        <f t="shared" si="2"/>
        <v>106200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2137200</v>
      </c>
      <c r="F37" s="32">
        <f>SUM(F5:F36)</f>
        <v>326013.55932203389</v>
      </c>
      <c r="G37" s="32">
        <f t="shared" ref="G37:H37" si="3">SUM(G5:G36)</f>
        <v>21500</v>
      </c>
      <c r="H37" s="32">
        <f t="shared" si="3"/>
        <v>347513.55932203389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347514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300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550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500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24834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2026-07-22T19:50:17Z</dcterms:modified>
</cp:coreProperties>
</file>