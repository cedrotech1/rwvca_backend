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<sst xmlns="http://schemas.openxmlformats.org/spreadsheetml/2006/main" count="1779" uniqueCount="85">
  <si>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</si>
  <si>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</si>
  <si>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</si>
  <si>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</si>
  <si>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</si>
  <si>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</si>
  <si>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</si>
  <si>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</si>
  <si>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</si>
  <si>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</si>
  <si>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</si>
  <si>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</si>
  <si>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</si>
  <si>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</si>
  <si>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</si>
  <si>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</si>
  <si>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</si>
  <si>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</si>
  <si>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</si>
  <si>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</si>
  <si>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</si>
  <si>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</si>
  <si>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</si>
  <si>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</si>
  <si>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</si>
  <si>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</si>
  <si>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</si>
  <si>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</si>
  <si>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</si>
  <si>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</si>
  <si>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</si>
  <si>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</si>
  <si>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</si>
  <si>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</si>
  <si>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</si>
  <si>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</si>
  <si>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</si>
  <si>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</si>
  <si>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</si>
  <si>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</si>
  <si>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</si>
  <si>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</si>
  <si>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</si>
  <si>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</si>
  <si>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</si>
  <si>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</si>
  <si>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</si>
  <si>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</si>
  <si>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</si>
  <si>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</si>
  <si>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</si>
  <si>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</si>
  <si>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</si>
  <si>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</si>
  <si>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</si>
  <si>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</si>
  <si>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</si>
  <si>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</si>
  <si>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</si>
  <si>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</si>
  <si>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</si>
  <si>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</si>
  <si>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</si>
  <si>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</si>
  <si>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</si>
  <si>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</si>
  <si>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</si>
  <si>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</si>
  <si>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</si>
  <si>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</si>
  <si>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</si>
  <si>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</si>
  <si>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</si>
  <si>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</si>
  <si>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</si>
  <si>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</si>
  <si>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</si>
  <si>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</si>
  <si>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</si>
  <si>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</si>
  <si>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</si>
  <si>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</si>
  <si>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</si>
  <si>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</si>
  <si>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18\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</si>
</sst>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305908.4745762712</v>
      </c>
      <c r="C16" s="68">
        <f>KARONGI!G37</f>
        <v>30500</v>
      </c>
      <c r="D16" s="4"/>
      <c r="E16" s="3"/>
      <c r="F16" s="70">
        <f t="shared" si="0"/>
        <v>336408.4745762712</v>
      </c>
      <c r="G16" s="67">
        <f>KARONGI!C41</f>
        <v>0</v>
      </c>
      <c r="H16" s="68">
        <f>KARONGI!C39</f>
        <v>336408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7973530.4745762711</v>
      </c>
      <c r="C29" s="102">
        <f t="shared" si="1"/>
        <v>726200</v>
      </c>
      <c r="D29" s="103">
        <f t="shared" si="1"/>
        <v>0</v>
      </c>
      <c r="E29" s="102">
        <f t="shared" si="1"/>
        <v>0</v>
      </c>
      <c r="F29" s="102">
        <f>SUM(F5:F28)</f>
        <v>8699730.4745762721</v>
      </c>
      <c r="G29" s="103">
        <f>SUM(G5:G28)</f>
        <v>0</v>
      </c>
      <c r="H29" s="103">
        <f>SUM(H5:H28)</f>
        <v>8699730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8699730.4745762721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8699730.4745762721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8699730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8699730.4745762721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8699730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100</v>
      </c>
      <c r="C7" s="182">
        <v>2000</v>
      </c>
      <c r="D7" s="183"/>
      <c r="E7" s="13">
        <f t="shared" si="0"/>
        <v>200000</v>
      </c>
      <c r="F7" s="13">
        <f t="shared" si="1"/>
        <v>30508.474576271186</v>
      </c>
      <c r="G7" s="13">
        <f>PRODUCT(B7*50)</f>
        <v>5000</v>
      </c>
      <c r="H7" s="14">
        <f t="shared" si="2"/>
        <v>35508.474576271183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600</v>
      </c>
      <c r="C10" s="166">
        <v>2124</v>
      </c>
      <c r="D10" s="167"/>
      <c r="E10" s="16">
        <f t="shared" si="0"/>
        <v>1274400</v>
      </c>
      <c r="F10" s="16">
        <f t="shared" si="1"/>
        <v>194400</v>
      </c>
      <c r="G10" s="16">
        <f>PRODUCT(B10*30)</f>
        <v>18000</v>
      </c>
      <c r="H10" s="17">
        <f t="shared" si="2"/>
        <v>212400</v>
      </c>
    </row>
    <row r="11" spans="1:8">
      <c r="A11" s="44" t="s">
        <v>68</v>
      </c>
      <c r="B11" s="15">
        <v>250</v>
      </c>
      <c r="C11" s="166">
        <v>2124</v>
      </c>
      <c r="D11" s="167"/>
      <c r="E11" s="16">
        <f t="shared" si="0"/>
        <v>531000</v>
      </c>
      <c r="F11" s="16">
        <f t="shared" si="1"/>
        <v>81000</v>
      </c>
      <c r="G11" s="16">
        <f>PRODUCT(B11*30)</f>
        <v>7500</v>
      </c>
      <c r="H11" s="17">
        <f t="shared" si="2"/>
        <v>88500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2005400</v>
      </c>
      <c r="F37" s="32">
        <f>SUM(F5:F36)</f>
        <v>305908.4745762712</v>
      </c>
      <c r="G37" s="32">
        <f t="shared" ref="G37:H37" si="3">SUM(G5:G36)</f>
        <v>30500</v>
      </c>
      <c r="H37" s="32">
        <f t="shared" si="3"/>
        <v>336408.4745762712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336408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850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100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950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21102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25234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2026-06-19T20:22:10Z</dcterms:modified>
</cp:coreProperties>
</file>