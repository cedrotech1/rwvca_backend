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D6" i="21"/>
  <c r="D4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E50" i="24"/>
  <c r="D5" i="21" s="1"/>
  <c r="E49" i="24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H13" i="24" s="1"/>
  <c r="G12" i="24"/>
  <c r="E12" i="24"/>
  <c r="F12" i="24" s="1"/>
  <c r="H12" i="24" s="1"/>
  <c r="H11" i="24"/>
  <c r="G11" i="24"/>
  <c r="F11" i="24"/>
  <c r="E11" i="24"/>
  <c r="G10" i="24"/>
  <c r="E10" i="24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J29" i="1"/>
  <c r="I29" i="1"/>
  <c r="G29" i="1"/>
  <c r="E29" i="1"/>
  <c r="D29" i="1"/>
  <c r="F28" i="1"/>
  <c r="F27" i="1"/>
  <c r="F26" i="1"/>
  <c r="J25" i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22" i="24" l="1"/>
  <c r="C34" i="1"/>
  <c r="C36" i="1"/>
  <c r="H6" i="24"/>
  <c r="H17" i="24"/>
  <c r="E62" i="24"/>
  <c r="G37" i="24"/>
  <c r="C25" i="1" s="1"/>
  <c r="C29" i="1" s="1"/>
  <c r="D17" i="21"/>
  <c r="E37" i="24"/>
  <c r="F10" i="24"/>
  <c r="H10" i="24" l="1"/>
  <c r="H37" i="24" s="1"/>
  <c r="F37" i="24"/>
  <c r="B25" i="1" s="1"/>
  <c r="B29" i="1" l="1"/>
  <c r="C32" i="1" s="1"/>
  <c r="F25" i="1"/>
  <c r="F29" i="1" s="1"/>
  <c r="C33" i="1" s="1"/>
</calcChain>
</file>

<file path=xl/sharedStrings.xml><?xml version="1.0" encoding="utf-8"?>
<sst xmlns="http://schemas.openxmlformats.org/spreadsheetml/2006/main" count="1699" uniqueCount="93">
  <si>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</si>
  <si>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</si>
  <si>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</si>
  <si>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</si>
  <si>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</si>
  <si>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</si>
  <si>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</si>
  <si>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</si>
  <si>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</si>
  <si>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</si>
  <si>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</si>
  <si>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</si>
  <si>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</si>
  <si>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</si>
  <si>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</si>
  <si>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</si>
  <si>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</si>
  <si>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</si>
  <si>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</si>
  <si>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</si>
  <si>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</si>
  <si>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</si>
  <si>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</si>
  <si>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</si>
  <si>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</si>
  <si>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</si>
  <si>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</si>
  <si>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</si>
  <si>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</si>
  <si>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</si>
  <si>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</si>
  <si>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</si>
  <si>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</si>
  <si>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</si>
  <si>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</si>
  <si>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</si>
  <si>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</si>
  <si>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</si>
  <si>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</si>
  <si>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</si>
  <si>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</si>
  <si>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</si>
  <si>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</si>
  <si>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</si>
  <si>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</si>
  <si>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</si>
  <si>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</si>
  <si>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</si>
  <si>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</si>
  <si>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</si>
  <si>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</si>
  <si>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</si>
  <si>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</si>
  <si>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</si>
  <si>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</si>
  <si>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</si>
  <si>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</si>
  <si>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</si>
  <si>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</si>
  <si>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</si>
  <si>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</si>
  <si>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</si>
  <si>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</si>
  <si>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</si>
  <si>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</si>
  <si>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</si>
  <si>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</si>
  <si>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</si>
  <si>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</si>
  <si>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</si>
  <si>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</si>
  <si>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</si>
  <si>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</si>
  <si>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</si>
  <si>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</si>
  <si>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</si>
  <si>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</si>
  <si>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</si>
  <si>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</si>
  <si>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</si>
  <si>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</si>
  <si>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</si>
  <si>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</si>
  <si>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</si>
  <si>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</si>
  <si>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</si>
  <si>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</si>
  <si>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</si>
  <si>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</si>
  <si>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</si>
  <si>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 xml:space="preserve">IBIPANDE PINUS </t>
  </si>
  <si>
    <t>MONTHLY REPORT OF FEBRUARY 2026</t>
  </si>
  <si>
    <t>Last month some money( 156,230 RWF)was mistakenly sent to the Momo code of ICPCS Gashyushya (052056) instead of ICPCS KARONGI ,and the invoice was issued by ICPCS KARONGI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</si>
</sst>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03"/>
      <c r="M1" s="103"/>
      <c r="N1" s="103"/>
    </row>
    <row r="2" spans="1:15" ht="31" customHeight="1">
      <c r="A2" s="141" t="s">
        <v>1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03"/>
      <c r="M2" s="103"/>
      <c r="N2" s="103"/>
    </row>
    <row r="3" spans="1:15" ht="15" customHeight="1">
      <c r="A3" s="141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2977804.0677966103</v>
      </c>
      <c r="C25" s="87">
        <f>GASHYUSHYA!G37</f>
        <v>285800</v>
      </c>
      <c r="D25" s="87">
        <f>GASHYUSHYA!C43</f>
        <v>0</v>
      </c>
      <c r="E25" s="87">
        <f>GASHYUSHYA!C44</f>
        <v>0</v>
      </c>
      <c r="F25" s="84">
        <f t="shared" si="0"/>
        <v>3263604.0677966103</v>
      </c>
      <c r="G25" s="87">
        <f>GASHYUSHYA!C41</f>
        <v>0</v>
      </c>
      <c r="H25" s="88">
        <f>GASHYUSHYA!C39</f>
        <v>3263604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2977804.0677966103</v>
      </c>
      <c r="C29" s="101">
        <f t="shared" si="1"/>
        <v>285800</v>
      </c>
      <c r="D29" s="102">
        <f t="shared" si="1"/>
        <v>0</v>
      </c>
      <c r="E29" s="101">
        <f t="shared" si="1"/>
        <v>0</v>
      </c>
      <c r="F29" s="101">
        <f t="shared" si="1"/>
        <v>3263604.0677966103</v>
      </c>
      <c r="G29" s="102">
        <f t="shared" si="1"/>
        <v>0</v>
      </c>
      <c r="H29" s="102">
        <f t="shared" si="1"/>
        <v>3263604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35"/>
      <c r="B30" s="135"/>
      <c r="C30" s="135"/>
      <c r="D30" s="136"/>
      <c r="E30" s="149" t="s">
        <v>33</v>
      </c>
      <c r="F30" s="150"/>
      <c r="G30" s="150"/>
      <c r="H30" s="150"/>
      <c r="I30" s="151"/>
      <c r="J30" s="143"/>
      <c r="K30" s="144"/>
      <c r="L30" s="103"/>
    </row>
    <row r="31" spans="1:15">
      <c r="A31" s="137" t="s">
        <v>34</v>
      </c>
      <c r="B31" s="138"/>
      <c r="C31" s="138"/>
      <c r="D31" s="138"/>
      <c r="E31" s="152"/>
      <c r="F31" s="153"/>
      <c r="G31" s="153"/>
      <c r="H31" s="153"/>
      <c r="I31" s="154"/>
      <c r="J31" s="145"/>
      <c r="K31" s="146"/>
      <c r="L31" s="103"/>
    </row>
    <row r="32" spans="1:15" ht="14.5">
      <c r="A32" s="115" t="s">
        <v>35</v>
      </c>
      <c r="B32" s="116"/>
      <c r="C32" s="139">
        <f>SUM(B29+C29)</f>
        <v>3263604.0677966103</v>
      </c>
      <c r="D32" s="140"/>
      <c r="E32" s="152"/>
      <c r="F32" s="153"/>
      <c r="G32" s="153"/>
      <c r="H32" s="153"/>
      <c r="I32" s="154"/>
      <c r="J32" s="145"/>
      <c r="K32" s="146"/>
      <c r="L32" s="103"/>
    </row>
    <row r="33" spans="1:12" ht="14.5">
      <c r="A33" s="115" t="s">
        <v>36</v>
      </c>
      <c r="B33" s="116"/>
      <c r="C33" s="117">
        <f>SUM(F29,G29)</f>
        <v>3263604.0677966103</v>
      </c>
      <c r="D33" s="130"/>
      <c r="E33" s="152"/>
      <c r="F33" s="153"/>
      <c r="G33" s="153"/>
      <c r="H33" s="153"/>
      <c r="I33" s="154"/>
      <c r="J33" s="145"/>
      <c r="K33" s="146"/>
      <c r="L33" s="103"/>
    </row>
    <row r="34" spans="1:12" ht="14.5">
      <c r="A34" s="131" t="s">
        <v>37</v>
      </c>
      <c r="B34" s="132"/>
      <c r="C34" s="117">
        <f>SUM(H29,J29,I29+G29)</f>
        <v>3263604</v>
      </c>
      <c r="D34" s="118"/>
      <c r="E34" s="152"/>
      <c r="F34" s="153"/>
      <c r="G34" s="153"/>
      <c r="H34" s="153"/>
      <c r="I34" s="154"/>
      <c r="J34" s="145"/>
      <c r="K34" s="146"/>
      <c r="L34" s="103"/>
    </row>
    <row r="35" spans="1:12" ht="14.5">
      <c r="A35" s="115" t="s">
        <v>38</v>
      </c>
      <c r="B35" s="116"/>
      <c r="C35" s="117">
        <f>SUM(D29:E29)</f>
        <v>0</v>
      </c>
      <c r="D35" s="118"/>
      <c r="E35" s="155"/>
      <c r="F35" s="156"/>
      <c r="G35" s="156"/>
      <c r="H35" s="156"/>
      <c r="I35" s="157"/>
      <c r="J35" s="145"/>
      <c r="K35" s="146"/>
      <c r="L35" s="103"/>
    </row>
    <row r="36" spans="1:12" ht="14.5">
      <c r="A36" s="115" t="s">
        <v>39</v>
      </c>
      <c r="B36" s="116"/>
      <c r="C36" s="117">
        <f>SUM(H29+I29+J29+C35)</f>
        <v>3263604</v>
      </c>
      <c r="D36" s="118"/>
      <c r="E36" s="124" t="s">
        <v>40</v>
      </c>
      <c r="F36" s="125"/>
      <c r="G36" s="125"/>
      <c r="H36" s="125"/>
      <c r="I36" s="126"/>
      <c r="J36" s="145"/>
      <c r="K36" s="146"/>
      <c r="L36" s="103"/>
    </row>
    <row r="37" spans="1:12" ht="14.5">
      <c r="A37" s="119" t="s">
        <v>41</v>
      </c>
      <c r="B37" s="120"/>
      <c r="C37" s="11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3263604</v>
      </c>
      <c r="D37" s="118"/>
      <c r="E37" s="127"/>
      <c r="F37" s="128"/>
      <c r="G37" s="128"/>
      <c r="H37" s="128"/>
      <c r="I37" s="129"/>
      <c r="J37" s="145"/>
      <c r="K37" s="146"/>
      <c r="L37" s="103"/>
    </row>
    <row r="38" spans="1:12" ht="26">
      <c r="A38" s="121" t="s">
        <v>42</v>
      </c>
      <c r="B38" s="122"/>
      <c r="C38" s="122"/>
      <c r="D38" s="122"/>
      <c r="E38" s="122"/>
      <c r="F38" s="122"/>
      <c r="G38" s="122"/>
      <c r="H38" s="122"/>
      <c r="I38" s="123"/>
      <c r="J38" s="147"/>
      <c r="K38" s="148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E36:I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6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8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s="71" customFormat="1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9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20.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22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22.5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24.5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22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22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22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22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3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>
        <v>2124</v>
      </c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6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1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5.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9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2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3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7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9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5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9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9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9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9" customHeight="1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9" customHeight="1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9" customHeight="1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9" customHeight="1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9" customHeight="1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9" customHeight="1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9" customHeight="1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 ht="14.5" customHeight="1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1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4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7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 formatCells="0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A49" sqref="A49:B63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>
      <c r="A3" s="171" t="s">
        <v>91</v>
      </c>
      <c r="B3" s="172"/>
      <c r="C3" s="172"/>
      <c r="D3" s="172"/>
      <c r="E3" s="172"/>
      <c r="F3" s="172"/>
      <c r="G3" s="172"/>
      <c r="H3" s="173"/>
      <c r="I3" s="159"/>
    </row>
    <row r="4" spans="1:9" ht="30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>
        <v>250</v>
      </c>
      <c r="C6" s="224">
        <v>8000</v>
      </c>
      <c r="D6" s="225"/>
      <c r="E6" s="6">
        <f t="shared" ref="E6:E14" si="0">PRODUCT(B6*C6)</f>
        <v>2000000</v>
      </c>
      <c r="F6" s="6">
        <f t="shared" ref="F6:F14" si="1">PRODUCT(E6*18)/118</f>
        <v>305084.74576271186</v>
      </c>
      <c r="G6" s="6">
        <f>PRODUCT(B6*50)</f>
        <v>12500</v>
      </c>
      <c r="H6" s="7">
        <f t="shared" ref="H6:H14" si="2">SUM(F6:G6)</f>
        <v>317584.74576271186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>
        <v>700</v>
      </c>
      <c r="C10" s="220">
        <v>2000</v>
      </c>
      <c r="D10" s="221"/>
      <c r="E10" s="10">
        <f t="shared" si="0"/>
        <v>1400000</v>
      </c>
      <c r="F10" s="10">
        <f t="shared" si="1"/>
        <v>213559.32203389829</v>
      </c>
      <c r="G10" s="10">
        <f>PRODUCT(B10*30)</f>
        <v>21000</v>
      </c>
      <c r="H10" s="11">
        <f t="shared" si="2"/>
        <v>234559.32203389829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>
        <v>7360</v>
      </c>
      <c r="C12" s="220">
        <v>2124</v>
      </c>
      <c r="D12" s="221"/>
      <c r="E12" s="10">
        <f t="shared" si="0"/>
        <v>15632640</v>
      </c>
      <c r="F12" s="10">
        <f t="shared" si="1"/>
        <v>2384640</v>
      </c>
      <c r="G12" s="10">
        <f>PRODUCT(B12*30)</f>
        <v>220800</v>
      </c>
      <c r="H12" s="11">
        <f t="shared" si="2"/>
        <v>2605440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14" t="s">
        <v>90</v>
      </c>
      <c r="B17" s="19">
        <v>230</v>
      </c>
      <c r="C17" s="19">
        <v>2124</v>
      </c>
      <c r="D17" s="19">
        <v>50</v>
      </c>
      <c r="E17" s="20">
        <f>PRODUCT(B17*C17)</f>
        <v>488520</v>
      </c>
      <c r="F17" s="21">
        <f t="shared" ref="F17:F36" si="3">PRODUCT(E17*18)/118</f>
        <v>74520</v>
      </c>
      <c r="G17" s="22">
        <f>PRODUCT(B17*D17)</f>
        <v>11500</v>
      </c>
      <c r="H17" s="23">
        <f>SUM(F17:G17)</f>
        <v>86020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85</v>
      </c>
      <c r="B22" s="31">
        <v>200</v>
      </c>
      <c r="C22" s="31"/>
      <c r="D22" s="31">
        <v>100</v>
      </c>
      <c r="E22" s="26">
        <f t="shared" si="4"/>
        <v>0</v>
      </c>
      <c r="F22" s="27">
        <f t="shared" si="3"/>
        <v>0</v>
      </c>
      <c r="G22" s="32">
        <f t="shared" si="5"/>
        <v>20000</v>
      </c>
      <c r="H22" s="33">
        <f t="shared" si="6"/>
        <v>20000</v>
      </c>
      <c r="I22" s="15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19521160</v>
      </c>
      <c r="F37" s="47">
        <f>SUM(F5:F36)</f>
        <v>2977804.0677966103</v>
      </c>
      <c r="G37" s="47">
        <f t="shared" ref="G37:H37" si="10">SUM(G5:G36)</f>
        <v>285800</v>
      </c>
      <c r="H37" s="47">
        <f t="shared" si="10"/>
        <v>3263604.0677966103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>
        <v>3263604</v>
      </c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3263604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 t="s">
        <v>92</v>
      </c>
      <c r="B49" s="162"/>
      <c r="C49" s="190" t="s">
        <v>80</v>
      </c>
      <c r="D49" s="191"/>
      <c r="E49" s="192">
        <f>SUM(B9:B12)</f>
        <v>8060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250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230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87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50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88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89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89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89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89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89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8540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174" t="s">
        <v>77</v>
      </c>
      <c r="B1" s="175"/>
      <c r="C1" s="175"/>
      <c r="D1" s="175"/>
      <c r="E1" s="175"/>
      <c r="F1" s="175"/>
      <c r="G1" s="233"/>
    </row>
    <row r="2" spans="1:7">
      <c r="A2" s="176"/>
      <c r="B2" s="177"/>
      <c r="C2" s="177"/>
      <c r="D2" s="177"/>
      <c r="E2" s="177"/>
      <c r="F2" s="177"/>
      <c r="G2" s="234"/>
    </row>
    <row r="3" spans="1:7" ht="28">
      <c r="A3" s="247" t="s">
        <v>78</v>
      </c>
      <c r="B3" s="248"/>
      <c r="C3" s="249"/>
      <c r="D3" s="247" t="s">
        <v>79</v>
      </c>
      <c r="E3" s="248"/>
      <c r="F3" s="248"/>
      <c r="G3" s="249"/>
    </row>
    <row r="4" spans="1:7" ht="41.5" customHeight="1">
      <c r="A4" s="244" t="s">
        <v>80</v>
      </c>
      <c r="B4" s="245"/>
      <c r="C4" s="246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8060</v>
      </c>
      <c r="E4" s="239"/>
      <c r="F4" s="239"/>
      <c r="G4" s="240"/>
    </row>
    <row r="5" spans="1:7" ht="37" customHeight="1">
      <c r="A5" s="244" t="s">
        <v>53</v>
      </c>
      <c r="B5" s="245"/>
      <c r="C5" s="246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250</v>
      </c>
      <c r="E5" s="239"/>
      <c r="F5" s="239"/>
      <c r="G5" s="240"/>
    </row>
    <row r="6" spans="1:7" ht="40" customHeight="1">
      <c r="A6" s="244" t="s">
        <v>57</v>
      </c>
      <c r="B6" s="245"/>
      <c r="C6" s="246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>
      <c r="A7" s="235" t="s">
        <v>62</v>
      </c>
      <c r="B7" s="236"/>
      <c r="C7" s="237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230</v>
      </c>
      <c r="E7" s="239"/>
      <c r="F7" s="239"/>
      <c r="G7" s="240"/>
    </row>
    <row r="8" spans="1:7" ht="40" customHeight="1">
      <c r="A8" s="235" t="s">
        <v>63</v>
      </c>
      <c r="B8" s="236"/>
      <c r="C8" s="237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>
      <c r="A9" s="235" t="s">
        <v>89</v>
      </c>
      <c r="B9" s="236"/>
      <c r="C9" s="237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>
      <c r="A10" s="235" t="s">
        <v>89</v>
      </c>
      <c r="B10" s="236"/>
      <c r="C10" s="237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>
      <c r="A11" s="235" t="s">
        <v>89</v>
      </c>
      <c r="B11" s="236"/>
      <c r="C11" s="237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>
      <c r="A12" s="235" t="s">
        <v>89</v>
      </c>
      <c r="B12" s="236"/>
      <c r="C12" s="237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>
      <c r="A13" s="235" t="s">
        <v>89</v>
      </c>
      <c r="B13" s="236"/>
      <c r="C13" s="237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8.5">
      <c r="A14" s="235" t="s">
        <v>89</v>
      </c>
      <c r="B14" s="236"/>
      <c r="C14" s="237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8.5">
      <c r="A15" s="235" t="s">
        <v>89</v>
      </c>
      <c r="B15" s="236"/>
      <c r="C15" s="237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8.5">
      <c r="A16" s="235" t="s">
        <v>89</v>
      </c>
      <c r="B16" s="236"/>
      <c r="C16" s="237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8.5">
      <c r="A17" s="235" t="s">
        <v>83</v>
      </c>
      <c r="B17" s="236"/>
      <c r="C17" s="237"/>
      <c r="D17" s="241">
        <f>SUM(D4:D16)</f>
        <v>8540</v>
      </c>
      <c r="E17" s="242"/>
      <c r="F17" s="242"/>
      <c r="G17" s="243"/>
    </row>
  </sheetData>
  <sheetProtection password="C8CD" sheet="1" objects="1" scenarios="1"/>
  <mergeCells count="31">
    <mergeCell ref="D8:G8"/>
    <mergeCell ref="A3:C3"/>
    <mergeCell ref="D3:G3"/>
    <mergeCell ref="A4:C4"/>
    <mergeCell ref="D4:G4"/>
    <mergeCell ref="A5:C5"/>
    <mergeCell ref="D5:G5"/>
    <mergeCell ref="A17:C17"/>
    <mergeCell ref="D17:G17"/>
    <mergeCell ref="A12:C12"/>
    <mergeCell ref="D12:G12"/>
    <mergeCell ref="A13:C13"/>
    <mergeCell ref="D13:G13"/>
    <mergeCell ref="A14:C14"/>
    <mergeCell ref="D14:G14"/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2026-03-02T08:02:48Z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