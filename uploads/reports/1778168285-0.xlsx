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bookViews>
    <workbookView xWindow="0" yWindow="0" windowWidth="23040" windowHeight="9072" tabRatio="965" firstSheet="11" activeTab="23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THIRTH" sheetId="27" r:id="rId25"/>
    <sheet name="FOURTH" sheetId="28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1" l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G8" i="28"/>
  <c r="E8" i="28"/>
  <c r="F8" i="28" s="1"/>
  <c r="H8" i="28" s="1"/>
  <c r="G7" i="28"/>
  <c r="E7" i="28"/>
  <c r="F7" i="28" s="1"/>
  <c r="H7" i="28" s="1"/>
  <c r="G6" i="28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G10" i="27"/>
  <c r="E10" i="27"/>
  <c r="F10" i="27" s="1"/>
  <c r="H10" i="27" s="1"/>
  <c r="G9" i="27"/>
  <c r="E9" i="27"/>
  <c r="F9" i="27" s="1"/>
  <c r="G8" i="27"/>
  <c r="E8" i="27"/>
  <c r="F8" i="27" s="1"/>
  <c r="H8" i="27" s="1"/>
  <c r="G7" i="27"/>
  <c r="E7" i="27"/>
  <c r="F7" i="27" s="1"/>
  <c r="H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G37" i="28" l="1"/>
  <c r="E62" i="28"/>
  <c r="H9" i="25"/>
  <c r="H17" i="25"/>
  <c r="H23" i="25"/>
  <c r="H29" i="25"/>
  <c r="H35" i="25"/>
  <c r="H9" i="26"/>
  <c r="H17" i="26"/>
  <c r="H23" i="26"/>
  <c r="H29" i="26"/>
  <c r="H35" i="26"/>
  <c r="H9" i="27"/>
  <c r="H17" i="27"/>
  <c r="H23" i="27"/>
  <c r="H29" i="27"/>
  <c r="H35" i="27"/>
  <c r="H9" i="28"/>
  <c r="H17" i="28"/>
  <c r="H23" i="28"/>
  <c r="H29" i="28"/>
  <c r="H35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G19" i="23"/>
  <c r="E19" i="23"/>
  <c r="F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G18" i="17"/>
  <c r="E18" i="17"/>
  <c r="F18" i="17" s="1"/>
  <c r="H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G24" i="14"/>
  <c r="E24" i="14"/>
  <c r="F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G18" i="13"/>
  <c r="E18" i="13"/>
  <c r="F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G20" i="15"/>
  <c r="F20" i="15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G24" i="10"/>
  <c r="E24" i="10"/>
  <c r="F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G11" i="9"/>
  <c r="E11" i="9"/>
  <c r="F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E33" i="8"/>
  <c r="F33" i="8" s="1"/>
  <c r="H33" i="8" s="1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G6" i="2"/>
  <c r="E6" i="2"/>
  <c r="F6" i="2" s="1"/>
  <c r="H12" i="9" l="1"/>
  <c r="H18" i="13"/>
  <c r="H10" i="24"/>
  <c r="H24" i="14"/>
  <c r="H18" i="14"/>
  <c r="H10" i="13"/>
  <c r="H11" i="9"/>
  <c r="H21" i="18"/>
  <c r="H10" i="18"/>
  <c r="H21" i="10"/>
  <c r="H20" i="10"/>
  <c r="G37" i="10"/>
  <c r="H13" i="4"/>
  <c r="H7" i="4"/>
  <c r="H23" i="23"/>
  <c r="H20" i="23"/>
  <c r="H13" i="19"/>
  <c r="H13" i="7"/>
  <c r="H7" i="7"/>
  <c r="H13" i="5"/>
  <c r="H7" i="5"/>
  <c r="H27" i="2"/>
  <c r="H13" i="2"/>
  <c r="H7" i="2"/>
  <c r="H13" i="6"/>
  <c r="H17" i="17"/>
  <c r="D4" i="21"/>
  <c r="H20" i="15"/>
  <c r="H7" i="15"/>
  <c r="D6" i="21"/>
  <c r="E62" i="16"/>
  <c r="D7" i="21"/>
  <c r="E62" i="7"/>
  <c r="D11" i="21"/>
  <c r="H37" i="25"/>
  <c r="H12" i="2"/>
  <c r="H20" i="2"/>
  <c r="H26" i="2"/>
  <c r="H32" i="2"/>
  <c r="H12" i="5"/>
  <c r="H20" i="5"/>
  <c r="H26" i="5"/>
  <c r="H32" i="5"/>
  <c r="H12" i="3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E62" i="6"/>
  <c r="H12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5" i="15"/>
  <c r="D12" i="21"/>
  <c r="H19" i="24"/>
  <c r="H35" i="24"/>
  <c r="E62" i="12"/>
  <c r="G37" i="17"/>
  <c r="C21" i="1" s="1"/>
  <c r="G37" i="18"/>
  <c r="C22" i="1" s="1"/>
  <c r="E62" i="14"/>
  <c r="H37" i="28"/>
  <c r="D9" i="21"/>
  <c r="D10" i="21"/>
  <c r="G37" i="19"/>
  <c r="C23" i="1" s="1"/>
  <c r="G37" i="6"/>
  <c r="C9" i="1" s="1"/>
  <c r="D13" i="21"/>
  <c r="H19" i="10"/>
  <c r="H25" i="10"/>
  <c r="H31" i="10"/>
  <c r="H11" i="11"/>
  <c r="H26" i="15"/>
  <c r="D14" i="21"/>
  <c r="H37" i="26"/>
  <c r="D16" i="21"/>
  <c r="D5" i="21"/>
  <c r="G37" i="14"/>
  <c r="C18" i="1" s="1"/>
  <c r="G37" i="16"/>
  <c r="C20" i="1" s="1"/>
  <c r="G37" i="23"/>
  <c r="C24" i="1" s="1"/>
  <c r="E62" i="24"/>
  <c r="G37" i="24"/>
  <c r="C25" i="1" s="1"/>
  <c r="D8" i="21"/>
  <c r="E62" i="8"/>
  <c r="E62" i="9"/>
  <c r="H21" i="15"/>
  <c r="H11" i="12"/>
  <c r="H19" i="12"/>
  <c r="H25" i="12"/>
  <c r="H31" i="12"/>
  <c r="H11" i="13"/>
  <c r="H19" i="13"/>
  <c r="H25" i="13"/>
  <c r="H31" i="13"/>
  <c r="H11" i="14"/>
  <c r="H19" i="14"/>
  <c r="H25" i="14"/>
  <c r="H31" i="14"/>
  <c r="H11" i="16"/>
  <c r="H19" i="16"/>
  <c r="H25" i="16"/>
  <c r="H31" i="16"/>
  <c r="H11" i="17"/>
  <c r="H19" i="17"/>
  <c r="H25" i="17"/>
  <c r="H31" i="17"/>
  <c r="H11" i="18"/>
  <c r="H19" i="18"/>
  <c r="H25" i="18"/>
  <c r="H31" i="18"/>
  <c r="D15" i="21"/>
  <c r="H11" i="23"/>
  <c r="H19" i="23"/>
  <c r="H25" i="23"/>
  <c r="H31" i="23"/>
  <c r="H31" i="24"/>
  <c r="H37" i="27"/>
  <c r="H13" i="3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37" i="13" l="1"/>
  <c r="H37" i="23"/>
  <c r="H37" i="18"/>
  <c r="H37" i="14"/>
  <c r="H37" i="10"/>
  <c r="H37" i="4"/>
  <c r="H37" i="11"/>
  <c r="H37" i="24"/>
  <c r="H37" i="15"/>
  <c r="H37" i="16"/>
  <c r="H37" i="7"/>
  <c r="H37" i="12"/>
  <c r="H37" i="6"/>
  <c r="H37" i="8"/>
  <c r="H37" i="2"/>
  <c r="H37" i="5"/>
  <c r="H37" i="19"/>
  <c r="H37" i="9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<sst xmlns="http://schemas.openxmlformats.org/spreadsheetml/2006/main" count="2012" uniqueCount="107">
  <si>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</si>
  <si>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</si>
  <si>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</si>
  <si>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</si>
  <si>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</si>
  <si>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</si>
  <si>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</si>
  <si>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</si>
  <si>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</si>
  <si>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</si>
  <si>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</si>
  <si>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</si>
  <si>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</si>
  <si>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</si>
  <si>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</si>
  <si>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</si>
  <si>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</si>
  <si>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</si>
  <si>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</si>
  <si>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</si>
  <si>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</si>
  <si>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</si>
  <si>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</si>
  <si>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</si>
  <si>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</si>
  <si>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</si>
  <si>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</si>
  <si>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</si>
  <si>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</si>
  <si>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</si>
  <si>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</si>
  <si>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</si>
  <si>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</si>
  <si>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</si>
  <si>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</si>
  <si>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</si>
  <si>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</si>
  <si>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</si>
  <si>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</si>
  <si>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</si>
  <si>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</si>
  <si>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</si>
  <si>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</si>
  <si>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</si>
  <si>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</si>
  <si>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</si>
  <si>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</si>
  <si>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</si>
  <si>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</si>
  <si>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</si>
  <si>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</si>
  <si>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</si>
  <si>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</si>
  <si>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</si>
  <si>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</si>
  <si>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</si>
  <si>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</si>
  <si>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</si>
  <si>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</si>
  <si>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</si>
  <si>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</si>
  <si>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</si>
  <si>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</si>
  <si>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</si>
  <si>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</si>
  <si>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</si>
  <si>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</si>
  <si>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</si>
  <si>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</si>
  <si>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</si>
  <si>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</si>
  <si>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</si>
  <si>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</si>
  <si>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</si>
  <si>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</si>
  <si>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</si>
  <si>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</si>
  <si>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</si>
  <si>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</si>
  <si>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</si>
  <si>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</si>
  <si>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</si>
  <si>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</si>
  <si>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</si>
  <si>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</si>
  <si>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</si>
  <si>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</si>
  <si>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</si>
  <si>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IBIPANDE BYA SIPURE</t>
  </si>
  <si>
    <t>DESCHET</t>
  </si>
  <si>
    <t>GEREVERIA</t>
  </si>
  <si>
    <t>IBIPANDE BYA PINUS</t>
  </si>
  <si>
    <t xml:space="preserve">PINUS </t>
  </si>
  <si>
    <t>MUNYONGORO</t>
  </si>
  <si>
    <t>IBIPANDE BY'INTURUSU</t>
  </si>
  <si>
    <t>PLANCHE ZA PINUS</t>
  </si>
  <si>
    <t>SIPURE</t>
  </si>
  <si>
    <t>INTURUSU NTOYA</t>
  </si>
  <si>
    <t>IBIPANDE BITOYA</t>
  </si>
  <si>
    <t>INTURUSU NINI</t>
  </si>
  <si>
    <t>INGIGA</t>
  </si>
  <si>
    <t>IBIPANDE PINUS</t>
  </si>
  <si>
    <t>MONTHS REPORT OF APRIL 2026</t>
  </si>
  <si>
    <t>WEEK REPORT FROM APRIL 2026</t>
  </si>
  <si>
    <t>CYPRE</t>
  </si>
  <si>
    <t>IMBABARI</t>
  </si>
  <si>
    <t>MADRIEN NINI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</si>
</sst>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2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1" fillId="4" borderId="38" xfId="1" applyNumberFormat="1" applyFont="1" applyFill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3" zoomScale="80" zoomScaleNormal="80" workbookViewId="0">
      <selection activeCell="A26" sqref="A26"/>
    </sheetView>
  </sheetViews>
  <sheetFormatPr defaultColWidth="8.88671875" defaultRowHeight="18"/>
  <cols>
    <col min="1" max="1" width="22.77734375" style="73" customWidth="1"/>
    <col min="2" max="2" width="28.21875" style="77" customWidth="1"/>
    <col min="3" max="3" width="24.44140625" style="78" customWidth="1"/>
    <col min="4" max="4" width="16.109375" style="73" customWidth="1"/>
    <col min="5" max="5" width="21.77734375" style="73" customWidth="1"/>
    <col min="6" max="6" width="20.6640625" style="75" customWidth="1"/>
    <col min="7" max="7" width="20.109375" style="75" customWidth="1"/>
    <col min="8" max="8" width="17" style="73" customWidth="1"/>
    <col min="9" max="9" width="16.77734375" style="73" customWidth="1"/>
    <col min="10" max="10" width="14.664062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26" t="s">
        <v>36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72"/>
      <c r="M1" s="72"/>
      <c r="N1" s="72"/>
    </row>
    <row r="2" spans="1:15" ht="31.05" customHeight="1">
      <c r="A2" s="128" t="s">
        <v>35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72"/>
      <c r="M2" s="72"/>
      <c r="N2" s="72"/>
    </row>
    <row r="3" spans="1:15" ht="15" customHeight="1" thickBot="1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GISOZI!F37</f>
        <v>43011052.474576265</v>
      </c>
      <c r="C5" s="37">
        <f>GISOZI!G37</f>
        <v>3496975</v>
      </c>
      <c r="D5" s="37">
        <f>GISOZI!C43</f>
        <v>0</v>
      </c>
      <c r="E5" s="37">
        <f>GISOZI!C44</f>
        <v>0</v>
      </c>
      <c r="F5" s="41">
        <f>SUM(B5:C5)</f>
        <v>46508027.474576265</v>
      </c>
      <c r="G5" s="37">
        <f>GISOZI!C41</f>
        <v>0</v>
      </c>
      <c r="H5" s="37">
        <f>GISOZI!C39</f>
        <v>46511291</v>
      </c>
      <c r="I5" s="37">
        <f>GISOZI!C42</f>
        <v>0</v>
      </c>
      <c r="J5" s="37">
        <f>GISOZI!C40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9050781.6610169485</v>
      </c>
      <c r="C6" s="39">
        <f>GAHANGA!G37</f>
        <v>798440</v>
      </c>
      <c r="D6" s="39">
        <f>GAHANGA!C43</f>
        <v>0</v>
      </c>
      <c r="E6" s="39">
        <f>GAHANGA!C44</f>
        <v>0</v>
      </c>
      <c r="F6" s="41">
        <f t="shared" ref="F6:F28" si="0">SUM(B6:C6)</f>
        <v>9849221.6610169485</v>
      </c>
      <c r="G6" s="39">
        <f>GAHANGA!C41</f>
        <v>0</v>
      </c>
      <c r="H6" s="39">
        <f>GAHANGA!C39</f>
        <v>9846122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7669729.2203389835</v>
      </c>
      <c r="C7" s="39">
        <f>KIMIRONKO!G37</f>
        <v>686820</v>
      </c>
      <c r="D7" s="39">
        <f>KIMIRONKO!C43</f>
        <v>0</v>
      </c>
      <c r="E7" s="39">
        <f>KIMIRONKO!C44</f>
        <v>0</v>
      </c>
      <c r="F7" s="41">
        <f t="shared" si="0"/>
        <v>8356549.2203389835</v>
      </c>
      <c r="G7" s="39">
        <f>KIMIRONKO!C41</f>
        <v>0</v>
      </c>
      <c r="H7" s="39">
        <f>KIMIRONKO!C39</f>
        <v>0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9938790</v>
      </c>
      <c r="C8" s="39">
        <f>BISHENYI!G37</f>
        <v>822220</v>
      </c>
      <c r="D8" s="39">
        <f>BISHENYI!C43</f>
        <v>0</v>
      </c>
      <c r="E8" s="39">
        <f>BISHENYI!C44</f>
        <v>0</v>
      </c>
      <c r="F8" s="41">
        <f t="shared" si="0"/>
        <v>10761010</v>
      </c>
      <c r="G8" s="38">
        <f>BISHENYI!C41</f>
        <v>0</v>
      </c>
      <c r="H8" s="39">
        <f>BISHENYI!C39</f>
        <v>10761010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3853980</v>
      </c>
      <c r="C9" s="39">
        <f>RWAMAGANA!G37</f>
        <v>456010</v>
      </c>
      <c r="D9" s="39">
        <f>RWAMAGANA!C43</f>
        <v>0</v>
      </c>
      <c r="E9" s="39">
        <f>RWAMAGANA!C44</f>
        <v>0</v>
      </c>
      <c r="F9" s="41">
        <f t="shared" si="0"/>
        <v>4309990</v>
      </c>
      <c r="G9" s="38">
        <f>RWAMAGANA!C41</f>
        <v>0</v>
      </c>
      <c r="H9" s="39">
        <f>RWAMAGANA!C39</f>
        <v>4309990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12888063</v>
      </c>
      <c r="C10" s="39">
        <f>BUGESERA!G37</f>
        <v>1192520</v>
      </c>
      <c r="D10" s="39">
        <f>BUGESERA!C43</f>
        <v>0</v>
      </c>
      <c r="E10" s="39">
        <f>BUGESERA!C44</f>
        <v>0</v>
      </c>
      <c r="F10" s="41">
        <f t="shared" si="0"/>
        <v>14080583</v>
      </c>
      <c r="G10" s="38">
        <f>BUGESERA!C41</f>
        <v>0</v>
      </c>
      <c r="H10" s="39">
        <f>BUGESERA!C39</f>
        <v>13878073</v>
      </c>
      <c r="I10" s="39">
        <f>BUGESERA!C42</f>
        <v>0</v>
      </c>
      <c r="J10" s="39">
        <f>BUGESERA!C40</f>
        <v>202510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4724841.3559322031</v>
      </c>
      <c r="C11" s="39">
        <f>MUHANGA!G37</f>
        <v>403250</v>
      </c>
      <c r="D11" s="39">
        <f>MUHANGA!C43</f>
        <v>0</v>
      </c>
      <c r="E11" s="39">
        <f>MUHANGA!C44</f>
        <v>0</v>
      </c>
      <c r="F11" s="41">
        <f t="shared" si="0"/>
        <v>5128091.3559322031</v>
      </c>
      <c r="G11" s="38">
        <f>MUHANGA!C41</f>
        <v>0</v>
      </c>
      <c r="H11" s="39">
        <f>MUHANGA!C39</f>
        <v>5128091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501864.40677966102</v>
      </c>
      <c r="C12" s="39">
        <f>RUHANGO!G37</f>
        <v>206850</v>
      </c>
      <c r="D12" s="39">
        <f>RUHANGO!C43</f>
        <v>0</v>
      </c>
      <c r="E12" s="39">
        <f>RUHANGO!C44</f>
        <v>0</v>
      </c>
      <c r="F12" s="41">
        <f t="shared" si="0"/>
        <v>708714.40677966108</v>
      </c>
      <c r="G12" s="38">
        <f>RUHANGO!C41</f>
        <v>0</v>
      </c>
      <c r="H12" s="39">
        <f>RUHANGO!C39</f>
        <v>708714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3698455.4237288134</v>
      </c>
      <c r="C13" s="39">
        <f>HUYE!G37</f>
        <v>417190</v>
      </c>
      <c r="D13" s="39">
        <f>HUYE!C43</f>
        <v>0</v>
      </c>
      <c r="E13" s="39">
        <f>HUYE!C44</f>
        <v>0</v>
      </c>
      <c r="F13" s="41">
        <f t="shared" si="0"/>
        <v>4115645.4237288134</v>
      </c>
      <c r="G13" s="38">
        <f>HUYE!C41</f>
        <v>0</v>
      </c>
      <c r="H13" s="39">
        <f>HUYE!C39</f>
        <v>4051363</v>
      </c>
      <c r="I13" s="39">
        <f>HUYE!C42</f>
        <v>0</v>
      </c>
      <c r="J13" s="39">
        <f>HUYE!C40</f>
        <v>64282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2099176.779661017</v>
      </c>
      <c r="C14" s="39">
        <f>RUSIZI!G37</f>
        <v>470800</v>
      </c>
      <c r="D14" s="39">
        <f>RUSIZI!C43</f>
        <v>0</v>
      </c>
      <c r="E14" s="39">
        <f>RUSIZI!C44</f>
        <v>0</v>
      </c>
      <c r="F14" s="41">
        <f t="shared" si="0"/>
        <v>2569976.779661017</v>
      </c>
      <c r="G14" s="38">
        <f>RUSIZI!C41</f>
        <v>0</v>
      </c>
      <c r="H14" s="39">
        <f>RUSIZI!C39</f>
        <v>2569977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221400</v>
      </c>
      <c r="C15" s="39">
        <f>NYAMAGABE!G37</f>
        <v>26250</v>
      </c>
      <c r="D15" s="39">
        <f>NYAMAGABE!C43</f>
        <v>0</v>
      </c>
      <c r="E15" s="39">
        <f>NYAMAGABE!C44</f>
        <v>0</v>
      </c>
      <c r="F15" s="41">
        <f t="shared" si="0"/>
        <v>247650</v>
      </c>
      <c r="G15" s="38">
        <f>NYAMAGABE!C41</f>
        <v>0</v>
      </c>
      <c r="H15" s="39">
        <f>NYAMAGABE!C39</f>
        <v>247650</v>
      </c>
      <c r="I15" s="39">
        <f>NYAMAGABE!C42</f>
        <v>0</v>
      </c>
      <c r="J15" s="39">
        <f>NYAMAGABE!C40</f>
        <v>0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1639954.3728813562</v>
      </c>
      <c r="C16" s="39">
        <f>KARONGI!G37</f>
        <v>212400</v>
      </c>
      <c r="D16" s="39">
        <f>KARONGI!C43</f>
        <v>0</v>
      </c>
      <c r="E16" s="39">
        <f>KARONGI!C44</f>
        <v>0</v>
      </c>
      <c r="F16" s="41">
        <f t="shared" si="0"/>
        <v>1852354.3728813562</v>
      </c>
      <c r="G16" s="38">
        <f>KARONGI!C41</f>
        <v>0</v>
      </c>
      <c r="H16" s="39">
        <f>KARONGI!C39</f>
        <v>1852254</v>
      </c>
      <c r="I16" s="39">
        <f>KARONGI!C42</f>
        <v>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4851126</v>
      </c>
      <c r="C17" s="39">
        <f>RUBAVU!G37</f>
        <v>487130</v>
      </c>
      <c r="D17" s="39">
        <f>RUBAVU!C43</f>
        <v>0</v>
      </c>
      <c r="E17" s="39">
        <f>RUBAVU!C44</f>
        <v>0</v>
      </c>
      <c r="F17" s="41">
        <f t="shared" si="0"/>
        <v>5338256</v>
      </c>
      <c r="G17" s="38">
        <f>RUBAVU!C41</f>
        <v>0</v>
      </c>
      <c r="H17" s="39">
        <f>RUBAVU!C39</f>
        <v>4838256</v>
      </c>
      <c r="I17" s="39">
        <f>RUBAVU!C42</f>
        <v>500000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2904333.559322034</v>
      </c>
      <c r="C18" s="39">
        <f>MUSANZE!G37</f>
        <v>337566</v>
      </c>
      <c r="D18" s="39">
        <f>MUSANZE!C43</f>
        <v>0</v>
      </c>
      <c r="E18" s="39">
        <f>MUSANZE!C44</f>
        <v>0</v>
      </c>
      <c r="F18" s="41">
        <f t="shared" si="0"/>
        <v>3241899.559322034</v>
      </c>
      <c r="G18" s="38">
        <f>MUSANZE!C41</f>
        <v>0</v>
      </c>
      <c r="H18" s="39">
        <f>MUSANZE!C39</f>
        <v>2093880</v>
      </c>
      <c r="I18" s="39">
        <f>MUSANZE!C42</f>
        <v>0</v>
      </c>
      <c r="J18" s="39">
        <f>MUSANZE!C40</f>
        <v>1148020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3121470</v>
      </c>
      <c r="C19" s="39">
        <f>KAYONZA!G37</f>
        <v>315740</v>
      </c>
      <c r="D19" s="39">
        <f>KAYONZA!C43</f>
        <v>0</v>
      </c>
      <c r="E19" s="39">
        <f>KAYONZA!C44</f>
        <v>0</v>
      </c>
      <c r="F19" s="41">
        <f t="shared" si="0"/>
        <v>3437210</v>
      </c>
      <c r="G19" s="38">
        <f>KAYONZA!C41</f>
        <v>0</v>
      </c>
      <c r="H19" s="39">
        <f>KAYONZA!C39</f>
        <v>3437210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1055972.7457627119</v>
      </c>
      <c r="C20" s="39">
        <f>NYAGATARE!G37</f>
        <v>397650</v>
      </c>
      <c r="D20" s="39">
        <f>NYAGATARE!C43</f>
        <v>0</v>
      </c>
      <c r="E20" s="39">
        <f>NYAGATARE!C44</f>
        <v>0</v>
      </c>
      <c r="F20" s="41">
        <f t="shared" si="0"/>
        <v>1453622.7457627119</v>
      </c>
      <c r="G20" s="38">
        <f>NYAGATARE!C41</f>
        <v>0</v>
      </c>
      <c r="H20" s="39">
        <f>NYAGATARE!C39</f>
        <v>1521032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1757244.6610169492</v>
      </c>
      <c r="C21" s="39">
        <f>KIREHE!G37</f>
        <v>344284</v>
      </c>
      <c r="D21" s="39">
        <f>KIREHE!C43</f>
        <v>0</v>
      </c>
      <c r="E21" s="39">
        <f>KIREHE!C44</f>
        <v>0</v>
      </c>
      <c r="F21" s="41">
        <f t="shared" si="0"/>
        <v>2101528.6610169495</v>
      </c>
      <c r="G21" s="38">
        <f>KIREHE!C41</f>
        <v>0</v>
      </c>
      <c r="H21" s="39">
        <f>KIREHE!C39</f>
        <v>2101529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517118.64406779659</v>
      </c>
      <c r="C22" s="39">
        <f>NYANZA!G37</f>
        <v>201850</v>
      </c>
      <c r="D22" s="39">
        <f>NYANZA!C43</f>
        <v>0</v>
      </c>
      <c r="E22" s="39">
        <f>NYANZA!C44</f>
        <v>0</v>
      </c>
      <c r="F22" s="41">
        <f t="shared" si="0"/>
        <v>718968.64406779665</v>
      </c>
      <c r="G22" s="38">
        <f>NYANZA!C41</f>
        <v>0</v>
      </c>
      <c r="H22" s="39">
        <f>NYANZA!C39</f>
        <v>718369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4839858</v>
      </c>
      <c r="C23" s="39">
        <f>NYARUGENGE!G37</f>
        <v>439010</v>
      </c>
      <c r="D23" s="39">
        <f>NYARUGENGE!C43</f>
        <v>0</v>
      </c>
      <c r="E23" s="39">
        <f>NYARUGENGE!C44</f>
        <v>300000</v>
      </c>
      <c r="F23" s="41">
        <f t="shared" si="0"/>
        <v>5278868</v>
      </c>
      <c r="G23" s="38">
        <f>NYARUGENGE!C41</f>
        <v>0</v>
      </c>
      <c r="H23" s="39">
        <f>NYARUGENGE!C39</f>
        <v>5278868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593550</v>
      </c>
      <c r="C24" s="39">
        <f>GATSIBO!G37</f>
        <v>221600</v>
      </c>
      <c r="D24" s="39">
        <f>GATSIBO!C43</f>
        <v>0</v>
      </c>
      <c r="E24" s="39">
        <f>GATSIBO!C44</f>
        <v>0</v>
      </c>
      <c r="F24" s="41">
        <f t="shared" si="0"/>
        <v>815150</v>
      </c>
      <c r="G24" s="38">
        <f>GATSIBO!C41</f>
        <v>53100</v>
      </c>
      <c r="H24" s="40">
        <f>GATSIBO!C39</f>
        <v>815150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3407283</v>
      </c>
      <c r="C25" s="39">
        <f>GASHYUSHYA!G37</f>
        <v>380300</v>
      </c>
      <c r="D25" s="39">
        <f>GASHYUSHYA!C43</f>
        <v>0</v>
      </c>
      <c r="E25" s="39">
        <f>GASHYUSHYA!C44</f>
        <v>0</v>
      </c>
      <c r="F25" s="41">
        <f t="shared" si="0"/>
        <v>3787583</v>
      </c>
      <c r="G25" s="39">
        <f>GASHYUSHYA!C41</f>
        <v>0</v>
      </c>
      <c r="H25" s="40">
        <f>GASHYUSHYA!C39</f>
        <v>3787583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12813.559322033898</v>
      </c>
      <c r="C27" s="39">
        <f>NGORORERO!G37</f>
        <v>2100</v>
      </c>
      <c r="D27" s="39">
        <f>NGORORERO!C43</f>
        <v>0</v>
      </c>
      <c r="E27" s="39">
        <f>NGORORERO!C44</f>
        <v>0</v>
      </c>
      <c r="F27" s="41">
        <f t="shared" si="0"/>
        <v>14913.559322033898</v>
      </c>
      <c r="G27" s="39">
        <f>NGORORERO!C41</f>
        <v>0</v>
      </c>
      <c r="H27" s="40">
        <f>NGORORERO!C39</f>
        <v>14914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/>
      <c r="B28" s="38">
        <f>THIRTH!F37</f>
        <v>0</v>
      </c>
      <c r="C28" s="39">
        <f>THIRTH!G37</f>
        <v>0</v>
      </c>
      <c r="D28" s="39">
        <f>THIRTH!C43</f>
        <v>0</v>
      </c>
      <c r="E28" s="39">
        <f>THIRTH!C44</f>
        <v>0</v>
      </c>
      <c r="F28" s="41">
        <f t="shared" si="0"/>
        <v>0</v>
      </c>
      <c r="G28" s="39">
        <f>THIRTH!C41</f>
        <v>0</v>
      </c>
      <c r="H28" s="40">
        <f>THIRTH!C39</f>
        <v>0</v>
      </c>
      <c r="I28" s="101">
        <f>THIRTH!C42</f>
        <v>0</v>
      </c>
      <c r="J28" s="102">
        <f>THIRTH!C40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122358858.86440676</v>
      </c>
      <c r="C29" s="60">
        <f t="shared" si="1"/>
        <v>12316955</v>
      </c>
      <c r="D29" s="61">
        <f t="shared" si="1"/>
        <v>0</v>
      </c>
      <c r="E29" s="60">
        <f t="shared" si="1"/>
        <v>300000</v>
      </c>
      <c r="F29" s="60">
        <f>SUM(F5:F28)</f>
        <v>134675813.86440676</v>
      </c>
      <c r="G29" s="61">
        <f>SUM(G5:G28)</f>
        <v>53100</v>
      </c>
      <c r="H29" s="61">
        <f>SUM(H5:H28)</f>
        <v>124471326</v>
      </c>
      <c r="I29" s="61">
        <f>SUM(I5:I28)</f>
        <v>500000</v>
      </c>
      <c r="J29" s="69">
        <f>SUM(J5:J28)</f>
        <v>1414812</v>
      </c>
      <c r="K29" s="71"/>
      <c r="M29" s="76"/>
    </row>
    <row r="30" spans="1:15" ht="15" thickBot="1">
      <c r="A30" s="120"/>
      <c r="B30" s="120"/>
      <c r="C30" s="120"/>
      <c r="D30" s="121"/>
      <c r="E30" s="111" t="s">
        <v>11</v>
      </c>
      <c r="F30" s="112"/>
      <c r="G30" s="112"/>
      <c r="H30" s="112"/>
      <c r="I30" s="113"/>
      <c r="J30" s="130"/>
      <c r="K30" s="131"/>
      <c r="L30" s="72"/>
    </row>
    <row r="31" spans="1:15" ht="18.600000000000001" thickBot="1">
      <c r="A31" s="107" t="s">
        <v>9</v>
      </c>
      <c r="B31" s="108"/>
      <c r="C31" s="108"/>
      <c r="D31" s="108"/>
      <c r="E31" s="114"/>
      <c r="F31" s="115"/>
      <c r="G31" s="115"/>
      <c r="H31" s="115"/>
      <c r="I31" s="116"/>
      <c r="J31" s="132"/>
      <c r="K31" s="133"/>
      <c r="L31" s="72"/>
    </row>
    <row r="32" spans="1:15" ht="15" thickBot="1">
      <c r="A32" s="122" t="s">
        <v>12</v>
      </c>
      <c r="B32" s="123"/>
      <c r="C32" s="124">
        <f>SUM(B29+C29)</f>
        <v>134675813.86440676</v>
      </c>
      <c r="D32" s="125"/>
      <c r="E32" s="114"/>
      <c r="F32" s="115"/>
      <c r="G32" s="115"/>
      <c r="H32" s="115"/>
      <c r="I32" s="116"/>
      <c r="J32" s="132"/>
      <c r="K32" s="133"/>
      <c r="L32" s="72"/>
    </row>
    <row r="33" spans="1:12" ht="15" thickBot="1">
      <c r="A33" s="122" t="s">
        <v>13</v>
      </c>
      <c r="B33" s="123"/>
      <c r="C33" s="109">
        <f>SUM(F29,G29)</f>
        <v>134728913.86440676</v>
      </c>
      <c r="D33" s="110"/>
      <c r="E33" s="114"/>
      <c r="F33" s="115"/>
      <c r="G33" s="115"/>
      <c r="H33" s="115"/>
      <c r="I33" s="116"/>
      <c r="J33" s="132"/>
      <c r="K33" s="133"/>
      <c r="L33" s="72"/>
    </row>
    <row r="34" spans="1:12" ht="15" thickBot="1">
      <c r="A34" s="146" t="s">
        <v>80</v>
      </c>
      <c r="B34" s="147"/>
      <c r="C34" s="109">
        <f>SUM(H29,J29,I29+G29)</f>
        <v>126439238</v>
      </c>
      <c r="D34" s="145"/>
      <c r="E34" s="114"/>
      <c r="F34" s="115"/>
      <c r="G34" s="115"/>
      <c r="H34" s="115"/>
      <c r="I34" s="116"/>
      <c r="J34" s="132"/>
      <c r="K34" s="133"/>
      <c r="L34" s="72"/>
    </row>
    <row r="35" spans="1:12" ht="15" thickBot="1">
      <c r="A35" s="122" t="s">
        <v>10</v>
      </c>
      <c r="B35" s="123"/>
      <c r="C35" s="109">
        <f>SUM(D29:E29)</f>
        <v>300000</v>
      </c>
      <c r="D35" s="145"/>
      <c r="E35" s="117"/>
      <c r="F35" s="118"/>
      <c r="G35" s="118"/>
      <c r="H35" s="118"/>
      <c r="I35" s="119"/>
      <c r="J35" s="132"/>
      <c r="K35" s="133"/>
      <c r="L35" s="72"/>
    </row>
    <row r="36" spans="1:12" ht="15" thickBot="1">
      <c r="A36" s="122" t="s">
        <v>82</v>
      </c>
      <c r="B36" s="123"/>
      <c r="C36" s="109">
        <f>SUM(H29+I29+J29+C35)</f>
        <v>126686138</v>
      </c>
      <c r="D36" s="145"/>
      <c r="E36" s="136" t="s">
        <v>34</v>
      </c>
      <c r="F36" s="137"/>
      <c r="G36" s="137"/>
      <c r="H36" s="137"/>
      <c r="I36" s="138"/>
      <c r="J36" s="132"/>
      <c r="K36" s="133"/>
      <c r="L36" s="72"/>
    </row>
    <row r="37" spans="1:12" ht="15" thickBot="1">
      <c r="A37" s="105" t="s">
        <v>14</v>
      </c>
      <c r="B37" s="106"/>
      <c r="C37" s="109">
        <f>NYANZA!C45+KIREHE!C45+NYAGATARE!C45+KAYONZA!C45+MUSANZE!C45+MUSANZE!C45+RUBAVU!C45+KARONGI!C45+NYAMAGABE!C45+RUSIZI!C45+HUYE!C45+RUHANGO!C45+MUHANGA!C45+BUGESERA!C45+RWAMAGANA!C45+NYARUGENGE!C45+BISHENYI!C45+GAHANGA!C45+KIMIRONKO!C45+GISOZI!C45+GATSIBO!C45+GASHYUSHYA!C45</f>
        <v>129966224</v>
      </c>
      <c r="D37" s="145"/>
      <c r="E37" s="139"/>
      <c r="F37" s="140"/>
      <c r="G37" s="140"/>
      <c r="H37" s="140"/>
      <c r="I37" s="141"/>
      <c r="J37" s="132"/>
      <c r="K37" s="133"/>
      <c r="L37" s="72"/>
    </row>
    <row r="38" spans="1:12" ht="26.4" thickBot="1">
      <c r="A38" s="142" t="s">
        <v>15</v>
      </c>
      <c r="B38" s="143"/>
      <c r="C38" s="143"/>
      <c r="D38" s="143"/>
      <c r="E38" s="143"/>
      <c r="F38" s="143"/>
      <c r="G38" s="143"/>
      <c r="H38" s="143"/>
      <c r="I38" s="144"/>
      <c r="J38" s="134"/>
      <c r="K38" s="135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41" sqref="C41"/>
    </sheetView>
  </sheetViews>
  <sheetFormatPr defaultColWidth="8.777343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33203125" style="34" customWidth="1"/>
    <col min="5" max="5" width="25.33203125" style="34" customWidth="1"/>
    <col min="6" max="6" width="25.44140625" style="34" customWidth="1"/>
    <col min="7" max="7" width="16.5546875" style="34" customWidth="1"/>
    <col min="8" max="8" width="34.2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6.5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8.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>
        <v>614</v>
      </c>
      <c r="C6" s="165">
        <v>10620</v>
      </c>
      <c r="D6" s="166"/>
      <c r="E6" s="2">
        <f t="shared" ref="E6:E14" si="0">PRODUCT(B6*C6)</f>
        <v>6520680</v>
      </c>
      <c r="F6" s="2">
        <f t="shared" ref="F6:F14" si="1">PRODUCT(E6*18)/118</f>
        <v>994680</v>
      </c>
      <c r="G6" s="2">
        <f>PRODUCT(B6*50)</f>
        <v>30700</v>
      </c>
      <c r="H6" s="89">
        <f t="shared" ref="H6:H14" si="2">SUM(F6:G6)</f>
        <v>1025380</v>
      </c>
      <c r="I6" s="202"/>
    </row>
    <row r="7" spans="1:9">
      <c r="A7" s="48" t="s">
        <v>92</v>
      </c>
      <c r="B7" s="1">
        <v>5592</v>
      </c>
      <c r="C7" s="165">
        <v>8000</v>
      </c>
      <c r="D7" s="166"/>
      <c r="E7" s="2">
        <f t="shared" si="0"/>
        <v>44736000</v>
      </c>
      <c r="F7" s="2">
        <f t="shared" si="1"/>
        <v>6824135.5932203392</v>
      </c>
      <c r="G7" s="2">
        <f>PRODUCT(B7*50)</f>
        <v>279600</v>
      </c>
      <c r="H7" s="89">
        <f t="shared" si="2"/>
        <v>7103735.5932203392</v>
      </c>
      <c r="I7" s="202"/>
    </row>
    <row r="8" spans="1:9">
      <c r="A8" s="32" t="s">
        <v>44</v>
      </c>
      <c r="B8" s="3">
        <v>136</v>
      </c>
      <c r="C8" s="154">
        <v>6000</v>
      </c>
      <c r="D8" s="155"/>
      <c r="E8" s="4">
        <f t="shared" si="0"/>
        <v>816000</v>
      </c>
      <c r="F8" s="4">
        <f t="shared" si="1"/>
        <v>124474.57627118644</v>
      </c>
      <c r="G8" s="4">
        <f>PRODUCT(B8*50)</f>
        <v>6800</v>
      </c>
      <c r="H8" s="90">
        <f t="shared" si="2"/>
        <v>131274.57627118644</v>
      </c>
      <c r="I8" s="202"/>
    </row>
    <row r="9" spans="1:9">
      <c r="A9" s="31" t="s">
        <v>46</v>
      </c>
      <c r="B9" s="3">
        <v>819</v>
      </c>
      <c r="C9" s="154">
        <v>3776</v>
      </c>
      <c r="D9" s="155"/>
      <c r="E9" s="4">
        <f t="shared" si="0"/>
        <v>3092544</v>
      </c>
      <c r="F9" s="4">
        <f t="shared" si="1"/>
        <v>471744</v>
      </c>
      <c r="G9" s="4">
        <f>PRODUCT(B9*30)</f>
        <v>24570</v>
      </c>
      <c r="H9" s="90">
        <f t="shared" si="2"/>
        <v>496314</v>
      </c>
      <c r="I9" s="202"/>
    </row>
    <row r="10" spans="1:9">
      <c r="A10" s="31" t="s">
        <v>47</v>
      </c>
      <c r="B10" s="3">
        <v>10782</v>
      </c>
      <c r="C10" s="154">
        <v>2000</v>
      </c>
      <c r="D10" s="155"/>
      <c r="E10" s="4">
        <f t="shared" si="0"/>
        <v>21564000</v>
      </c>
      <c r="F10" s="4">
        <f t="shared" si="1"/>
        <v>3289423.7288135593</v>
      </c>
      <c r="G10" s="4">
        <f>PRODUCT(B10*30)</f>
        <v>323460</v>
      </c>
      <c r="H10" s="90">
        <f t="shared" si="2"/>
        <v>3612883.7288135593</v>
      </c>
      <c r="I10" s="202"/>
    </row>
    <row r="11" spans="1:9">
      <c r="A11" s="32" t="s">
        <v>65</v>
      </c>
      <c r="B11" s="3">
        <v>1050</v>
      </c>
      <c r="C11" s="154">
        <v>3000</v>
      </c>
      <c r="D11" s="155"/>
      <c r="E11" s="4">
        <f t="shared" si="0"/>
        <v>3150000</v>
      </c>
      <c r="F11" s="4">
        <f t="shared" si="1"/>
        <v>480508.4745762712</v>
      </c>
      <c r="G11" s="4">
        <f>PRODUCT(B11*30)</f>
        <v>31500</v>
      </c>
      <c r="H11" s="90">
        <f t="shared" si="2"/>
        <v>512008.4745762712</v>
      </c>
      <c r="I11" s="202"/>
    </row>
    <row r="12" spans="1:9">
      <c r="A12" s="32" t="s">
        <v>65</v>
      </c>
      <c r="B12" s="3">
        <v>87655</v>
      </c>
      <c r="C12" s="154">
        <v>2124</v>
      </c>
      <c r="D12" s="155"/>
      <c r="E12" s="4">
        <f t="shared" si="0"/>
        <v>186179220</v>
      </c>
      <c r="F12" s="4">
        <f>PRODUCT(E12*18)/118</f>
        <v>28400220</v>
      </c>
      <c r="G12" s="4">
        <f>PRODUCT(B12*30)</f>
        <v>2629650</v>
      </c>
      <c r="H12" s="90">
        <f t="shared" si="2"/>
        <v>31029870</v>
      </c>
      <c r="I12" s="202"/>
    </row>
    <row r="13" spans="1:9">
      <c r="A13" s="32" t="s">
        <v>59</v>
      </c>
      <c r="B13" s="3">
        <v>700</v>
      </c>
      <c r="C13" s="154">
        <v>1357</v>
      </c>
      <c r="D13" s="155"/>
      <c r="E13" s="4">
        <f t="shared" si="0"/>
        <v>949900</v>
      </c>
      <c r="F13" s="4">
        <f t="shared" si="1"/>
        <v>144900</v>
      </c>
      <c r="G13" s="4">
        <f>PRODUCT(B13*20)</f>
        <v>14000</v>
      </c>
      <c r="H13" s="90">
        <f t="shared" si="2"/>
        <v>158900</v>
      </c>
      <c r="I13" s="202"/>
    </row>
    <row r="14" spans="1:9" ht="15" thickBot="1">
      <c r="A14" s="33" t="s">
        <v>93</v>
      </c>
      <c r="B14" s="3">
        <v>396</v>
      </c>
      <c r="C14" s="154">
        <v>3000</v>
      </c>
      <c r="D14" s="155"/>
      <c r="E14" s="4">
        <f t="shared" si="0"/>
        <v>1188000</v>
      </c>
      <c r="F14" s="4">
        <f t="shared" si="1"/>
        <v>181220.33898305084</v>
      </c>
      <c r="G14" s="4">
        <f>PRODUCT(B14*20)</f>
        <v>7920</v>
      </c>
      <c r="H14" s="90">
        <f t="shared" si="2"/>
        <v>189140.33898305084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45</v>
      </c>
      <c r="B17" s="18"/>
      <c r="C17" s="18">
        <v>10000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93</v>
      </c>
      <c r="B18" s="19"/>
      <c r="C18" s="19">
        <v>2360</v>
      </c>
      <c r="D18" s="19">
        <v>20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65</v>
      </c>
      <c r="B19" s="5">
        <v>720</v>
      </c>
      <c r="C19" s="5">
        <v>2600</v>
      </c>
      <c r="D19" s="5">
        <v>30</v>
      </c>
      <c r="E19" s="12">
        <f t="shared" si="4"/>
        <v>1872000</v>
      </c>
      <c r="F19" s="9">
        <f t="shared" si="3"/>
        <v>285559.32203389832</v>
      </c>
      <c r="G19" s="7">
        <f t="shared" si="5"/>
        <v>21600</v>
      </c>
      <c r="H19" s="93">
        <f t="shared" si="6"/>
        <v>307159.32203389832</v>
      </c>
      <c r="I19" s="202"/>
    </row>
    <row r="20" spans="1:9" ht="15" thickBot="1">
      <c r="A20" s="27" t="s">
        <v>44</v>
      </c>
      <c r="B20" s="5">
        <v>900</v>
      </c>
      <c r="C20" s="5">
        <v>4720</v>
      </c>
      <c r="D20" s="5">
        <v>50</v>
      </c>
      <c r="E20" s="12">
        <f t="shared" si="4"/>
        <v>4248000</v>
      </c>
      <c r="F20" s="9">
        <f t="shared" si="3"/>
        <v>648000</v>
      </c>
      <c r="G20" s="85">
        <f t="shared" si="5"/>
        <v>45000</v>
      </c>
      <c r="H20" s="94">
        <f t="shared" si="6"/>
        <v>693000</v>
      </c>
      <c r="I20" s="202"/>
    </row>
    <row r="21" spans="1:9" ht="15" thickBot="1">
      <c r="A21" s="27" t="s">
        <v>94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7" t="s">
        <v>91</v>
      </c>
      <c r="B22" s="5">
        <v>1007</v>
      </c>
      <c r="C22" s="5">
        <v>2000</v>
      </c>
      <c r="D22" s="5">
        <v>25</v>
      </c>
      <c r="E22" s="12">
        <f t="shared" si="4"/>
        <v>2014000</v>
      </c>
      <c r="F22" s="9">
        <f t="shared" si="3"/>
        <v>307220.33898305084</v>
      </c>
      <c r="G22" s="85">
        <f t="shared" si="5"/>
        <v>25175</v>
      </c>
      <c r="H22" s="94">
        <f t="shared" si="6"/>
        <v>332395.33898305084</v>
      </c>
      <c r="I22" s="202"/>
    </row>
    <row r="23" spans="1:9" ht="15" thickBot="1">
      <c r="A23" s="27" t="s">
        <v>45</v>
      </c>
      <c r="B23" s="20">
        <v>1020</v>
      </c>
      <c r="C23" s="20">
        <v>5000</v>
      </c>
      <c r="D23" s="20">
        <v>50</v>
      </c>
      <c r="E23" s="12">
        <f>PRODUCT(B23*C23)</f>
        <v>5100000</v>
      </c>
      <c r="F23" s="9">
        <f t="shared" si="3"/>
        <v>777966.10169491521</v>
      </c>
      <c r="G23" s="7">
        <f>PRODUCT(B23*D23)</f>
        <v>51000</v>
      </c>
      <c r="H23" s="93">
        <f>SUM(F23:G23)</f>
        <v>828966.10169491521</v>
      </c>
      <c r="I23" s="202"/>
    </row>
    <row r="24" spans="1:9" ht="15" thickBot="1">
      <c r="A24" s="27" t="s">
        <v>95</v>
      </c>
      <c r="B24" s="19">
        <v>300</v>
      </c>
      <c r="C24" s="19">
        <v>1770</v>
      </c>
      <c r="D24" s="19">
        <v>20</v>
      </c>
      <c r="E24" s="12">
        <f t="shared" ref="E24:E36" si="7">PRODUCT(B24*C24)</f>
        <v>531000</v>
      </c>
      <c r="F24" s="9">
        <f t="shared" si="3"/>
        <v>81000</v>
      </c>
      <c r="G24" s="85">
        <f t="shared" ref="G24:G36" si="8">PRODUCT(B24*D24)</f>
        <v>6000</v>
      </c>
      <c r="H24" s="94">
        <f t="shared" ref="H24:H36" si="9">SUM(F24:G24)</f>
        <v>87000</v>
      </c>
      <c r="I24" s="202"/>
    </row>
    <row r="25" spans="1:9" ht="15" thickBot="1">
      <c r="A25" s="27" t="s">
        <v>96</v>
      </c>
      <c r="B25" s="5"/>
      <c r="C25" s="5">
        <v>18000</v>
      </c>
      <c r="D25" s="5">
        <v>50</v>
      </c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7" t="s">
        <v>97</v>
      </c>
      <c r="B26" s="5"/>
      <c r="C26" s="5">
        <v>2500</v>
      </c>
      <c r="D26" s="5">
        <v>30</v>
      </c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7" t="s">
        <v>93</v>
      </c>
      <c r="B27" s="5"/>
      <c r="C27" s="5">
        <v>3000</v>
      </c>
      <c r="D27" s="5">
        <v>20</v>
      </c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104" t="s">
        <v>65</v>
      </c>
      <c r="B28" s="87"/>
      <c r="C28" s="87">
        <v>3000</v>
      </c>
      <c r="D28" s="87">
        <v>30</v>
      </c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7" t="s">
        <v>96</v>
      </c>
      <c r="B29" s="5"/>
      <c r="C29" s="5">
        <v>12036</v>
      </c>
      <c r="D29" s="5">
        <v>50</v>
      </c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7" t="s">
        <v>89</v>
      </c>
      <c r="B30" s="5"/>
      <c r="C30" s="5">
        <v>10000</v>
      </c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7" t="s">
        <v>89</v>
      </c>
      <c r="B31" s="20"/>
      <c r="C31" s="20"/>
      <c r="D31" s="20">
        <v>5000</v>
      </c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281961344</v>
      </c>
      <c r="F37" s="16">
        <f>SUM(F5:F36)</f>
        <v>43011052.474576265</v>
      </c>
      <c r="G37" s="16">
        <f t="shared" ref="G37:H37" si="10">SUM(G5:G36)</f>
        <v>3496975</v>
      </c>
      <c r="H37" s="16">
        <f t="shared" si="10"/>
        <v>46508027.474576265</v>
      </c>
      <c r="I37" s="202"/>
    </row>
    <row r="38" spans="1:9" s="79" customFormat="1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46511291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46511291</v>
      </c>
      <c r="D45" s="82"/>
      <c r="E45" s="189"/>
      <c r="F45" s="190"/>
      <c r="G45" s="83"/>
      <c r="H45" s="100"/>
      <c r="I45" s="202"/>
    </row>
    <row r="46" spans="1:9" ht="19.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20.5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2.95" customHeight="1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22.05" customHeight="1" thickBot="1">
      <c r="A49" s="210"/>
      <c r="B49" s="211"/>
      <c r="C49" s="185" t="s">
        <v>60</v>
      </c>
      <c r="D49" s="186"/>
      <c r="E49" s="195">
        <f>SUM(B9:B12)</f>
        <v>100306</v>
      </c>
      <c r="F49" s="196"/>
      <c r="G49" s="196"/>
      <c r="H49" s="196"/>
      <c r="I49" s="202"/>
    </row>
    <row r="50" spans="1:9" ht="22.5" customHeight="1" thickBot="1">
      <c r="A50" s="212"/>
      <c r="B50" s="213"/>
      <c r="C50" s="185" t="s">
        <v>45</v>
      </c>
      <c r="D50" s="186"/>
      <c r="E50" s="195">
        <f>SUM(B6:B8)</f>
        <v>6342</v>
      </c>
      <c r="F50" s="196"/>
      <c r="G50" s="196"/>
      <c r="H50" s="196"/>
      <c r="I50" s="202"/>
    </row>
    <row r="51" spans="1:9" ht="24.45" customHeight="1" thickBot="1">
      <c r="A51" s="212"/>
      <c r="B51" s="213"/>
      <c r="C51" s="185" t="s">
        <v>61</v>
      </c>
      <c r="D51" s="186"/>
      <c r="E51" s="195">
        <f>SUM(B13:B14)</f>
        <v>1096</v>
      </c>
      <c r="F51" s="196"/>
      <c r="G51" s="196"/>
      <c r="H51" s="196"/>
      <c r="I51" s="202"/>
    </row>
    <row r="52" spans="1:9" ht="22.05" customHeight="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22.05" customHeight="1" thickBot="1">
      <c r="A53" s="212"/>
      <c r="B53" s="213"/>
      <c r="C53" s="187" t="s">
        <v>63</v>
      </c>
      <c r="D53" s="188"/>
      <c r="E53" s="148">
        <f>SUM(B19:B20)</f>
        <v>1620</v>
      </c>
      <c r="F53" s="149"/>
      <c r="G53" s="149"/>
      <c r="H53" s="149"/>
      <c r="I53" s="202"/>
    </row>
    <row r="54" spans="1:9" ht="22.05" customHeight="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22.05" customHeight="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109364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1" sqref="C41"/>
    </sheetView>
  </sheetViews>
  <sheetFormatPr defaultColWidth="8.77734375" defaultRowHeight="14.4"/>
  <cols>
    <col min="1" max="1" width="27.21875" style="34" customWidth="1"/>
    <col min="2" max="2" width="19.33203125" style="34" customWidth="1"/>
    <col min="3" max="3" width="13.5546875" style="34" customWidth="1"/>
    <col min="4" max="4" width="11.77734375" style="34" customWidth="1"/>
    <col min="5" max="5" width="21" style="34" customWidth="1"/>
    <col min="6" max="6" width="21.77734375" style="34" customWidth="1"/>
    <col min="7" max="7" width="20.6640625" style="34" customWidth="1"/>
    <col min="8" max="8" width="21.777343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24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17"/>
    </row>
    <row r="4" spans="1:9" ht="22.9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>
        <v>155</v>
      </c>
      <c r="C7" s="165">
        <v>7670</v>
      </c>
      <c r="D7" s="166"/>
      <c r="E7" s="2">
        <f t="shared" si="0"/>
        <v>1188850</v>
      </c>
      <c r="F7" s="2">
        <f t="shared" si="1"/>
        <v>181350</v>
      </c>
      <c r="G7" s="2">
        <f>PRODUCT(B7*50)</f>
        <v>7750</v>
      </c>
      <c r="H7" s="89">
        <f t="shared" si="2"/>
        <v>189100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25349</v>
      </c>
      <c r="C10" s="154">
        <v>2360</v>
      </c>
      <c r="D10" s="155"/>
      <c r="E10" s="4">
        <f t="shared" si="0"/>
        <v>59823640</v>
      </c>
      <c r="F10" s="4">
        <f t="shared" si="1"/>
        <v>9125640</v>
      </c>
      <c r="G10" s="4">
        <f>PRODUCT(B10*30)</f>
        <v>760470</v>
      </c>
      <c r="H10" s="90">
        <f t="shared" si="2"/>
        <v>9886110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2700</v>
      </c>
      <c r="C13" s="154">
        <v>1534</v>
      </c>
      <c r="D13" s="155"/>
      <c r="E13" s="4">
        <f t="shared" si="0"/>
        <v>4141800</v>
      </c>
      <c r="F13" s="4">
        <f t="shared" si="1"/>
        <v>631800</v>
      </c>
      <c r="G13" s="4">
        <f>PRODUCT(B13*20)</f>
        <v>54000</v>
      </c>
      <c r="H13" s="90">
        <f t="shared" si="2"/>
        <v>685800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91</v>
      </c>
      <c r="B17" s="18"/>
      <c r="C17" s="18">
        <v>2000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65154290</v>
      </c>
      <c r="F37" s="16">
        <f>SUM(F5:F36)</f>
        <v>9938790</v>
      </c>
      <c r="G37" s="16">
        <f t="shared" ref="G37:H37" si="10">SUM(G5:G36)</f>
        <v>822220</v>
      </c>
      <c r="H37" s="16">
        <f t="shared" si="10"/>
        <v>10761010</v>
      </c>
      <c r="I37" s="217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customHeight="1" thickBot="1">
      <c r="A39" s="179" t="s">
        <v>67</v>
      </c>
      <c r="B39" s="180"/>
      <c r="C39" s="46">
        <v>10761010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10761010</v>
      </c>
      <c r="D45" s="82"/>
      <c r="E45" s="189"/>
      <c r="F45" s="190"/>
      <c r="G45" s="83"/>
      <c r="H45" s="100"/>
      <c r="I45" s="217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25349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155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2700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28204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22.6640625" style="34" customWidth="1"/>
    <col min="2" max="2" width="26.33203125" style="34" customWidth="1"/>
    <col min="3" max="3" width="18.88671875" style="34" customWidth="1"/>
    <col min="4" max="4" width="12.77734375" style="34" customWidth="1"/>
    <col min="5" max="5" width="20.44140625" style="34" customWidth="1"/>
    <col min="6" max="6" width="21.5546875" style="34" customWidth="1"/>
    <col min="7" max="7" width="14.33203125" style="34" customWidth="1"/>
    <col min="8" max="8" width="24.2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24.4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17"/>
    </row>
    <row r="4" spans="1:9" ht="21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>
        <v>330</v>
      </c>
      <c r="C8" s="154">
        <v>5900</v>
      </c>
      <c r="D8" s="155"/>
      <c r="E8" s="4">
        <f t="shared" si="0"/>
        <v>1947000</v>
      </c>
      <c r="F8" s="4">
        <f t="shared" si="1"/>
        <v>297000</v>
      </c>
      <c r="G8" s="4">
        <f>PRODUCT(B8*50)</f>
        <v>16500</v>
      </c>
      <c r="H8" s="90">
        <f t="shared" si="2"/>
        <v>313500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10695</v>
      </c>
      <c r="C10" s="154">
        <v>2124</v>
      </c>
      <c r="D10" s="155"/>
      <c r="E10" s="4">
        <f t="shared" si="0"/>
        <v>22716180</v>
      </c>
      <c r="F10" s="4">
        <f t="shared" si="1"/>
        <v>3465180</v>
      </c>
      <c r="G10" s="4">
        <f>PRODUCT(B10*30)</f>
        <v>320850</v>
      </c>
      <c r="H10" s="90">
        <f t="shared" si="2"/>
        <v>3786030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400</v>
      </c>
      <c r="C13" s="154">
        <v>1357</v>
      </c>
      <c r="D13" s="155"/>
      <c r="E13" s="4">
        <f t="shared" si="0"/>
        <v>542800</v>
      </c>
      <c r="F13" s="4">
        <f t="shared" si="1"/>
        <v>82800</v>
      </c>
      <c r="G13" s="4">
        <f>PRODUCT(B13*20)</f>
        <v>8000</v>
      </c>
      <c r="H13" s="90">
        <f t="shared" si="2"/>
        <v>90800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50</v>
      </c>
      <c r="C17" s="18">
        <v>1180</v>
      </c>
      <c r="D17" s="18">
        <v>30</v>
      </c>
      <c r="E17" s="11">
        <f>PRODUCT(B17*C17)</f>
        <v>59000</v>
      </c>
      <c r="F17" s="8">
        <f t="shared" ref="F17:F36" si="3">PRODUCT(E17*18)/118</f>
        <v>9000</v>
      </c>
      <c r="G17" s="84">
        <f>PRODUCT(B17*D17)</f>
        <v>1500</v>
      </c>
      <c r="H17" s="92">
        <f>SUM(F17:G17)</f>
        <v>10500</v>
      </c>
      <c r="I17" s="217"/>
    </row>
    <row r="18" spans="1:9" ht="15" thickBot="1">
      <c r="A18" s="26" t="s">
        <v>62</v>
      </c>
      <c r="B18" s="19">
        <v>331</v>
      </c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69510</v>
      </c>
      <c r="H18" s="93">
        <f t="shared" ref="H18:H22" si="6">SUM(F18:G18)</f>
        <v>69510</v>
      </c>
      <c r="I18" s="217"/>
    </row>
    <row r="19" spans="1:9" ht="15" thickBot="1">
      <c r="A19" s="27" t="s">
        <v>45</v>
      </c>
      <c r="B19" s="5">
        <v>793</v>
      </c>
      <c r="C19" s="5"/>
      <c r="D19" s="5">
        <v>50</v>
      </c>
      <c r="E19" s="12">
        <f t="shared" si="4"/>
        <v>0</v>
      </c>
      <c r="F19" s="9">
        <f t="shared" si="3"/>
        <v>0</v>
      </c>
      <c r="G19" s="7">
        <f t="shared" si="5"/>
        <v>39650</v>
      </c>
      <c r="H19" s="93">
        <f t="shared" si="6"/>
        <v>39650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25264980</v>
      </c>
      <c r="F37" s="16">
        <f>SUM(F5:F36)</f>
        <v>3853980</v>
      </c>
      <c r="G37" s="16">
        <f t="shared" ref="G37:H37" si="10">SUM(G5:G36)</f>
        <v>456010</v>
      </c>
      <c r="H37" s="16">
        <f t="shared" si="10"/>
        <v>4309990</v>
      </c>
      <c r="I37" s="217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customHeight="1" thickBot="1">
      <c r="A39" s="179" t="s">
        <v>67</v>
      </c>
      <c r="B39" s="180"/>
      <c r="C39" s="46">
        <v>4309990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4309990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10695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330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400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381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793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12599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85" zoomScaleNormal="85" workbookViewId="0">
      <selection activeCell="B20" sqref="B20"/>
    </sheetView>
  </sheetViews>
  <sheetFormatPr defaultColWidth="8.77734375" defaultRowHeight="14.4"/>
  <cols>
    <col min="1" max="1" width="21.109375" style="34" customWidth="1"/>
    <col min="2" max="2" width="17.44140625" style="34" customWidth="1"/>
    <col min="3" max="3" width="20.21875" style="34" customWidth="1"/>
    <col min="4" max="4" width="14.88671875" style="34" customWidth="1"/>
    <col min="5" max="5" width="28.33203125" style="34" customWidth="1"/>
    <col min="6" max="6" width="22.109375" style="34" customWidth="1"/>
    <col min="7" max="7" width="16.6640625" style="34" customWidth="1"/>
    <col min="8" max="8" width="26.5546875" style="34" customWidth="1"/>
    <col min="9" max="16384" width="8.77734375" style="34"/>
  </cols>
  <sheetData>
    <row r="1" spans="1:9" ht="14.55" customHeight="1">
      <c r="A1" s="156" t="s">
        <v>84</v>
      </c>
      <c r="B1" s="157"/>
      <c r="C1" s="157"/>
      <c r="D1" s="157"/>
      <c r="E1" s="157"/>
      <c r="F1" s="157"/>
      <c r="G1" s="157"/>
      <c r="H1" s="157"/>
      <c r="I1" s="216"/>
    </row>
    <row r="2" spans="1:9" ht="24.4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103</v>
      </c>
      <c r="B3" s="161"/>
      <c r="C3" s="161"/>
      <c r="D3" s="161"/>
      <c r="E3" s="161"/>
      <c r="F3" s="161"/>
      <c r="G3" s="161"/>
      <c r="H3" s="162"/>
      <c r="I3" s="217"/>
    </row>
    <row r="4" spans="1:9" ht="28.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>
        <v>230</v>
      </c>
      <c r="C8" s="154">
        <v>7670</v>
      </c>
      <c r="D8" s="155"/>
      <c r="E8" s="4">
        <f t="shared" si="0"/>
        <v>1764100</v>
      </c>
      <c r="F8" s="4">
        <f t="shared" si="1"/>
        <v>269100</v>
      </c>
      <c r="G8" s="4">
        <f>PRODUCT(B8*50)</f>
        <v>11500</v>
      </c>
      <c r="H8" s="90">
        <f t="shared" si="2"/>
        <v>280600</v>
      </c>
      <c r="I8" s="217"/>
    </row>
    <row r="9" spans="1:9">
      <c r="A9" s="31" t="s">
        <v>46</v>
      </c>
      <c r="B9" s="3">
        <v>930</v>
      </c>
      <c r="C9" s="154">
        <v>3000</v>
      </c>
      <c r="D9" s="155"/>
      <c r="E9" s="4">
        <f t="shared" si="0"/>
        <v>2790000</v>
      </c>
      <c r="F9" s="4">
        <f t="shared" si="1"/>
        <v>425593.22033898305</v>
      </c>
      <c r="G9" s="4">
        <f>PRODUCT(B9*30)</f>
        <v>27900</v>
      </c>
      <c r="H9" s="90">
        <f t="shared" si="2"/>
        <v>453493.22033898305</v>
      </c>
      <c r="I9" s="217"/>
    </row>
    <row r="10" spans="1:9">
      <c r="A10" s="31" t="s">
        <v>47</v>
      </c>
      <c r="B10" s="3">
        <v>20314</v>
      </c>
      <c r="C10" s="154">
        <v>2124</v>
      </c>
      <c r="D10" s="155"/>
      <c r="E10" s="4">
        <f t="shared" si="0"/>
        <v>43146936</v>
      </c>
      <c r="F10" s="4">
        <f t="shared" si="1"/>
        <v>6581736</v>
      </c>
      <c r="G10" s="4">
        <f>PRODUCT(B10*30)</f>
        <v>609420</v>
      </c>
      <c r="H10" s="90">
        <f t="shared" si="2"/>
        <v>7191156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>
        <v>2124</v>
      </c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1900</v>
      </c>
      <c r="C13" s="154">
        <v>1357</v>
      </c>
      <c r="D13" s="155"/>
      <c r="E13" s="4">
        <f t="shared" si="0"/>
        <v>2578300</v>
      </c>
      <c r="F13" s="4">
        <f t="shared" si="1"/>
        <v>393300</v>
      </c>
      <c r="G13" s="4">
        <f>PRODUCT(B13*20)</f>
        <v>38000</v>
      </c>
      <c r="H13" s="90">
        <f t="shared" si="2"/>
        <v>431300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50279336</v>
      </c>
      <c r="F37" s="16">
        <f>SUM(F5:F36)</f>
        <v>7669729.2203389835</v>
      </c>
      <c r="G37" s="16">
        <f t="shared" ref="G37:H37" si="10">SUM(G5:G36)</f>
        <v>686820</v>
      </c>
      <c r="H37" s="16">
        <f t="shared" si="10"/>
        <v>8356549.2203389835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17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21244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230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1900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23374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23.5546875" style="34" customWidth="1"/>
    <col min="2" max="2" width="19.44140625" style="34" customWidth="1"/>
    <col min="3" max="3" width="14.77734375" style="34" customWidth="1"/>
    <col min="4" max="4" width="9.77734375" style="34" customWidth="1"/>
    <col min="5" max="5" width="22.21875" style="34" customWidth="1"/>
    <col min="6" max="6" width="23.5546875" style="34" customWidth="1"/>
    <col min="7" max="7" width="17.21875" style="34" customWidth="1"/>
    <col min="8" max="8" width="22.664062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1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17"/>
    </row>
    <row r="4" spans="1:9" ht="1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>
        <v>625</v>
      </c>
      <c r="C7" s="165">
        <v>7670</v>
      </c>
      <c r="D7" s="166"/>
      <c r="E7" s="2">
        <f t="shared" si="0"/>
        <v>4793750</v>
      </c>
      <c r="F7" s="2">
        <f t="shared" si="1"/>
        <v>731250</v>
      </c>
      <c r="G7" s="2">
        <f>PRODUCT(B7*50)</f>
        <v>31250</v>
      </c>
      <c r="H7" s="89">
        <f t="shared" si="2"/>
        <v>762500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>
        <v>200</v>
      </c>
      <c r="C9" s="154">
        <v>3500</v>
      </c>
      <c r="D9" s="155"/>
      <c r="E9" s="4">
        <f t="shared" si="0"/>
        <v>700000</v>
      </c>
      <c r="F9" s="4">
        <f t="shared" si="1"/>
        <v>106779.66101694915</v>
      </c>
      <c r="G9" s="4">
        <f>PRODUCT(B9*30)</f>
        <v>6000</v>
      </c>
      <c r="H9" s="90">
        <f t="shared" si="2"/>
        <v>112779.66101694915</v>
      </c>
      <c r="I9" s="217"/>
    </row>
    <row r="10" spans="1:9">
      <c r="A10" s="31" t="s">
        <v>47</v>
      </c>
      <c r="B10" s="3">
        <v>24773</v>
      </c>
      <c r="C10" s="154">
        <v>2124</v>
      </c>
      <c r="D10" s="155"/>
      <c r="E10" s="4">
        <f t="shared" si="0"/>
        <v>52617852</v>
      </c>
      <c r="F10" s="4">
        <f t="shared" si="1"/>
        <v>8026452</v>
      </c>
      <c r="G10" s="4">
        <f>PRODUCT(B10*30)</f>
        <v>743190</v>
      </c>
      <c r="H10" s="90">
        <f t="shared" si="2"/>
        <v>8769642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900</v>
      </c>
      <c r="C13" s="154">
        <v>1357</v>
      </c>
      <c r="D13" s="155"/>
      <c r="E13" s="4">
        <f t="shared" si="0"/>
        <v>1221300</v>
      </c>
      <c r="F13" s="4">
        <f t="shared" si="1"/>
        <v>186300</v>
      </c>
      <c r="G13" s="4">
        <f>PRODUCT(B13*20)</f>
        <v>18000</v>
      </c>
      <c r="H13" s="90">
        <f t="shared" si="2"/>
        <v>204300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>
        <v>30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59332902</v>
      </c>
      <c r="F37" s="16">
        <f>SUM(F5:F36)</f>
        <v>9050781.6610169485</v>
      </c>
      <c r="G37" s="16">
        <f t="shared" ref="G37:H37" si="10">SUM(G5:G36)</f>
        <v>798440</v>
      </c>
      <c r="H37" s="16">
        <f t="shared" si="10"/>
        <v>9849221.6610169485</v>
      </c>
      <c r="I37" s="217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customHeight="1" thickBot="1">
      <c r="A39" s="179" t="s">
        <v>67</v>
      </c>
      <c r="B39" s="180"/>
      <c r="C39" s="46">
        <v>9846122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9846122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24973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625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900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26498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50" sqref="C50:D50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1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>
        <v>7670</v>
      </c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>
        <v>83</v>
      </c>
      <c r="C7" s="165">
        <v>4720</v>
      </c>
      <c r="D7" s="166"/>
      <c r="E7" s="2">
        <f t="shared" si="0"/>
        <v>391760</v>
      </c>
      <c r="F7" s="2">
        <f t="shared" si="1"/>
        <v>59760</v>
      </c>
      <c r="G7" s="2">
        <f>PRODUCT(B7*50)</f>
        <v>4150</v>
      </c>
      <c r="H7" s="89">
        <f t="shared" si="2"/>
        <v>63910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35561</v>
      </c>
      <c r="C10" s="154">
        <v>2124</v>
      </c>
      <c r="D10" s="155"/>
      <c r="E10" s="4">
        <f t="shared" si="0"/>
        <v>75531564</v>
      </c>
      <c r="F10" s="4">
        <f t="shared" si="1"/>
        <v>11521764</v>
      </c>
      <c r="G10" s="4">
        <f>PRODUCT(B10*30)</f>
        <v>1066830</v>
      </c>
      <c r="H10" s="90">
        <f t="shared" si="2"/>
        <v>12588594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>
        <v>4997</v>
      </c>
      <c r="C13" s="154">
        <v>1357</v>
      </c>
      <c r="D13" s="155"/>
      <c r="E13" s="4">
        <f t="shared" si="0"/>
        <v>6780929</v>
      </c>
      <c r="F13" s="4">
        <f t="shared" si="1"/>
        <v>1034379</v>
      </c>
      <c r="G13" s="4">
        <f>PRODUCT(B13*20)</f>
        <v>99940</v>
      </c>
      <c r="H13" s="90">
        <f t="shared" si="2"/>
        <v>1134319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/>
      <c r="C17" s="18">
        <v>2006</v>
      </c>
      <c r="D17" s="18">
        <v>25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99</v>
      </c>
      <c r="B18" s="19">
        <v>540</v>
      </c>
      <c r="C18" s="19">
        <v>3304</v>
      </c>
      <c r="D18" s="19">
        <v>40</v>
      </c>
      <c r="E18" s="12">
        <f t="shared" ref="E18:E22" si="4">PRODUCT(B18*C18)</f>
        <v>1784160</v>
      </c>
      <c r="F18" s="9">
        <f t="shared" si="3"/>
        <v>272160</v>
      </c>
      <c r="G18" s="7">
        <f t="shared" ref="G18:G22" si="5">PRODUCT(B18*D18)</f>
        <v>21600</v>
      </c>
      <c r="H18" s="93">
        <f t="shared" ref="H18:H22" si="6">SUM(F18:G18)</f>
        <v>293760</v>
      </c>
      <c r="I18" s="202"/>
    </row>
    <row r="19" spans="1:9" ht="15" thickBot="1">
      <c r="A19" s="27" t="s">
        <v>63</v>
      </c>
      <c r="B19" s="5"/>
      <c r="C19" s="5">
        <v>2360</v>
      </c>
      <c r="D19" s="5">
        <v>30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84488413</v>
      </c>
      <c r="F37" s="16">
        <f>SUM(F5:F36)</f>
        <v>12888063</v>
      </c>
      <c r="G37" s="16">
        <f t="shared" ref="G37:H37" si="10">SUM(G5:G36)</f>
        <v>1192520</v>
      </c>
      <c r="H37" s="16">
        <f t="shared" si="10"/>
        <v>14080583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13878073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>
        <v>202510</v>
      </c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14080583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35561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83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4997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540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41181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46" sqref="A46:H47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1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>
        <v>170</v>
      </c>
      <c r="C7" s="165">
        <v>7670</v>
      </c>
      <c r="D7" s="166"/>
      <c r="E7" s="2">
        <f t="shared" si="0"/>
        <v>1303900</v>
      </c>
      <c r="F7" s="2">
        <f t="shared" si="1"/>
        <v>198900</v>
      </c>
      <c r="G7" s="2">
        <f>PRODUCT(B7*50)</f>
        <v>8500</v>
      </c>
      <c r="H7" s="89">
        <f t="shared" si="2"/>
        <v>207400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13717</v>
      </c>
      <c r="C10" s="154">
        <v>2124</v>
      </c>
      <c r="D10" s="155"/>
      <c r="E10" s="4">
        <f t="shared" si="0"/>
        <v>29134908</v>
      </c>
      <c r="F10" s="4">
        <f t="shared" si="1"/>
        <v>4444308</v>
      </c>
      <c r="G10" s="4">
        <f>PRODUCT(B10*30)</f>
        <v>411510</v>
      </c>
      <c r="H10" s="90">
        <f t="shared" si="2"/>
        <v>4855818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>
        <v>950</v>
      </c>
      <c r="C13" s="154">
        <v>1357</v>
      </c>
      <c r="D13" s="155"/>
      <c r="E13" s="4">
        <f t="shared" si="0"/>
        <v>1289150</v>
      </c>
      <c r="F13" s="4">
        <f t="shared" si="1"/>
        <v>196650</v>
      </c>
      <c r="G13" s="4">
        <f>PRODUCT(B13*20)</f>
        <v>19000</v>
      </c>
      <c r="H13" s="90">
        <f t="shared" si="2"/>
        <v>215650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31727958</v>
      </c>
      <c r="F37" s="16">
        <f>SUM(F5:F36)</f>
        <v>4839858</v>
      </c>
      <c r="G37" s="16">
        <f t="shared" ref="G37:H37" si="10">SUM(G5:G36)</f>
        <v>439010</v>
      </c>
      <c r="H37" s="16">
        <f t="shared" si="10"/>
        <v>5278868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5278868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>
        <v>300000</v>
      </c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5578868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13717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170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950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14837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77734375" style="34" customWidth="1"/>
    <col min="5" max="5" width="24.109375" style="34" customWidth="1"/>
    <col min="6" max="6" width="18.44140625" style="34" customWidth="1"/>
    <col min="7" max="8" width="15.777343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22.9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17"/>
    </row>
    <row r="4" spans="1:9" ht="25.9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91</v>
      </c>
      <c r="B8" s="3">
        <v>235</v>
      </c>
      <c r="C8" s="154">
        <v>2360</v>
      </c>
      <c r="D8" s="155"/>
      <c r="E8" s="4">
        <f t="shared" si="0"/>
        <v>554600</v>
      </c>
      <c r="F8" s="4">
        <f t="shared" si="1"/>
        <v>84600</v>
      </c>
      <c r="G8" s="4">
        <f>PRODUCT(B8*50)</f>
        <v>11750</v>
      </c>
      <c r="H8" s="90">
        <f t="shared" si="2"/>
        <v>96350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2220</v>
      </c>
      <c r="C10" s="154">
        <v>2200</v>
      </c>
      <c r="D10" s="155"/>
      <c r="E10" s="4">
        <f t="shared" si="0"/>
        <v>4884000</v>
      </c>
      <c r="F10" s="4">
        <f t="shared" si="1"/>
        <v>745016.94915254239</v>
      </c>
      <c r="G10" s="4">
        <f>PRODUCT(B10*30)</f>
        <v>66600</v>
      </c>
      <c r="H10" s="90">
        <f t="shared" si="2"/>
        <v>811616.94915254239</v>
      </c>
      <c r="I10" s="217"/>
    </row>
    <row r="11" spans="1:9">
      <c r="A11" s="32" t="s">
        <v>65</v>
      </c>
      <c r="B11" s="3">
        <v>6260</v>
      </c>
      <c r="C11" s="154">
        <v>2596</v>
      </c>
      <c r="D11" s="155"/>
      <c r="E11" s="4">
        <f t="shared" si="0"/>
        <v>16250960</v>
      </c>
      <c r="F11" s="4">
        <f t="shared" si="1"/>
        <v>2478960</v>
      </c>
      <c r="G11" s="4">
        <f>PRODUCT(B11*30)</f>
        <v>187800</v>
      </c>
      <c r="H11" s="90">
        <f t="shared" si="2"/>
        <v>2666760</v>
      </c>
      <c r="I11" s="217"/>
    </row>
    <row r="12" spans="1:9">
      <c r="A12" s="32" t="s">
        <v>65</v>
      </c>
      <c r="B12" s="3">
        <v>1350</v>
      </c>
      <c r="C12" s="154">
        <v>2500</v>
      </c>
      <c r="D12" s="155"/>
      <c r="E12" s="4">
        <f t="shared" si="0"/>
        <v>3375000</v>
      </c>
      <c r="F12" s="4">
        <f>PRODUCT(E12*18)/118</f>
        <v>514830.50847457629</v>
      </c>
      <c r="G12" s="4">
        <f>PRODUCT(B12*30)</f>
        <v>40500</v>
      </c>
      <c r="H12" s="90">
        <f t="shared" si="2"/>
        <v>555330.50847457629</v>
      </c>
      <c r="I12" s="217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4330</v>
      </c>
      <c r="C17" s="18">
        <v>1180</v>
      </c>
      <c r="D17" s="18">
        <v>20</v>
      </c>
      <c r="E17" s="11">
        <f>PRODUCT(B17*C17)</f>
        <v>5109400</v>
      </c>
      <c r="F17" s="8">
        <f t="shared" ref="F17:F36" si="3">PRODUCT(E17*18)/118</f>
        <v>779400</v>
      </c>
      <c r="G17" s="84">
        <f>PRODUCT(B17*D17)</f>
        <v>86600</v>
      </c>
      <c r="H17" s="92">
        <f>SUM(F17:G17)</f>
        <v>866000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7" t="s">
        <v>106</v>
      </c>
      <c r="B21" s="5">
        <v>200</v>
      </c>
      <c r="C21" s="5">
        <v>4000</v>
      </c>
      <c r="D21" s="5">
        <v>50</v>
      </c>
      <c r="E21" s="12">
        <f t="shared" si="4"/>
        <v>800000</v>
      </c>
      <c r="F21" s="9">
        <f t="shared" si="3"/>
        <v>122033.89830508475</v>
      </c>
      <c r="G21" s="7">
        <f t="shared" si="5"/>
        <v>10000</v>
      </c>
      <c r="H21" s="93">
        <f t="shared" si="6"/>
        <v>132033.89830508473</v>
      </c>
      <c r="I21" s="217"/>
    </row>
    <row r="22" spans="1:9" ht="15" thickBot="1">
      <c r="A22" s="27" t="s">
        <v>89</v>
      </c>
      <c r="B22" s="5"/>
      <c r="C22" s="5">
        <v>10000</v>
      </c>
      <c r="D22" s="5">
        <v>2000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30973960</v>
      </c>
      <c r="F37" s="16">
        <f>SUM(F5:F36)</f>
        <v>4724841.3559322031</v>
      </c>
      <c r="G37" s="16">
        <f t="shared" ref="G37:H37" si="10">SUM(G5:G36)</f>
        <v>403250</v>
      </c>
      <c r="H37" s="16">
        <f t="shared" si="10"/>
        <v>5128091.3559322031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thickBot="1">
      <c r="A39" s="179" t="s">
        <v>67</v>
      </c>
      <c r="B39" s="180"/>
      <c r="C39" s="46">
        <v>5128091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5128091</v>
      </c>
      <c r="D45" s="82"/>
      <c r="E45" s="189"/>
      <c r="F45" s="190"/>
      <c r="G45" s="83"/>
      <c r="H45" s="100"/>
      <c r="I45" s="217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9830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235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4330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14395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D1" workbookViewId="0">
      <selection activeCell="O29" sqref="O29:R29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4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1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>
        <v>9440</v>
      </c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101</v>
      </c>
      <c r="B8" s="3"/>
      <c r="C8" s="154">
        <v>2360</v>
      </c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>
        <v>799</v>
      </c>
      <c r="C9" s="154">
        <v>4130</v>
      </c>
      <c r="D9" s="155"/>
      <c r="E9" s="4">
        <f t="shared" si="0"/>
        <v>3299870</v>
      </c>
      <c r="F9" s="4">
        <f t="shared" si="1"/>
        <v>503370</v>
      </c>
      <c r="G9" s="4">
        <f>PRODUCT(B9*30)</f>
        <v>23970</v>
      </c>
      <c r="H9" s="90">
        <f t="shared" si="2"/>
        <v>527340</v>
      </c>
      <c r="I9" s="202"/>
    </row>
    <row r="10" spans="1:9">
      <c r="A10" s="31" t="s">
        <v>47</v>
      </c>
      <c r="B10" s="3">
        <v>7262</v>
      </c>
      <c r="C10" s="154">
        <v>2360</v>
      </c>
      <c r="D10" s="155"/>
      <c r="E10" s="4">
        <f t="shared" si="0"/>
        <v>17138320</v>
      </c>
      <c r="F10" s="4">
        <f t="shared" si="1"/>
        <v>2614320</v>
      </c>
      <c r="G10" s="4">
        <f>PRODUCT(B10*30)</f>
        <v>217860</v>
      </c>
      <c r="H10" s="90">
        <f t="shared" si="2"/>
        <v>2832180</v>
      </c>
      <c r="I10" s="202"/>
    </row>
    <row r="11" spans="1:9">
      <c r="A11" s="32" t="s">
        <v>96</v>
      </c>
      <c r="B11" s="3"/>
      <c r="C11" s="154">
        <v>1180</v>
      </c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>
        <v>1180</v>
      </c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96</v>
      </c>
      <c r="B13" s="3">
        <v>2000</v>
      </c>
      <c r="C13" s="154">
        <v>1180</v>
      </c>
      <c r="D13" s="155"/>
      <c r="E13" s="4">
        <f t="shared" si="0"/>
        <v>2360000</v>
      </c>
      <c r="F13" s="4">
        <f t="shared" si="1"/>
        <v>360000</v>
      </c>
      <c r="G13" s="4">
        <f>PRODUCT(B13*20)</f>
        <v>40000</v>
      </c>
      <c r="H13" s="90">
        <f t="shared" si="2"/>
        <v>400000</v>
      </c>
      <c r="I13" s="202"/>
    </row>
    <row r="14" spans="1:9" ht="15" thickBot="1">
      <c r="A14" s="33" t="s">
        <v>90</v>
      </c>
      <c r="B14" s="3">
        <v>718</v>
      </c>
      <c r="C14" s="154">
        <v>1180</v>
      </c>
      <c r="D14" s="155"/>
      <c r="E14" s="4">
        <f t="shared" si="0"/>
        <v>847240</v>
      </c>
      <c r="F14" s="4">
        <f t="shared" si="1"/>
        <v>129240</v>
      </c>
      <c r="G14" s="4">
        <f>PRODUCT(B14*20)</f>
        <v>14360</v>
      </c>
      <c r="H14" s="90">
        <f t="shared" si="2"/>
        <v>143600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89</v>
      </c>
      <c r="B21" s="5">
        <v>31</v>
      </c>
      <c r="C21" s="5"/>
      <c r="D21" s="5">
        <v>1000</v>
      </c>
      <c r="E21" s="12">
        <f t="shared" si="4"/>
        <v>0</v>
      </c>
      <c r="F21" s="9">
        <f t="shared" si="3"/>
        <v>0</v>
      </c>
      <c r="G21" s="7">
        <f t="shared" si="5"/>
        <v>31000</v>
      </c>
      <c r="H21" s="93">
        <f t="shared" si="6"/>
        <v>31000</v>
      </c>
      <c r="I21" s="202"/>
    </row>
    <row r="22" spans="1:9" ht="15" thickBot="1">
      <c r="A22" s="28" t="s">
        <v>89</v>
      </c>
      <c r="B22" s="5">
        <v>60</v>
      </c>
      <c r="C22" s="5">
        <v>10000</v>
      </c>
      <c r="D22" s="5">
        <v>1500</v>
      </c>
      <c r="E22" s="12">
        <f t="shared" si="4"/>
        <v>600000</v>
      </c>
      <c r="F22" s="9">
        <f t="shared" si="3"/>
        <v>91525.423728813563</v>
      </c>
      <c r="G22" s="85">
        <f t="shared" si="5"/>
        <v>90000</v>
      </c>
      <c r="H22" s="94">
        <f t="shared" si="6"/>
        <v>181525.42372881356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24245430</v>
      </c>
      <c r="F37" s="16">
        <f>SUM(F5:F36)</f>
        <v>3698455.4237288134</v>
      </c>
      <c r="G37" s="16">
        <f t="shared" ref="G37:H37" si="10">SUM(G5:G36)</f>
        <v>417190</v>
      </c>
      <c r="H37" s="16">
        <f t="shared" si="10"/>
        <v>4115645.4237288134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>
        <v>4051363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>
        <v>64282</v>
      </c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4115645</v>
      </c>
      <c r="D45" s="82"/>
      <c r="E45" s="189"/>
      <c r="F45" s="190"/>
      <c r="G45" s="83"/>
      <c r="H45" s="100"/>
      <c r="I45" s="202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8061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2718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10779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1" sqref="C41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2.9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0.5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91</v>
      </c>
      <c r="B8" s="3">
        <v>390</v>
      </c>
      <c r="C8" s="154">
        <v>2360</v>
      </c>
      <c r="D8" s="155"/>
      <c r="E8" s="4">
        <f t="shared" si="0"/>
        <v>920400</v>
      </c>
      <c r="F8" s="4">
        <f t="shared" si="1"/>
        <v>140400</v>
      </c>
      <c r="G8" s="4">
        <f>PRODUCT(B8*50)</f>
        <v>19500</v>
      </c>
      <c r="H8" s="90">
        <f t="shared" si="2"/>
        <v>159900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225</v>
      </c>
      <c r="C10" s="154">
        <v>2360</v>
      </c>
      <c r="D10" s="155"/>
      <c r="E10" s="4">
        <f t="shared" si="0"/>
        <v>531000</v>
      </c>
      <c r="F10" s="4">
        <f t="shared" si="1"/>
        <v>81000</v>
      </c>
      <c r="G10" s="4">
        <f>PRODUCT(B10*30)</f>
        <v>6750</v>
      </c>
      <c r="H10" s="90">
        <f t="shared" si="2"/>
        <v>87750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s="34" customFormat="1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s="34" customFormat="1" ht="15" thickBot="1">
      <c r="A21" s="28" t="s">
        <v>89</v>
      </c>
      <c r="B21" s="5"/>
      <c r="C21" s="5">
        <v>10000</v>
      </c>
      <c r="D21" s="5">
        <v>1500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1451400</v>
      </c>
      <c r="F37" s="16">
        <f>SUM(F5:F36)</f>
        <v>221400</v>
      </c>
      <c r="G37" s="16">
        <f t="shared" ref="G37:H37" si="10">SUM(G5:G36)</f>
        <v>26250</v>
      </c>
      <c r="H37" s="16">
        <f t="shared" si="10"/>
        <v>247650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4.55" customHeight="1" thickBot="1">
      <c r="A39" s="179" t="s">
        <v>67</v>
      </c>
      <c r="B39" s="180"/>
      <c r="C39" s="46">
        <v>247650</v>
      </c>
      <c r="D39" s="49"/>
      <c r="E39" s="171"/>
      <c r="F39" s="171"/>
      <c r="G39" s="52"/>
      <c r="H39" s="98"/>
      <c r="I39" s="202"/>
    </row>
    <row r="40" spans="1:9" ht="15" customHeight="1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247650</v>
      </c>
      <c r="D45" s="82"/>
      <c r="E45" s="189"/>
      <c r="F45" s="190"/>
      <c r="G45" s="83"/>
      <c r="H45" s="100"/>
      <c r="I45" s="202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225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390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615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ColWidth="8.77734375" defaultRowHeight="14.4"/>
  <cols>
    <col min="1" max="1" width="19.6640625" style="34" customWidth="1"/>
    <col min="2" max="2" width="19.21875" style="34" customWidth="1"/>
    <col min="3" max="3" width="21" style="34" customWidth="1"/>
    <col min="4" max="4" width="15" style="34" customWidth="1"/>
    <col min="5" max="5" width="19.21875" style="34" customWidth="1"/>
    <col min="6" max="6" width="15.77734375" style="34" customWidth="1"/>
    <col min="7" max="7" width="17.33203125" style="34" customWidth="1"/>
    <col min="8" max="8" width="19.8867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21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17"/>
    </row>
    <row r="4" spans="1:9" ht="25.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>
        <v>220</v>
      </c>
      <c r="C7" s="165">
        <v>5900</v>
      </c>
      <c r="D7" s="166"/>
      <c r="E7" s="2">
        <f t="shared" si="0"/>
        <v>1298000</v>
      </c>
      <c r="F7" s="2">
        <f t="shared" si="1"/>
        <v>198000</v>
      </c>
      <c r="G7" s="2">
        <f>PRODUCT(B7*50)</f>
        <v>11000</v>
      </c>
      <c r="H7" s="89">
        <f t="shared" si="2"/>
        <v>209000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>
        <v>7000</v>
      </c>
      <c r="C11" s="154">
        <v>2124</v>
      </c>
      <c r="D11" s="155"/>
      <c r="E11" s="4">
        <f t="shared" si="0"/>
        <v>14868000</v>
      </c>
      <c r="F11" s="4">
        <f t="shared" si="1"/>
        <v>2268000</v>
      </c>
      <c r="G11" s="4">
        <f>PRODUCT(B11*30)</f>
        <v>210000</v>
      </c>
      <c r="H11" s="90">
        <f t="shared" si="2"/>
        <v>2478000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1370</v>
      </c>
      <c r="C13" s="154">
        <v>1357</v>
      </c>
      <c r="D13" s="155"/>
      <c r="E13" s="4">
        <f t="shared" si="0"/>
        <v>1859090</v>
      </c>
      <c r="F13" s="4">
        <f t="shared" si="1"/>
        <v>283590</v>
      </c>
      <c r="G13" s="4">
        <f>PRODUCT(B13*20)</f>
        <v>27400</v>
      </c>
      <c r="H13" s="90">
        <f t="shared" si="2"/>
        <v>310990</v>
      </c>
      <c r="I13" s="217"/>
    </row>
    <row r="14" spans="1:9" ht="15" thickBot="1">
      <c r="A14" s="33" t="s">
        <v>59</v>
      </c>
      <c r="B14" s="3"/>
      <c r="C14" s="154">
        <v>1354</v>
      </c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2066</v>
      </c>
      <c r="C17" s="18">
        <v>1180</v>
      </c>
      <c r="D17" s="18">
        <v>20</v>
      </c>
      <c r="E17" s="11">
        <f>PRODUCT(B17*C17)</f>
        <v>2437880</v>
      </c>
      <c r="F17" s="8">
        <f t="shared" ref="F17:F36" si="3">PRODUCT(E17*18)/118</f>
        <v>371880</v>
      </c>
      <c r="G17" s="84">
        <f>PRODUCT(B17*D17)</f>
        <v>41320</v>
      </c>
      <c r="H17" s="92">
        <f>SUM(F17:G17)</f>
        <v>413200</v>
      </c>
      <c r="I17" s="217"/>
    </row>
    <row r="18" spans="1:9" ht="15" thickBot="1">
      <c r="A18" s="26" t="s">
        <v>62</v>
      </c>
      <c r="B18" s="19">
        <v>65</v>
      </c>
      <c r="C18" s="19"/>
      <c r="D18" s="19">
        <v>200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13000</v>
      </c>
      <c r="H18" s="93">
        <f t="shared" ref="H18:H22" si="6">SUM(F18:G18)</f>
        <v>13000</v>
      </c>
      <c r="I18" s="217"/>
    </row>
    <row r="19" spans="1:9" ht="15" thickBot="1">
      <c r="A19" s="27" t="s">
        <v>63</v>
      </c>
      <c r="B19" s="5">
        <v>28</v>
      </c>
      <c r="C19" s="5"/>
      <c r="D19" s="5">
        <v>465</v>
      </c>
      <c r="E19" s="12">
        <f t="shared" si="4"/>
        <v>0</v>
      </c>
      <c r="F19" s="9">
        <f t="shared" si="3"/>
        <v>0</v>
      </c>
      <c r="G19" s="7">
        <f t="shared" si="5"/>
        <v>13020</v>
      </c>
      <c r="H19" s="93">
        <f t="shared" si="6"/>
        <v>13020</v>
      </c>
      <c r="I19" s="217"/>
    </row>
    <row r="20" spans="1:9" ht="15" thickBot="1">
      <c r="A20" s="27" t="s">
        <v>88</v>
      </c>
      <c r="B20" s="5"/>
      <c r="C20" s="5"/>
      <c r="D20" s="5">
        <v>354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20462970</v>
      </c>
      <c r="F37" s="16">
        <f>SUM(F5:F36)</f>
        <v>3121470</v>
      </c>
      <c r="G37" s="16">
        <f t="shared" ref="G37:H37" si="10">SUM(G5:G36)</f>
        <v>315740</v>
      </c>
      <c r="H37" s="16">
        <f t="shared" si="10"/>
        <v>3437210</v>
      </c>
      <c r="I37" s="217"/>
    </row>
    <row r="38" spans="1:9" ht="19.0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9.05" customHeight="1" thickBot="1">
      <c r="A39" s="179" t="s">
        <v>67</v>
      </c>
      <c r="B39" s="180"/>
      <c r="C39" s="46">
        <v>3437210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3437210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7000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220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1370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2131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28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10749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9" sqref="C19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2.0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2.0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1650</v>
      </c>
      <c r="C10" s="154">
        <v>1800</v>
      </c>
      <c r="D10" s="155"/>
      <c r="E10" s="4">
        <f t="shared" si="0"/>
        <v>2970000</v>
      </c>
      <c r="F10" s="4">
        <f t="shared" si="1"/>
        <v>453050.84745762713</v>
      </c>
      <c r="G10" s="4">
        <f>PRODUCT(B10*30)</f>
        <v>49500</v>
      </c>
      <c r="H10" s="90">
        <f t="shared" si="2"/>
        <v>502550.84745762713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s="34" customFormat="1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s="34" customFormat="1" ht="15" thickBot="1">
      <c r="A17" s="25" t="s">
        <v>62</v>
      </c>
      <c r="B17" s="18">
        <v>400</v>
      </c>
      <c r="C17" s="18">
        <v>800</v>
      </c>
      <c r="D17" s="18">
        <v>20</v>
      </c>
      <c r="E17" s="11">
        <f>PRODUCT(B17*C17)</f>
        <v>320000</v>
      </c>
      <c r="F17" s="8">
        <f t="shared" ref="F17:F36" si="3">PRODUCT(E17*18)/118</f>
        <v>48813.5593220339</v>
      </c>
      <c r="G17" s="84">
        <f>PRODUCT(B17*D17)</f>
        <v>8000</v>
      </c>
      <c r="H17" s="92">
        <f>SUM(F17:G17)</f>
        <v>56813.5593220339</v>
      </c>
      <c r="I17" s="202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s="34" customFormat="1" ht="15" thickBot="1">
      <c r="A21" s="28" t="s">
        <v>52</v>
      </c>
      <c r="B21" s="5">
        <v>2987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149350</v>
      </c>
      <c r="H21" s="93">
        <f t="shared" si="6"/>
        <v>149350</v>
      </c>
      <c r="I21" s="202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3290000</v>
      </c>
      <c r="F37" s="16">
        <f>SUM(F5:F36)</f>
        <v>501864.40677966102</v>
      </c>
      <c r="G37" s="16">
        <f t="shared" ref="G37:H37" si="10">SUM(G5:G36)</f>
        <v>206850</v>
      </c>
      <c r="H37" s="16">
        <f t="shared" si="10"/>
        <v>708714.40677966108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>
        <v>708714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708714</v>
      </c>
      <c r="D45" s="82"/>
      <c r="E45" s="189"/>
      <c r="F45" s="190"/>
      <c r="G45" s="83"/>
      <c r="H45" s="100"/>
      <c r="I45" s="202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1650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400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2050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41" sqref="C41"/>
    </sheetView>
  </sheetViews>
  <sheetFormatPr defaultColWidth="8.77734375" defaultRowHeight="14.4"/>
  <cols>
    <col min="1" max="1" width="24.6640625" style="34" customWidth="1"/>
    <col min="2" max="2" width="15.77734375" style="34" customWidth="1"/>
    <col min="3" max="3" width="21.109375" style="34" customWidth="1"/>
    <col min="4" max="4" width="18.21875" style="34" customWidth="1"/>
    <col min="5" max="5" width="21.109375" style="34" customWidth="1"/>
    <col min="6" max="6" width="18.6640625" style="34" customWidth="1"/>
    <col min="7" max="7" width="20.21875" style="34" customWidth="1"/>
    <col min="8" max="8" width="17.4414062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34.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17"/>
    </row>
    <row r="4" spans="1:9" ht="27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>
        <v>130</v>
      </c>
      <c r="C6" s="165">
        <v>7080</v>
      </c>
      <c r="D6" s="166"/>
      <c r="E6" s="2">
        <f t="shared" ref="E6:E14" si="0">PRODUCT(B6*C6)</f>
        <v>920400</v>
      </c>
      <c r="F6" s="2">
        <f t="shared" ref="F6:F14" si="1">PRODUCT(E6*18)/118</f>
        <v>140400</v>
      </c>
      <c r="G6" s="2">
        <f>PRODUCT(B6*50)</f>
        <v>6500</v>
      </c>
      <c r="H6" s="89">
        <f t="shared" ref="H6:H14" si="2">SUM(F6:G6)</f>
        <v>146900</v>
      </c>
      <c r="I6" s="217"/>
    </row>
    <row r="7" spans="1:9">
      <c r="A7" s="30" t="s">
        <v>44</v>
      </c>
      <c r="B7" s="1">
        <v>45</v>
      </c>
      <c r="C7" s="165">
        <v>2000</v>
      </c>
      <c r="D7" s="166"/>
      <c r="E7" s="2">
        <f t="shared" si="0"/>
        <v>90000</v>
      </c>
      <c r="F7" s="2">
        <f t="shared" si="1"/>
        <v>13728.813559322034</v>
      </c>
      <c r="G7" s="2">
        <f>PRODUCT(B7*50)</f>
        <v>2250</v>
      </c>
      <c r="H7" s="89">
        <f t="shared" si="2"/>
        <v>15978.813559322034</v>
      </c>
      <c r="I7" s="217"/>
    </row>
    <row r="8" spans="1:9">
      <c r="A8" s="31" t="s">
        <v>45</v>
      </c>
      <c r="B8" s="3">
        <v>1220</v>
      </c>
      <c r="C8" s="154">
        <v>1416</v>
      </c>
      <c r="D8" s="155"/>
      <c r="E8" s="4">
        <f t="shared" si="0"/>
        <v>1727520</v>
      </c>
      <c r="F8" s="4">
        <f t="shared" si="1"/>
        <v>263520</v>
      </c>
      <c r="G8" s="4">
        <f>PRODUCT(B8*50)</f>
        <v>61000</v>
      </c>
      <c r="H8" s="90">
        <f t="shared" si="2"/>
        <v>324520</v>
      </c>
      <c r="I8" s="217"/>
    </row>
    <row r="9" spans="1:9">
      <c r="A9" s="31" t="s">
        <v>46</v>
      </c>
      <c r="B9" s="3"/>
      <c r="C9" s="154">
        <v>3900</v>
      </c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3733</v>
      </c>
      <c r="C10" s="154">
        <v>2124</v>
      </c>
      <c r="D10" s="155"/>
      <c r="E10" s="4">
        <f t="shared" si="0"/>
        <v>7928892</v>
      </c>
      <c r="F10" s="4">
        <f t="shared" si="1"/>
        <v>1209492</v>
      </c>
      <c r="G10" s="4">
        <f>PRODUCT(B10*30)</f>
        <v>111990</v>
      </c>
      <c r="H10" s="90">
        <f t="shared" si="2"/>
        <v>1321482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70</v>
      </c>
      <c r="C13" s="154">
        <v>1200</v>
      </c>
      <c r="D13" s="155"/>
      <c r="E13" s="4">
        <f t="shared" si="0"/>
        <v>84000</v>
      </c>
      <c r="F13" s="4">
        <f t="shared" si="1"/>
        <v>12813.559322033898</v>
      </c>
      <c r="G13" s="4">
        <f>PRODUCT(B13*20)</f>
        <v>1400</v>
      </c>
      <c r="H13" s="90">
        <f t="shared" si="2"/>
        <v>14213.559322033898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110</v>
      </c>
      <c r="C17" s="18"/>
      <c r="D17" s="18">
        <v>266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29260</v>
      </c>
      <c r="H17" s="92">
        <f>SUM(F17:G17)</f>
        <v>29260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>
        <v>266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>
        <v>354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>
        <v>2500</v>
      </c>
      <c r="D23" s="20">
        <v>50</v>
      </c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>
        <v>203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10750812</v>
      </c>
      <c r="F37" s="16">
        <f>SUM(F5:F36)</f>
        <v>1639954.3728813562</v>
      </c>
      <c r="G37" s="16">
        <f t="shared" ref="G37:H37" si="10">SUM(G5:G36)</f>
        <v>212400</v>
      </c>
      <c r="H37" s="16">
        <f t="shared" si="10"/>
        <v>1852354.3728813562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4.55" customHeight="1" thickBot="1">
      <c r="A39" s="179" t="s">
        <v>67</v>
      </c>
      <c r="B39" s="180"/>
      <c r="C39" s="46">
        <v>1852254</v>
      </c>
      <c r="D39" s="49"/>
      <c r="E39" s="171"/>
      <c r="F39" s="171"/>
      <c r="G39" s="52"/>
      <c r="H39" s="98"/>
      <c r="I39" s="217"/>
    </row>
    <row r="40" spans="1:9" ht="15" customHeight="1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1852254</v>
      </c>
      <c r="D45" s="82"/>
      <c r="E45" s="189"/>
      <c r="F45" s="190"/>
      <c r="G45" s="83"/>
      <c r="H45" s="100"/>
      <c r="I45" s="217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8.95" customHeight="1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5" customHeight="1" thickBot="1">
      <c r="A49" s="210"/>
      <c r="B49" s="211"/>
      <c r="C49" s="185" t="s">
        <v>60</v>
      </c>
      <c r="D49" s="186"/>
      <c r="E49" s="195">
        <f>SUM(B9:B12)</f>
        <v>3733</v>
      </c>
      <c r="F49" s="196"/>
      <c r="G49" s="196"/>
      <c r="H49" s="196"/>
      <c r="I49" s="217"/>
    </row>
    <row r="50" spans="1:9" ht="19.05" customHeight="1" thickBot="1">
      <c r="A50" s="212"/>
      <c r="B50" s="213"/>
      <c r="C50" s="185" t="s">
        <v>45</v>
      </c>
      <c r="D50" s="186"/>
      <c r="E50" s="195">
        <f>SUM(B6:B8)</f>
        <v>1395</v>
      </c>
      <c r="F50" s="196"/>
      <c r="G50" s="196"/>
      <c r="H50" s="196"/>
      <c r="I50" s="217"/>
    </row>
    <row r="51" spans="1:9" ht="19.05" customHeight="1" thickBot="1">
      <c r="A51" s="212"/>
      <c r="B51" s="213"/>
      <c r="C51" s="185" t="s">
        <v>61</v>
      </c>
      <c r="D51" s="186"/>
      <c r="E51" s="195">
        <f>SUM(B13:B14)</f>
        <v>70</v>
      </c>
      <c r="F51" s="196"/>
      <c r="G51" s="196"/>
      <c r="H51" s="196"/>
      <c r="I51" s="217"/>
    </row>
    <row r="52" spans="1:9" ht="19.05" customHeight="1" thickBot="1">
      <c r="A52" s="212"/>
      <c r="B52" s="213"/>
      <c r="C52" s="187" t="s">
        <v>62</v>
      </c>
      <c r="D52" s="188"/>
      <c r="E52" s="148">
        <f>SUM(B17:B18)</f>
        <v>110</v>
      </c>
      <c r="F52" s="149"/>
      <c r="G52" s="149"/>
      <c r="H52" s="149"/>
      <c r="I52" s="217"/>
    </row>
    <row r="53" spans="1:9" ht="19.05" customHeight="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9.05" customHeight="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9.05" customHeight="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9.05" customHeight="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9.05" customHeight="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9.05" customHeight="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9.05" customHeight="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9.05" customHeight="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9.05" customHeight="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5308</v>
      </c>
      <c r="F62" s="153"/>
      <c r="G62" s="153"/>
      <c r="H62" s="153"/>
      <c r="I62" s="217"/>
    </row>
    <row r="63" spans="1:9" ht="19.05" customHeight="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4.55" customHeight="1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19.77734375" style="34" customWidth="1"/>
    <col min="2" max="2" width="14.33203125" style="34" customWidth="1"/>
    <col min="3" max="3" width="20" style="34" customWidth="1"/>
    <col min="4" max="4" width="14.21875" style="34" customWidth="1"/>
    <col min="5" max="5" width="20.109375" style="34" customWidth="1"/>
    <col min="6" max="6" width="15.21875" style="34" customWidth="1"/>
    <col min="7" max="7" width="16.21875" style="34" customWidth="1"/>
    <col min="8" max="8" width="19.8867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1.4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4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>
        <v>70</v>
      </c>
      <c r="C6" s="165">
        <v>8000</v>
      </c>
      <c r="D6" s="166"/>
      <c r="E6" s="2">
        <f t="shared" ref="E6:E14" si="0">PRODUCT(B6*C6)</f>
        <v>560000</v>
      </c>
      <c r="F6" s="2">
        <f t="shared" ref="F6:F14" si="1">PRODUCT(E6*18)/118</f>
        <v>85423.728813559326</v>
      </c>
      <c r="G6" s="2">
        <f>PRODUCT(B6*50)</f>
        <v>3500</v>
      </c>
      <c r="H6" s="89">
        <f t="shared" ref="H6:H14" si="2">SUM(F6:G6)</f>
        <v>88923.728813559326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>
        <v>500</v>
      </c>
      <c r="C12" s="154">
        <v>2500</v>
      </c>
      <c r="D12" s="155"/>
      <c r="E12" s="4">
        <f t="shared" si="0"/>
        <v>1250000</v>
      </c>
      <c r="F12" s="4">
        <f>PRODUCT(E12*18)/118</f>
        <v>190677.96610169491</v>
      </c>
      <c r="G12" s="4">
        <f>PRODUCT(B12*30)</f>
        <v>15000</v>
      </c>
      <c r="H12" s="90">
        <f t="shared" si="2"/>
        <v>205677.96610169491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65</v>
      </c>
      <c r="B17" s="18">
        <v>3970</v>
      </c>
      <c r="C17" s="18">
        <v>2124</v>
      </c>
      <c r="D17" s="18">
        <v>40</v>
      </c>
      <c r="E17" s="11">
        <f>PRODUCT(B17*C17)</f>
        <v>8432280</v>
      </c>
      <c r="F17" s="8">
        <f t="shared" ref="F17:F36" si="3">PRODUCT(E17*18)/118</f>
        <v>1286280</v>
      </c>
      <c r="G17" s="84">
        <f>PRODUCT(B17*D17)</f>
        <v>158800</v>
      </c>
      <c r="H17" s="92">
        <f>SUM(F17:G17)</f>
        <v>1445080</v>
      </c>
      <c r="I17" s="202"/>
    </row>
    <row r="18" spans="1:9" ht="15" thickBot="1">
      <c r="A18" s="26" t="s">
        <v>59</v>
      </c>
      <c r="B18" s="19">
        <v>2070</v>
      </c>
      <c r="C18" s="19">
        <v>1357</v>
      </c>
      <c r="D18" s="19">
        <v>30</v>
      </c>
      <c r="E18" s="12">
        <f t="shared" ref="E18:E22" si="4">PRODUCT(B18*C18)</f>
        <v>2808990</v>
      </c>
      <c r="F18" s="9">
        <f t="shared" si="3"/>
        <v>428490</v>
      </c>
      <c r="G18" s="7">
        <f t="shared" ref="G18:G22" si="5">PRODUCT(B18*D18)</f>
        <v>62100</v>
      </c>
      <c r="H18" s="93">
        <f t="shared" ref="H18:H22" si="6">SUM(F18:G18)</f>
        <v>490590</v>
      </c>
      <c r="I18" s="202"/>
    </row>
    <row r="19" spans="1:9" ht="15" thickBot="1">
      <c r="A19" s="27" t="s">
        <v>63</v>
      </c>
      <c r="B19" s="5">
        <v>200</v>
      </c>
      <c r="C19" s="5">
        <v>1500</v>
      </c>
      <c r="D19" s="5">
        <v>40</v>
      </c>
      <c r="E19" s="12">
        <f t="shared" si="4"/>
        <v>300000</v>
      </c>
      <c r="F19" s="9">
        <f t="shared" si="3"/>
        <v>45762.711864406781</v>
      </c>
      <c r="G19" s="7">
        <f t="shared" si="5"/>
        <v>8000</v>
      </c>
      <c r="H19" s="93">
        <f t="shared" si="6"/>
        <v>53762.711864406781</v>
      </c>
      <c r="I19" s="202"/>
    </row>
    <row r="20" spans="1:9" ht="15" thickBot="1">
      <c r="A20" s="27" t="s">
        <v>65</v>
      </c>
      <c r="B20" s="5">
        <v>50</v>
      </c>
      <c r="C20" s="5">
        <v>2500</v>
      </c>
      <c r="D20" s="5">
        <v>40</v>
      </c>
      <c r="E20" s="12">
        <f t="shared" si="4"/>
        <v>125000</v>
      </c>
      <c r="F20" s="9">
        <f t="shared" si="3"/>
        <v>19067.796610169491</v>
      </c>
      <c r="G20" s="85">
        <f t="shared" si="5"/>
        <v>2000</v>
      </c>
      <c r="H20" s="94">
        <f t="shared" si="6"/>
        <v>21067.796610169491</v>
      </c>
      <c r="I20" s="202"/>
    </row>
    <row r="21" spans="1:9" ht="15" thickBot="1">
      <c r="A21" s="28" t="s">
        <v>104</v>
      </c>
      <c r="B21" s="5">
        <v>285</v>
      </c>
      <c r="C21" s="5">
        <v>1000</v>
      </c>
      <c r="D21" s="5">
        <v>40</v>
      </c>
      <c r="E21" s="12">
        <f t="shared" si="4"/>
        <v>285000</v>
      </c>
      <c r="F21" s="9">
        <f t="shared" si="3"/>
        <v>43474.576271186437</v>
      </c>
      <c r="G21" s="7">
        <f t="shared" si="5"/>
        <v>11400</v>
      </c>
      <c r="H21" s="93">
        <f t="shared" si="6"/>
        <v>54874.576271186437</v>
      </c>
      <c r="I21" s="202"/>
    </row>
    <row r="22" spans="1:9" ht="15" thickBot="1">
      <c r="A22" s="28" t="s">
        <v>52</v>
      </c>
      <c r="B22" s="5">
        <v>2100</v>
      </c>
      <c r="C22" s="5"/>
      <c r="D22" s="5">
        <v>100</v>
      </c>
      <c r="E22" s="12">
        <f t="shared" si="4"/>
        <v>0</v>
      </c>
      <c r="F22" s="9">
        <f t="shared" si="3"/>
        <v>0</v>
      </c>
      <c r="G22" s="85">
        <f t="shared" si="5"/>
        <v>210000</v>
      </c>
      <c r="H22" s="94">
        <f t="shared" si="6"/>
        <v>210000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13761270</v>
      </c>
      <c r="F37" s="16">
        <f>SUM(F5:F36)</f>
        <v>2099176.779661017</v>
      </c>
      <c r="G37" s="16">
        <f t="shared" ref="G37:H37" si="10">SUM(G5:G36)</f>
        <v>470800</v>
      </c>
      <c r="H37" s="16">
        <f t="shared" si="10"/>
        <v>2569976.779661017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4.55" customHeight="1" thickBot="1">
      <c r="A39" s="179" t="s">
        <v>67</v>
      </c>
      <c r="B39" s="180"/>
      <c r="C39" s="46">
        <v>2569977</v>
      </c>
      <c r="D39" s="49"/>
      <c r="E39" s="171"/>
      <c r="F39" s="171"/>
      <c r="G39" s="52"/>
      <c r="H39" s="98"/>
      <c r="I39" s="202"/>
    </row>
    <row r="40" spans="1:9" ht="15" customHeight="1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2569977</v>
      </c>
      <c r="D45" s="82"/>
      <c r="E45" s="189"/>
      <c r="F45" s="190"/>
      <c r="G45" s="83"/>
      <c r="H45" s="100"/>
      <c r="I45" s="202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500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70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6040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250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6860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8" sqref="C48:D48"/>
    </sheetView>
  </sheetViews>
  <sheetFormatPr defaultColWidth="8.77734375" defaultRowHeight="14.4"/>
  <cols>
    <col min="1" max="1" width="19.77734375" style="34" customWidth="1"/>
    <col min="2" max="2" width="14.44140625" style="34" customWidth="1"/>
    <col min="3" max="3" width="24" style="34" customWidth="1"/>
    <col min="4" max="4" width="18.109375" style="34" customWidth="1"/>
    <col min="5" max="5" width="20.6640625" style="34" customWidth="1"/>
    <col min="6" max="6" width="22.88671875" style="34" customWidth="1"/>
    <col min="7" max="7" width="21.21875" style="34" customWidth="1"/>
    <col min="8" max="8" width="19.8867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1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17"/>
    </row>
    <row r="4" spans="1:9" ht="1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>
        <v>150</v>
      </c>
      <c r="C6" s="165">
        <v>8850</v>
      </c>
      <c r="D6" s="166"/>
      <c r="E6" s="2">
        <f t="shared" ref="E6:E14" si="0">PRODUCT(B6*C6)</f>
        <v>1327500</v>
      </c>
      <c r="F6" s="2">
        <f t="shared" ref="F6:F14" si="1">PRODUCT(E6*18)/118</f>
        <v>202500</v>
      </c>
      <c r="G6" s="2">
        <f>PRODUCT(B6*50)</f>
        <v>7500</v>
      </c>
      <c r="H6" s="89">
        <f t="shared" ref="H6:H14" si="2">SUM(F6:G6)</f>
        <v>210000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2" t="s">
        <v>91</v>
      </c>
      <c r="B8" s="3"/>
      <c r="C8" s="154">
        <v>2360</v>
      </c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11095</v>
      </c>
      <c r="C10" s="154">
        <v>2360</v>
      </c>
      <c r="D10" s="155"/>
      <c r="E10" s="4">
        <f t="shared" si="0"/>
        <v>26184200</v>
      </c>
      <c r="F10" s="4">
        <f t="shared" si="1"/>
        <v>3994200</v>
      </c>
      <c r="G10" s="4">
        <f>PRODUCT(B10*30)</f>
        <v>332850</v>
      </c>
      <c r="H10" s="90">
        <f t="shared" si="2"/>
        <v>4327050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739</v>
      </c>
      <c r="C13" s="154">
        <v>1534</v>
      </c>
      <c r="D13" s="155"/>
      <c r="E13" s="4">
        <f t="shared" si="0"/>
        <v>1133626</v>
      </c>
      <c r="F13" s="4">
        <f t="shared" si="1"/>
        <v>172926</v>
      </c>
      <c r="G13" s="4">
        <f>PRODUCT(B13*20)</f>
        <v>14780</v>
      </c>
      <c r="H13" s="90">
        <f t="shared" si="2"/>
        <v>187706</v>
      </c>
      <c r="I13" s="217"/>
    </row>
    <row r="14" spans="1:9" ht="15" thickBot="1">
      <c r="A14" s="33" t="s">
        <v>95</v>
      </c>
      <c r="B14" s="3">
        <v>300</v>
      </c>
      <c r="C14" s="154">
        <v>1770</v>
      </c>
      <c r="D14" s="155"/>
      <c r="E14" s="4">
        <f t="shared" si="0"/>
        <v>531000</v>
      </c>
      <c r="F14" s="4">
        <f t="shared" si="1"/>
        <v>81000</v>
      </c>
      <c r="G14" s="4">
        <f>PRODUCT(B14*20)</f>
        <v>6000</v>
      </c>
      <c r="H14" s="90">
        <f t="shared" si="2"/>
        <v>87000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91</v>
      </c>
      <c r="B17" s="18">
        <v>800</v>
      </c>
      <c r="C17" s="18">
        <v>2360</v>
      </c>
      <c r="D17" s="18">
        <v>50</v>
      </c>
      <c r="E17" s="11">
        <f>PRODUCT(B17*C17)</f>
        <v>1888000</v>
      </c>
      <c r="F17" s="8">
        <f t="shared" ref="F17:F36" si="3">PRODUCT(E17*18)/118</f>
        <v>288000</v>
      </c>
      <c r="G17" s="84">
        <f>PRODUCT(B17*D17)</f>
        <v>40000</v>
      </c>
      <c r="H17" s="92">
        <f>SUM(F17:G17)</f>
        <v>328000</v>
      </c>
      <c r="I17" s="217"/>
    </row>
    <row r="18" spans="1:9" ht="15" thickBot="1">
      <c r="A18" s="26" t="s">
        <v>91</v>
      </c>
      <c r="B18" s="19">
        <v>350</v>
      </c>
      <c r="C18" s="19">
        <v>1770</v>
      </c>
      <c r="D18" s="19">
        <v>50</v>
      </c>
      <c r="E18" s="12">
        <f t="shared" ref="E18:E22" si="4">PRODUCT(B18*C18)</f>
        <v>619500</v>
      </c>
      <c r="F18" s="9">
        <f t="shared" si="3"/>
        <v>94500</v>
      </c>
      <c r="G18" s="7">
        <f t="shared" ref="G18:G22" si="5">PRODUCT(B18*D18)</f>
        <v>17500</v>
      </c>
      <c r="H18" s="93">
        <f t="shared" ref="H18:H22" si="6">SUM(F18:G18)</f>
        <v>112000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7" t="s">
        <v>65</v>
      </c>
      <c r="B21" s="5">
        <v>150</v>
      </c>
      <c r="C21" s="5"/>
      <c r="D21" s="5">
        <v>390</v>
      </c>
      <c r="E21" s="12">
        <f t="shared" si="4"/>
        <v>0</v>
      </c>
      <c r="F21" s="9">
        <f t="shared" si="3"/>
        <v>0</v>
      </c>
      <c r="G21" s="7">
        <f t="shared" si="5"/>
        <v>58500</v>
      </c>
      <c r="H21" s="93">
        <f t="shared" si="6"/>
        <v>58500</v>
      </c>
      <c r="I21" s="217"/>
    </row>
    <row r="22" spans="1:9" ht="15" thickBot="1">
      <c r="A22" s="28" t="s">
        <v>105</v>
      </c>
      <c r="B22" s="5">
        <v>10</v>
      </c>
      <c r="C22" s="5">
        <v>11800</v>
      </c>
      <c r="D22" s="5">
        <v>1000</v>
      </c>
      <c r="E22" s="12">
        <f t="shared" si="4"/>
        <v>118000</v>
      </c>
      <c r="F22" s="9">
        <f t="shared" si="3"/>
        <v>18000</v>
      </c>
      <c r="G22" s="85">
        <f t="shared" si="5"/>
        <v>10000</v>
      </c>
      <c r="H22" s="94">
        <f t="shared" si="6"/>
        <v>28000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31801826</v>
      </c>
      <c r="F37" s="16">
        <f>SUM(F5:F36)</f>
        <v>4851126</v>
      </c>
      <c r="G37" s="16">
        <f t="shared" ref="G37:H37" si="10">SUM(G5:G36)</f>
        <v>487130</v>
      </c>
      <c r="H37" s="16">
        <f t="shared" si="10"/>
        <v>5338256</v>
      </c>
      <c r="I37" s="217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customHeight="1" thickBot="1">
      <c r="A39" s="179" t="s">
        <v>67</v>
      </c>
      <c r="B39" s="180"/>
      <c r="C39" s="46">
        <v>4838256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>
        <v>500000</v>
      </c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5338256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11095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150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1039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1150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13434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40" sqref="C40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9.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1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>
        <v>8850</v>
      </c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>
        <v>5950</v>
      </c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>
        <v>3000</v>
      </c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6730</v>
      </c>
      <c r="C10" s="154">
        <v>2124</v>
      </c>
      <c r="D10" s="155"/>
      <c r="E10" s="4">
        <f t="shared" si="0"/>
        <v>14294520</v>
      </c>
      <c r="F10" s="4">
        <f t="shared" si="1"/>
        <v>2180520</v>
      </c>
      <c r="G10" s="4">
        <f>PRODUCT(B10*30)</f>
        <v>201900</v>
      </c>
      <c r="H10" s="90">
        <f t="shared" si="2"/>
        <v>2382420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>
        <v>700</v>
      </c>
      <c r="C13" s="154">
        <v>944</v>
      </c>
      <c r="D13" s="155"/>
      <c r="E13" s="4">
        <f t="shared" si="0"/>
        <v>660800</v>
      </c>
      <c r="F13" s="4">
        <f t="shared" si="1"/>
        <v>100800</v>
      </c>
      <c r="G13" s="4">
        <f>PRODUCT(B13*20)</f>
        <v>14000</v>
      </c>
      <c r="H13" s="90">
        <f t="shared" si="2"/>
        <v>114800</v>
      </c>
      <c r="I13" s="202"/>
    </row>
    <row r="14" spans="1:9" ht="15" thickBot="1">
      <c r="A14" s="33" t="s">
        <v>90</v>
      </c>
      <c r="B14" s="3">
        <v>860</v>
      </c>
      <c r="C14" s="154">
        <v>1180</v>
      </c>
      <c r="D14" s="155"/>
      <c r="E14" s="4">
        <f t="shared" si="0"/>
        <v>1014800</v>
      </c>
      <c r="F14" s="4">
        <f t="shared" si="1"/>
        <v>154800</v>
      </c>
      <c r="G14" s="4">
        <f>PRODUCT(B14*20)</f>
        <v>17200</v>
      </c>
      <c r="H14" s="90">
        <f t="shared" si="2"/>
        <v>172000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62</v>
      </c>
      <c r="B17" s="18"/>
      <c r="C17" s="18">
        <v>2360</v>
      </c>
      <c r="D17" s="18">
        <v>25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98</v>
      </c>
      <c r="B18" s="19">
        <v>1720</v>
      </c>
      <c r="C18" s="19">
        <v>1770</v>
      </c>
      <c r="D18" s="19">
        <v>25</v>
      </c>
      <c r="E18" s="12">
        <f t="shared" ref="E18:E22" si="4">PRODUCT(B18*C18)</f>
        <v>3044400</v>
      </c>
      <c r="F18" s="9">
        <f t="shared" si="3"/>
        <v>464400</v>
      </c>
      <c r="G18" s="7">
        <f t="shared" ref="G18:G22" si="5">PRODUCT(B18*D18)</f>
        <v>43000</v>
      </c>
      <c r="H18" s="93">
        <f t="shared" ref="H18:H22" si="6">SUM(F18:G18)</f>
        <v>507400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>
        <v>10</v>
      </c>
      <c r="C21" s="5">
        <v>2500</v>
      </c>
      <c r="D21" s="5">
        <v>20</v>
      </c>
      <c r="E21" s="12">
        <f t="shared" si="4"/>
        <v>25000</v>
      </c>
      <c r="F21" s="9">
        <f t="shared" si="3"/>
        <v>3813.5593220338983</v>
      </c>
      <c r="G21" s="7">
        <f t="shared" si="5"/>
        <v>200</v>
      </c>
      <c r="H21" s="93">
        <f t="shared" si="6"/>
        <v>4013.5593220338983</v>
      </c>
      <c r="I21" s="202"/>
    </row>
    <row r="22" spans="1:9" ht="15" thickBot="1">
      <c r="A22" s="28" t="s">
        <v>52</v>
      </c>
      <c r="B22" s="5">
        <v>1</v>
      </c>
      <c r="C22" s="5"/>
      <c r="D22" s="5">
        <v>16800</v>
      </c>
      <c r="E22" s="12">
        <f t="shared" si="4"/>
        <v>0</v>
      </c>
      <c r="F22" s="9">
        <f t="shared" si="3"/>
        <v>0</v>
      </c>
      <c r="G22" s="85">
        <f t="shared" si="5"/>
        <v>16800</v>
      </c>
      <c r="H22" s="94">
        <f t="shared" si="6"/>
        <v>16800</v>
      </c>
      <c r="I22" s="202"/>
    </row>
    <row r="23" spans="1:9" ht="15" thickBot="1">
      <c r="A23" s="28" t="s">
        <v>52</v>
      </c>
      <c r="B23" s="20">
        <v>1</v>
      </c>
      <c r="C23" s="20"/>
      <c r="D23" s="20">
        <v>44466</v>
      </c>
      <c r="E23" s="12">
        <f>PRODUCT(B23*C23)</f>
        <v>0</v>
      </c>
      <c r="F23" s="9">
        <f t="shared" si="3"/>
        <v>0</v>
      </c>
      <c r="G23" s="7">
        <f>PRODUCT(B23*D23)</f>
        <v>44466</v>
      </c>
      <c r="H23" s="93">
        <f>SUM(F23:G23)</f>
        <v>44466</v>
      </c>
      <c r="I23" s="202"/>
    </row>
    <row r="24" spans="1:9" ht="15" thickBot="1">
      <c r="A24" s="28" t="s">
        <v>52</v>
      </c>
      <c r="B24" s="19"/>
      <c r="C24" s="19"/>
      <c r="D24" s="19">
        <v>354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>
        <v>354</v>
      </c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19039520</v>
      </c>
      <c r="F37" s="16">
        <f>SUM(F5:F36)</f>
        <v>2904333.559322034</v>
      </c>
      <c r="G37" s="16">
        <f t="shared" ref="G37:H37" si="10">SUM(G5:G36)</f>
        <v>337566</v>
      </c>
      <c r="H37" s="16">
        <f t="shared" si="10"/>
        <v>3241899.559322034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2093880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>
        <v>1148020</v>
      </c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3241900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6730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1560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1720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10010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0.5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0.5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65</v>
      </c>
      <c r="B6" s="1">
        <v>2812</v>
      </c>
      <c r="C6" s="165">
        <v>2124</v>
      </c>
      <c r="D6" s="166"/>
      <c r="E6" s="2">
        <f t="shared" ref="E6:E14" si="0">PRODUCT(B6*C6)</f>
        <v>5972688</v>
      </c>
      <c r="F6" s="2">
        <f t="shared" ref="F6:F14" si="1">PRODUCT(E6*18)/118</f>
        <v>911088</v>
      </c>
      <c r="G6" s="2">
        <f>PRODUCT(B6*50)</f>
        <v>140600</v>
      </c>
      <c r="H6" s="89">
        <f t="shared" ref="H6:H14" si="2">SUM(F6:G6)</f>
        <v>1051688</v>
      </c>
      <c r="I6" s="202"/>
    </row>
    <row r="7" spans="1:9">
      <c r="A7" s="30" t="s">
        <v>65</v>
      </c>
      <c r="B7" s="1">
        <v>410</v>
      </c>
      <c r="C7" s="165">
        <v>2000</v>
      </c>
      <c r="D7" s="166"/>
      <c r="E7" s="2">
        <f t="shared" si="0"/>
        <v>820000</v>
      </c>
      <c r="F7" s="2">
        <f t="shared" si="1"/>
        <v>125084.74576271187</v>
      </c>
      <c r="G7" s="2">
        <f>PRODUCT(B7*50)</f>
        <v>20500</v>
      </c>
      <c r="H7" s="89">
        <f t="shared" si="2"/>
        <v>145584.74576271186</v>
      </c>
      <c r="I7" s="202"/>
    </row>
    <row r="8" spans="1:9">
      <c r="A8" s="31" t="s">
        <v>65</v>
      </c>
      <c r="B8" s="3">
        <v>4176</v>
      </c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208800</v>
      </c>
      <c r="H8" s="90">
        <f t="shared" si="2"/>
        <v>208800</v>
      </c>
      <c r="I8" s="202"/>
    </row>
    <row r="9" spans="1:9">
      <c r="A9" s="31" t="s">
        <v>90</v>
      </c>
      <c r="B9" s="3">
        <v>110</v>
      </c>
      <c r="C9" s="154">
        <v>1180</v>
      </c>
      <c r="D9" s="155"/>
      <c r="E9" s="4">
        <f t="shared" si="0"/>
        <v>129800</v>
      </c>
      <c r="F9" s="4">
        <f t="shared" si="1"/>
        <v>19800</v>
      </c>
      <c r="G9" s="4">
        <f>PRODUCT(B9*30)</f>
        <v>3300</v>
      </c>
      <c r="H9" s="90">
        <f t="shared" si="2"/>
        <v>23100</v>
      </c>
      <c r="I9" s="202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65</v>
      </c>
      <c r="B17" s="18"/>
      <c r="C17" s="18">
        <v>2124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97</v>
      </c>
      <c r="B18" s="19"/>
      <c r="C18" s="19">
        <v>2000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90</v>
      </c>
      <c r="B19" s="5"/>
      <c r="C19" s="5">
        <v>1180</v>
      </c>
      <c r="D19" s="5">
        <v>30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59</v>
      </c>
      <c r="B21" s="5">
        <v>489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24450</v>
      </c>
      <c r="H21" s="93">
        <f t="shared" si="6"/>
        <v>24450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6922488</v>
      </c>
      <c r="F37" s="16">
        <f>SUM(F5:F36)</f>
        <v>1055972.7457627119</v>
      </c>
      <c r="G37" s="16">
        <f t="shared" ref="G37:H37" si="10">SUM(G5:G36)</f>
        <v>397650</v>
      </c>
      <c r="H37" s="16">
        <f t="shared" si="10"/>
        <v>1453622.7457627119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1521032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1521032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110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7398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7508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50" sqref="C50:D50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4.4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1.4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65</v>
      </c>
      <c r="B8" s="3">
        <v>200</v>
      </c>
      <c r="C8" s="154">
        <v>2360</v>
      </c>
      <c r="D8" s="155"/>
      <c r="E8" s="4">
        <f t="shared" si="0"/>
        <v>472000</v>
      </c>
      <c r="F8" s="4">
        <f t="shared" si="1"/>
        <v>72000</v>
      </c>
      <c r="G8" s="4">
        <f>PRODUCT(B8*50)</f>
        <v>10000</v>
      </c>
      <c r="H8" s="90">
        <f t="shared" si="2"/>
        <v>82000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4407</v>
      </c>
      <c r="C10" s="154">
        <v>2124</v>
      </c>
      <c r="D10" s="155"/>
      <c r="E10" s="4">
        <f t="shared" si="0"/>
        <v>9360468</v>
      </c>
      <c r="F10" s="4">
        <f t="shared" si="1"/>
        <v>1427868</v>
      </c>
      <c r="G10" s="4">
        <f>PRODUCT(B10*30)</f>
        <v>132210</v>
      </c>
      <c r="H10" s="90">
        <f t="shared" si="2"/>
        <v>1560078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62</v>
      </c>
      <c r="B17" s="18">
        <v>484</v>
      </c>
      <c r="C17" s="18">
        <v>1000</v>
      </c>
      <c r="D17" s="18">
        <v>30</v>
      </c>
      <c r="E17" s="11">
        <f>PRODUCT(B17*C17)</f>
        <v>484000</v>
      </c>
      <c r="F17" s="8">
        <f t="shared" ref="F17:F36" si="3">PRODUCT(E17*18)/118</f>
        <v>73830.508474576272</v>
      </c>
      <c r="G17" s="84">
        <f>PRODUCT(B17*D17)</f>
        <v>14520</v>
      </c>
      <c r="H17" s="92">
        <f>SUM(F17:G17)</f>
        <v>88350.508474576272</v>
      </c>
      <c r="I17" s="202"/>
    </row>
    <row r="18" spans="1:9" ht="15" thickBot="1">
      <c r="A18" s="26" t="s">
        <v>62</v>
      </c>
      <c r="B18" s="19">
        <v>930</v>
      </c>
      <c r="C18" s="19">
        <v>1180</v>
      </c>
      <c r="D18" s="19">
        <v>30</v>
      </c>
      <c r="E18" s="12">
        <f t="shared" ref="E18:E22" si="4">PRODUCT(B18*C18)</f>
        <v>1097400</v>
      </c>
      <c r="F18" s="9">
        <f t="shared" si="3"/>
        <v>167400</v>
      </c>
      <c r="G18" s="7">
        <f t="shared" ref="G18:G22" si="5">PRODUCT(B18*D18)</f>
        <v>27900</v>
      </c>
      <c r="H18" s="93">
        <f t="shared" ref="H18:H22" si="6">SUM(F18:G18)</f>
        <v>195300</v>
      </c>
      <c r="I18" s="202"/>
    </row>
    <row r="19" spans="1:9" ht="15" thickBot="1">
      <c r="A19" s="27" t="s">
        <v>90</v>
      </c>
      <c r="B19" s="5"/>
      <c r="C19" s="5">
        <v>1180</v>
      </c>
      <c r="D19" s="5">
        <v>30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59</v>
      </c>
      <c r="B20" s="5">
        <v>69</v>
      </c>
      <c r="C20" s="5">
        <v>1534</v>
      </c>
      <c r="D20" s="5">
        <v>30</v>
      </c>
      <c r="E20" s="12">
        <f t="shared" si="4"/>
        <v>105846</v>
      </c>
      <c r="F20" s="9">
        <f t="shared" si="3"/>
        <v>16146</v>
      </c>
      <c r="G20" s="85">
        <f t="shared" si="5"/>
        <v>2070</v>
      </c>
      <c r="H20" s="94">
        <f t="shared" si="6"/>
        <v>18216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>
        <v>1</v>
      </c>
      <c r="C22" s="5">
        <v>1</v>
      </c>
      <c r="D22" s="5">
        <v>157584</v>
      </c>
      <c r="E22" s="12">
        <f t="shared" si="4"/>
        <v>1</v>
      </c>
      <c r="F22" s="9">
        <f t="shared" si="3"/>
        <v>0.15254237288135594</v>
      </c>
      <c r="G22" s="85">
        <f t="shared" si="5"/>
        <v>157584</v>
      </c>
      <c r="H22" s="94">
        <f t="shared" si="6"/>
        <v>157584.15254237287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11519715</v>
      </c>
      <c r="F37" s="16">
        <f>SUM(F5:F36)</f>
        <v>1757244.6610169492</v>
      </c>
      <c r="G37" s="16">
        <f t="shared" ref="G37:H37" si="10">SUM(G5:G36)</f>
        <v>344284</v>
      </c>
      <c r="H37" s="16">
        <f t="shared" si="10"/>
        <v>2101528.661016949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2101529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2101529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4407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200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1414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69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6090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7.4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1.4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91</v>
      </c>
      <c r="B8" s="3"/>
      <c r="C8" s="154">
        <v>2500</v>
      </c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1150</v>
      </c>
      <c r="C10" s="154">
        <v>1800</v>
      </c>
      <c r="D10" s="155"/>
      <c r="E10" s="4">
        <f t="shared" si="0"/>
        <v>2070000</v>
      </c>
      <c r="F10" s="4">
        <f t="shared" si="1"/>
        <v>315762.71186440677</v>
      </c>
      <c r="G10" s="4">
        <f>PRODUCT(B10*30)</f>
        <v>34500</v>
      </c>
      <c r="H10" s="90">
        <f t="shared" si="2"/>
        <v>350262.71186440677</v>
      </c>
      <c r="I10" s="202"/>
    </row>
    <row r="11" spans="1:9">
      <c r="A11" s="32" t="s">
        <v>65</v>
      </c>
      <c r="B11" s="3">
        <v>600</v>
      </c>
      <c r="C11" s="154">
        <v>2200</v>
      </c>
      <c r="D11" s="155"/>
      <c r="E11" s="4">
        <f t="shared" si="0"/>
        <v>1320000</v>
      </c>
      <c r="F11" s="4">
        <f t="shared" si="1"/>
        <v>201355.93220338982</v>
      </c>
      <c r="G11" s="4">
        <f>PRODUCT(B11*30)</f>
        <v>18000</v>
      </c>
      <c r="H11" s="90">
        <f t="shared" si="2"/>
        <v>219355.93220338982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62</v>
      </c>
      <c r="B17" s="18"/>
      <c r="C17" s="18">
        <v>800</v>
      </c>
      <c r="D17" s="18">
        <v>20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>
        <v>2987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149350</v>
      </c>
      <c r="H21" s="93">
        <f t="shared" si="6"/>
        <v>149350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3390000</v>
      </c>
      <c r="F37" s="16">
        <f>SUM(F5:F36)</f>
        <v>517118.64406779659</v>
      </c>
      <c r="G37" s="16">
        <f t="shared" ref="G37:H37" si="10">SUM(G5:G36)</f>
        <v>201850</v>
      </c>
      <c r="H37" s="16">
        <f t="shared" si="10"/>
        <v>718968.64406779665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718369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718369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1750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1750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8" sqref="C48:D48"/>
    </sheetView>
  </sheetViews>
  <sheetFormatPr defaultColWidth="8.77734375" defaultRowHeight="14.4"/>
  <cols>
    <col min="1" max="1" width="22.77734375" style="34" customWidth="1"/>
    <col min="2" max="2" width="16.109375" style="34" customWidth="1"/>
    <col min="3" max="3" width="23.77734375" style="34" customWidth="1"/>
    <col min="4" max="4" width="18.218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664062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0.5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22.0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91</v>
      </c>
      <c r="B8" s="3"/>
      <c r="C8" s="154">
        <v>2000</v>
      </c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1800</v>
      </c>
      <c r="C10" s="154">
        <v>2124</v>
      </c>
      <c r="D10" s="155"/>
      <c r="E10" s="4">
        <f t="shared" si="0"/>
        <v>3823200</v>
      </c>
      <c r="F10" s="4">
        <f t="shared" si="1"/>
        <v>583200</v>
      </c>
      <c r="G10" s="4">
        <f>PRODUCT(B10*30)</f>
        <v>54000</v>
      </c>
      <c r="H10" s="90">
        <f t="shared" si="2"/>
        <v>637200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>
        <v>50</v>
      </c>
      <c r="C13" s="154">
        <v>1357</v>
      </c>
      <c r="D13" s="155"/>
      <c r="E13" s="4">
        <f t="shared" si="0"/>
        <v>67850</v>
      </c>
      <c r="F13" s="4">
        <f t="shared" si="1"/>
        <v>10350</v>
      </c>
      <c r="G13" s="4">
        <f>PRODUCT(B13*20)</f>
        <v>1000</v>
      </c>
      <c r="H13" s="90">
        <f t="shared" si="2"/>
        <v>11350</v>
      </c>
      <c r="I13" s="202"/>
    </row>
    <row r="14" spans="1:9" ht="15" thickBot="1">
      <c r="A14" s="33" t="s">
        <v>59</v>
      </c>
      <c r="B14" s="3"/>
      <c r="C14" s="154">
        <v>1180</v>
      </c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90</v>
      </c>
      <c r="B20" s="5">
        <v>338</v>
      </c>
      <c r="C20" s="5"/>
      <c r="D20" s="5">
        <v>200</v>
      </c>
      <c r="E20" s="12">
        <f t="shared" si="4"/>
        <v>0</v>
      </c>
      <c r="F20" s="9">
        <f t="shared" si="3"/>
        <v>0</v>
      </c>
      <c r="G20" s="85">
        <f t="shared" si="5"/>
        <v>67600</v>
      </c>
      <c r="H20" s="94">
        <f t="shared" si="6"/>
        <v>67600</v>
      </c>
      <c r="I20" s="202"/>
    </row>
    <row r="21" spans="1:9" ht="15" thickBot="1">
      <c r="A21" s="28" t="s">
        <v>65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59</v>
      </c>
      <c r="B22" s="5"/>
      <c r="C22" s="5"/>
      <c r="D22" s="5">
        <v>217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100</v>
      </c>
      <c r="B23" s="20">
        <v>198</v>
      </c>
      <c r="C23" s="20"/>
      <c r="D23" s="20">
        <v>500</v>
      </c>
      <c r="E23" s="12">
        <f>PRODUCT(B23*C23)</f>
        <v>0</v>
      </c>
      <c r="F23" s="9">
        <f t="shared" si="3"/>
        <v>0</v>
      </c>
      <c r="G23" s="7">
        <f>PRODUCT(B23*D23)</f>
        <v>99000</v>
      </c>
      <c r="H23" s="93">
        <f>SUM(F23:G23)</f>
        <v>99000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3891050</v>
      </c>
      <c r="F37" s="16">
        <f>SUM(F5:F36)</f>
        <v>593550</v>
      </c>
      <c r="G37" s="16">
        <f t="shared" ref="G37:H37" si="10">SUM(G5:G36)</f>
        <v>221600</v>
      </c>
      <c r="H37" s="16">
        <f t="shared" si="10"/>
        <v>815150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815150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>
        <v>53100</v>
      </c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868250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1800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50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338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2188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9.5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30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>
        <v>8000</v>
      </c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/>
      <c r="C10" s="154">
        <v>2000</v>
      </c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02"/>
    </row>
    <row r="11" spans="1:9">
      <c r="A11" s="32" t="s">
        <v>65</v>
      </c>
      <c r="B11" s="3">
        <v>9010</v>
      </c>
      <c r="C11" s="154">
        <v>2124</v>
      </c>
      <c r="D11" s="155"/>
      <c r="E11" s="4">
        <f t="shared" si="0"/>
        <v>19137240</v>
      </c>
      <c r="F11" s="4">
        <f t="shared" si="1"/>
        <v>2919240</v>
      </c>
      <c r="G11" s="4">
        <f>PRODUCT(B11*30)</f>
        <v>270300</v>
      </c>
      <c r="H11" s="90">
        <f t="shared" si="2"/>
        <v>3189540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>
        <v>445</v>
      </c>
      <c r="C13" s="154">
        <v>1357</v>
      </c>
      <c r="D13" s="155"/>
      <c r="E13" s="4">
        <f t="shared" si="0"/>
        <v>603865</v>
      </c>
      <c r="F13" s="4">
        <f t="shared" si="1"/>
        <v>92115</v>
      </c>
      <c r="G13" s="4">
        <f>PRODUCT(B13*20)</f>
        <v>8900</v>
      </c>
      <c r="H13" s="90">
        <f t="shared" si="2"/>
        <v>101015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91</v>
      </c>
      <c r="B17" s="18">
        <v>1222</v>
      </c>
      <c r="C17" s="18">
        <v>2124</v>
      </c>
      <c r="D17" s="18">
        <v>50</v>
      </c>
      <c r="E17" s="11">
        <f>PRODUCT(B17*C17)</f>
        <v>2595528</v>
      </c>
      <c r="F17" s="8">
        <f t="shared" ref="F17:F36" si="3">PRODUCT(E17*18)/118</f>
        <v>395928</v>
      </c>
      <c r="G17" s="84">
        <f>PRODUCT(B17*D17)</f>
        <v>61100</v>
      </c>
      <c r="H17" s="92">
        <f>SUM(F17:G17)</f>
        <v>457028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>
        <v>400</v>
      </c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40000</v>
      </c>
      <c r="H21" s="93">
        <f t="shared" si="6"/>
        <v>40000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22336633</v>
      </c>
      <c r="F37" s="16">
        <f>SUM(F5:F36)</f>
        <v>3407283</v>
      </c>
      <c r="G37" s="16">
        <f t="shared" ref="G37:H37" si="10">SUM(G5:G36)</f>
        <v>380300</v>
      </c>
      <c r="H37" s="16">
        <f t="shared" si="10"/>
        <v>3787583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>
        <v>3787583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3787583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9010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445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1222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10677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28" sqref="B28"/>
    </sheetView>
  </sheetViews>
  <sheetFormatPr defaultRowHeight="14.4"/>
  <cols>
    <col min="1" max="1" width="20.88671875" customWidth="1"/>
    <col min="2" max="2" width="17.5546875" customWidth="1"/>
    <col min="3" max="3" width="21.33203125" customWidth="1"/>
    <col min="4" max="4" width="21" customWidth="1"/>
    <col min="5" max="5" width="23.33203125" customWidth="1"/>
    <col min="6" max="6" width="26" customWidth="1"/>
    <col min="7" max="7" width="19.33203125" customWidth="1"/>
    <col min="8" max="8" width="16.77734375" customWidth="1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15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>
      <c r="A3" s="160" t="s">
        <v>79</v>
      </c>
      <c r="B3" s="161"/>
      <c r="C3" s="161"/>
      <c r="D3" s="161"/>
      <c r="E3" s="161"/>
      <c r="F3" s="161"/>
      <c r="G3" s="161"/>
      <c r="H3" s="162"/>
      <c r="I3" s="217"/>
    </row>
    <row r="4" spans="1:9" ht="15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>
        <v>2124</v>
      </c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0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0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Normal="100" workbookViewId="0">
      <selection activeCell="A3" sqref="A3:H4"/>
    </sheetView>
  </sheetViews>
  <sheetFormatPr defaultRowHeight="14.4"/>
  <cols>
    <col min="1" max="1" width="22.21875" customWidth="1"/>
    <col min="2" max="2" width="17.5546875" customWidth="1"/>
    <col min="3" max="3" width="24.109375" customWidth="1"/>
    <col min="4" max="4" width="17.77734375" customWidth="1"/>
    <col min="5" max="6" width="23.21875" customWidth="1"/>
    <col min="7" max="7" width="17.88671875" customWidth="1"/>
    <col min="8" max="8" width="22.21875" customWidth="1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5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>
      <c r="A3" s="160" t="s">
        <v>102</v>
      </c>
      <c r="B3" s="161"/>
      <c r="C3" s="161"/>
      <c r="D3" s="161"/>
      <c r="E3" s="161"/>
      <c r="F3" s="161"/>
      <c r="G3" s="161"/>
      <c r="H3" s="162"/>
      <c r="I3" s="202"/>
    </row>
    <row r="4" spans="1:9" ht="15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>
        <v>7670</v>
      </c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/>
      <c r="C10" s="154">
        <v>1806</v>
      </c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02"/>
    </row>
    <row r="11" spans="1:9">
      <c r="A11" s="32" t="s">
        <v>65</v>
      </c>
      <c r="B11" s="3"/>
      <c r="C11" s="154">
        <v>2124</v>
      </c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223" t="s">
        <v>48</v>
      </c>
      <c r="B15" s="224"/>
      <c r="C15" s="224"/>
      <c r="D15" s="224"/>
      <c r="E15" s="224"/>
      <c r="F15" s="224"/>
      <c r="G15" s="224"/>
      <c r="H15" s="224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>
        <v>105</v>
      </c>
      <c r="C17" s="18">
        <v>800</v>
      </c>
      <c r="D17" s="18">
        <v>20</v>
      </c>
      <c r="E17" s="11">
        <f>PRODUCT(B17*C17)</f>
        <v>84000</v>
      </c>
      <c r="F17" s="8">
        <f t="shared" ref="F17:F36" si="3">PRODUCT(E17*18)/118</f>
        <v>12813.559322033898</v>
      </c>
      <c r="G17" s="84">
        <f>PRODUCT(B17*D17)</f>
        <v>2100</v>
      </c>
      <c r="H17" s="92">
        <f>SUM(F17:G17)</f>
        <v>14913.559322033898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84000</v>
      </c>
      <c r="F37" s="16">
        <f>SUM(F5:F36)</f>
        <v>12813.559322033898</v>
      </c>
      <c r="G37" s="16">
        <f t="shared" ref="G37:H37" si="10">SUM(G5:G36)</f>
        <v>2100</v>
      </c>
      <c r="H37" s="16">
        <f t="shared" si="10"/>
        <v>14913.559322033898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>
        <v>14914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14914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105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105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8" sqref="C18"/>
    </sheetView>
  </sheetViews>
  <sheetFormatPr defaultColWidth="8.77734375" defaultRowHeight="14.4"/>
  <cols>
    <col min="1" max="1" width="25" style="34" customWidth="1"/>
    <col min="2" max="2" width="19.21875" style="34" customWidth="1"/>
    <col min="3" max="3" width="24.21875" style="34" customWidth="1"/>
    <col min="4" max="4" width="18.77734375" style="34" customWidth="1"/>
    <col min="5" max="5" width="16.44140625" style="34" customWidth="1"/>
    <col min="6" max="6" width="18.77734375" style="34" customWidth="1"/>
    <col min="7" max="8" width="20.21875" style="34" customWidth="1"/>
    <col min="9" max="16384" width="8.77734375" style="34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15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>
      <c r="A3" s="160" t="s">
        <v>79</v>
      </c>
      <c r="B3" s="161"/>
      <c r="C3" s="161"/>
      <c r="D3" s="161"/>
      <c r="E3" s="161"/>
      <c r="F3" s="161"/>
      <c r="G3" s="161"/>
      <c r="H3" s="162"/>
      <c r="I3" s="217"/>
    </row>
    <row r="4" spans="1:9" ht="15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/>
      <c r="C11" s="154">
        <v>2124</v>
      </c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0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0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9" sqref="B9"/>
    </sheetView>
  </sheetViews>
  <sheetFormatPr defaultRowHeight="14.4"/>
  <cols>
    <col min="1" max="1" width="29.109375" customWidth="1"/>
    <col min="2" max="2" width="17.88671875" customWidth="1"/>
    <col min="3" max="3" width="20.77734375" customWidth="1"/>
    <col min="4" max="4" width="24.77734375" customWidth="1"/>
    <col min="5" max="5" width="18.5546875" customWidth="1"/>
    <col min="6" max="6" width="19.77734375" customWidth="1"/>
    <col min="7" max="7" width="16.21875" customWidth="1"/>
    <col min="8" max="8" width="18.5546875" customWidth="1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5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>
      <c r="A3" s="160" t="s">
        <v>79</v>
      </c>
      <c r="B3" s="161"/>
      <c r="C3" s="161"/>
      <c r="D3" s="161"/>
      <c r="E3" s="161"/>
      <c r="F3" s="161"/>
      <c r="G3" s="161"/>
      <c r="H3" s="162"/>
      <c r="I3" s="202"/>
    </row>
    <row r="4" spans="1:9" ht="15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0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6640625" customWidth="1"/>
  </cols>
  <sheetData>
    <row r="1" spans="1:7">
      <c r="A1" s="191" t="s">
        <v>56</v>
      </c>
      <c r="B1" s="192"/>
      <c r="C1" s="192"/>
      <c r="D1" s="192"/>
      <c r="E1" s="192"/>
      <c r="F1" s="192"/>
      <c r="G1" s="237"/>
    </row>
    <row r="2" spans="1:7" ht="15" thickBot="1">
      <c r="A2" s="193"/>
      <c r="B2" s="194"/>
      <c r="C2" s="194"/>
      <c r="D2" s="194"/>
      <c r="E2" s="194"/>
      <c r="F2" s="194"/>
      <c r="G2" s="238"/>
    </row>
    <row r="3" spans="1:7" ht="28.8" thickBot="1">
      <c r="A3" s="239" t="s">
        <v>57</v>
      </c>
      <c r="B3" s="240"/>
      <c r="C3" s="241"/>
      <c r="D3" s="239" t="s">
        <v>58</v>
      </c>
      <c r="E3" s="240"/>
      <c r="F3" s="240"/>
      <c r="G3" s="241"/>
    </row>
    <row r="4" spans="1:7" ht="41.55" customHeight="1" thickBot="1">
      <c r="A4" s="234" t="s">
        <v>60</v>
      </c>
      <c r="B4" s="235"/>
      <c r="C4" s="236"/>
      <c r="D4" s="225">
        <f>NYANZA!E49+KIREHE!E49+NYAGATARE!E49+KAYONZA!E49+MUSANZE!E49+MUSANZE!E49+RUBAVU!E49+KARONGI!E49+NYAMAGABE!E49+RUSIZI!E49+HUYE!E49+RUHANGO!E49+MUHANGA!E49+BUGESERA!E49+RWAMAGANA!E49+NYARUGENGE!E49+BISHENYI!E49+GAHANGA!E49+KIMIRONKO!E49+GISOZI!E49+GATSIBO!E49+GASHYUSHYA!E49+RUTSIRO!E49+NGORORERO!E49+THIRTH!E49+FOURTH!E49</f>
        <v>304476</v>
      </c>
      <c r="E4" s="226"/>
      <c r="F4" s="226"/>
      <c r="G4" s="227"/>
    </row>
    <row r="5" spans="1:7" ht="37.049999999999997" customHeight="1" thickBot="1">
      <c r="A5" s="234" t="s">
        <v>45</v>
      </c>
      <c r="B5" s="235"/>
      <c r="C5" s="236"/>
      <c r="D5" s="225">
        <f>NYANZA!E50+KIREHE!E50+NYAGATARE!E50+KAYONZA!E50+MUSANZE!E50+MUSANZE!E50+RUBAVU!E50+KARONGI!E50+NYAMAGABE!E50+RUSIZI!E50+HUYE!E50+RUHANGO!E50+MUHANGA!E50+BUGESERA!E50+RWAMAGANA!E50+NYARUGENGE!E50+BISHENYI!E50+GAHANGA!E50+KIMIRONKO!E50+GISOZI!E50+GATSIBO!E50+GASHYUSHYA!E50+RUTSIRO!E50+NGORORERO!E50+THIRTH!E50+FOURTH!E50</f>
        <v>17993</v>
      </c>
      <c r="E5" s="226"/>
      <c r="F5" s="226"/>
      <c r="G5" s="227"/>
    </row>
    <row r="6" spans="1:7" ht="40.049999999999997" customHeight="1" thickBot="1">
      <c r="A6" s="234" t="s">
        <v>59</v>
      </c>
      <c r="B6" s="235"/>
      <c r="C6" s="236"/>
      <c r="D6" s="225">
        <f>NYANZA!E51+KIREHE!E51+NYAGATARE!E51+KAYONZA!E51+MUSANZE!E51+MUSANZE!E51+RUBAVU!E51+KARONGI!E51+NYAMAGABE!E51+RUSIZI!E51+HUYE!E51+RUHANGO!E51+MUHANGA!E51+BUGESERA!E51+RWAMAGANA!E51+NYARUGENGE!E51+BISHENYI!E51+GAHANGA!E51+KIMIRONKO!E51+GISOZI!E51+GATSIBO!E51+GASHYUSHYA!E51+RUTSIRO!E51+NGORORERO!E51+THIRTH!E51+FOURTH!E51</f>
        <v>21755</v>
      </c>
      <c r="E6" s="226"/>
      <c r="F6" s="226"/>
      <c r="G6" s="227"/>
    </row>
    <row r="7" spans="1:7" ht="38.549999999999997" customHeight="1" thickBot="1">
      <c r="A7" s="228" t="s">
        <v>62</v>
      </c>
      <c r="B7" s="229"/>
      <c r="C7" s="230"/>
      <c r="D7" s="225">
        <f>NYANZA!E52+KIREHE!E52+NYAGATARE!E52+KAYONZA!E52+MUSANZE!E52+MUSANZE!E52+RUBAVU!E52+KARONGI!E52+NYAMAGABE!E52+RUSIZI!E52+HUYE!E52+RUHANGO!E52+MUHANGA!E52+BUGESERA!E52+RWAMAGANA!E52+NYARUGENGE!E52+BISHENYI!E52+GAHANGA!E52+KIMIRONKO!E52+GISOZI!E52+GATSIBO!E52+GASHYUSHYA!E52+RUTSIRO!E52+NGORORERO!E52+THIRTH!E52+FOURTH!E52</f>
        <v>21263</v>
      </c>
      <c r="E7" s="226"/>
      <c r="F7" s="226"/>
      <c r="G7" s="227"/>
    </row>
    <row r="8" spans="1:7" ht="40.049999999999997" customHeight="1" thickBot="1">
      <c r="A8" s="228" t="s">
        <v>63</v>
      </c>
      <c r="B8" s="229"/>
      <c r="C8" s="230"/>
      <c r="D8" s="225">
        <f>NYANZA!E53+KIREHE!E53+NYAGATARE!E53+KAYONZA!E53+MUSANZE!E53+MUSANZE!E53+RUBAVU!E53+KARONGI!E53+NYAMAGABE!E53+RUSIZI!E53+HUYE!E53+RUHANGO!E53+MUHANGA!E53+BUGESERA!E53+RWAMAGANA!E53+NYARUGENGE!E53+BISHENYI!E53+GAHANGA!E53+KIMIRONKO!E53+GISOZI!E53+GATSIBO!E53+GASHYUSHYA!E53+RUTSIRO!E53+NGORORERO!E53+THIRTH!E53+FOURTH!E53</f>
        <v>3098</v>
      </c>
      <c r="E8" s="226"/>
      <c r="F8" s="226"/>
      <c r="G8" s="227"/>
    </row>
    <row r="9" spans="1:7" ht="38.549999999999997" customHeight="1" thickBot="1">
      <c r="A9" s="228" t="s">
        <v>83</v>
      </c>
      <c r="B9" s="229"/>
      <c r="C9" s="230"/>
      <c r="D9" s="225">
        <f>NYANZA!E54+KIREHE!E54+NYAGATARE!E54+KAYONZA!E54+MUSANZE!E54+MUSANZE!E54+RUBAVU!E54+KARONGI!E54+NYAMAGABE!E54+RUSIZI!E54+HUYE!E54+RUHANGO!E54+MUHANGA!E54+BUGESERA!E54+RWAMAGANA!E54+NYARUGENGE!E54+BISHENYI!E54+GAHANGA!E54+KIMIRONKO!E54+GISOZI!E54+GATSIBO!E54+GASHYUSHYA!E54+RUTSIRO!E54+NGORORERO!E54+THIRTH!E54+FOURTH!E54</f>
        <v>0</v>
      </c>
      <c r="E9" s="226"/>
      <c r="F9" s="226"/>
      <c r="G9" s="227"/>
    </row>
    <row r="10" spans="1:7" ht="37.950000000000003" customHeight="1" thickBot="1">
      <c r="A10" s="228" t="s">
        <v>83</v>
      </c>
      <c r="B10" s="229"/>
      <c r="C10" s="230"/>
      <c r="D10" s="225">
        <f>NYANZA!E55+KIREHE!E55+NYAGATARE!E55+KAYONZA!E55+MUSANZE!E55+MUSANZE!E55+RUBAVU!E55+KARONGI!E55+NYAMAGABE!E55+RUSIZI!E55+HUYE!E55+RUHANGO!E55+MUHANGA!E55+BUGESERA!E55+RWAMAGANA!E55+NYARUGENGE!E55+BISHENYI!E55+GAHANGA!E55+KIMIRONKO!E55+GISOZI!E55+GATSIBO!E55+GASHYUSHYA!E55+RUTSIRO!E55+NGORORERO!E55+THIRTH!E55+FOURTH!E55</f>
        <v>0</v>
      </c>
      <c r="E10" s="226"/>
      <c r="F10" s="226"/>
      <c r="G10" s="227"/>
    </row>
    <row r="11" spans="1:7" ht="38.549999999999997" customHeight="1" thickBot="1">
      <c r="A11" s="228" t="s">
        <v>83</v>
      </c>
      <c r="B11" s="229"/>
      <c r="C11" s="230"/>
      <c r="D11" s="225">
        <f>NYANZA!E56+KIREHE!E56+NYAGATARE!E56+KAYONZA!E56+MUSANZE!E56+MUSANZE!E56+RUBAVU!E56+KARONGI!E56+NYAMAGABE!E56+RUSIZI!E56+HUYE!E56+RUHANGO!E56+MUHANGA!E56+BUGESERA!E56+RWAMAGANA!E56+NYARUGENGE!E56+BISHENYI!E56+GAHANGA!E56+KIMIRONKO!E56+GISOZI!E56+GATSIBO!E56+GASHYUSHYA!E56+RUTSIRO!E56+NGORORERO!E56+THIRTH!E56+FOURTH!E56</f>
        <v>0</v>
      </c>
      <c r="E11" s="226"/>
      <c r="F11" s="226"/>
      <c r="G11" s="227"/>
    </row>
    <row r="12" spans="1:7" ht="36.450000000000003" customHeight="1" thickBot="1">
      <c r="A12" s="228" t="s">
        <v>83</v>
      </c>
      <c r="B12" s="229"/>
      <c r="C12" s="230"/>
      <c r="D12" s="225">
        <f>NYANZA!E57+KIREHE!E57+NYAGATARE!E57+KAYONZA!E57+MUSANZE!E57+MUSANZE!E57+RUBAVU!E57+KARONGI!E57+NYAMAGABE!E57+RUSIZI!E57+HUYE!E57+RUHANGO!E57+MUHANGA!E57+BUGESERA!E57+RWAMAGANA!E57+NYARUGENGE!E57+BISHENYI!E57+GAHANGA!E57+KIMIRONKO!E57+GISOZI!E57+GATSIBO!E57+GASHYUSHYA!E57+RUTSIRO!E57+NGORORERO!E57+THIRTH!E57+FOURTH!E57</f>
        <v>0</v>
      </c>
      <c r="E12" s="226"/>
      <c r="F12" s="226"/>
      <c r="G12" s="227"/>
    </row>
    <row r="13" spans="1:7" ht="37.950000000000003" customHeight="1" thickBot="1">
      <c r="A13" s="228" t="s">
        <v>83</v>
      </c>
      <c r="B13" s="229"/>
      <c r="C13" s="230"/>
      <c r="D13" s="225">
        <f>NYANZA!E58+KIREHE!E58+NYAGATARE!E58+KAYONZA!E58+MUSANZE!E58+MUSANZE!E58+RUBAVU!E58+KARONGI!E58+NYAMAGABE!E58+RUSIZI!E58+HUYE!E58+RUHANGO!E58+MUHANGA!E58+BUGESERA!E58+RWAMAGANA!E58+NYARUGENGE!E58+BISHENYI!E58+GAHANGA!E58+KIMIRONKO!E58+GISOZI!E58+GATSIBO!E58+GASHYUSHYA!E58+RUTSIRO!E58+NGORORERO!E58+THIRTH!E58+FOURTH!E58</f>
        <v>0</v>
      </c>
      <c r="E13" s="226"/>
      <c r="F13" s="226"/>
      <c r="G13" s="227"/>
    </row>
    <row r="14" spans="1:7" ht="29.4" thickBot="1">
      <c r="A14" s="228" t="s">
        <v>83</v>
      </c>
      <c r="B14" s="229"/>
      <c r="C14" s="230"/>
      <c r="D14" s="225">
        <f>NYANZA!E59+KIREHE!E59+NYAGATARE!E59+KAYONZA!E59+MUSANZE!E59+MUSANZE!E59+RUBAVU!E59+KARONGI!E59+NYAMAGABE!E59+RUSIZI!E59+HUYE!E59+RUHANGO!E59+MUHANGA!E59+BUGESERA!E59+RWAMAGANA!E59+NYARUGENGE!E59+BISHENYI!E59+GAHANGA!E59+KIMIRONKO!E59+GISOZI!E59+GATSIBO!E59+GASHYUSHYA!E59+RUTSIRO!E59+NGORORERO!E59+THIRTH!E59+FOURTH!E59</f>
        <v>0</v>
      </c>
      <c r="E14" s="226"/>
      <c r="F14" s="226"/>
      <c r="G14" s="227"/>
    </row>
    <row r="15" spans="1:7" ht="29.4" thickBot="1">
      <c r="A15" s="228" t="s">
        <v>83</v>
      </c>
      <c r="B15" s="229"/>
      <c r="C15" s="230"/>
      <c r="D15" s="225">
        <f>NYANZA!E60+KIREHE!E60+NYAGATARE!E60+KAYONZA!E60+MUSANZE!E60+MUSANZE!E60+RUBAVU!E60+KARONGI!E60+NYAMAGABE!E60+RUSIZI!E60+HUYE!E60+RUHANGO!E60+MUHANGA!E60+BUGESERA!E60+RWAMAGANA!E60+NYARUGENGE!E60+BISHENYI!E60+GAHANGA!E60+KIMIRONKO!E60+GISOZI!E60+GATSIBO!E60+GASHYUSHYA!E60+RUTSIRO!E60+NGORORERO!E60+THIRTH!E60+FOURTH!E60</f>
        <v>0</v>
      </c>
      <c r="E15" s="226"/>
      <c r="F15" s="226"/>
      <c r="G15" s="227"/>
    </row>
    <row r="16" spans="1:7" ht="29.4" thickBot="1">
      <c r="A16" s="228" t="s">
        <v>83</v>
      </c>
      <c r="B16" s="229"/>
      <c r="C16" s="230"/>
      <c r="D16" s="225">
        <f>NYANZA!E61+KIREHE!E61+NYAGATARE!E61+KAYONZA!E61+MUSANZE!E61+MUSANZE!E61+RUBAVU!E61+KARONGI!E61+NYAMAGABE!E61+RUSIZI!E61+HUYE!E61+RUHANGO!E61+MUHANGA!E61+BUGESERA!E61+RWAMAGANA!E61+NYARUGENGE!E61+BISHENYI!E61+GAHANGA!E61+KIMIRONKO!E61+GISOZI!E61+GATSIBO!E61+GASHYUSHYA!E61+RUTSIRO!E61+NGORORERO!E61+THIRTH!E61+FOURTH!E61</f>
        <v>0</v>
      </c>
      <c r="E16" s="226"/>
      <c r="F16" s="226"/>
      <c r="G16" s="227"/>
    </row>
    <row r="17" spans="1:7" ht="29.4" thickBot="1">
      <c r="A17" s="228" t="s">
        <v>64</v>
      </c>
      <c r="B17" s="229"/>
      <c r="C17" s="230"/>
      <c r="D17" s="231">
        <f>SUM(D4:D16)</f>
        <v>368585</v>
      </c>
      <c r="E17" s="232"/>
      <c r="F17" s="232"/>
      <c r="G17" s="233"/>
    </row>
  </sheetData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THIRTH</vt:lpstr>
      <vt:lpstr>FOURTH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2026-05-07T15:31:32Z</dcterms:modified>
</cp:coreProperties>
</file>