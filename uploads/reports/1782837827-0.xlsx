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29" i="1" l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<sst xmlns="http://schemas.openxmlformats.org/spreadsheetml/2006/main" count="65" uniqueCount="47">
  <si>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</si>
  <si>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</si>
  <si>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</si>
  <si>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</si>
  <si>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</si>
  <si>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</si>
  <si>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</si>
  <si>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</si>
  <si>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</si>
  <si>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</si>
  <si>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</si>
  <si>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</si>
  <si>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</si>
  <si>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</si>
  <si>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</si>
  <si>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</si>
  <si>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</si>
  <si>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</si>
  <si>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</si>
  <si>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</si>
  <si>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</si>
  <si>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</si>
  <si>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</si>
  <si>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</si>
  <si>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</si>
  <si>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</si>
  <si>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</si>
  <si>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</si>
  <si>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</si>
  <si>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</si>
  <si>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</si>
  <si>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</si>
  <si>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</si>
  <si>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</si>
  <si>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</si>
  <si>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</si>
  <si>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</si>
  <si>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</si>
  <si>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</si>
  <si>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</si>
  <si>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</si>
  <si>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</si>
  <si>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</si>
  <si>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</si>
  <si>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</si>
  <si>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</si>
  <si>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WEEKLY REPORT ON ..22/06/-30/06/2026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</si>
</sst>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9" zoomScale="110" zoomScaleNormal="110" workbookViewId="0">
      <selection activeCell="J47" sqref="J47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200</v>
      </c>
      <c r="C8" s="61">
        <v>2360</v>
      </c>
      <c r="D8" s="62"/>
      <c r="E8" s="13">
        <f t="shared" si="3"/>
        <v>472000</v>
      </c>
      <c r="F8" s="13">
        <f t="shared" si="4"/>
        <v>72000</v>
      </c>
      <c r="G8" s="13">
        <f>PRODUCT(B8*50)</f>
        <v>10000</v>
      </c>
      <c r="H8" s="14">
        <f t="shared" si="5"/>
        <v>82000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3631</v>
      </c>
      <c r="C10" s="61">
        <v>2360</v>
      </c>
      <c r="D10" s="62"/>
      <c r="E10" s="13">
        <f t="shared" si="3"/>
        <v>8569160</v>
      </c>
      <c r="F10" s="13">
        <f t="shared" si="4"/>
        <v>1307160</v>
      </c>
      <c r="G10" s="13">
        <f>PRODUCT(B10*30)</f>
        <v>108930</v>
      </c>
      <c r="H10" s="14">
        <f t="shared" si="5"/>
        <v>1416090</v>
      </c>
    </row>
    <row r="11" spans="1:8">
      <c r="A11" s="10" t="s">
        <v>12</v>
      </c>
      <c r="B11" s="11">
        <v>56</v>
      </c>
      <c r="C11" s="61">
        <v>1534</v>
      </c>
      <c r="D11" s="62"/>
      <c r="E11" s="13">
        <f t="shared" si="3"/>
        <v>85904</v>
      </c>
      <c r="F11" s="13">
        <f t="shared" si="4"/>
        <v>13104</v>
      </c>
      <c r="G11" s="13">
        <f>PRODUCT(B11*20)</f>
        <v>1120</v>
      </c>
      <c r="H11" s="14">
        <f t="shared" si="5"/>
        <v>14224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>
        <v>800</v>
      </c>
      <c r="C17" s="22">
        <v>1770</v>
      </c>
      <c r="D17" s="22">
        <v>50</v>
      </c>
      <c r="E17" s="8">
        <f>PRODUCT(B17*C17)</f>
        <v>1416000</v>
      </c>
      <c r="F17" s="8">
        <f t="shared" ref="F17:F22" si="6">PRODUCT(E17*18)/118</f>
        <v>216000</v>
      </c>
      <c r="G17" s="8">
        <f>PRODUCT(B17*D17)</f>
        <v>40000</v>
      </c>
      <c r="H17" s="9">
        <f>SUM(F17:G17)</f>
        <v>256000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250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97500</v>
      </c>
      <c r="H19" s="14">
        <f t="shared" si="9"/>
        <v>97500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10543064</v>
      </c>
      <c r="F41" s="36">
        <f>SUM(F6:F40)</f>
        <v>1608264</v>
      </c>
      <c r="G41" s="36">
        <f>SUM(G6:G40)</f>
        <v>257550</v>
      </c>
      <c r="H41" s="37">
        <f t="shared" si="19"/>
        <v>1865814</v>
      </c>
    </row>
    <row r="42" spans="1:8">
      <c r="A42" s="83" t="s">
        <v>34</v>
      </c>
      <c r="B42" s="84"/>
      <c r="C42" s="38">
        <v>1865814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1865814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2026-06-30T16:39:05Z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