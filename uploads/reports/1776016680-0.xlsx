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726"/>
  <workbookPr defaultThemeVersion="153222"/>
  <workbookProtection workbookPassword="EA6E" lockStructure="1"/>
  <bookViews>
    <workbookView xWindow="-120" yWindow="-120" windowWidth="20730" windowHeight="11160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<sst xmlns="http://schemas.openxmlformats.org/spreadsheetml/2006/main" uniqueCount="427" count="427">
  <si>
    <t>NAME OF TIMBER</t>
  </si>
  <si>
    <t>TOTAL COST</t>
  </si>
  <si>
    <t>TVA</t>
  </si>
  <si>
    <t>MSF</t>
  </si>
  <si>
    <t>TVA+MSF</t>
  </si>
  <si>
    <t>MADIRIYE</t>
  </si>
  <si>
    <t>PINUS IBIPANDE</t>
  </si>
  <si>
    <t>PULANCHE</t>
  </si>
  <si>
    <t xml:space="preserve">OTHER </t>
  </si>
  <si>
    <t>PRICE OF TIMBER</t>
  </si>
  <si>
    <t xml:space="preserve">Other Timber for Difference Price </t>
  </si>
  <si>
    <t>P/U</t>
  </si>
  <si>
    <t>TOTALY</t>
  </si>
  <si>
    <t>VAT</t>
  </si>
  <si>
    <t>VTA+MST</t>
  </si>
  <si>
    <t>TOTAL RWF PAID ON MOMO PAY</t>
  </si>
  <si>
    <t>NAME</t>
  </si>
  <si>
    <t>Phone</t>
  </si>
  <si>
    <t>RWF</t>
  </si>
  <si>
    <t>TOTAL RWF PAID ON CASH</t>
  </si>
  <si>
    <t>TOTAL RWF DEPPOSITED ON BANK</t>
  </si>
  <si>
    <t>PINUS NINI</t>
  </si>
  <si>
    <t>PINUS NTOYA</t>
  </si>
  <si>
    <t>MADIRIYE NINI</t>
  </si>
  <si>
    <t>MADIRIYE NTOYA</t>
  </si>
  <si>
    <t>Customer Without invoice</t>
  </si>
  <si>
    <t xml:space="preserve">AMOUNT NOT INVOICED </t>
  </si>
  <si>
    <t>No OF TIMBER</t>
  </si>
  <si>
    <t>Date</t>
  </si>
  <si>
    <t xml:space="preserve">TOTAL INCOME </t>
  </si>
  <si>
    <t xml:space="preserve">MEMBERSHIP FEES REGISTRETION </t>
  </si>
  <si>
    <t>MEMBERSHIP FEES CONTRIBUTION</t>
  </si>
  <si>
    <t>Billing officers Name</t>
  </si>
  <si>
    <t xml:space="preserve"> REPORT</t>
  </si>
  <si>
    <t>ICPCs NAME</t>
  </si>
  <si>
    <t>ICPCs: NYARUGENGE</t>
  </si>
  <si>
    <t xml:space="preserve"> DAILY REPORT ON 04th NOVEMBER 2024</t>
  </si>
  <si>
    <t>Billing officer Name: NIYONSHUTI LECLERCQ</t>
  </si>
  <si>
    <t xml:space="preserve"> DAILY REPORT ON 05th NOVEMBER 2024</t>
  </si>
  <si>
    <t xml:space="preserve"> DAILY REPORT ON 06th NOVEMBER 2024</t>
  </si>
  <si>
    <t xml:space="preserve"> DAILY REPORT ON 07th NOVEMBER 2024</t>
  </si>
  <si>
    <t xml:space="preserve"> DAILY REPORT ON 10th NOVEMBER 2024</t>
  </si>
  <si>
    <t xml:space="preserve"> DAILY REPORT ON 12th NOVEMBER 2024</t>
  </si>
  <si>
    <t xml:space="preserve"> DAILY REPORT ON 13th NOVEMBER 2024</t>
  </si>
  <si>
    <t xml:space="preserve"> DAILY REPORT ON 14th NOVEMBER 2024</t>
  </si>
  <si>
    <t xml:space="preserve"> DAILY REPORT ON 15th NOVEMBER 2024</t>
  </si>
  <si>
    <t xml:space="preserve"> DAILY REPORT ON 17th NOVEMBER 2024</t>
  </si>
  <si>
    <t xml:space="preserve"> DAILY REPORT ON 18th NOVEMBER 2024</t>
  </si>
  <si>
    <t xml:space="preserve"> DAILY REPORT ON 19th NOVEMBER 2024</t>
  </si>
  <si>
    <t xml:space="preserve"> DAILY REPORT ON 22nd NOVEMBER 2024</t>
  </si>
  <si>
    <t xml:space="preserve"> DAILY REPORT ON 23rd NOVEMBER 2024</t>
  </si>
  <si>
    <t xml:space="preserve"> DAILY REPORT ON 24th NOVEMBER 2024</t>
  </si>
  <si>
    <t xml:space="preserve"> DAILY REPORT ON 26th NOVEMBER 2024</t>
  </si>
  <si>
    <t xml:space="preserve"> DAILY REPORT ON 27th NOVEMBER 2024</t>
  </si>
  <si>
    <t xml:space="preserve"> DAILY REPORT ON 28th NOVEMBER 2024</t>
  </si>
  <si>
    <t xml:space="preserve"> DAILY REPORT ON 30th NOVEMBER 2024</t>
  </si>
  <si>
    <t xml:space="preserve"> DAILY REPORT ON 02nd DECEMBER 2024</t>
  </si>
  <si>
    <t xml:space="preserve"> DAILY REPORT ON 03rd DECEMBER 2024</t>
  </si>
  <si>
    <t xml:space="preserve"> DAILY REPORT ON 08th DECEMBER 2024</t>
  </si>
  <si>
    <t xml:space="preserve"> DAILY REPORT ON 010th DECEMBER 2024</t>
  </si>
  <si>
    <t xml:space="preserve"> DAILY REPORT ON 10th DECEMBER 2024</t>
  </si>
  <si>
    <t xml:space="preserve"> DAILY REPORT ON 11th DECEMBER 2024</t>
  </si>
  <si>
    <t xml:space="preserve"> DAILY REPORT ON 12th DECEMBER 2024</t>
  </si>
  <si>
    <t xml:space="preserve"> DAILY REPORT ON 16th DECEMBER 2024</t>
  </si>
  <si>
    <t xml:space="preserve"> DAILY REPORT ON 18th DECEMBER 2024</t>
  </si>
  <si>
    <t xml:space="preserve"> DAILY REPORT ON 19th DECEMBER 2024</t>
  </si>
  <si>
    <t xml:space="preserve"> DAILY REPORT ON 20th DECEMBER 2024</t>
  </si>
  <si>
    <t xml:space="preserve"> DAILY REPORT ON 22nd DECEMBER 2024</t>
  </si>
  <si>
    <t xml:space="preserve"> DAILY REPORT ON 24th DECEMBER 2024</t>
  </si>
  <si>
    <t xml:space="preserve"> DAILY REPORT ON 27th DECEMBER 2024</t>
  </si>
  <si>
    <t xml:space="preserve"> DAILY REPORT ON 28th DECEMBER 2024</t>
  </si>
  <si>
    <t xml:space="preserve"> DAILY REPORT ON 30th DECEMBER 2024</t>
  </si>
  <si>
    <t xml:space="preserve"> DAILY REPORT ON 31st DECEMBER 2024</t>
  </si>
  <si>
    <t xml:space="preserve"> DAILY REPORT ON 03rd  JANUARY 2025</t>
  </si>
  <si>
    <t xml:space="preserve"> DAILY REPORT ON 04th JANUARY 2025</t>
  </si>
  <si>
    <t>WEEKLY REPORT FROM 01st to 05th JANUARY 2025</t>
  </si>
  <si>
    <t>DAILY REPORT ON 07th JANUARY 2025</t>
  </si>
  <si>
    <t>DAILY REPORT ON 08th JANUARY 2025</t>
  </si>
  <si>
    <t>DAILY REPORT ON 09th JANUARY 2025</t>
  </si>
  <si>
    <t>09</t>
  </si>
  <si>
    <t>WEEKLY REPORT FROM 06th TO 12th JANUARY 2025</t>
  </si>
  <si>
    <t>DAILY REPORT ON 13th JANUARY 2025</t>
  </si>
  <si>
    <t>DAILY REPORT ON 14th JANUARY 2025</t>
  </si>
  <si>
    <t>DAILY REPORT ON 15th JANUARY 2025</t>
  </si>
  <si>
    <t>DAILY REPORT ON 16th JANUARY 2025</t>
  </si>
  <si>
    <t>DAILY REPORT ON 17th JANUARY 2025</t>
  </si>
  <si>
    <t>DAILY REPORT ON 18th JANUARY 2025</t>
  </si>
  <si>
    <t>DAILY REPORT ON 19th JANUARY 2025</t>
  </si>
  <si>
    <t>WEEKLY REPORT FROM 13TH JANUARY TO 19TH JANUARY 2025</t>
  </si>
  <si>
    <t>DAILY REPORT ON 20TH JANUARY 2025</t>
  </si>
  <si>
    <t>DAILY REPORT ON 21st JANUARY 2025</t>
  </si>
  <si>
    <t>DAILY REPORT ON 22nd JANUARY 2025</t>
  </si>
  <si>
    <t>DAILY REPORT ON 23rd JANUARY 2025</t>
  </si>
  <si>
    <t>DAILY REPORT ON 24th JANUARY 2025</t>
  </si>
  <si>
    <t>DAILY REPORT ON 25th JANUARY 2025</t>
  </si>
  <si>
    <t>WEEKLY REPORT FROM 20TH JANUARY TO 26th JANUARY  2025</t>
  </si>
  <si>
    <t>DAILY REPORT ON 27TH JANUARY   2025</t>
  </si>
  <si>
    <t>DAILY REPORT ON 29TH JANUARY   2025</t>
  </si>
  <si>
    <t>DAILY REPORT ON 30TH JANUARY   2025</t>
  </si>
  <si>
    <t>WEEKLY  REPORT FROM 27TH TO 31ST JANUARY   2025</t>
  </si>
  <si>
    <t>MONTHLY REPORT FROM 01ST TO 31ST JANUARY   2025</t>
  </si>
  <si>
    <t>DAILY REPORT ON 02nd FEBRUARY  2025</t>
  </si>
  <si>
    <t>DAILY REPORT ON 04th FEBRUARY  2025</t>
  </si>
  <si>
    <t>DAILY REPORT ON 06th FEBRUARY  2025</t>
  </si>
  <si>
    <t>DAILY REPORT ON 07th FEBRUARY  2025</t>
  </si>
  <si>
    <t>WEEKLY REPORT FROM 01 ST TO 09 TH FEBRUARY  2025</t>
  </si>
  <si>
    <t>WEEKLY REPORT FROM 01ST TO 09TH FEBRUARY  2025</t>
  </si>
  <si>
    <t>DAILY REPORT ON 10TH FEBRUARY  2025</t>
  </si>
  <si>
    <t>DAILY REPORT ON 11TH FEBRUARY  2025</t>
  </si>
  <si>
    <t>DAILY REPORT ON 12TH FEBRUARY  2025</t>
  </si>
  <si>
    <t>DAILY REPORT ON 16TH FEBRUARY  2025</t>
  </si>
  <si>
    <t>WEEKLY  REPORT ON 16TH FEBRUARY  2025</t>
  </si>
  <si>
    <t>WEEKLY  REPORT FROM 10TH TO 16TH  FEBRUARY  2025</t>
  </si>
  <si>
    <t>Aya amafranga 2750 yishyuwe kuri momo pay yanjye ariko ni uwibeshye.</t>
  </si>
  <si>
    <t>Aya amafranga 2750 yishyuwe kuri momo pay yanjye ariko habaydho kwibeshya.</t>
  </si>
  <si>
    <t>Aya amafranga 2750 yishyuwe kuri momo pay yanjye ariko habayeho kwibeshya.</t>
  </si>
  <si>
    <t>DAILY REPORT ON  17TH  FEBRUARY  2025</t>
  </si>
  <si>
    <t>DAILY REPORT ON  18TH  FEBRUARY  2025</t>
  </si>
  <si>
    <t>DAILY REPORT ON  19TH  FEBRUARY  2025</t>
  </si>
  <si>
    <t>WEEKLY REPORT FROM 17TH TO 23TH  FEBRUARY  2025</t>
  </si>
  <si>
    <t>DAILY REPORT ON 24TH FEBRUARY  2025</t>
  </si>
  <si>
    <t>DAILY REPORT ON 26TH FEBRUARY  2025</t>
  </si>
  <si>
    <t>DAILY REPORT ON 27TH FEBRUARY  2025</t>
  </si>
  <si>
    <t>DAILY REPORT ON 28TH FEBRUARY  2025</t>
  </si>
  <si>
    <t>WEEKLY REPORT FROM 24TH FEBRUARY TO 28TH FEBRUARY  2025</t>
  </si>
  <si>
    <t>MONTHLY REPORT FROM 01ST FEBRUARY TO 28TH FEBRUARY  2025</t>
  </si>
  <si>
    <t>DAILY REPORT ON 04TH MARCH 2025</t>
  </si>
  <si>
    <t>WEEKLY REPORT FROM 12TH MAY TO 18TH MAY 2025</t>
  </si>
  <si>
    <t>DAILY REPORT ON 19TH MAY 2025</t>
  </si>
  <si>
    <t>DAILY REPORT ON 21st MAY 2025</t>
  </si>
  <si>
    <t>DAILY REPORT ON 22nd MAY 2025</t>
  </si>
  <si>
    <t>DAILY REPORT ON 23rd MAY 2025</t>
  </si>
  <si>
    <t>DAILY REPORT ON 25th MAY 2025</t>
  </si>
  <si>
    <t>WEEKLY  REPORT FROM 19TH TO 25th MAY 2025</t>
  </si>
  <si>
    <t>DAILY REPORT ON 2th MAY 2025</t>
  </si>
  <si>
    <t>DAILY REPORT ON 26th MAY 2025</t>
  </si>
  <si>
    <t>DAILY REPORT ON 28th MAY 2025</t>
  </si>
  <si>
    <t>DAILY REPORT ON 30th MAY 2025</t>
  </si>
  <si>
    <t>DAILY REPORT ON 31st MAY 2025</t>
  </si>
  <si>
    <t>WEEKLY REPORT FROM 26TH TO31st MAY 2025</t>
  </si>
  <si>
    <t>WEEKLY REPORT FROM 26TH TO 31st MAY 2025</t>
  </si>
  <si>
    <t>DAILY REPORT ON 03rd JUNE 2025</t>
  </si>
  <si>
    <t>DAILY REPORT ON 04th JUNE 2025</t>
  </si>
  <si>
    <t>DAILY REPORT ON 05th JUNE 2025</t>
  </si>
  <si>
    <t>DAILY REPORT ON 06th JUNE 2025</t>
  </si>
  <si>
    <t>DAILY REPORT ON 08th JUNE 2025</t>
  </si>
  <si>
    <t>WEEKLY REPORT FROM 01ST TO 08th JUNE 2025</t>
  </si>
  <si>
    <t>DAILY REPORT ON 09th JUNE 2025</t>
  </si>
  <si>
    <t>DAILY REPORT ON 10th JUNE 2025</t>
  </si>
  <si>
    <t>DAILY REPORT ON 11th JUNE 2025</t>
  </si>
  <si>
    <t>DAILY REPORT ON 12th JUNE 2025</t>
  </si>
  <si>
    <t>DAILY REPORT ON 13th JUNE 2025</t>
  </si>
  <si>
    <t>DAILY REPORT ON 15th JUNE 2025</t>
  </si>
  <si>
    <t>WEEKLY REPORT FROM 09TH TO 15th JUNE 2025</t>
  </si>
  <si>
    <t>DAILY REPORT ON 16TH JUNE 2025</t>
  </si>
  <si>
    <t>DAILY REPORT ON 18TH JUNE 2025</t>
  </si>
  <si>
    <t>DAILY REPORT ON 19TH JUNE 2025</t>
  </si>
  <si>
    <t>DAILY REPORT ON 20TH JUNE 2025</t>
  </si>
  <si>
    <t>DAILY REPORT ON 22nd JUNE 2025</t>
  </si>
  <si>
    <t>WEEKLY REPORT FROM 16TH JUNE TO 22ND JUNE 2025</t>
  </si>
  <si>
    <t>DAILY REPORT ON 23RD JUNE 2025</t>
  </si>
  <si>
    <t>DAILY REPORT ON 25TH JUNE 2025</t>
  </si>
  <si>
    <t>DAILY REPORT ON 27TH JUNE 2025</t>
  </si>
  <si>
    <t>DAILY REPORT ON 29TH JUNE 2025</t>
  </si>
  <si>
    <t>DAILY REPORT ON 30TH JUNE 2025</t>
  </si>
  <si>
    <t>WEEKLY REPORT FROM 23RD TO 30TH JUNE 2025</t>
  </si>
  <si>
    <t>MONTHLY REPORT FROM 01ST TO 30TH JUNE 2025</t>
  </si>
  <si>
    <t>QUARTERLY REPORT FROM 01ST APRIL TO 30TH JUNE 2025</t>
  </si>
  <si>
    <t>DAILY REPORT ON 03RD JULY 2025</t>
  </si>
  <si>
    <t>DAILY REPORT ON 04TH JULY 2025</t>
  </si>
  <si>
    <t>DAILY REPORT ON 05TH JULY 2025</t>
  </si>
  <si>
    <t>DAILY REPORT ON 06TH JULY 2025</t>
  </si>
  <si>
    <t>WEEKLY  REPORT FROM 01ST TO 06TH JULY 2025</t>
  </si>
  <si>
    <t>DAILY REPORT 07TH JULY 2025</t>
  </si>
  <si>
    <t>DAILY REPORT 09TH JULY 2025</t>
  </si>
  <si>
    <t>DAILY REPORT 10TH JULY 2025</t>
  </si>
  <si>
    <t>DAILY REPORT 11TH JULY 2025</t>
  </si>
  <si>
    <t>DAILY REPORT 13TH JULY 2025</t>
  </si>
  <si>
    <t>WEEKLY REPORT FROM 07TH TO 13TH JULY 2025</t>
  </si>
  <si>
    <t>DAILY REPORT ON 14TH JULY 2025</t>
  </si>
  <si>
    <t>DAILY REPORT ON 16TH JULY 2025</t>
  </si>
  <si>
    <t>DAILY REPORT ON 18TH JULY 2025</t>
  </si>
  <si>
    <t>DAILY REPORT ON 19TH JULY 2025</t>
  </si>
  <si>
    <t>DAILY REPORT ON 20TH JULY 2025</t>
  </si>
  <si>
    <t>WEEKLY REPORT FROM 14TH TO  20TH JULY 2025</t>
  </si>
  <si>
    <t>DAILY REPORT ON 21ST JULY 2025</t>
  </si>
  <si>
    <t>DAILY REPORT ON 22ND JULY 2025</t>
  </si>
  <si>
    <t>DAILY REPORT ON 23rd JULY 2025</t>
  </si>
  <si>
    <t>DAILY REPORT ON 24th JULY 2025</t>
  </si>
  <si>
    <t>DAILY REPORT ON 25th JULY 2025</t>
  </si>
  <si>
    <t>DAILY REPORT ON 26th JULY 2025</t>
  </si>
  <si>
    <t>DAILY REPORT ON 27th JULY 2025</t>
  </si>
  <si>
    <t>WEEKLY REPORT FROM 21ST ON 28th JULY 2025</t>
  </si>
  <si>
    <t>WEEKLY REPORT FROM 21ST To 27th JULY 2025</t>
  </si>
  <si>
    <t>DAILY REPORT ON 28TH JULY 2025</t>
  </si>
  <si>
    <t>DAILY REPORT ON 30TH JULY 2025</t>
  </si>
  <si>
    <t>DAILY REPORT ON 31st JULY 2025</t>
  </si>
  <si>
    <t>WEEKLY  REPORT FROM 28TH TO 31st JULY 2025</t>
  </si>
  <si>
    <t>MONTHLY REPORT FROM 01ST TO 31st JULY 2025</t>
  </si>
  <si>
    <t>DAILY REPORT ON 01ST AUGUST 2025</t>
  </si>
  <si>
    <t>DAILY REPORT ON 02nd AUGUST 2025</t>
  </si>
  <si>
    <t>DAILY REPORT ON 03rd AUGUST 2025</t>
  </si>
  <si>
    <t>WEEKLY REPORT FROM 01ST TO 03RD AUGUST 2025</t>
  </si>
  <si>
    <t>DAILY REPORT ON 04TH AUGUST 2025</t>
  </si>
  <si>
    <t>DAILY REPORT ON 06TH AUGUST 2025</t>
  </si>
  <si>
    <t>DAILY REPORT ON 07TH AUGUST 2025</t>
  </si>
  <si>
    <t>DAILY REPORT ON 08TH AUGUST 2025</t>
  </si>
  <si>
    <t>DAILY REPORT ON 09TH AUGUST 2025</t>
  </si>
  <si>
    <t>DAILY REPORT ON 10TH AUGUST 2025</t>
  </si>
  <si>
    <t>WEEKLY REPORT ON 10TH AUGUST 2025</t>
  </si>
  <si>
    <t>WEEKLY REPORT FROM 01 ST TO 10TH AUGUST 2025</t>
  </si>
  <si>
    <t>DAILY REPORT ON 12TH AUGUST 2025</t>
  </si>
  <si>
    <t>DAILY REPORT ON 13TH AUGUST 2025</t>
  </si>
  <si>
    <t>DAILY REPORT ON 14TH AUGUST 2025</t>
  </si>
  <si>
    <t>DAILY REPORT ON 15TH AUGUST 2025</t>
  </si>
  <si>
    <t>DAILY REPORT ON 16TH AUGUST 2025</t>
  </si>
  <si>
    <t>DAILY REPORT ON 17TH AUGUST 2025</t>
  </si>
  <si>
    <t>WEEKLY REPORT FROM 11TH TO 17TH AUGUST 2025</t>
  </si>
  <si>
    <t>DAILY REPORT ON 19TH  AUGUST 2025</t>
  </si>
  <si>
    <t>DAILY REPORT On 22nd AUGUST 2025</t>
  </si>
  <si>
    <t>DAILY REPORT On 24th AUGUST 2025</t>
  </si>
  <si>
    <t>WEEKLY REPORT FROM 18TH TO 24th AUGUST 2025</t>
  </si>
  <si>
    <t>DAILY REPORT ON  25th AUGUST 2025</t>
  </si>
  <si>
    <t>DAILY REPORT ON  26th AUGUST 2025</t>
  </si>
  <si>
    <t>DAILY REPORT ON  28th AUGUST 2025</t>
  </si>
  <si>
    <t>WEEKLY REPORT FROM 25TH TO 31ST AUGUST 2025</t>
  </si>
  <si>
    <t>MONTHLY REPORT FROM 01ST TO 31ST AUGUST 2025</t>
  </si>
  <si>
    <t>DAILY  REPORT ON 01/09/ 2025</t>
  </si>
  <si>
    <t>DAILY  REPORT ON 03/09/ 2025</t>
  </si>
  <si>
    <t>DAILY  REPORT ON 08/09/ 2025</t>
  </si>
  <si>
    <t>DAILY  REPORT ON 07/09/ 2025</t>
  </si>
  <si>
    <t>WEEKLY  REPORT FROM 01ST SEPTEMBER TO 07TH SEPTEMBER 2025</t>
  </si>
  <si>
    <t>DAILY REPORT ON 08TH SEPTEMBER 2025</t>
  </si>
  <si>
    <t>DAILY REPORT ON 09TH SEPTEMBER 2025</t>
  </si>
  <si>
    <t>DAILY REPORT ON 13TH SEPTEMBER 2025</t>
  </si>
  <si>
    <t>WEEKLY REPORT FROM 08TH TO 14TH SEPTEMBER 2025</t>
  </si>
  <si>
    <t>DAILY REPORT On 15TH SEPTEMBER 2025</t>
  </si>
  <si>
    <t>DAILY REPORT On 16TH SEPTEMBER 2025</t>
  </si>
  <si>
    <t>DAILY REPORT On 17TH SEPTEMBER 2025</t>
  </si>
  <si>
    <t>DAILY REPORT On 18TH SEPTEMBER 2025</t>
  </si>
  <si>
    <t>DAILY REPORT On 19TH SEPTEMBER 2025</t>
  </si>
  <si>
    <t>DAILY REPORT On 20TH SEPTEMBER 2025</t>
  </si>
  <si>
    <t>DAILY REPORT On 21st SEPTEMBER 2025</t>
  </si>
  <si>
    <t>WEEKLY  REPORT FROM 15th to 21st SEPTEMBER 2025</t>
  </si>
  <si>
    <t>DAILY REPORT  ON 22ND SEPTEMBER 2025</t>
  </si>
  <si>
    <t>DAILY REPORT  ON 23rd SEPTEMBER 2025</t>
  </si>
  <si>
    <t>DAILY REPORT  ON 24th SEPTEMBER 2025</t>
  </si>
  <si>
    <t>Imbabari</t>
  </si>
  <si>
    <t>7t</t>
  </si>
  <si>
    <t>DAILY REPORT  ON 25th SEPTEMBER 2025</t>
  </si>
  <si>
    <t>DAILY REPORT  ON 26th SEPTEMBER 2025</t>
  </si>
  <si>
    <t>DAILY REPORT  ON 27th SEPTEMBER 2025</t>
  </si>
  <si>
    <t>DAILY REPORT  ON 29th SEPTEMBER 2025</t>
  </si>
  <si>
    <t>WEEKLY REPORT FROM 22ND TO 30th SEPTEMBER 2025</t>
  </si>
  <si>
    <t>MONTHLY REPORT SEPTEMBER 2025</t>
  </si>
  <si>
    <t>QUARTERY REPORT FROM 01ST JULY TO 30 SEPTEMBER 2025</t>
  </si>
  <si>
    <t>DAILY REPORT ON 01st OCTOBER 2025</t>
  </si>
  <si>
    <t>DAILY REPORT ON 02nd OCTOBER 2025</t>
  </si>
  <si>
    <t>QUARTERLY REPORT FROM JULY  TO SEPTEMBER 2025</t>
  </si>
  <si>
    <t>DAILY REPORT ON 03RD OCTOBER 2025</t>
  </si>
  <si>
    <t>WEEKLY  REPORT FROM 01ST OCTOBER TO 05TH OCTOBER 2025</t>
  </si>
  <si>
    <t>DAILY  REPORT ON 20TH OCTOBER 2025</t>
  </si>
  <si>
    <t>DAILY  REPORT ON 22nd OCTOBER 2025</t>
  </si>
  <si>
    <t>DAILY REPORT ON 23RD OCTOBER 2025</t>
  </si>
  <si>
    <t>Madrien</t>
  </si>
  <si>
    <t>DAILY REPORT ON 24th OCTOBER 2025</t>
  </si>
  <si>
    <t>WEEKLY REPORT FROM 20TH TO 26th OCTOBER 2025</t>
  </si>
  <si>
    <t>DAILY REPORT ON 27TH OCTOBER 2025</t>
  </si>
  <si>
    <t>DAILY REPORT ON 30TH OCTOBER 2025</t>
  </si>
  <si>
    <t>DAILY REPORT ON 31st OCTOBER 2025</t>
  </si>
  <si>
    <t>WEEKLY REPORT FROM 27TH TO 31st OCTOBER 2025</t>
  </si>
  <si>
    <t>MONTHLY REPORT FROM 01st TO 31st OCTOBER 2025</t>
  </si>
  <si>
    <t>DAILY REPORT ON 01st NOVEMBER 2025</t>
  </si>
  <si>
    <t>DAILY REPORT ON 02nd NOVEMBER 2025</t>
  </si>
  <si>
    <t>DAILY REPORT ON 03rd NOVEMBER 2025</t>
  </si>
  <si>
    <t>DAILY REPORT ON 04th NOVEMBER 2025</t>
  </si>
  <si>
    <t>DAILY REPORT ON 05th NOVEMBER 2025</t>
  </si>
  <si>
    <t>DAILY REPORT ON 06th NOVEMBER 2025</t>
  </si>
  <si>
    <t>DAILY REPORT ON 08th NOVEMBER 2025</t>
  </si>
  <si>
    <t>DAILY REPORT ON 09th NOVEMBER 2025</t>
  </si>
  <si>
    <t>WEEKLY REPORT FROM 01ST TO  09th NOVEMBER 2025</t>
  </si>
  <si>
    <t>DAILY REPORT ON 11th NOVEMBER 2025</t>
  </si>
  <si>
    <t>DAILY REPORT ON 12th NOVEMBER 2025</t>
  </si>
  <si>
    <t>DAILY REPORT ON 14th NOVEMBER 2025</t>
  </si>
  <si>
    <t>DAILY REPORT ON 16th NOVEMBER 2025</t>
  </si>
  <si>
    <t>WEEKLY REPORT FROM 10TH TO 16th NOVEMBER 2025</t>
  </si>
  <si>
    <t>DAILY REPORT ON 17th NOVEMBER 2025</t>
  </si>
  <si>
    <t>DAILY REPORT ON 18th NOVEMBER 2025</t>
  </si>
  <si>
    <t>ICPCs: GASHYUSHYA</t>
  </si>
  <si>
    <t>DAILY REPORT ON 19th NOVEMBER 2025</t>
  </si>
  <si>
    <t>DAILY REPORT ON 20th NOVEMBER 2025</t>
  </si>
  <si>
    <t>DAILY REPORT ON 21st NOVEMBER 2025</t>
  </si>
  <si>
    <t>DAILY REPORT ON 23rd  NOVEMBER 2025</t>
  </si>
  <si>
    <t>MUKASHEMA FRANCINE</t>
  </si>
  <si>
    <t>WEEKLY REPORT FROM 17TH TO 23RD NOVEMBER 2025</t>
  </si>
  <si>
    <t>DAILY REPORT ON 24TH NOVEMBER 2025</t>
  </si>
  <si>
    <t>DAILY REPORT ON 22nd NOVEMBER 2025</t>
  </si>
  <si>
    <t>WEEKLY  REPORT FROM 17-23 NOVEMBER 2025</t>
  </si>
  <si>
    <t>DAILY  REPORT ON 24TH  NOVEMBER 2025</t>
  </si>
  <si>
    <t>DAILY  REPORT ON 25TH  NOVEMBER 2025</t>
  </si>
  <si>
    <t>DAILY  REPORT ON 26TH  NOVEMBER 2025</t>
  </si>
  <si>
    <t>DAILY  REPORT ON 27TH  NOVEMBER 2025</t>
  </si>
  <si>
    <t>Pinus</t>
  </si>
  <si>
    <t>DAILY  REPORT ON 28TH  NOVEMBER 2025</t>
  </si>
  <si>
    <t>DAILY  REPORT ON 30TH  NOVEMBER 2025</t>
  </si>
  <si>
    <t>WEEKLY  REPORT FROM 24TH TO  30TH  NOVEMBER 2025</t>
  </si>
  <si>
    <t>DAILY REPORT ON 27TH  NOVEMBER 2025</t>
  </si>
  <si>
    <t>DAILY REPORT ON 30TH  NOVEMBER 2025</t>
  </si>
  <si>
    <t>WEEKLY  REPORT FROM 24TH TO 30TH  NOVEMBER 2025</t>
  </si>
  <si>
    <t>Ibipande bya pinus</t>
  </si>
  <si>
    <t>MONTHLY REPORT FROM 01ST TO 30TH  NOVEMBER 2025</t>
  </si>
  <si>
    <t>DAILY REPORT ON 01ST DECEMBER 2025</t>
  </si>
  <si>
    <t>DAILY REPORT ON 02nd DECEMBER 2025</t>
  </si>
  <si>
    <t>DAILY REPORT ON 03rd DECEMBER 2025</t>
  </si>
  <si>
    <t>DAILY REPORT ON 01st DECEMBER 2025</t>
  </si>
  <si>
    <t>DAILY REPORT ON 04th DECEMBER 2025</t>
  </si>
  <si>
    <t>ICPCs:  GASHYUSHYA</t>
  </si>
  <si>
    <t>DAILY REPORT ON 06th DECEMBER 2025</t>
  </si>
  <si>
    <t>ICPCs:  NYARUGENGE</t>
  </si>
  <si>
    <t>DAILY REPORT ON 05th DECEMBER 2025</t>
  </si>
  <si>
    <t>DAILY REPORT ON 07th DECEMBER 2025</t>
  </si>
  <si>
    <t>WEEKLY REPORT FROM 01 ST TO 07th DECEMBER 2025</t>
  </si>
  <si>
    <t>DAILY REPORT ON 08th DECEMBER 2025</t>
  </si>
  <si>
    <t>WEEKLY REPORT FROM 01ST TO 07th DECEMBER 2025</t>
  </si>
  <si>
    <t>DAILY REPORT ON 09th DECEMBER 2025</t>
  </si>
  <si>
    <t>DAILY REPORT ON 10th DECEMBER 2025</t>
  </si>
  <si>
    <t>DAILY REPORT ON 11th DECEMBER 2025</t>
  </si>
  <si>
    <t>DAILY REPORT ON 13th DECEMBER 2025</t>
  </si>
  <si>
    <t>WEEKLY REPORT FROM 08TH TO  14th DECEMBER 2025</t>
  </si>
  <si>
    <t>DAILY REPORT ON 15th DECEMBER 2025</t>
  </si>
  <si>
    <t>DAILY REPORT ON 16th DECEMBER 2025</t>
  </si>
  <si>
    <t>DAILY REPORT ON 17th DECEMBER 2025</t>
  </si>
  <si>
    <t>DAILY REPORT ON 19th DECEMBER 2025</t>
  </si>
  <si>
    <t>WEEKLY  REPORT FROM 15TH TO 21ST DECEMBER 2025</t>
  </si>
  <si>
    <t>DAILY  REPORT ON 22ND DECEMBER 2025</t>
  </si>
  <si>
    <t>DAILY  REPORT ON 23rd DECEMBER 2025</t>
  </si>
  <si>
    <t>DAILY  REPORT ON 24th DECEMBER 2025</t>
  </si>
  <si>
    <t>DAILY  REPORT ON 27th DECEMBER 2025</t>
  </si>
  <si>
    <t>DAILY REPORT ON 29th DECEMBER 2025</t>
  </si>
  <si>
    <t>DAILY REPORT ON 30th DECEMBER 2025</t>
  </si>
  <si>
    <t>WEEKLY REPORT FROM 22ND TO 31ST DECEMBER 2025</t>
  </si>
  <si>
    <t>MONTHLY REPORT FROM 01ST TO 31ST DECEMBER 2025</t>
  </si>
  <si>
    <t>DAIRLY REPORT ON 02nd January 2026</t>
  </si>
  <si>
    <t>DAILY REPORT ON 04th January 2026</t>
  </si>
  <si>
    <t xml:space="preserve"> REPORT FROM 17th November to 08th December 2025</t>
  </si>
  <si>
    <t>DAILY REPORT ON 06TH JANUARY 2026</t>
  </si>
  <si>
    <t>DAILY REPORT ON 07TH JANUARY 2026</t>
  </si>
  <si>
    <t>DAILY REPORT ON 08TH JANUARY 2026</t>
  </si>
  <si>
    <t>DAILY REPORT ON 09TH JANUARY 2026</t>
  </si>
  <si>
    <t>DAILY REPORT ON 11TH JANUARY 2026</t>
  </si>
  <si>
    <t>WEEKLY REPORT FROM 01 ST TO 11TH JANUARY 2026</t>
  </si>
  <si>
    <t>DAILY REPORT ON 12TH JANUARY 2026</t>
  </si>
  <si>
    <t>DAILY REPORT ON 14TH JANUARY 2026</t>
  </si>
  <si>
    <t>DAILY REPORT ON 15TH JANUARY 2026</t>
  </si>
  <si>
    <t>DAILY REPORT ON 17TH JANUARY 2026</t>
  </si>
  <si>
    <t>DAILY REPORT ON 18TH JANUARY 2026</t>
  </si>
  <si>
    <t>WEEKLY REPORT FROM 12TH TO 18TH JANUARY 2026</t>
  </si>
  <si>
    <t>DAILY REPORT ON 19TH JANUARY 2026</t>
  </si>
  <si>
    <t>DAILY REPORT ON 20TH JANUARY 2026</t>
  </si>
  <si>
    <t>DAILY REPORT ON 22nd JANUARY 2026</t>
  </si>
  <si>
    <t>DAILY REPORT ON 23rd JANUARY 2026</t>
  </si>
  <si>
    <t>DAILY REPORT ON 24th JANUARY 2026</t>
  </si>
  <si>
    <t>WEEKLY REPORT FROM 19TH TO  25th JANUARY 2026</t>
  </si>
  <si>
    <t>DAILY REPORT ON 26th JANUARY 2026</t>
  </si>
  <si>
    <t>DAILY REPORT ON 27th JANUARY 2026</t>
  </si>
  <si>
    <t>DAILY REPORT ON 28th JANUARY 2026</t>
  </si>
  <si>
    <t>DAILY REPORT ON 30th JANUARY 2026</t>
  </si>
  <si>
    <t>DAILY REPORT ON 31st JANUARY 2026</t>
  </si>
  <si>
    <t>WEEKLY REPORT FROM 26TH TO  31st JANUARY 2026</t>
  </si>
  <si>
    <t>DAILY REPORT ON 03RD FEBRUARY 2026</t>
  </si>
  <si>
    <t>DAILY REPORT ON 04th FEBRUARY 2026</t>
  </si>
  <si>
    <t>DAILY REPORT ON 05th FEBRUARY 2026</t>
  </si>
  <si>
    <t>DAILY REPORT ON 06th FEBRUARY 2026</t>
  </si>
  <si>
    <t>DAILY REPORT ON 07th FEBRUARY 2026</t>
  </si>
  <si>
    <t>DAILY REPORT ON 08th FEBRUARY 2026</t>
  </si>
  <si>
    <t>WEEKLY  REPORT FROM 01ST TO 08th FEBRUARY 2026</t>
  </si>
  <si>
    <t>DAILY  REPORT on 09th FEBRUARY 2026</t>
  </si>
  <si>
    <t>DAILY  REPORT on 12th FEBRUARY 2026</t>
  </si>
  <si>
    <t>DAILY  REPORT on 15th FEBRUARY 2026</t>
  </si>
  <si>
    <t>WEEKLY  REPORT FROM 09TH TO 15th FEBRUARY 2026</t>
  </si>
  <si>
    <t>DAILY  REPORT ON 16th FEBRUARY 2026</t>
  </si>
  <si>
    <t>DAILY  REPORT ON 18th FEBRUARY 2026</t>
  </si>
  <si>
    <t>DAILY  REPORT ON 20th FEBRUARY 2026</t>
  </si>
  <si>
    <t>DAILY  REPORT ON 21st FEBRUARY 2026</t>
  </si>
  <si>
    <t>DAILY  REPORT ON 22nd  FEBRUARY 2026</t>
  </si>
  <si>
    <t>WEEKLY  REPORT FROM 16TH TO 22nd  FEBRUARY 2026</t>
  </si>
  <si>
    <t>DAILY REPORT ON 23RD FEBRUARY 2026</t>
  </si>
  <si>
    <t>DAILY REPORT ON 24th FEBRUARY 2026</t>
  </si>
  <si>
    <t>DAILY REPORT ON 25th FEBRUARY 2026</t>
  </si>
  <si>
    <t>DAILY REPORT ON 26th FEBRUARY 2026</t>
  </si>
  <si>
    <t>DAILY REPORT ON 28th FEBRUARY 2026</t>
  </si>
  <si>
    <t>WEEKLY REPORT ON 28th FEBRUARY 2026</t>
  </si>
  <si>
    <t>WEEKLY REPORT FROM 23RD TO28th FEBRUARY 2026</t>
  </si>
  <si>
    <t>MONTHLY  REPORT OF FEBRUARY 2026</t>
  </si>
  <si>
    <t>DAILY REPORT ON 02ND MARCH  2026</t>
  </si>
  <si>
    <t>DAILY REPORT ON 03rd MARCH  2026</t>
  </si>
  <si>
    <t>DAILY REPORT ON 04th MARCH  2026</t>
  </si>
  <si>
    <t>DAILY REPORT ON 05th MARCH  2026</t>
  </si>
  <si>
    <t>DAILY REPORT ON 06th MARCH  2026</t>
  </si>
  <si>
    <t>WEEKLY REPORT FROM 01ST TO 08 TH MARCH  2026</t>
  </si>
  <si>
    <t>DAILY REPORT ON 09TH  MARCH  2026</t>
  </si>
  <si>
    <t>DAILY REPORT ON 10TH  MARCH  2026</t>
  </si>
  <si>
    <t>DAILY REPORT ON 11TH  MARCH  2026</t>
  </si>
  <si>
    <t>DAILY REPORT ON 12TH  MARCH  2026</t>
  </si>
  <si>
    <t>DAILY REPORT ON 13TH  MARCH  2026</t>
  </si>
  <si>
    <t>DAILY REPORT ON 14TH  MARCH  2026</t>
  </si>
  <si>
    <t>DAILY REPORT ON 15TH  MARCH  2026</t>
  </si>
  <si>
    <t>WEEKLY REPORT FROM 09TH TO 15TH  MARCH  2026</t>
  </si>
  <si>
    <t>DAILY REPORT ON 18TH  MARCH  2026</t>
  </si>
  <si>
    <t>DAILY REPORT ON 19TH  MARCH  2026</t>
  </si>
  <si>
    <t>DAILY REPORT ON 22nd MARCH  2026</t>
  </si>
  <si>
    <t>WEEKLY REPORT FROM 16TH TO 22nd MARCH  2026</t>
  </si>
  <si>
    <t>DAILY REPORT ON 24TH MARCH  2026</t>
  </si>
  <si>
    <t>DAILY REPORT ON 26TH MARCH  2026</t>
  </si>
  <si>
    <t>DAILY REPORT ON 27TH MARCH  2026</t>
  </si>
  <si>
    <t>DAILY REPORT ON 29TH MARCH  2026</t>
  </si>
  <si>
    <t>DAILY REPORT ON 30TH MARCH  2026</t>
  </si>
  <si>
    <t>DAILY REPORT ON 31st MARCH  2026</t>
  </si>
  <si>
    <t>DAILY REPORT ON 1st APRIL  2026</t>
  </si>
  <si>
    <t>DAILY REPORT ON 02nd APRIL  2026</t>
  </si>
  <si>
    <t>DAILY REPORT ON 03rd APRIL  2026</t>
  </si>
  <si>
    <t>DAILY REPORT ON 04th APRIL  2026</t>
  </si>
  <si>
    <t>DAILY REPORT ON 08th APRIL  2026</t>
  </si>
  <si>
    <t>DAILY REPORT ON 09th APRIL  2026</t>
  </si>
  <si>
    <t>DAILY REPORT ON 10th APRIL  2026</t>
  </si>
  <si>
    <t>DAILY REPORT ON 11th APRIL  2026</t>
  </si>
  <si>
    <t>DAILY REPORT ON 12th APRIL  2026</t>
  </si>
</sst>
</file>

<file path=xl/styles.xml><?xml version="1.0" encoding="utf-8"?>
<styleSheet xmlns="http://schemas.openxmlformats.org/spreadsheetml/2006/main">
  <numFmts count="4">
    <numFmt numFmtId="0" formatCode="General"/>
    <numFmt numFmtId="164" formatCode="_(* #,##0_);_(* \(#,##0\);_(* &quot;-&quot;??_);_(@_)"/>
    <numFmt numFmtId="3" formatCode="#,##0"/>
    <numFmt numFmtId="165" formatCode="_(* #,##0.00_);_(* \(#,##0.00\);_(* &quot;-&quot;??_);_(@_)"/>
  </numFmts>
  <fonts count="7">
    <font>
      <name val="Calibri"/>
      <sz val="11"/>
    </font>
    <font>
      <name val="Calibri"/>
      <sz val="11"/>
      <color rgb="FF000000"/>
    </font>
    <font>
      <name val="Calibri"/>
      <b/>
      <sz val="18"/>
      <color rgb="FF000000"/>
    </font>
    <font>
      <name val="Calibri"/>
      <b/>
      <sz val="16"/>
      <color rgb="FF000000"/>
    </font>
    <font>
      <name val="Calibri"/>
      <b/>
      <sz val="11"/>
      <color rgb="FF000000"/>
    </font>
    <font>
      <name val="Calibri"/>
      <b/>
      <sz val="20"/>
      <color rgb="FF000000"/>
    </font>
    <font>
      <name val="Calibri"/>
      <sz val="11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165" fontId="6" fillId="0" borderId="0">
      <alignment vertical="bottom"/>
      <protection locked="0" hidden="0"/>
    </xf>
  </cellStyleXfs>
  <cellXfs count="90">
    <xf numFmtId="0" fontId="0" fillId="0" borderId="0" xfId="0">
      <alignment vertical="center"/>
    </xf>
    <xf numFmtId="0" fontId="1" fillId="0" borderId="0" xfId="0" applyFont="1" applyAlignment="1">
      <alignment vertical="bottom"/>
      <protection locked="0" hidden="0"/>
    </xf>
    <xf numFmtId="164" fontId="2" fillId="0" borderId="1" xfId="1" applyNumberFormat="1" applyFont="1" applyBorder="1" applyAlignment="1">
      <alignment horizontal="center" vertical="bottom"/>
      <protection locked="0" hidden="0"/>
    </xf>
    <xf numFmtId="164" fontId="2" fillId="0" borderId="2" xfId="1" applyNumberFormat="1" applyFont="1" applyBorder="1" applyAlignment="1">
      <alignment horizontal="center" vertical="bottom"/>
      <protection locked="0" hidden="0"/>
    </xf>
    <xf numFmtId="164" fontId="2" fillId="0" borderId="3" xfId="1" applyNumberFormat="1" applyFont="1" applyBorder="1" applyAlignment="1">
      <alignment horizontal="center" vertical="bottom"/>
      <protection locked="0" hidden="0"/>
    </xf>
    <xf numFmtId="164" fontId="2" fillId="0" borderId="4" xfId="1" applyNumberFormat="1" applyFont="1" applyBorder="1" applyAlignment="1">
      <alignment horizontal="center" vertical="bottom"/>
      <protection locked="0" hidden="0"/>
    </xf>
    <xf numFmtId="164" fontId="2" fillId="0" borderId="5" xfId="1" applyNumberFormat="1" applyFont="1" applyBorder="1" applyAlignment="1">
      <alignment horizontal="center" vertical="bottom"/>
      <protection locked="0" hidden="0"/>
    </xf>
    <xf numFmtId="164" fontId="2" fillId="0" borderId="6" xfId="1" applyNumberFormat="1" applyFont="1" applyBorder="1" applyAlignment="1">
      <alignment horizontal="center" vertical="bottom"/>
      <protection locked="0" hidden="0"/>
    </xf>
    <xf numFmtId="164" fontId="3" fillId="0" borderId="7" xfId="1" applyNumberFormat="1" applyFont="1" applyBorder="1" applyAlignment="1">
      <alignment horizontal="center" vertical="bottom"/>
      <protection locked="0" hidden="0"/>
    </xf>
    <xf numFmtId="164" fontId="3" fillId="0" borderId="0" xfId="1" applyNumberFormat="1" applyFont="1" applyAlignment="1">
      <alignment horizontal="center" vertical="bottom"/>
      <protection locked="0" hidden="0"/>
    </xf>
    <xf numFmtId="164" fontId="3" fillId="0" borderId="8" xfId="1" applyNumberFormat="1" applyFont="1" applyBorder="1" applyAlignment="1">
      <alignment horizontal="center" vertical="bottom"/>
      <protection locked="0" hidden="0"/>
    </xf>
    <xf numFmtId="164" fontId="3" fillId="0" borderId="4" xfId="1" applyNumberFormat="1" applyFont="1" applyBorder="1" applyAlignment="1">
      <alignment horizontal="center" vertical="bottom"/>
      <protection locked="0" hidden="0"/>
    </xf>
    <xf numFmtId="164" fontId="3" fillId="0" borderId="5" xfId="1" applyNumberFormat="1" applyFont="1" applyBorder="1" applyAlignment="1">
      <alignment horizontal="center" vertical="bottom"/>
      <protection locked="0" hidden="0"/>
    </xf>
    <xf numFmtId="164" fontId="3" fillId="0" borderId="6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0" hidden="0"/>
    </xf>
    <xf numFmtId="164" fontId="4" fillId="0" borderId="10" xfId="1" applyNumberFormat="1" applyFont="1" applyBorder="1" applyAlignment="1">
      <alignment horizontal="center" vertical="bottom"/>
      <protection locked="0" hidden="0"/>
    </xf>
    <xf numFmtId="164" fontId="4" fillId="0" borderId="11" xfId="1" applyNumberFormat="1" applyFont="1" applyBorder="1" applyAlignment="1">
      <alignment horizontal="center" vertical="bottom"/>
      <protection locked="0" hidden="0"/>
    </xf>
    <xf numFmtId="164" fontId="4" fillId="0" borderId="12" xfId="1" applyNumberFormat="1" applyFont="1" applyBorder="1" applyAlignment="1">
      <alignment vertical="bottom"/>
      <protection locked="0" hidden="0"/>
    </xf>
    <xf numFmtId="164" fontId="4" fillId="0" borderId="11" xfId="1" applyNumberFormat="1" applyFont="1" applyBorder="1" applyAlignment="1">
      <alignment vertical="bottom"/>
      <protection locked="0" hidden="0"/>
    </xf>
    <xf numFmtId="164" fontId="4" fillId="0" borderId="13" xfId="1" applyNumberFormat="1" applyFont="1" applyBorder="1" applyAlignment="1">
      <alignment vertical="bottom"/>
      <protection locked="0" hidden="0"/>
    </xf>
    <xf numFmtId="164" fontId="1" fillId="0" borderId="14" xfId="1" applyNumberFormat="1" applyFont="1" applyBorder="1" applyAlignment="1">
      <alignment vertical="bottom"/>
      <protection locked="0" hidden="0"/>
    </xf>
    <xf numFmtId="164" fontId="1" fillId="0" borderId="15" xfId="1" applyNumberFormat="1" applyFont="1" applyBorder="1" applyAlignment="1">
      <alignment horizontal="center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4" fillId="0" borderId="16" xfId="1" applyNumberFormat="1" applyFont="1" applyBorder="1" applyAlignment="1">
      <alignment vertical="bottom"/>
      <protection locked="1" hidden="1"/>
    </xf>
    <xf numFmtId="164" fontId="4" fillId="0" borderId="17" xfId="1" applyNumberFormat="1" applyFont="1" applyBorder="1" applyAlignment="1">
      <alignment vertical="bottom"/>
      <protection locked="1" hidden="1"/>
    </xf>
    <xf numFmtId="164" fontId="4" fillId="0" borderId="18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vertical="bottom"/>
      <protection locked="0" hidden="0"/>
    </xf>
    <xf numFmtId="164" fontId="1" fillId="0" borderId="20" xfId="1" applyNumberFormat="1" applyFont="1" applyBorder="1" applyAlignment="1">
      <alignment horizontal="center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4" fillId="0" borderId="21" xfId="1" applyNumberFormat="1" applyFont="1" applyBorder="1" applyAlignment="1">
      <alignment vertical="bottom"/>
      <protection locked="1" hidden="1"/>
    </xf>
    <xf numFmtId="164" fontId="4" fillId="0" borderId="22" xfId="1" applyNumberFormat="1" applyFont="1" applyBorder="1" applyAlignment="1">
      <alignment vertical="bottom"/>
      <protection locked="1" hidden="1"/>
    </xf>
    <xf numFmtId="164" fontId="1" fillId="0" borderId="18" xfId="1" applyNumberFormat="1" applyFont="1" applyBorder="1" applyAlignment="1">
      <alignment vertical="bottom"/>
      <protection locked="0" hidden="0"/>
    </xf>
    <xf numFmtId="164" fontId="5" fillId="0" borderId="10" xfId="1" applyNumberFormat="1" applyFont="1" applyBorder="1" applyAlignment="1">
      <alignment horizontal="center" vertical="bottom"/>
      <protection locked="0" hidden="0"/>
    </xf>
    <xf numFmtId="164" fontId="5" fillId="0" borderId="12" xfId="1" applyNumberFormat="1" applyFont="1" applyBorder="1" applyAlignment="1">
      <alignment horizontal="center" vertical="bottom"/>
      <protection locked="0" hidden="0"/>
    </xf>
    <xf numFmtId="164" fontId="5" fillId="0" borderId="11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horizontal="center" vertical="bottom"/>
      <protection locked="0" hidden="0"/>
    </xf>
    <xf numFmtId="164" fontId="4" fillId="0" borderId="9" xfId="1" applyNumberFormat="1" applyFont="1" applyBorder="1" applyAlignment="1">
      <alignment vertical="bottom"/>
      <protection locked="1" hidden="1"/>
    </xf>
    <xf numFmtId="164" fontId="4" fillId="0" borderId="11" xfId="1" applyNumberFormat="1" applyFont="1" applyBorder="1" applyAlignment="1">
      <alignment vertical="bottom"/>
      <protection locked="1" hidden="1"/>
    </xf>
    <xf numFmtId="164" fontId="4" fillId="0" borderId="13" xfId="1" applyNumberFormat="1" applyFont="1" applyBorder="1" applyAlignment="1">
      <alignment horizontal="left" vertical="bottom"/>
      <protection locked="0" hidden="0"/>
    </xf>
    <xf numFmtId="164" fontId="1" fillId="0" borderId="14" xfId="1" applyNumberFormat="1" applyFont="1" applyBorder="1" applyAlignment="1">
      <alignment horizontal="center" vertical="bottom"/>
      <protection locked="0" hidden="0"/>
    </xf>
    <xf numFmtId="164" fontId="1" fillId="0" borderId="16" xfId="1" applyNumberFormat="1" applyFont="1" applyBorder="1" applyAlignment="1">
      <alignment horizontal="center" vertical="bottom"/>
      <protection locked="0" hidden="0"/>
    </xf>
    <xf numFmtId="164" fontId="4" fillId="0" borderId="18" xfId="1" applyNumberFormat="1" applyFont="1" applyBorder="1" applyAlignment="1">
      <alignment horizontal="left" vertical="bottom"/>
      <protection locked="0" hidden="0"/>
    </xf>
    <xf numFmtId="164" fontId="1" fillId="0" borderId="19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horizontal="center" vertical="bottom"/>
      <protection locked="0" hidden="0"/>
    </xf>
    <xf numFmtId="164" fontId="1" fillId="0" borderId="21" xfId="1" applyNumberFormat="1" applyFont="1" applyBorder="1" applyAlignment="1">
      <alignment vertical="bottom"/>
      <protection locked="0" hidden="0"/>
    </xf>
    <xf numFmtId="164" fontId="4" fillId="0" borderId="23" xfId="1" applyNumberFormat="1" applyFont="1" applyBorder="1" applyAlignment="1">
      <alignment vertical="bottom"/>
      <protection locked="0" hidden="0"/>
    </xf>
    <xf numFmtId="164" fontId="1" fillId="0" borderId="24" xfId="1" applyNumberFormat="1" applyFont="1" applyBorder="1" applyAlignment="1">
      <alignment vertical="bottom"/>
      <protection locked="0" hidden="0"/>
    </xf>
    <xf numFmtId="164" fontId="1" fillId="0" borderId="25" xfId="1" applyNumberFormat="1" applyFont="1" applyBorder="1" applyAlignment="1">
      <alignment vertical="bottom"/>
      <protection locked="0" hidden="0"/>
    </xf>
    <xf numFmtId="164" fontId="4" fillId="0" borderId="25" xfId="1" applyNumberFormat="1" applyFont="1" applyBorder="1" applyAlignment="1">
      <alignment vertical="bottom"/>
      <protection locked="1" hidden="1"/>
    </xf>
    <xf numFmtId="164" fontId="4" fillId="0" borderId="26" xfId="1" applyNumberFormat="1" applyFont="1" applyBorder="1" applyAlignment="1">
      <alignment vertical="bottom"/>
      <protection locked="1" hidden="1"/>
    </xf>
    <xf numFmtId="164" fontId="1" fillId="0" borderId="0" xfId="1" applyNumberFormat="1" applyFont="1" applyAlignment="1">
      <alignment vertical="bottom"/>
      <protection locked="0" hidden="0"/>
    </xf>
    <xf numFmtId="164" fontId="4" fillId="2" borderId="27" xfId="1" applyNumberFormat="1" applyFont="1" applyFill="1" applyBorder="1">
      <alignment vertical="center"/>
      <protection locked="0" hidden="0"/>
    </xf>
    <xf numFmtId="164" fontId="1" fillId="2" borderId="28" xfId="1" applyNumberFormat="1" applyFont="1" applyFill="1" applyBorder="1" applyAlignment="1">
      <alignment vertical="bottom"/>
      <protection locked="0" hidden="0"/>
    </xf>
    <xf numFmtId="164" fontId="1" fillId="2" borderId="29" xfId="1" applyNumberFormat="1" applyFont="1" applyFill="1" applyBorder="1" applyAlignment="1">
      <alignment vertical="bottom"/>
      <protection locked="0" hidden="0"/>
    </xf>
    <xf numFmtId="164" fontId="4" fillId="2" borderId="29" xfId="1" applyNumberFormat="1" applyFont="1" applyFill="1" applyBorder="1" applyAlignment="1">
      <alignment vertical="bottom"/>
      <protection locked="1" hidden="1"/>
    </xf>
    <xf numFmtId="164" fontId="4" fillId="2" borderId="30" xfId="1" applyNumberFormat="1" applyFont="1" applyFill="1" applyBorder="1" applyAlignment="1">
      <alignment vertical="bottom"/>
      <protection locked="1" hidden="1"/>
    </xf>
    <xf numFmtId="0" fontId="4" fillId="0" borderId="10" xfId="0" applyFont="1" applyBorder="1" applyAlignment="1">
      <alignment horizontal="left" vertical="bottom"/>
      <protection locked="0" hidden="0"/>
    </xf>
    <xf numFmtId="0" fontId="4" fillId="0" borderId="11" xfId="0" applyFont="1" applyBorder="1" applyAlignment="1">
      <alignment horizontal="left" vertical="bottom"/>
      <protection locked="0" hidden="0"/>
    </xf>
    <xf numFmtId="164" fontId="1" fillId="0" borderId="9" xfId="1" applyNumberFormat="1" applyFont="1" applyBorder="1" applyAlignment="1">
      <alignment vertical="bottom"/>
      <protection locked="0" hidden="0"/>
    </xf>
    <xf numFmtId="164" fontId="1" fillId="0" borderId="2" xfId="1" applyNumberFormat="1" applyFont="1" applyBorder="1" applyAlignment="1">
      <alignment vertical="bottom"/>
      <protection locked="0" hidden="0"/>
    </xf>
    <xf numFmtId="164" fontId="4" fillId="0" borderId="31" xfId="1" applyNumberFormat="1" applyFont="1" applyBorder="1" applyAlignment="1">
      <alignment horizontal="center" vertical="bottom"/>
      <protection locked="0" hidden="0"/>
    </xf>
    <xf numFmtId="164" fontId="1" fillId="0" borderId="7" xfId="1" applyNumberFormat="1" applyFont="1" applyBorder="1" applyAlignment="1">
      <alignment vertical="bottom"/>
      <protection locked="0" hidden="0"/>
    </xf>
    <xf numFmtId="164" fontId="1" fillId="0" borderId="32" xfId="1" applyNumberFormat="1" applyFont="1" applyBorder="1" applyAlignment="1">
      <alignment horizontal="center" vertical="bottom"/>
      <protection locked="0" hidden="0"/>
    </xf>
    <xf numFmtId="164" fontId="1" fillId="0" borderId="33" xfId="1" applyNumberFormat="1" applyFont="1" applyBorder="1" applyAlignment="1">
      <alignment horizontal="center" vertical="bottom"/>
      <protection locked="0" hidden="0"/>
    </xf>
    <xf numFmtId="164" fontId="1" fillId="0" borderId="11" xfId="1" applyNumberFormat="1" applyFont="1" applyBorder="1" applyAlignment="1">
      <alignment vertical="bottom"/>
      <protection locked="0" hidden="0"/>
    </xf>
    <xf numFmtId="164" fontId="1" fillId="0" borderId="10" xfId="1" applyNumberFormat="1" applyFont="1" applyBorder="1" applyAlignment="1">
      <alignment vertical="bottom"/>
      <protection locked="0" hidden="0"/>
    </xf>
    <xf numFmtId="164" fontId="1" fillId="0" borderId="34" xfId="1" applyNumberFormat="1" applyFont="1" applyBorder="1" applyAlignment="1">
      <alignment vertical="bottom"/>
      <protection locked="0" hidden="0"/>
    </xf>
    <xf numFmtId="164" fontId="1" fillId="0" borderId="35" xfId="1" applyNumberFormat="1" applyFont="1" applyBorder="1" applyAlignment="1">
      <alignment horizontal="left" vertical="bottom"/>
      <protection locked="0" hidden="0"/>
    </xf>
    <xf numFmtId="164" fontId="1" fillId="0" borderId="36" xfId="1" applyNumberFormat="1" applyFont="1" applyBorder="1" applyAlignment="1">
      <alignment horizontal="left" vertical="bottom"/>
      <protection locked="0" hidden="0"/>
    </xf>
    <xf numFmtId="164" fontId="1" fillId="0" borderId="35" xfId="1" applyNumberFormat="1" applyFont="1" applyBorder="1" applyAlignment="1">
      <alignment vertical="bottom"/>
      <protection locked="0" hidden="0"/>
    </xf>
    <xf numFmtId="164" fontId="1" fillId="0" borderId="37" xfId="1" applyNumberFormat="1" applyFont="1" applyBorder="1" applyAlignment="1">
      <alignment vertical="bottom"/>
      <protection locked="0" hidden="0"/>
    </xf>
    <xf numFmtId="0" fontId="4" fillId="0" borderId="1" xfId="0" applyFont="1" applyBorder="1" applyAlignment="1">
      <alignment horizontal="left" vertical="bottom"/>
      <protection locked="0" hidden="0"/>
    </xf>
    <xf numFmtId="0" fontId="4" fillId="0" borderId="3" xfId="0" applyFont="1" applyBorder="1" applyAlignment="1">
      <alignment horizontal="left" vertical="bottom"/>
      <protection locked="0" hidden="0"/>
    </xf>
    <xf numFmtId="164" fontId="1" fillId="0" borderId="1" xfId="1" applyNumberFormat="1" applyFont="1" applyBorder="1" applyAlignment="1">
      <alignment vertical="bottom"/>
      <protection locked="0" hidden="0"/>
    </xf>
    <xf numFmtId="164" fontId="1" fillId="0" borderId="19" xfId="1" applyNumberFormat="1" applyFont="1" applyBorder="1" applyAlignment="1">
      <alignment horizontal="left" vertical="bottom"/>
      <protection locked="0" hidden="0"/>
    </xf>
    <xf numFmtId="164" fontId="1" fillId="0" borderId="21" xfId="1" applyNumberFormat="1" applyFont="1" applyBorder="1" applyAlignment="1">
      <alignment horizontal="left" vertical="bottom"/>
      <protection locked="0" hidden="0"/>
    </xf>
    <xf numFmtId="164" fontId="1" fillId="0" borderId="22" xfId="1" applyNumberFormat="1" applyFont="1" applyBorder="1" applyAlignment="1">
      <alignment vertical="bottom"/>
      <protection locked="0" hidden="0"/>
    </xf>
    <xf numFmtId="0" fontId="4" fillId="0" borderId="38" xfId="0" applyFont="1" applyBorder="1" applyAlignment="1">
      <alignment horizontal="left" vertical="bottom"/>
      <protection locked="0" hidden="0"/>
    </xf>
    <xf numFmtId="0" fontId="4" fillId="0" borderId="33" xfId="0" applyFont="1" applyBorder="1" applyAlignment="1">
      <alignment horizontal="left" vertical="bottom"/>
      <protection locked="0" hidden="0"/>
    </xf>
    <xf numFmtId="0" fontId="1" fillId="0" borderId="11" xfId="0" applyFont="1" applyBorder="1" applyAlignment="1">
      <alignment vertical="bottom"/>
      <protection locked="0" hidden="0"/>
    </xf>
    <xf numFmtId="0" fontId="1" fillId="0" borderId="19" xfId="0" applyFont="1" applyBorder="1" applyAlignment="1">
      <alignment horizontal="left" vertical="bottom"/>
      <protection locked="0" hidden="0"/>
    </xf>
    <xf numFmtId="0" fontId="1" fillId="0" borderId="21" xfId="0" applyFont="1" applyBorder="1" applyAlignment="1">
      <alignment horizontal="left" vertical="bottom"/>
      <protection locked="0" hidden="0"/>
    </xf>
    <xf numFmtId="3" fontId="1" fillId="0" borderId="11" xfId="0" applyNumberFormat="1" applyFont="1" applyBorder="1" applyAlignment="1">
      <alignment vertical="bottom"/>
      <protection locked="0" hidden="0"/>
    </xf>
    <xf numFmtId="164" fontId="1" fillId="0" borderId="39" xfId="1" applyNumberFormat="1" applyFont="1" applyBorder="1" applyAlignment="1">
      <alignment vertical="bottom"/>
      <protection locked="0" hidden="0"/>
    </xf>
    <xf numFmtId="164" fontId="1" fillId="0" borderId="6" xfId="0" applyNumberFormat="1" applyFont="1" applyBorder="1" applyAlignment="1">
      <alignment vertical="bottom"/>
      <protection locked="0" hidden="0"/>
    </xf>
    <xf numFmtId="0" fontId="1" fillId="0" borderId="40" xfId="0" applyFont="1" applyBorder="1" applyAlignment="1">
      <alignment vertical="bottom"/>
      <protection locked="0" hidden="0"/>
    </xf>
    <xf numFmtId="0" fontId="1" fillId="0" borderId="24" xfId="0" applyFont="1" applyBorder="1" applyAlignment="1">
      <alignment horizontal="left" vertical="bottom"/>
      <protection locked="0" hidden="0"/>
    </xf>
    <xf numFmtId="0" fontId="1" fillId="0" borderId="25" xfId="0" applyFont="1" applyBorder="1" applyAlignment="1">
      <alignment horizontal="left" vertical="bottom"/>
      <protection locked="0" hidden="0"/>
    </xf>
    <xf numFmtId="0" fontId="1" fillId="0" borderId="24" xfId="0" applyFont="1" applyBorder="1" applyAlignment="1">
      <alignment vertical="bottom"/>
      <protection locked="0" hidden="0"/>
    </xf>
    <xf numFmtId="0" fontId="1" fillId="0" borderId="26" xfId="0" applyFont="1" applyBorder="1" applyAlignment="1">
      <alignment vertical="bottom"/>
      <protection locked="0" hidden="0"/>
    </xf>
  </cellXfs>
  <cellStyles count="2">
    <cellStyle name="常规" xfId="0" builtinId="0"/>
    <cellStyle name="千位分隔" xfId="1" builtinId="3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W51"/>
  <sheetViews>
    <sheetView tabSelected="1" workbookViewId="0" zoomScale="30">
      <selection activeCell="F61" sqref="F61"/>
    </sheetView>
  </sheetViews>
  <sheetFormatPr defaultRowHeight="15.0" defaultColWidth="10"/>
  <cols>
    <col min="1" max="1" customWidth="1" width="18.285156" style="1"/>
    <col min="2" max="3" customWidth="1" width="14.7109375" style="1"/>
    <col min="4" max="4" customWidth="1" width="7.2851562" style="1"/>
    <col min="5" max="5" customWidth="1" width="15.5703125" style="1"/>
    <col min="6" max="6" customWidth="1" bestFit="1" width="11.425781" style="1"/>
    <col min="7" max="7" customWidth="1" width="13.285156" style="1"/>
    <col min="8" max="8" customWidth="1" width="16.140625" style="1"/>
    <col min="9" max="16384" customWidth="0" width="8.855469" style="1"/>
  </cols>
  <sheetData>
    <row r="1" spans="8:8" ht="10.15" customHeight="1">
      <c r="A1" s="2" t="s">
        <v>318</v>
      </c>
      <c r="B1" s="3"/>
      <c r="C1" s="3"/>
      <c r="D1" s="3"/>
      <c r="E1" s="3"/>
      <c r="F1" s="3"/>
      <c r="G1" s="3"/>
      <c r="H1" s="4"/>
    </row>
    <row r="2" spans="8:8" ht="12.6" customHeight="1">
      <c r="A2" s="5"/>
      <c r="B2" s="6"/>
      <c r="C2" s="6"/>
      <c r="D2" s="6"/>
      <c r="E2" s="6"/>
      <c r="F2" s="6"/>
      <c r="G2" s="6"/>
      <c r="H2" s="7"/>
    </row>
    <row r="3" spans="8:8" ht="13.15" customHeight="1">
      <c r="A3" s="8" t="s">
        <v>426</v>
      </c>
      <c r="B3" s="9"/>
      <c r="C3" s="9"/>
      <c r="D3" s="9"/>
      <c r="E3" s="9"/>
      <c r="F3" s="9"/>
      <c r="G3" s="9"/>
      <c r="H3" s="10"/>
    </row>
    <row r="4" spans="8:8">
      <c r="A4" s="11"/>
      <c r="B4" s="12"/>
      <c r="C4" s="12"/>
      <c r="D4" s="12"/>
      <c r="E4" s="12"/>
      <c r="F4" s="12"/>
      <c r="G4" s="12"/>
      <c r="H4" s="13"/>
    </row>
    <row r="5" spans="8:8">
      <c r="A5" s="14" t="s">
        <v>0</v>
      </c>
      <c r="B5" s="14" t="s">
        <v>27</v>
      </c>
      <c r="C5" s="15" t="s">
        <v>9</v>
      </c>
      <c r="D5" s="16"/>
      <c r="E5" s="14" t="s">
        <v>1</v>
      </c>
      <c r="F5" s="17" t="s">
        <v>2</v>
      </c>
      <c r="G5" s="14" t="s">
        <v>3</v>
      </c>
      <c r="H5" s="18" t="s">
        <v>4</v>
      </c>
    </row>
    <row r="6" spans="8:8" ht="16.85">
      <c r="A6" s="19" t="s">
        <v>21</v>
      </c>
      <c r="B6" s="20"/>
      <c r="C6" s="21">
        <v>9440.0</v>
      </c>
      <c r="D6" s="22"/>
      <c r="E6" s="23">
        <f t="shared" si="0" ref="E6">PRODUCT(B6*C6)</f>
        <v>0.0</v>
      </c>
      <c r="F6" s="23">
        <f t="shared" si="1" ref="F6">PRODUCT(E6*18)/118</f>
        <v>0.0</v>
      </c>
      <c r="G6" s="23">
        <f>PRODUCT(B6*50)</f>
        <v>0.0</v>
      </c>
      <c r="H6" s="24">
        <f t="shared" si="2" ref="H6">SUM(F6:G6)</f>
        <v>0.0</v>
      </c>
    </row>
    <row r="7" spans="8:8" ht="16.85">
      <c r="A7" s="19" t="s">
        <v>22</v>
      </c>
      <c r="B7" s="20"/>
      <c r="C7" s="21">
        <v>7670.0</v>
      </c>
      <c r="D7" s="22"/>
      <c r="E7" s="23">
        <f t="shared" si="3" ref="E7:E14">PRODUCT(B7*C7)</f>
        <v>0.0</v>
      </c>
      <c r="F7" s="23">
        <f t="shared" si="4" ref="F7:F40">PRODUCT(E7*18)/118</f>
        <v>0.0</v>
      </c>
      <c r="G7" s="23">
        <f>PRODUCT(B7*50)</f>
        <v>0.0</v>
      </c>
      <c r="H7" s="24">
        <f t="shared" si="5" ref="H7:H14">SUM(F7:G7)</f>
        <v>0.0</v>
      </c>
    </row>
    <row r="8" spans="8:8">
      <c r="A8" s="25" t="s">
        <v>6</v>
      </c>
      <c r="B8" s="26"/>
      <c r="C8" s="27">
        <v>2000.0</v>
      </c>
      <c r="D8" s="28"/>
      <c r="E8" s="29">
        <f t="shared" si="3"/>
        <v>0.0</v>
      </c>
      <c r="F8" s="29">
        <f t="shared" si="4"/>
        <v>0.0</v>
      </c>
      <c r="G8" s="29">
        <f>PRODUCT(B8*50)</f>
        <v>0.0</v>
      </c>
      <c r="H8" s="30">
        <f t="shared" si="5"/>
        <v>0.0</v>
      </c>
    </row>
    <row r="9" spans="8:8">
      <c r="A9" s="25" t="s">
        <v>23</v>
      </c>
      <c r="B9" s="26"/>
      <c r="C9" s="27">
        <v>4130.0</v>
      </c>
      <c r="D9" s="28"/>
      <c r="E9" s="29">
        <f t="shared" si="3"/>
        <v>0.0</v>
      </c>
      <c r="F9" s="29">
        <f t="shared" si="4"/>
        <v>0.0</v>
      </c>
      <c r="G9" s="29">
        <f>PRODUCT(B9*30)</f>
        <v>0.0</v>
      </c>
      <c r="H9" s="30">
        <f t="shared" si="5"/>
        <v>0.0</v>
      </c>
    </row>
    <row r="10" spans="8:8">
      <c r="A10" s="25" t="s">
        <v>24</v>
      </c>
      <c r="B10" s="26"/>
      <c r="C10" s="27">
        <v>2124.0</v>
      </c>
      <c r="D10" s="28"/>
      <c r="E10" s="29">
        <f t="shared" si="3"/>
        <v>0.0</v>
      </c>
      <c r="F10" s="29">
        <f t="shared" si="4"/>
        <v>0.0</v>
      </c>
      <c r="G10" s="29">
        <f>PRODUCT(B10*30)</f>
        <v>0.0</v>
      </c>
      <c r="H10" s="30">
        <f t="shared" si="5"/>
        <v>0.0</v>
      </c>
    </row>
    <row r="11" spans="8:8" ht="16.6">
      <c r="A11" s="25" t="s">
        <v>7</v>
      </c>
      <c r="B11" s="26"/>
      <c r="C11" s="27">
        <v>1357.0</v>
      </c>
      <c r="D11" s="28"/>
      <c r="E11" s="29">
        <f t="shared" si="3"/>
        <v>0.0</v>
      </c>
      <c r="F11" s="29">
        <f t="shared" si="4"/>
        <v>0.0</v>
      </c>
      <c r="G11" s="29">
        <f>PRODUCT(B11*20)</f>
        <v>0.0</v>
      </c>
      <c r="H11" s="30">
        <f t="shared" si="5"/>
        <v>0.0</v>
      </c>
    </row>
    <row r="12" spans="8:8" ht="16.85">
      <c r="A12" s="25" t="s">
        <v>7</v>
      </c>
      <c r="B12" s="26"/>
      <c r="C12" s="27">
        <v>1357.0</v>
      </c>
      <c r="D12" s="28"/>
      <c r="E12" s="29">
        <f t="shared" si="3"/>
        <v>0.0</v>
      </c>
      <c r="F12" s="29">
        <f>PRODUCT(E12*18)/118</f>
        <v>0.0</v>
      </c>
      <c r="G12" s="29">
        <f>PRODUCT(B12*20)</f>
        <v>0.0</v>
      </c>
      <c r="H12" s="30">
        <f t="shared" si="5"/>
        <v>0.0</v>
      </c>
    </row>
    <row r="13" spans="8:8" ht="16.85">
      <c r="A13" s="25" t="s">
        <v>5</v>
      </c>
      <c r="B13" s="26">
        <v>300.0</v>
      </c>
      <c r="C13" s="27">
        <v>2124.0</v>
      </c>
      <c r="D13" s="28"/>
      <c r="E13" s="29">
        <f t="shared" si="3"/>
        <v>637200.0</v>
      </c>
      <c r="F13" s="29">
        <f t="shared" si="4"/>
        <v>97200.0</v>
      </c>
      <c r="G13" s="29">
        <f>PRODUCT(B13*30)</f>
        <v>9000.0</v>
      </c>
      <c r="H13" s="30">
        <f t="shared" si="5"/>
        <v>106200.0</v>
      </c>
    </row>
    <row r="14" spans="8:8" ht="17.4">
      <c r="A14" s="31" t="s">
        <v>5</v>
      </c>
      <c r="B14" s="26"/>
      <c r="C14" s="27">
        <v>2124.0</v>
      </c>
      <c r="D14" s="28"/>
      <c r="E14" s="29">
        <f t="shared" si="3"/>
        <v>0.0</v>
      </c>
      <c r="F14" s="29">
        <f t="shared" si="4"/>
        <v>0.0</v>
      </c>
      <c r="G14" s="29">
        <f>PRODUCT(B14*30)</f>
        <v>0.0</v>
      </c>
      <c r="H14" s="30">
        <f t="shared" si="5"/>
        <v>0.0</v>
      </c>
    </row>
    <row r="15" spans="8:8" ht="22.9" customHeight="1">
      <c r="A15" s="32" t="s">
        <v>10</v>
      </c>
      <c r="B15" s="33"/>
      <c r="C15" s="33"/>
      <c r="D15" s="33"/>
      <c r="E15" s="33"/>
      <c r="F15" s="33"/>
      <c r="G15" s="33"/>
      <c r="H15" s="34"/>
    </row>
    <row r="16" spans="8:8" ht="15.75">
      <c r="A16" s="35" t="s">
        <v>0</v>
      </c>
      <c r="B16" s="35" t="s">
        <v>27</v>
      </c>
      <c r="C16" s="35" t="s">
        <v>11</v>
      </c>
      <c r="D16" s="35" t="s">
        <v>3</v>
      </c>
      <c r="E16" s="36" t="s">
        <v>1</v>
      </c>
      <c r="F16" s="36" t="s">
        <v>13</v>
      </c>
      <c r="G16" s="36" t="s">
        <v>3</v>
      </c>
      <c r="H16" s="37" t="s">
        <v>14</v>
      </c>
    </row>
    <row r="17" spans="8:8">
      <c r="A17" s="38" t="s">
        <v>8</v>
      </c>
      <c r="B17" s="39"/>
      <c r="C17" s="40"/>
      <c r="D17" s="40"/>
      <c r="E17" s="23">
        <f>PRODUCT(B17*C17)</f>
        <v>0.0</v>
      </c>
      <c r="F17" s="23">
        <f t="shared" si="6" ref="F17:F22">PRODUCT(E17*18)/118</f>
        <v>0.0</v>
      </c>
      <c r="G17" s="23">
        <f>PRODUCT(B17*D17)</f>
        <v>0.0</v>
      </c>
      <c r="H17" s="24">
        <f>SUM(F17:G17)</f>
        <v>0.0</v>
      </c>
    </row>
    <row r="18" spans="8:8" ht="16.35">
      <c r="A18" s="41" t="s">
        <v>264</v>
      </c>
      <c r="B18" s="42"/>
      <c r="C18" s="43"/>
      <c r="D18" s="43"/>
      <c r="E18" s="29">
        <f t="shared" si="7" ref="E18:E22">PRODUCT(B18*C18)</f>
        <v>0.0</v>
      </c>
      <c r="F18" s="29">
        <f t="shared" si="6"/>
        <v>0.0</v>
      </c>
      <c r="G18" s="29">
        <f t="shared" si="8" ref="G18:G22">PRODUCT(B18*D18)</f>
        <v>0.0</v>
      </c>
      <c r="H18" s="30">
        <f t="shared" si="9" ref="H18:H22">SUM(F18:G18)</f>
        <v>0.0</v>
      </c>
    </row>
    <row r="19" spans="8:8" ht="17.4">
      <c r="A19" s="25" t="s">
        <v>247</v>
      </c>
      <c r="B19" s="26"/>
      <c r="C19" s="44"/>
      <c r="D19" s="44"/>
      <c r="E19" s="29">
        <f t="shared" si="7"/>
        <v>0.0</v>
      </c>
      <c r="F19" s="29">
        <f t="shared" si="6"/>
        <v>0.0</v>
      </c>
      <c r="G19" s="29">
        <f t="shared" si="8"/>
        <v>0.0</v>
      </c>
      <c r="H19" s="30">
        <f t="shared" si="9"/>
        <v>0.0</v>
      </c>
    </row>
    <row r="20" spans="8:8" ht="17.4">
      <c r="A20" s="25" t="s">
        <v>302</v>
      </c>
      <c r="B20" s="26"/>
      <c r="C20" s="44"/>
      <c r="D20" s="44"/>
      <c r="E20" s="29">
        <f t="shared" si="7"/>
        <v>0.0</v>
      </c>
      <c r="F20" s="29">
        <f t="shared" si="6"/>
        <v>0.0</v>
      </c>
      <c r="G20" s="29">
        <f t="shared" si="8"/>
        <v>0.0</v>
      </c>
      <c r="H20" s="30">
        <f t="shared" si="9"/>
        <v>0.0</v>
      </c>
    </row>
    <row r="21" spans="8:8" ht="17.4">
      <c r="A21" s="25" t="s">
        <v>309</v>
      </c>
      <c r="B21" s="26"/>
      <c r="C21" s="44"/>
      <c r="D21" s="44"/>
      <c r="E21" s="29">
        <f t="shared" si="7"/>
        <v>0.0</v>
      </c>
      <c r="F21" s="29">
        <f t="shared" si="6"/>
        <v>0.0</v>
      </c>
      <c r="G21" s="29">
        <f t="shared" si="8"/>
        <v>0.0</v>
      </c>
      <c r="H21" s="30">
        <f t="shared" si="9"/>
        <v>0.0</v>
      </c>
    </row>
    <row r="22" spans="8:8" ht="15.75">
      <c r="A22" s="45" t="s">
        <v>8</v>
      </c>
      <c r="B22" s="46"/>
      <c r="C22" s="47"/>
      <c r="D22" s="47"/>
      <c r="E22" s="48">
        <f t="shared" si="7"/>
        <v>0.0</v>
      </c>
      <c r="F22" s="48">
        <f t="shared" si="6"/>
        <v>0.0</v>
      </c>
      <c r="G22" s="48">
        <f t="shared" si="8"/>
        <v>0.0</v>
      </c>
      <c r="H22" s="49">
        <f t="shared" si="9"/>
        <v>0.0</v>
      </c>
    </row>
    <row r="23" spans="8:8">
      <c r="A23" s="38" t="s">
        <v>8</v>
      </c>
      <c r="B23" s="39"/>
      <c r="C23" s="40"/>
      <c r="D23" s="40"/>
      <c r="E23" s="23">
        <f>PRODUCT(B23*C23)</f>
        <v>0.0</v>
      </c>
      <c r="F23" s="23">
        <f t="shared" si="10" ref="F23:F34">PRODUCT(E23*18)/118</f>
        <v>0.0</v>
      </c>
      <c r="G23" s="23">
        <f>PRODUCT(B23*D23)</f>
        <v>0.0</v>
      </c>
      <c r="H23" s="24">
        <f>SUM(F23:G23)</f>
        <v>0.0</v>
      </c>
    </row>
    <row r="24" spans="8:8">
      <c r="A24" s="41" t="s">
        <v>8</v>
      </c>
      <c r="B24" s="42"/>
      <c r="C24" s="43"/>
      <c r="D24" s="43"/>
      <c r="E24" s="29">
        <f t="shared" si="11" ref="E24:E28">PRODUCT(B24*C24)</f>
        <v>0.0</v>
      </c>
      <c r="F24" s="29">
        <f t="shared" si="10"/>
        <v>0.0</v>
      </c>
      <c r="G24" s="29">
        <f t="shared" si="12" ref="G24:G28">PRODUCT(B24*D24)</f>
        <v>0.0</v>
      </c>
      <c r="H24" s="30">
        <f t="shared" si="13" ref="H24:H28">SUM(F24:G24)</f>
        <v>0.0</v>
      </c>
      <c r="I24" s="50"/>
    </row>
    <row r="25" spans="8:8">
      <c r="A25" s="25" t="s">
        <v>8</v>
      </c>
      <c r="B25" s="26"/>
      <c r="C25" s="44"/>
      <c r="D25" s="44"/>
      <c r="E25" s="29">
        <f t="shared" si="11"/>
        <v>0.0</v>
      </c>
      <c r="F25" s="29">
        <f t="shared" si="10"/>
        <v>0.0</v>
      </c>
      <c r="G25" s="29">
        <f t="shared" si="12"/>
        <v>0.0</v>
      </c>
      <c r="H25" s="30">
        <f t="shared" si="13"/>
        <v>0.0</v>
      </c>
      <c r="I25" s="50"/>
    </row>
    <row r="26" spans="8:8">
      <c r="A26" s="25" t="s">
        <v>8</v>
      </c>
      <c r="B26" s="26"/>
      <c r="C26" s="44"/>
      <c r="D26" s="44"/>
      <c r="E26" s="29">
        <f t="shared" si="11"/>
        <v>0.0</v>
      </c>
      <c r="F26" s="29">
        <f t="shared" si="10"/>
        <v>0.0</v>
      </c>
      <c r="G26" s="29">
        <f t="shared" si="12"/>
        <v>0.0</v>
      </c>
      <c r="H26" s="30">
        <f t="shared" si="13"/>
        <v>0.0</v>
      </c>
      <c r="I26" s="50"/>
    </row>
    <row r="27" spans="8:8">
      <c r="A27" s="25" t="s">
        <v>8</v>
      </c>
      <c r="B27" s="26"/>
      <c r="C27" s="44"/>
      <c r="D27" s="44"/>
      <c r="E27" s="29">
        <f t="shared" si="11"/>
        <v>0.0</v>
      </c>
      <c r="F27" s="29">
        <f t="shared" si="10"/>
        <v>0.0</v>
      </c>
      <c r="G27" s="29">
        <f t="shared" si="12"/>
        <v>0.0</v>
      </c>
      <c r="H27" s="30">
        <f t="shared" si="13"/>
        <v>0.0</v>
      </c>
      <c r="I27" s="50"/>
    </row>
    <row r="28" spans="8:8" ht="15.75">
      <c r="A28" s="45" t="s">
        <v>8</v>
      </c>
      <c r="B28" s="46"/>
      <c r="C28" s="47"/>
      <c r="D28" s="47"/>
      <c r="E28" s="48">
        <f t="shared" si="11"/>
        <v>0.0</v>
      </c>
      <c r="F28" s="48">
        <f t="shared" si="10"/>
        <v>0.0</v>
      </c>
      <c r="G28" s="48">
        <f t="shared" si="12"/>
        <v>0.0</v>
      </c>
      <c r="H28" s="49">
        <f t="shared" si="13"/>
        <v>0.0</v>
      </c>
      <c r="I28" s="50"/>
    </row>
    <row r="29" spans="8:8">
      <c r="A29" s="38" t="s">
        <v>8</v>
      </c>
      <c r="B29" s="39"/>
      <c r="C29" s="40"/>
      <c r="D29" s="40"/>
      <c r="E29" s="23">
        <f>PRODUCT(B29*C29)</f>
        <v>0.0</v>
      </c>
      <c r="F29" s="23">
        <f t="shared" si="10"/>
        <v>0.0</v>
      </c>
      <c r="G29" s="23">
        <f>PRODUCT(B29*D29)</f>
        <v>0.0</v>
      </c>
      <c r="H29" s="24">
        <f>SUM(F29:G29)</f>
        <v>0.0</v>
      </c>
      <c r="I29" s="50"/>
    </row>
    <row r="30" spans="8:8">
      <c r="A30" s="41" t="s">
        <v>8</v>
      </c>
      <c r="B30" s="42"/>
      <c r="C30" s="43"/>
      <c r="D30" s="43"/>
      <c r="E30" s="29">
        <f t="shared" si="14" ref="E30:E34">PRODUCT(B30*C30)</f>
        <v>0.0</v>
      </c>
      <c r="F30" s="29">
        <f t="shared" si="10"/>
        <v>0.0</v>
      </c>
      <c r="G30" s="29">
        <f t="shared" si="15" ref="G30:G34">PRODUCT(B30*D30)</f>
        <v>0.0</v>
      </c>
      <c r="H30" s="30">
        <f t="shared" si="16" ref="H30:H34">SUM(F30:G30)</f>
        <v>0.0</v>
      </c>
    </row>
    <row r="31" spans="8:8">
      <c r="A31" s="25" t="s">
        <v>8</v>
      </c>
      <c r="B31" s="26"/>
      <c r="C31" s="44"/>
      <c r="D31" s="44"/>
      <c r="E31" s="29">
        <f t="shared" si="14"/>
        <v>0.0</v>
      </c>
      <c r="F31" s="29">
        <f t="shared" si="10"/>
        <v>0.0</v>
      </c>
      <c r="G31" s="29">
        <f t="shared" si="15"/>
        <v>0.0</v>
      </c>
      <c r="H31" s="30">
        <f t="shared" si="16"/>
        <v>0.0</v>
      </c>
    </row>
    <row r="32" spans="8:8">
      <c r="A32" s="25" t="s">
        <v>8</v>
      </c>
      <c r="B32" s="26"/>
      <c r="C32" s="44"/>
      <c r="D32" s="44"/>
      <c r="E32" s="29">
        <f t="shared" si="14"/>
        <v>0.0</v>
      </c>
      <c r="F32" s="29">
        <f t="shared" si="10"/>
        <v>0.0</v>
      </c>
      <c r="G32" s="29">
        <f t="shared" si="15"/>
        <v>0.0</v>
      </c>
      <c r="H32" s="30">
        <f t="shared" si="16"/>
        <v>0.0</v>
      </c>
    </row>
    <row r="33" spans="8:8">
      <c r="A33" s="25" t="s">
        <v>8</v>
      </c>
      <c r="B33" s="26"/>
      <c r="C33" s="44"/>
      <c r="D33" s="44"/>
      <c r="E33" s="29">
        <f t="shared" si="14"/>
        <v>0.0</v>
      </c>
      <c r="F33" s="29">
        <f t="shared" si="10"/>
        <v>0.0</v>
      </c>
      <c r="G33" s="29">
        <f t="shared" si="15"/>
        <v>0.0</v>
      </c>
      <c r="H33" s="30">
        <f t="shared" si="16"/>
        <v>0.0</v>
      </c>
    </row>
    <row r="34" spans="8:8" ht="15.75">
      <c r="A34" s="45" t="s">
        <v>8</v>
      </c>
      <c r="B34" s="46"/>
      <c r="C34" s="47"/>
      <c r="D34" s="47"/>
      <c r="E34" s="48">
        <f t="shared" si="14"/>
        <v>0.0</v>
      </c>
      <c r="F34" s="48">
        <f t="shared" si="10"/>
        <v>0.0</v>
      </c>
      <c r="G34" s="48">
        <f t="shared" si="15"/>
        <v>0.0</v>
      </c>
      <c r="H34" s="49">
        <f t="shared" si="16"/>
        <v>0.0</v>
      </c>
    </row>
    <row r="35" spans="8:8">
      <c r="A35" s="38" t="s">
        <v>8</v>
      </c>
      <c r="B35" s="39"/>
      <c r="C35" s="40"/>
      <c r="D35" s="40"/>
      <c r="E35" s="23">
        <f>PRODUCT(B35*C35)</f>
        <v>0.0</v>
      </c>
      <c r="F35" s="23">
        <f t="shared" si="4"/>
        <v>0.0</v>
      </c>
      <c r="G35" s="23">
        <f>PRODUCT(B35*D35)</f>
        <v>0.0</v>
      </c>
      <c r="H35" s="24">
        <f>SUM(F35:G35)</f>
        <v>0.0</v>
      </c>
    </row>
    <row r="36" spans="8:8">
      <c r="A36" s="41" t="s">
        <v>8</v>
      </c>
      <c r="B36" s="42"/>
      <c r="C36" s="43"/>
      <c r="D36" s="43"/>
      <c r="E36" s="29">
        <f t="shared" si="17" ref="E36:E40">PRODUCT(B36*C36)</f>
        <v>0.0</v>
      </c>
      <c r="F36" s="29">
        <f t="shared" si="4"/>
        <v>0.0</v>
      </c>
      <c r="G36" s="29">
        <f t="shared" si="18" ref="G36:G40">PRODUCT(B36*D36)</f>
        <v>0.0</v>
      </c>
      <c r="H36" s="30">
        <f t="shared" si="19" ref="H36:H40">SUM(F36:G36)</f>
        <v>0.0</v>
      </c>
    </row>
    <row r="37" spans="8:8">
      <c r="A37" s="25" t="s">
        <v>8</v>
      </c>
      <c r="B37" s="26"/>
      <c r="C37" s="44"/>
      <c r="D37" s="44"/>
      <c r="E37" s="29">
        <f t="shared" si="17"/>
        <v>0.0</v>
      </c>
      <c r="F37" s="29">
        <f t="shared" si="4"/>
        <v>0.0</v>
      </c>
      <c r="G37" s="29">
        <f t="shared" si="18"/>
        <v>0.0</v>
      </c>
      <c r="H37" s="30">
        <f t="shared" si="19"/>
        <v>0.0</v>
      </c>
    </row>
    <row r="38" spans="8:8">
      <c r="A38" s="25" t="s">
        <v>8</v>
      </c>
      <c r="B38" s="26"/>
      <c r="C38" s="44"/>
      <c r="D38" s="44"/>
      <c r="E38" s="29">
        <f t="shared" si="17"/>
        <v>0.0</v>
      </c>
      <c r="F38" s="29">
        <f t="shared" si="4"/>
        <v>0.0</v>
      </c>
      <c r="G38" s="29">
        <f t="shared" si="18"/>
        <v>0.0</v>
      </c>
      <c r="H38" s="30">
        <f t="shared" si="19"/>
        <v>0.0</v>
      </c>
    </row>
    <row r="39" spans="8:8">
      <c r="A39" s="25" t="s">
        <v>8</v>
      </c>
      <c r="B39" s="26"/>
      <c r="C39" s="44"/>
      <c r="D39" s="44"/>
      <c r="E39" s="29">
        <f t="shared" si="17"/>
        <v>0.0</v>
      </c>
      <c r="F39" s="29">
        <f t="shared" si="4"/>
        <v>0.0</v>
      </c>
      <c r="G39" s="29">
        <f t="shared" si="18"/>
        <v>0.0</v>
      </c>
      <c r="H39" s="30">
        <f t="shared" si="19"/>
        <v>0.0</v>
      </c>
    </row>
    <row r="40" spans="8:8" ht="15.75">
      <c r="A40" s="45" t="s">
        <v>8</v>
      </c>
      <c r="B40" s="46"/>
      <c r="C40" s="47"/>
      <c r="D40" s="47"/>
      <c r="E40" s="48">
        <f t="shared" si="17"/>
        <v>0.0</v>
      </c>
      <c r="F40" s="48">
        <f t="shared" si="4"/>
        <v>0.0</v>
      </c>
      <c r="G40" s="48">
        <f t="shared" si="18"/>
        <v>0.0</v>
      </c>
      <c r="H40" s="49">
        <f t="shared" si="19"/>
        <v>0.0</v>
      </c>
    </row>
    <row r="41" spans="8:8" ht="15.75">
      <c r="A41" s="51" t="s">
        <v>12</v>
      </c>
      <c r="B41" s="52"/>
      <c r="C41" s="53"/>
      <c r="D41" s="53"/>
      <c r="E41" s="54">
        <f>SUM(E6:E40)</f>
        <v>637200.0</v>
      </c>
      <c r="F41" s="54">
        <f>SUM(F6:F40)</f>
        <v>97200.0</v>
      </c>
      <c r="G41" s="54">
        <f>SUM(G6:G40)</f>
        <v>9000.0</v>
      </c>
      <c r="H41" s="55">
        <f>SUM(F41:G41)</f>
        <v>106200.0</v>
      </c>
    </row>
    <row r="42" spans="8:8" ht="16.85">
      <c r="A42" s="56" t="s">
        <v>15</v>
      </c>
      <c r="B42" s="57"/>
      <c r="C42" s="58">
        <v>106200.0</v>
      </c>
      <c r="D42" s="59"/>
      <c r="E42" s="60" t="s">
        <v>25</v>
      </c>
      <c r="F42" s="60"/>
      <c r="G42" s="60"/>
      <c r="H42" s="60"/>
    </row>
    <row r="43" spans="8:8">
      <c r="A43" s="56" t="s">
        <v>19</v>
      </c>
      <c r="B43" s="57"/>
      <c r="C43" s="61"/>
      <c r="D43" s="58" t="s">
        <v>28</v>
      </c>
      <c r="E43" s="62" t="s">
        <v>16</v>
      </c>
      <c r="F43" s="63"/>
      <c r="G43" s="58" t="s">
        <v>17</v>
      </c>
      <c r="H43" s="64" t="s">
        <v>18</v>
      </c>
    </row>
    <row r="44" spans="8:8" ht="16.6">
      <c r="A44" s="56" t="s">
        <v>26</v>
      </c>
      <c r="B44" s="57"/>
      <c r="C44" s="65"/>
      <c r="D44" s="66"/>
      <c r="E44" s="67"/>
      <c r="F44" s="68"/>
      <c r="G44" s="69"/>
      <c r="H44" s="70"/>
    </row>
    <row r="45" spans="8:8">
      <c r="A45" s="71" t="s">
        <v>20</v>
      </c>
      <c r="B45" s="72"/>
      <c r="C45" s="73"/>
      <c r="D45" s="58"/>
      <c r="E45" s="74"/>
      <c r="F45" s="75"/>
      <c r="G45" s="26"/>
      <c r="H45" s="76"/>
    </row>
    <row r="46" spans="8:8" ht="16.6">
      <c r="A46" s="77" t="s">
        <v>30</v>
      </c>
      <c r="B46" s="78"/>
      <c r="C46" s="79"/>
      <c r="D46" s="64"/>
      <c r="E46" s="80"/>
      <c r="F46" s="81"/>
      <c r="G46" s="26"/>
      <c r="H46" s="76"/>
    </row>
    <row r="47" spans="8:8" ht="16.85">
      <c r="A47" s="77" t="s">
        <v>31</v>
      </c>
      <c r="B47" s="78"/>
      <c r="C47" s="82"/>
      <c r="D47" s="83"/>
      <c r="E47" s="80"/>
      <c r="F47" s="81"/>
      <c r="G47" s="26"/>
      <c r="H47" s="76"/>
    </row>
    <row r="48" spans="8:8">
      <c r="A48" s="77" t="s">
        <v>29</v>
      </c>
      <c r="B48" s="78"/>
      <c r="C48" s="84">
        <f>SUM(C42:C47)</f>
        <v>106200.0</v>
      </c>
      <c r="D48" s="85"/>
      <c r="E48" s="86"/>
      <c r="F48" s="87"/>
      <c r="G48" s="88"/>
      <c r="H48" s="89"/>
    </row>
    <row r="49" spans="8:8">
      <c r="B49" s="1" t="s">
        <v>37</v>
      </c>
    </row>
    <row r="51" spans="8:8">
      <c r="A51" s="1"/>
    </row>
  </sheetData>
  <sheetProtection algorithmName="SHA-512" hashValue="BObGe8pD6lyAsraMUBLvDW7GoEoqtQeyEJBghPPrampZo+fc386M34cLhm86VH+uKsVPqY5rKMi5tNXj/7idmw==" saltValue="Y6IQQ4rxevdmLAyUV9YKmw==" spinCount="100000" sheet="1" objects="1" scenarios="1" insertHyperlinks="0"/>
  <mergeCells count="27">
    <mergeCell ref="A1:H2"/>
    <mergeCell ref="A3:H4"/>
    <mergeCell ref="A15:H15"/>
    <mergeCell ref="E42:H42"/>
    <mergeCell ref="C5:D5"/>
    <mergeCell ref="A48:B48"/>
    <mergeCell ref="E47:F47"/>
    <mergeCell ref="E48:F48"/>
    <mergeCell ref="C11:D11"/>
    <mergeCell ref="A42:B42"/>
    <mergeCell ref="C6:D6"/>
    <mergeCell ref="E43:F43"/>
    <mergeCell ref="A47:B47"/>
    <mergeCell ref="C8:D8"/>
    <mergeCell ref="A46:B46"/>
    <mergeCell ref="C7:D7"/>
    <mergeCell ref="E46:F46"/>
    <mergeCell ref="E44:F44"/>
    <mergeCell ref="A44:B44"/>
    <mergeCell ref="C10:D10"/>
    <mergeCell ref="C9:D9"/>
    <mergeCell ref="A45:B45"/>
    <mergeCell ref="C14:D14"/>
    <mergeCell ref="C13:D13"/>
    <mergeCell ref="C12:D12"/>
    <mergeCell ref="A43:B43"/>
    <mergeCell ref="E45:F45"/>
  </mergeCells>
  <pageMargins left="0.7" right="0.7" top="0.75" bottom="0.75" header="0.3" footer="0.3"/>
  <pageSetup paperSize="9" fitToWidth="0" fitToHeight="0" orientation="landscape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MILAMEGHAN</dc:creator>
  <cp:lastModifiedBy>TECH</cp:lastModifiedBy>
  <dcterms:created xsi:type="dcterms:W3CDTF">2023-06-09T22:04:23Z</dcterms:created>
  <dcterms:modified xsi:type="dcterms:W3CDTF">2026-04-12T17:47:25Z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05e7b0e363cf43ffac3f960f18d972e6</vt:lpwstr>
  </property>
</Properties>
</file>