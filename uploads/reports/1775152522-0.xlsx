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726351C5-C2ED-4D8E-B919-F52B4D75281D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E19" i="10"/>
  <c r="F19" i="10" s="1"/>
  <c r="G18" i="10"/>
  <c r="E18" i="10"/>
  <c r="F18" i="10" s="1"/>
  <c r="G17" i="10"/>
  <c r="F17" i="10"/>
  <c r="E17" i="10"/>
  <c r="H14" i="10"/>
  <c r="G14" i="10"/>
  <c r="F14" i="10"/>
  <c r="E14" i="10"/>
  <c r="G13" i="10"/>
  <c r="E13" i="10"/>
  <c r="F13" i="10" s="1"/>
  <c r="H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H7" i="10" s="1"/>
  <c r="G6" i="10"/>
  <c r="E6" i="10"/>
  <c r="F6" i="10" s="1"/>
  <c r="H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18" i="10" l="1"/>
  <c r="H17" i="10"/>
  <c r="H19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<sst xmlns="http://schemas.openxmlformats.org/spreadsheetml/2006/main" count="1779" uniqueCount="86">
  <si>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</si>
  <si>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</si>
  <si>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</si>
  <si>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</si>
  <si>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</si>
  <si>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</si>
  <si>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</si>
  <si>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</si>
  <si>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</si>
  <si>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</si>
  <si>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</si>
  <si>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</si>
  <si>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</si>
  <si>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</si>
  <si>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</si>
  <si>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</si>
  <si>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</si>
  <si>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</si>
  <si>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</si>
  <si>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</si>
  <si>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</si>
  <si>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</si>
  <si>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</si>
  <si>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</si>
  <si>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</si>
  <si>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</si>
  <si>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</si>
  <si>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</si>
  <si>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</si>
  <si>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</si>
  <si>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</si>
  <si>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</si>
  <si>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</si>
  <si>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</si>
  <si>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</si>
  <si>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</si>
  <si>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</si>
  <si>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</si>
  <si>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</si>
  <si>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</si>
  <si>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</si>
  <si>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</si>
  <si>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</si>
  <si>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</si>
  <si>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</si>
  <si>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</si>
  <si>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</si>
  <si>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</si>
  <si>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</si>
  <si>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</si>
  <si>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</si>
  <si>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</si>
  <si>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</si>
  <si>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</si>
  <si>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</si>
  <si>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</si>
  <si>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</si>
  <si>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</si>
  <si>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</si>
  <si>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</si>
  <si>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</si>
  <si>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</si>
  <si>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</si>
  <si>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</si>
  <si>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</si>
  <si>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</si>
  <si>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</si>
  <si>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</si>
  <si>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</si>
  <si>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</si>
  <si>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</si>
  <si>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</si>
  <si>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</si>
  <si>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</si>
  <si>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</si>
  <si>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</si>
  <si>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</si>
  <si>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</si>
  <si>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</si>
  <si>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</si>
  <si>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</si>
  <si>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</si>
  <si>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</si>
  <si>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</si>
  <si>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</si>
  <si>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MONTHLY REPORT FROM 01MARCH2026-31MARCH2026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</si>
</sst>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11304855</v>
      </c>
      <c r="C10" s="18">
        <f>BUGESERA!G29</f>
        <v>1034840</v>
      </c>
      <c r="D10" s="19"/>
      <c r="E10" s="18"/>
      <c r="F10" s="14">
        <f t="shared" si="0"/>
        <v>12339695</v>
      </c>
      <c r="G10" s="17">
        <f>BUGESERA!C33</f>
        <v>0</v>
      </c>
      <c r="H10" s="18">
        <f>BUGESERA!C31</f>
        <v>11377269</v>
      </c>
      <c r="I10" s="18">
        <f>BUGESERA!C34</f>
        <v>0</v>
      </c>
      <c r="J10" s="18">
        <f>BUGESERA!C32</f>
        <v>962426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18972477</v>
      </c>
      <c r="C29" s="33">
        <f t="shared" si="1"/>
        <v>1730540</v>
      </c>
      <c r="D29" s="34">
        <f t="shared" si="1"/>
        <v>0</v>
      </c>
      <c r="E29" s="33">
        <f t="shared" si="1"/>
        <v>0</v>
      </c>
      <c r="F29" s="33">
        <f t="shared" si="1"/>
        <v>20703017</v>
      </c>
      <c r="G29" s="34">
        <f t="shared" si="1"/>
        <v>0</v>
      </c>
      <c r="H29" s="34">
        <f t="shared" si="1"/>
        <v>19740591</v>
      </c>
      <c r="I29" s="34">
        <f t="shared" si="1"/>
        <v>0</v>
      </c>
      <c r="J29" s="35">
        <f t="shared" si="1"/>
        <v>962426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20703017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20703017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20703017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20703017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20703017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4">
        <v>7670</v>
      </c>
      <c r="D8" s="13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4">
        <v>4130</v>
      </c>
      <c r="D9" s="13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4">
        <v>2124</v>
      </c>
      <c r="D10" s="13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4">
        <v>1357</v>
      </c>
      <c r="D13" s="13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20252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250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3782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24284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A3" sqref="A3:H4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85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80">
        <v>125</v>
      </c>
      <c r="C6" s="141">
        <v>7670</v>
      </c>
      <c r="D6" s="142"/>
      <c r="E6" s="44">
        <f t="shared" ref="E6:E14" si="0">PRODUCT(B6*C6)</f>
        <v>958750</v>
      </c>
      <c r="F6" s="44">
        <f t="shared" ref="F6:F14" si="1">PRODUCT(E6*18)/118</f>
        <v>146250</v>
      </c>
      <c r="G6" s="44">
        <f t="shared" ref="G6:G8" si="2">PRODUCT(B6*50)</f>
        <v>6250</v>
      </c>
      <c r="H6" s="45">
        <f t="shared" ref="H6:H14" si="3">SUM(F6:G6)</f>
        <v>152500</v>
      </c>
    </row>
    <row r="7" spans="1:8" ht="14.25" customHeight="1">
      <c r="A7" s="42" t="s">
        <v>51</v>
      </c>
      <c r="B7" s="43">
        <v>510</v>
      </c>
      <c r="C7" s="141">
        <v>4720</v>
      </c>
      <c r="D7" s="142"/>
      <c r="E7" s="44">
        <f t="shared" si="0"/>
        <v>2407200</v>
      </c>
      <c r="F7" s="44">
        <f t="shared" si="1"/>
        <v>367200</v>
      </c>
      <c r="G7" s="44">
        <f t="shared" si="2"/>
        <v>25500</v>
      </c>
      <c r="H7" s="45">
        <f t="shared" si="3"/>
        <v>392700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83">
        <v>27686</v>
      </c>
      <c r="C10" s="144">
        <v>2124</v>
      </c>
      <c r="D10" s="139"/>
      <c r="E10" s="48">
        <f t="shared" si="0"/>
        <v>58805064</v>
      </c>
      <c r="F10" s="48">
        <f t="shared" si="1"/>
        <v>8970264</v>
      </c>
      <c r="G10" s="48">
        <f t="shared" si="4"/>
        <v>830580</v>
      </c>
      <c r="H10" s="49">
        <f t="shared" si="3"/>
        <v>9800844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7783</v>
      </c>
      <c r="C13" s="144">
        <v>1357</v>
      </c>
      <c r="D13" s="139"/>
      <c r="E13" s="48">
        <f t="shared" si="0"/>
        <v>10561531</v>
      </c>
      <c r="F13" s="48">
        <f t="shared" si="1"/>
        <v>1611081</v>
      </c>
      <c r="G13" s="48">
        <f t="shared" ref="G13:G14" si="5">PRODUCT(B13*20)</f>
        <v>155660</v>
      </c>
      <c r="H13" s="49">
        <f t="shared" si="3"/>
        <v>1766741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>
        <v>30</v>
      </c>
      <c r="C17" s="56">
        <v>2006</v>
      </c>
      <c r="D17" s="56">
        <v>25</v>
      </c>
      <c r="E17" s="57">
        <f t="shared" ref="E17:E28" si="6">PRODUCT(B17*C17)</f>
        <v>60180</v>
      </c>
      <c r="F17" s="58">
        <f t="shared" ref="F17:F28" si="7">PRODUCT(E17*18)/118</f>
        <v>9180</v>
      </c>
      <c r="G17" s="58">
        <f t="shared" ref="G17:G28" si="8">PRODUCT(B17*D17)</f>
        <v>750</v>
      </c>
      <c r="H17" s="58">
        <f t="shared" ref="H17:H29" si="9">SUM(F17:G17)</f>
        <v>9930</v>
      </c>
    </row>
    <row r="18" spans="1:8" ht="14.25" customHeight="1">
      <c r="A18" s="59" t="s">
        <v>84</v>
      </c>
      <c r="B18" s="60">
        <v>320</v>
      </c>
      <c r="C18" s="60">
        <v>3304</v>
      </c>
      <c r="D18" s="60">
        <v>40</v>
      </c>
      <c r="E18" s="61">
        <f t="shared" si="6"/>
        <v>1057280</v>
      </c>
      <c r="F18" s="62">
        <f t="shared" si="7"/>
        <v>161280</v>
      </c>
      <c r="G18" s="62">
        <f t="shared" si="8"/>
        <v>12800</v>
      </c>
      <c r="H18" s="62">
        <f t="shared" si="9"/>
        <v>174080</v>
      </c>
    </row>
    <row r="19" spans="1:8" ht="14.25" customHeight="1">
      <c r="A19" s="63" t="s">
        <v>62</v>
      </c>
      <c r="B19" s="64">
        <v>110</v>
      </c>
      <c r="C19" s="64">
        <v>2360</v>
      </c>
      <c r="D19" s="64">
        <v>30</v>
      </c>
      <c r="E19" s="61">
        <f t="shared" si="6"/>
        <v>259600</v>
      </c>
      <c r="F19" s="62">
        <f t="shared" si="7"/>
        <v>39600</v>
      </c>
      <c r="G19" s="62">
        <f t="shared" si="8"/>
        <v>3300</v>
      </c>
      <c r="H19" s="62">
        <f t="shared" si="9"/>
        <v>42900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74109605</v>
      </c>
      <c r="F29" s="74">
        <f t="shared" si="10"/>
        <v>11304855</v>
      </c>
      <c r="G29" s="75">
        <f t="shared" si="10"/>
        <v>1034840</v>
      </c>
      <c r="H29" s="76">
        <f t="shared" si="9"/>
        <v>12339695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181">
        <v>11377269</v>
      </c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182">
        <v>962426</v>
      </c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27686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635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7783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350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110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36564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47938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885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11565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350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110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60848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2026-04-02T17:51:23Z</dcterms:modified>
</cp:coreProperties>
</file>