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OneDrive\Desktop\"/>
    </mc:Choice>
  </mc:AlternateContent>
  <xr:revisionPtr revIDLastSave="0" documentId="8_{C7F4C64B-6E89-4E3B-85E7-0EC87C64D1CD}" xr6:coauthVersionLast="47" xr6:coauthVersionMax="47" xr10:uidLastSave="{00000000-0000-0000-0000-000000000000}"/>
  <bookViews>
    <workbookView xWindow="-110" yWindow="-110" windowWidth="19420" windowHeight="10300" firstSheet="3" activeTab="8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54" i="25" s="1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E28" i="24"/>
  <c r="F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G19" i="24"/>
  <c r="E19" i="24"/>
  <c r="F19" i="24" s="1"/>
  <c r="H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G28" i="23"/>
  <c r="E28" i="23"/>
  <c r="F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H25" i="23" s="1"/>
  <c r="G24" i="23"/>
  <c r="E24" i="23"/>
  <c r="F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H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G6" i="23"/>
  <c r="E6" i="23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E54" i="22" s="1"/>
  <c r="G28" i="22"/>
  <c r="E28" i="22"/>
  <c r="F28" i="22" s="1"/>
  <c r="G27" i="22"/>
  <c r="E27" i="22"/>
  <c r="F27" i="22" s="1"/>
  <c r="H27" i="22" s="1"/>
  <c r="G26" i="22"/>
  <c r="E26" i="22"/>
  <c r="F26" i="22" s="1"/>
  <c r="G25" i="22"/>
  <c r="E25" i="22"/>
  <c r="F25" i="22" s="1"/>
  <c r="H25" i="22" s="1"/>
  <c r="G24" i="22"/>
  <c r="E24" i="22"/>
  <c r="F24" i="22" s="1"/>
  <c r="G23" i="22"/>
  <c r="E23" i="22"/>
  <c r="F23" i="22" s="1"/>
  <c r="H23" i="22" s="1"/>
  <c r="G22" i="22"/>
  <c r="E22" i="22"/>
  <c r="F22" i="22" s="1"/>
  <c r="H22" i="22" s="1"/>
  <c r="G21" i="22"/>
  <c r="E21" i="22"/>
  <c r="F21" i="22" s="1"/>
  <c r="H21" i="22" s="1"/>
  <c r="G20" i="22"/>
  <c r="E20" i="22"/>
  <c r="F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G29" i="22" s="1"/>
  <c r="E6" i="22"/>
  <c r="F6" i="22" s="1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G28" i="21"/>
  <c r="E28" i="21"/>
  <c r="F28" i="21" s="1"/>
  <c r="H28" i="21" s="1"/>
  <c r="G27" i="21"/>
  <c r="E27" i="21"/>
  <c r="F27" i="21" s="1"/>
  <c r="H27" i="21" s="1"/>
  <c r="G26" i="21"/>
  <c r="E26" i="21"/>
  <c r="F26" i="21" s="1"/>
  <c r="G25" i="21"/>
  <c r="E25" i="21"/>
  <c r="F25" i="21" s="1"/>
  <c r="G24" i="21"/>
  <c r="E24" i="21"/>
  <c r="F24" i="21" s="1"/>
  <c r="H24" i="21" s="1"/>
  <c r="G23" i="21"/>
  <c r="E23" i="21"/>
  <c r="F23" i="21" s="1"/>
  <c r="H23" i="21" s="1"/>
  <c r="G22" i="21"/>
  <c r="E22" i="21"/>
  <c r="F22" i="21" s="1"/>
  <c r="G21" i="21"/>
  <c r="E21" i="21"/>
  <c r="F21" i="21" s="1"/>
  <c r="G20" i="21"/>
  <c r="E20" i="21"/>
  <c r="F20" i="21" s="1"/>
  <c r="H20" i="21" s="1"/>
  <c r="G19" i="21"/>
  <c r="E19" i="21"/>
  <c r="F19" i="21" s="1"/>
  <c r="H19" i="21" s="1"/>
  <c r="G18" i="21"/>
  <c r="E18" i="21"/>
  <c r="F18" i="21" s="1"/>
  <c r="G17" i="21"/>
  <c r="E17" i="21"/>
  <c r="F17" i="21" s="1"/>
  <c r="G14" i="21"/>
  <c r="E14" i="21"/>
  <c r="F14" i="21" s="1"/>
  <c r="H14" i="21" s="1"/>
  <c r="G13" i="21"/>
  <c r="E13" i="21"/>
  <c r="F13" i="21" s="1"/>
  <c r="H13" i="21" s="1"/>
  <c r="G12" i="21"/>
  <c r="E12" i="21"/>
  <c r="F12" i="21" s="1"/>
  <c r="G11" i="21"/>
  <c r="E11" i="21"/>
  <c r="F11" i="21" s="1"/>
  <c r="H11" i="21" s="1"/>
  <c r="G10" i="21"/>
  <c r="E10" i="21"/>
  <c r="F10" i="21" s="1"/>
  <c r="H10" i="21" s="1"/>
  <c r="G9" i="21"/>
  <c r="E9" i="21"/>
  <c r="F9" i="21" s="1"/>
  <c r="H9" i="21" s="1"/>
  <c r="G8" i="21"/>
  <c r="E8" i="21"/>
  <c r="F8" i="21" s="1"/>
  <c r="G7" i="21"/>
  <c r="E7" i="21"/>
  <c r="F7" i="21" s="1"/>
  <c r="H7" i="21" s="1"/>
  <c r="G6" i="21"/>
  <c r="E6" i="21"/>
  <c r="F6" i="21" s="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G27" i="20"/>
  <c r="E27" i="20"/>
  <c r="F27" i="20" s="1"/>
  <c r="G26" i="20"/>
  <c r="E26" i="20"/>
  <c r="F26" i="20" s="1"/>
  <c r="H26" i="20" s="1"/>
  <c r="G25" i="20"/>
  <c r="E25" i="20"/>
  <c r="F25" i="20" s="1"/>
  <c r="G24" i="20"/>
  <c r="E24" i="20"/>
  <c r="F24" i="20" s="1"/>
  <c r="H24" i="20" s="1"/>
  <c r="G23" i="20"/>
  <c r="E23" i="20"/>
  <c r="F23" i="20" s="1"/>
  <c r="H23" i="20" s="1"/>
  <c r="G22" i="20"/>
  <c r="E22" i="20"/>
  <c r="F22" i="20" s="1"/>
  <c r="H22" i="20" s="1"/>
  <c r="G21" i="20"/>
  <c r="E21" i="20"/>
  <c r="F21" i="20" s="1"/>
  <c r="G20" i="20"/>
  <c r="E20" i="20"/>
  <c r="F20" i="20" s="1"/>
  <c r="H20" i="20" s="1"/>
  <c r="G19" i="20"/>
  <c r="E19" i="20"/>
  <c r="F19" i="20" s="1"/>
  <c r="H19" i="20" s="1"/>
  <c r="G18" i="20"/>
  <c r="E18" i="20"/>
  <c r="F18" i="20" s="1"/>
  <c r="H18" i="20" s="1"/>
  <c r="G17" i="20"/>
  <c r="E17" i="20"/>
  <c r="F17" i="20" s="1"/>
  <c r="G14" i="20"/>
  <c r="E14" i="20"/>
  <c r="F14" i="20" s="1"/>
  <c r="H14" i="20" s="1"/>
  <c r="G13" i="20"/>
  <c r="E13" i="20"/>
  <c r="F13" i="20" s="1"/>
  <c r="H13" i="20" s="1"/>
  <c r="G12" i="20"/>
  <c r="E12" i="20"/>
  <c r="F12" i="20" s="1"/>
  <c r="H12" i="20" s="1"/>
  <c r="G11" i="20"/>
  <c r="E11" i="20"/>
  <c r="F11" i="20" s="1"/>
  <c r="G10" i="20"/>
  <c r="E10" i="20"/>
  <c r="F10" i="20" s="1"/>
  <c r="H10" i="20" s="1"/>
  <c r="G9" i="20"/>
  <c r="E9" i="20"/>
  <c r="F9" i="20" s="1"/>
  <c r="H9" i="20" s="1"/>
  <c r="G8" i="20"/>
  <c r="E8" i="20"/>
  <c r="F8" i="20" s="1"/>
  <c r="H8" i="20" s="1"/>
  <c r="G7" i="20"/>
  <c r="E7" i="20"/>
  <c r="F7" i="20" s="1"/>
  <c r="G6" i="20"/>
  <c r="E6" i="20"/>
  <c r="F6" i="20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G14" i="19"/>
  <c r="E14" i="19"/>
  <c r="F14" i="19" s="1"/>
  <c r="H14" i="19" s="1"/>
  <c r="G13" i="19"/>
  <c r="E13" i="19"/>
  <c r="F13" i="19" s="1"/>
  <c r="H12" i="19"/>
  <c r="G12" i="19"/>
  <c r="E12" i="19"/>
  <c r="F12" i="19" s="1"/>
  <c r="G11" i="19"/>
  <c r="E11" i="19"/>
  <c r="F11" i="19" s="1"/>
  <c r="H11" i="19" s="1"/>
  <c r="G10" i="19"/>
  <c r="H10" i="19" s="1"/>
  <c r="E10" i="19"/>
  <c r="F10" i="19" s="1"/>
  <c r="G9" i="19"/>
  <c r="E9" i="19"/>
  <c r="F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E54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G24" i="18"/>
  <c r="E24" i="18"/>
  <c r="F24" i="18" s="1"/>
  <c r="H24" i="18" s="1"/>
  <c r="G23" i="18"/>
  <c r="E23" i="18"/>
  <c r="F23" i="18" s="1"/>
  <c r="G22" i="18"/>
  <c r="F22" i="18"/>
  <c r="E22" i="18"/>
  <c r="G21" i="18"/>
  <c r="E21" i="18"/>
  <c r="F21" i="18" s="1"/>
  <c r="H21" i="18" s="1"/>
  <c r="G20" i="18"/>
  <c r="F20" i="18"/>
  <c r="E20" i="18"/>
  <c r="G19" i="18"/>
  <c r="E19" i="18"/>
  <c r="F19" i="18" s="1"/>
  <c r="G18" i="18"/>
  <c r="E18" i="18"/>
  <c r="F18" i="18" s="1"/>
  <c r="H18" i="18" s="1"/>
  <c r="G17" i="18"/>
  <c r="E17" i="18"/>
  <c r="F17" i="18" s="1"/>
  <c r="H17" i="18" s="1"/>
  <c r="G14" i="18"/>
  <c r="F14" i="18"/>
  <c r="H14" i="18" s="1"/>
  <c r="E14" i="18"/>
  <c r="G13" i="18"/>
  <c r="E13" i="18"/>
  <c r="F13" i="18" s="1"/>
  <c r="G12" i="18"/>
  <c r="E12" i="18"/>
  <c r="F12" i="18" s="1"/>
  <c r="H12" i="18" s="1"/>
  <c r="G11" i="18"/>
  <c r="E11" i="18"/>
  <c r="F11" i="18" s="1"/>
  <c r="H11" i="18" s="1"/>
  <c r="G10" i="18"/>
  <c r="F10" i="18"/>
  <c r="E10" i="18"/>
  <c r="G9" i="18"/>
  <c r="E9" i="18"/>
  <c r="F9" i="18" s="1"/>
  <c r="H9" i="18" s="1"/>
  <c r="G8" i="18"/>
  <c r="E8" i="18"/>
  <c r="F8" i="18" s="1"/>
  <c r="G7" i="18"/>
  <c r="E7" i="18"/>
  <c r="F7" i="18" s="1"/>
  <c r="G6" i="18"/>
  <c r="E6" i="18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14" i="17"/>
  <c r="E14" i="17"/>
  <c r="F14" i="17" s="1"/>
  <c r="H13" i="17"/>
  <c r="G13" i="17"/>
  <c r="E13" i="17"/>
  <c r="F13" i="17" s="1"/>
  <c r="G12" i="17"/>
  <c r="E12" i="17"/>
  <c r="F12" i="17" s="1"/>
  <c r="H12" i="17" s="1"/>
  <c r="G11" i="17"/>
  <c r="H11" i="17" s="1"/>
  <c r="E11" i="17"/>
  <c r="F11" i="17" s="1"/>
  <c r="G10" i="17"/>
  <c r="E10" i="17"/>
  <c r="F10" i="17" s="1"/>
  <c r="G9" i="17"/>
  <c r="E9" i="17"/>
  <c r="F9" i="17" s="1"/>
  <c r="H9" i="17" s="1"/>
  <c r="G8" i="17"/>
  <c r="E8" i="17"/>
  <c r="F8" i="17" s="1"/>
  <c r="G7" i="17"/>
  <c r="E7" i="17"/>
  <c r="F7" i="17" s="1"/>
  <c r="H7" i="17" s="1"/>
  <c r="G6" i="17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14" i="16"/>
  <c r="H14" i="16" s="1"/>
  <c r="E14" i="16"/>
  <c r="F14" i="16" s="1"/>
  <c r="G13" i="16"/>
  <c r="F13" i="16"/>
  <c r="H13" i="16" s="1"/>
  <c r="E13" i="16"/>
  <c r="G12" i="16"/>
  <c r="E12" i="16"/>
  <c r="F12" i="16" s="1"/>
  <c r="H12" i="16" s="1"/>
  <c r="G11" i="16"/>
  <c r="E11" i="16"/>
  <c r="F11" i="16" s="1"/>
  <c r="H11" i="16" s="1"/>
  <c r="H10" i="16"/>
  <c r="G10" i="16"/>
  <c r="E10" i="16"/>
  <c r="F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H6" i="16"/>
  <c r="G6" i="16"/>
  <c r="G37" i="16" s="1"/>
  <c r="E6" i="16"/>
  <c r="F6" i="16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G14" i="15"/>
  <c r="E14" i="15"/>
  <c r="F14" i="15" s="1"/>
  <c r="H14" i="15" s="1"/>
  <c r="H13" i="15"/>
  <c r="G13" i="15"/>
  <c r="E13" i="15"/>
  <c r="F13" i="15" s="1"/>
  <c r="G12" i="15"/>
  <c r="E12" i="15"/>
  <c r="F12" i="15" s="1"/>
  <c r="H12" i="15" s="1"/>
  <c r="H11" i="15"/>
  <c r="G11" i="15"/>
  <c r="E11" i="15"/>
  <c r="F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H7" i="15"/>
  <c r="G7" i="15"/>
  <c r="E7" i="15"/>
  <c r="F7" i="15" s="1"/>
  <c r="G6" i="15"/>
  <c r="G37" i="15" s="1"/>
  <c r="E6" i="15"/>
  <c r="E61" i="14"/>
  <c r="E60" i="14"/>
  <c r="E59" i="14"/>
  <c r="E58" i="14"/>
  <c r="E57" i="14"/>
  <c r="E56" i="14"/>
  <c r="E55" i="14"/>
  <c r="E54" i="14"/>
  <c r="E62" i="14" s="1"/>
  <c r="E53" i="14"/>
  <c r="E52" i="14"/>
  <c r="E51" i="14"/>
  <c r="E50" i="14"/>
  <c r="E49" i="14"/>
  <c r="G14" i="14"/>
  <c r="E14" i="14"/>
  <c r="F14" i="14" s="1"/>
  <c r="H14" i="14" s="1"/>
  <c r="G13" i="14"/>
  <c r="F13" i="14"/>
  <c r="E13" i="14"/>
  <c r="G12" i="14"/>
  <c r="E12" i="14"/>
  <c r="F12" i="14" s="1"/>
  <c r="H12" i="14" s="1"/>
  <c r="G11" i="14"/>
  <c r="F11" i="14"/>
  <c r="H11" i="14" s="1"/>
  <c r="E11" i="14"/>
  <c r="G10" i="14"/>
  <c r="E10" i="14"/>
  <c r="F10" i="14" s="1"/>
  <c r="H10" i="14" s="1"/>
  <c r="G9" i="14"/>
  <c r="F9" i="14"/>
  <c r="E9" i="14"/>
  <c r="G8" i="14"/>
  <c r="E8" i="14"/>
  <c r="F8" i="14" s="1"/>
  <c r="H8" i="14" s="1"/>
  <c r="G7" i="14"/>
  <c r="G37" i="14" s="1"/>
  <c r="C12" i="1" s="1"/>
  <c r="F7" i="14"/>
  <c r="E7" i="14"/>
  <c r="G6" i="14"/>
  <c r="E6" i="14"/>
  <c r="E37" i="14" s="1"/>
  <c r="E61" i="13"/>
  <c r="E60" i="13"/>
  <c r="E59" i="13"/>
  <c r="E58" i="13"/>
  <c r="E57" i="13"/>
  <c r="E56" i="13"/>
  <c r="E55" i="13"/>
  <c r="E54" i="13"/>
  <c r="E53" i="13"/>
  <c r="E52" i="13"/>
  <c r="E62" i="13" s="1"/>
  <c r="E51" i="13"/>
  <c r="E50" i="13"/>
  <c r="E49" i="13"/>
  <c r="H14" i="13"/>
  <c r="G14" i="13"/>
  <c r="E14" i="13"/>
  <c r="F14" i="13" s="1"/>
  <c r="G13" i="13"/>
  <c r="E13" i="13"/>
  <c r="F13" i="13" s="1"/>
  <c r="H13" i="13" s="1"/>
  <c r="H12" i="13"/>
  <c r="G12" i="13"/>
  <c r="E12" i="13"/>
  <c r="F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H8" i="13"/>
  <c r="G8" i="13"/>
  <c r="E8" i="13"/>
  <c r="F8" i="13" s="1"/>
  <c r="G7" i="13"/>
  <c r="E7" i="13"/>
  <c r="F7" i="13" s="1"/>
  <c r="H7" i="13" s="1"/>
  <c r="H6" i="13"/>
  <c r="G6" i="13"/>
  <c r="G37" i="13" s="1"/>
  <c r="E6" i="13"/>
  <c r="F6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54" i="12" s="1"/>
  <c r="G28" i="12"/>
  <c r="F28" i="12"/>
  <c r="E28" i="12"/>
  <c r="G27" i="12"/>
  <c r="E27" i="12"/>
  <c r="F27" i="12" s="1"/>
  <c r="H27" i="12" s="1"/>
  <c r="G26" i="12"/>
  <c r="F26" i="12"/>
  <c r="H26" i="12" s="1"/>
  <c r="E26" i="12"/>
  <c r="G25" i="12"/>
  <c r="E25" i="12"/>
  <c r="F25" i="12" s="1"/>
  <c r="H25" i="12" s="1"/>
  <c r="G24" i="12"/>
  <c r="F24" i="12"/>
  <c r="E24" i="12"/>
  <c r="G23" i="12"/>
  <c r="E23" i="12"/>
  <c r="F23" i="12" s="1"/>
  <c r="H23" i="12" s="1"/>
  <c r="G22" i="12"/>
  <c r="H22" i="12" s="1"/>
  <c r="F22" i="12"/>
  <c r="E22" i="12"/>
  <c r="G21" i="12"/>
  <c r="E21" i="12"/>
  <c r="F21" i="12" s="1"/>
  <c r="H21" i="12" s="1"/>
  <c r="G20" i="12"/>
  <c r="F20" i="12"/>
  <c r="H20" i="12" s="1"/>
  <c r="E20" i="12"/>
  <c r="G19" i="12"/>
  <c r="E19" i="12"/>
  <c r="F19" i="12" s="1"/>
  <c r="H19" i="12" s="1"/>
  <c r="G18" i="12"/>
  <c r="H18" i="12" s="1"/>
  <c r="F18" i="12"/>
  <c r="E18" i="12"/>
  <c r="G17" i="12"/>
  <c r="E17" i="12"/>
  <c r="F17" i="12" s="1"/>
  <c r="H17" i="12" s="1"/>
  <c r="G14" i="12"/>
  <c r="H14" i="12" s="1"/>
  <c r="F14" i="12"/>
  <c r="E14" i="12"/>
  <c r="G13" i="12"/>
  <c r="E13" i="12"/>
  <c r="F13" i="12" s="1"/>
  <c r="H13" i="12" s="1"/>
  <c r="G12" i="12"/>
  <c r="H12" i="12" s="1"/>
  <c r="F12" i="12"/>
  <c r="E12" i="12"/>
  <c r="G11" i="12"/>
  <c r="E11" i="12"/>
  <c r="F11" i="12" s="1"/>
  <c r="H11" i="12" s="1"/>
  <c r="G10" i="12"/>
  <c r="F10" i="12"/>
  <c r="H10" i="12" s="1"/>
  <c r="E10" i="12"/>
  <c r="G9" i="12"/>
  <c r="E9" i="12"/>
  <c r="F9" i="12" s="1"/>
  <c r="H9" i="12" s="1"/>
  <c r="G8" i="12"/>
  <c r="H8" i="12" s="1"/>
  <c r="F8" i="12"/>
  <c r="E8" i="12"/>
  <c r="G7" i="12"/>
  <c r="E7" i="12"/>
  <c r="F7" i="12" s="1"/>
  <c r="H7" i="12" s="1"/>
  <c r="G6" i="12"/>
  <c r="F6" i="12"/>
  <c r="E6" i="12"/>
  <c r="E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G28" i="11"/>
  <c r="F28" i="11"/>
  <c r="H28" i="11" s="1"/>
  <c r="E28" i="11"/>
  <c r="G27" i="11"/>
  <c r="E27" i="11"/>
  <c r="F27" i="11" s="1"/>
  <c r="H27" i="11" s="1"/>
  <c r="G26" i="11"/>
  <c r="F26" i="11"/>
  <c r="H26" i="11" s="1"/>
  <c r="E26" i="11"/>
  <c r="H25" i="11"/>
  <c r="G25" i="11"/>
  <c r="E25" i="11"/>
  <c r="F25" i="11" s="1"/>
  <c r="G24" i="11"/>
  <c r="F24" i="11"/>
  <c r="H24" i="11" s="1"/>
  <c r="E24" i="11"/>
  <c r="G23" i="11"/>
  <c r="E23" i="11"/>
  <c r="F23" i="11" s="1"/>
  <c r="H23" i="11" s="1"/>
  <c r="G22" i="11"/>
  <c r="E22" i="11"/>
  <c r="F22" i="11" s="1"/>
  <c r="H22" i="11" s="1"/>
  <c r="H21" i="11"/>
  <c r="G21" i="11"/>
  <c r="E21" i="11"/>
  <c r="F21" i="11" s="1"/>
  <c r="G20" i="11"/>
  <c r="F20" i="11"/>
  <c r="H20" i="11" s="1"/>
  <c r="E20" i="11"/>
  <c r="G19" i="11"/>
  <c r="E19" i="11"/>
  <c r="F19" i="11" s="1"/>
  <c r="H19" i="11" s="1"/>
  <c r="G18" i="11"/>
  <c r="F18" i="11"/>
  <c r="H18" i="11" s="1"/>
  <c r="E18" i="11"/>
  <c r="H17" i="11"/>
  <c r="G17" i="11"/>
  <c r="E17" i="11"/>
  <c r="F17" i="11" s="1"/>
  <c r="G14" i="11"/>
  <c r="F14" i="11"/>
  <c r="H14" i="11" s="1"/>
  <c r="E14" i="11"/>
  <c r="G13" i="11"/>
  <c r="E13" i="11"/>
  <c r="F13" i="11" s="1"/>
  <c r="H13" i="11" s="1"/>
  <c r="G12" i="11"/>
  <c r="E12" i="11"/>
  <c r="F12" i="11" s="1"/>
  <c r="H12" i="11" s="1"/>
  <c r="H11" i="11"/>
  <c r="G11" i="11"/>
  <c r="E11" i="11"/>
  <c r="F11" i="11" s="1"/>
  <c r="G10" i="11"/>
  <c r="F10" i="11"/>
  <c r="H10" i="11" s="1"/>
  <c r="E10" i="11"/>
  <c r="G9" i="11"/>
  <c r="E9" i="11"/>
  <c r="F9" i="11" s="1"/>
  <c r="H9" i="11" s="1"/>
  <c r="G8" i="11"/>
  <c r="F8" i="11"/>
  <c r="H8" i="11" s="1"/>
  <c r="E8" i="11"/>
  <c r="H7" i="11"/>
  <c r="G7" i="11"/>
  <c r="E7" i="11"/>
  <c r="F7" i="11" s="1"/>
  <c r="G6" i="11"/>
  <c r="G29" i="11" s="1"/>
  <c r="C23" i="1" s="1"/>
  <c r="F6" i="11"/>
  <c r="E6" i="11"/>
  <c r="E53" i="10"/>
  <c r="E52" i="10"/>
  <c r="E51" i="10"/>
  <c r="E50" i="10"/>
  <c r="E49" i="10"/>
  <c r="E48" i="10"/>
  <c r="E47" i="10"/>
  <c r="E46" i="10"/>
  <c r="E54" i="10" s="1"/>
  <c r="E45" i="10"/>
  <c r="E44" i="10"/>
  <c r="E43" i="10"/>
  <c r="E42" i="10"/>
  <c r="E41" i="10"/>
  <c r="G28" i="10"/>
  <c r="E28" i="10"/>
  <c r="F28" i="10" s="1"/>
  <c r="H28" i="10" s="1"/>
  <c r="G27" i="10"/>
  <c r="F27" i="10"/>
  <c r="H27" i="10" s="1"/>
  <c r="E27" i="10"/>
  <c r="G26" i="10"/>
  <c r="E26" i="10"/>
  <c r="F26" i="10" s="1"/>
  <c r="H26" i="10" s="1"/>
  <c r="G25" i="10"/>
  <c r="H25" i="10" s="1"/>
  <c r="F25" i="10"/>
  <c r="E25" i="10"/>
  <c r="G24" i="10"/>
  <c r="E24" i="10"/>
  <c r="F24" i="10" s="1"/>
  <c r="H24" i="10" s="1"/>
  <c r="G23" i="10"/>
  <c r="H23" i="10" s="1"/>
  <c r="F23" i="10"/>
  <c r="E23" i="10"/>
  <c r="G22" i="10"/>
  <c r="E22" i="10"/>
  <c r="F22" i="10" s="1"/>
  <c r="H22" i="10" s="1"/>
  <c r="G21" i="10"/>
  <c r="H21" i="10" s="1"/>
  <c r="F21" i="10"/>
  <c r="E21" i="10"/>
  <c r="G20" i="10"/>
  <c r="E20" i="10"/>
  <c r="F20" i="10" s="1"/>
  <c r="H20" i="10" s="1"/>
  <c r="G19" i="10"/>
  <c r="F19" i="10"/>
  <c r="H19" i="10" s="1"/>
  <c r="E19" i="10"/>
  <c r="G18" i="10"/>
  <c r="E18" i="10"/>
  <c r="F18" i="10" s="1"/>
  <c r="H18" i="10" s="1"/>
  <c r="G17" i="10"/>
  <c r="E17" i="10"/>
  <c r="F17" i="10" s="1"/>
  <c r="H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G29" i="10" s="1"/>
  <c r="C10" i="1" s="1"/>
  <c r="E6" i="10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G28" i="9"/>
  <c r="E28" i="9"/>
  <c r="F28" i="9" s="1"/>
  <c r="H28" i="9" s="1"/>
  <c r="G27" i="9"/>
  <c r="E27" i="9"/>
  <c r="F27" i="9" s="1"/>
  <c r="H27" i="9" s="1"/>
  <c r="H26" i="9"/>
  <c r="G26" i="9"/>
  <c r="E26" i="9"/>
  <c r="F26" i="9" s="1"/>
  <c r="G25" i="9"/>
  <c r="F25" i="9"/>
  <c r="H25" i="9" s="1"/>
  <c r="E25" i="9"/>
  <c r="G24" i="9"/>
  <c r="E24" i="9"/>
  <c r="F24" i="9" s="1"/>
  <c r="H24" i="9" s="1"/>
  <c r="G23" i="9"/>
  <c r="F23" i="9"/>
  <c r="H23" i="9" s="1"/>
  <c r="E23" i="9"/>
  <c r="H22" i="9"/>
  <c r="G22" i="9"/>
  <c r="E22" i="9"/>
  <c r="F22" i="9" s="1"/>
  <c r="G21" i="9"/>
  <c r="F21" i="9"/>
  <c r="H21" i="9" s="1"/>
  <c r="E21" i="9"/>
  <c r="G20" i="9"/>
  <c r="E20" i="9"/>
  <c r="F20" i="9" s="1"/>
  <c r="H20" i="9" s="1"/>
  <c r="G19" i="9"/>
  <c r="E19" i="9"/>
  <c r="F19" i="9" s="1"/>
  <c r="H19" i="9" s="1"/>
  <c r="H18" i="9"/>
  <c r="G18" i="9"/>
  <c r="E18" i="9"/>
  <c r="F18" i="9" s="1"/>
  <c r="G17" i="9"/>
  <c r="F17" i="9"/>
  <c r="H17" i="9" s="1"/>
  <c r="E17" i="9"/>
  <c r="G14" i="9"/>
  <c r="E14" i="9"/>
  <c r="F14" i="9" s="1"/>
  <c r="H14" i="9" s="1"/>
  <c r="G13" i="9"/>
  <c r="E13" i="9"/>
  <c r="F13" i="9" s="1"/>
  <c r="H13" i="9" s="1"/>
  <c r="H12" i="9"/>
  <c r="G12" i="9"/>
  <c r="E12" i="9"/>
  <c r="F12" i="9" s="1"/>
  <c r="G11" i="9"/>
  <c r="F11" i="9"/>
  <c r="H11" i="9" s="1"/>
  <c r="E11" i="9"/>
  <c r="G10" i="9"/>
  <c r="E10" i="9"/>
  <c r="F10" i="9" s="1"/>
  <c r="G9" i="9"/>
  <c r="E9" i="9"/>
  <c r="F9" i="9" s="1"/>
  <c r="H9" i="9" s="1"/>
  <c r="G8" i="9"/>
  <c r="F8" i="9"/>
  <c r="H8" i="9" s="1"/>
  <c r="E8" i="9"/>
  <c r="G7" i="9"/>
  <c r="E7" i="9"/>
  <c r="F7" i="9" s="1"/>
  <c r="G6" i="9"/>
  <c r="F6" i="9"/>
  <c r="H6" i="9" s="1"/>
  <c r="E6" i="9"/>
  <c r="E61" i="8"/>
  <c r="E60" i="8"/>
  <c r="E59" i="8"/>
  <c r="E58" i="8"/>
  <c r="E57" i="8"/>
  <c r="E56" i="8"/>
  <c r="E55" i="8"/>
  <c r="E54" i="8"/>
  <c r="E53" i="8"/>
  <c r="E52" i="8"/>
  <c r="E51" i="8"/>
  <c r="E50" i="8"/>
  <c r="E62" i="8" s="1"/>
  <c r="E49" i="8"/>
  <c r="C45" i="8"/>
  <c r="E37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G37" i="8" s="1"/>
  <c r="C7" i="1" s="1"/>
  <c r="E6" i="8"/>
  <c r="F6" i="8" s="1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C37" i="7"/>
  <c r="H28" i="7"/>
  <c r="G28" i="7"/>
  <c r="F28" i="7"/>
  <c r="E28" i="7"/>
  <c r="G27" i="7"/>
  <c r="E27" i="7"/>
  <c r="F27" i="7" s="1"/>
  <c r="H27" i="7" s="1"/>
  <c r="H26" i="7"/>
  <c r="G26" i="7"/>
  <c r="F26" i="7"/>
  <c r="E26" i="7"/>
  <c r="G25" i="7"/>
  <c r="E25" i="7"/>
  <c r="F25" i="7" s="1"/>
  <c r="H25" i="7" s="1"/>
  <c r="H24" i="7"/>
  <c r="G24" i="7"/>
  <c r="F24" i="7"/>
  <c r="E24" i="7"/>
  <c r="G23" i="7"/>
  <c r="E23" i="7"/>
  <c r="F23" i="7" s="1"/>
  <c r="H23" i="7" s="1"/>
  <c r="H22" i="7"/>
  <c r="G22" i="7"/>
  <c r="F22" i="7"/>
  <c r="E22" i="7"/>
  <c r="G21" i="7"/>
  <c r="E21" i="7"/>
  <c r="F21" i="7" s="1"/>
  <c r="H21" i="7" s="1"/>
  <c r="H20" i="7"/>
  <c r="G20" i="7"/>
  <c r="F20" i="7"/>
  <c r="E20" i="7"/>
  <c r="G19" i="7"/>
  <c r="E19" i="7"/>
  <c r="F19" i="7" s="1"/>
  <c r="H19" i="7" s="1"/>
  <c r="H18" i="7"/>
  <c r="G18" i="7"/>
  <c r="F18" i="7"/>
  <c r="E18" i="7"/>
  <c r="G17" i="7"/>
  <c r="E17" i="7"/>
  <c r="F17" i="7" s="1"/>
  <c r="H17" i="7" s="1"/>
  <c r="H14" i="7"/>
  <c r="G14" i="7"/>
  <c r="F14" i="7"/>
  <c r="E14" i="7"/>
  <c r="G13" i="7"/>
  <c r="E13" i="7"/>
  <c r="F13" i="7" s="1"/>
  <c r="H13" i="7" s="1"/>
  <c r="H12" i="7"/>
  <c r="G12" i="7"/>
  <c r="F12" i="7"/>
  <c r="E12" i="7"/>
  <c r="G11" i="7"/>
  <c r="E11" i="7"/>
  <c r="F11" i="7" s="1"/>
  <c r="H11" i="7" s="1"/>
  <c r="H10" i="7"/>
  <c r="G10" i="7"/>
  <c r="F10" i="7"/>
  <c r="E10" i="7"/>
  <c r="G9" i="7"/>
  <c r="E9" i="7"/>
  <c r="F9" i="7" s="1"/>
  <c r="H9" i="7" s="1"/>
  <c r="H8" i="7"/>
  <c r="G8" i="7"/>
  <c r="F8" i="7"/>
  <c r="E8" i="7"/>
  <c r="G7" i="7"/>
  <c r="E7" i="7"/>
  <c r="F7" i="7" s="1"/>
  <c r="H7" i="7" s="1"/>
  <c r="H6" i="7"/>
  <c r="G6" i="7"/>
  <c r="G29" i="7" s="1"/>
  <c r="C8" i="1" s="1"/>
  <c r="F6" i="7"/>
  <c r="E6" i="7"/>
  <c r="E61" i="6"/>
  <c r="E60" i="6"/>
  <c r="E59" i="6"/>
  <c r="E58" i="6"/>
  <c r="E57" i="6"/>
  <c r="E56" i="6"/>
  <c r="E55" i="6"/>
  <c r="E54" i="6"/>
  <c r="E53" i="6"/>
  <c r="E52" i="6"/>
  <c r="E51" i="6"/>
  <c r="E50" i="6"/>
  <c r="E62" i="6" s="1"/>
  <c r="E49" i="6"/>
  <c r="C45" i="6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H10" i="6" s="1"/>
  <c r="G9" i="6"/>
  <c r="E9" i="6"/>
  <c r="F9" i="6" s="1"/>
  <c r="H9" i="6" s="1"/>
  <c r="G8" i="6"/>
  <c r="E8" i="6"/>
  <c r="F8" i="6" s="1"/>
  <c r="H8" i="6" s="1"/>
  <c r="G7" i="6"/>
  <c r="E7" i="6"/>
  <c r="F7" i="6" s="1"/>
  <c r="H7" i="6" s="1"/>
  <c r="G6" i="6"/>
  <c r="G37" i="6" s="1"/>
  <c r="C5" i="1" s="1"/>
  <c r="E6" i="6"/>
  <c r="F6" i="6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54" i="4" s="1"/>
  <c r="E42" i="4"/>
  <c r="E41" i="4"/>
  <c r="E53" i="3"/>
  <c r="E52" i="3"/>
  <c r="E51" i="3"/>
  <c r="E50" i="3"/>
  <c r="E49" i="3"/>
  <c r="E48" i="3"/>
  <c r="E47" i="3"/>
  <c r="E46" i="3"/>
  <c r="E45" i="3"/>
  <c r="E54" i="3" s="1"/>
  <c r="E44" i="3"/>
  <c r="E43" i="3"/>
  <c r="E42" i="3"/>
  <c r="E41" i="3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E29" i="1"/>
  <c r="D29" i="1"/>
  <c r="C35" i="1" s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J21" i="1"/>
  <c r="I21" i="1"/>
  <c r="H21" i="1"/>
  <c r="G21" i="1"/>
  <c r="J20" i="1"/>
  <c r="I20" i="1"/>
  <c r="H20" i="1"/>
  <c r="G20" i="1"/>
  <c r="C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J14" i="1"/>
  <c r="I14" i="1"/>
  <c r="H14" i="1"/>
  <c r="G14" i="1"/>
  <c r="C14" i="1"/>
  <c r="J13" i="1"/>
  <c r="I13" i="1"/>
  <c r="H13" i="1"/>
  <c r="G13" i="1"/>
  <c r="C13" i="1"/>
  <c r="J12" i="1"/>
  <c r="I12" i="1"/>
  <c r="H12" i="1"/>
  <c r="G12" i="1"/>
  <c r="J11" i="1"/>
  <c r="I11" i="1"/>
  <c r="H11" i="1"/>
  <c r="G11" i="1"/>
  <c r="C11" i="1"/>
  <c r="J10" i="1"/>
  <c r="I10" i="1"/>
  <c r="H10" i="1"/>
  <c r="G10" i="1"/>
  <c r="J9" i="1"/>
  <c r="I9" i="1"/>
  <c r="H9" i="1"/>
  <c r="G9" i="1"/>
  <c r="J8" i="1"/>
  <c r="I8" i="1"/>
  <c r="H8" i="1"/>
  <c r="G8" i="1"/>
  <c r="J7" i="1"/>
  <c r="I7" i="1"/>
  <c r="H7" i="1"/>
  <c r="G7" i="1"/>
  <c r="J6" i="1"/>
  <c r="I6" i="1"/>
  <c r="H6" i="1"/>
  <c r="G6" i="1"/>
  <c r="G29" i="1" s="1"/>
  <c r="J5" i="1"/>
  <c r="J29" i="1" s="1"/>
  <c r="I5" i="1"/>
  <c r="I29" i="1" s="1"/>
  <c r="H5" i="1"/>
  <c r="G5" i="1"/>
  <c r="H29" i="1" l="1"/>
  <c r="C34" i="1" s="1"/>
  <c r="C37" i="1" s="1"/>
  <c r="H10" i="9"/>
  <c r="E29" i="9"/>
  <c r="G29" i="9"/>
  <c r="C6" i="1" s="1"/>
  <c r="E54" i="9"/>
  <c r="H6" i="6"/>
  <c r="H37" i="6" s="1"/>
  <c r="F37" i="6"/>
  <c r="B5" i="1" s="1"/>
  <c r="H6" i="8"/>
  <c r="H37" i="8" s="1"/>
  <c r="F37" i="8"/>
  <c r="B7" i="1" s="1"/>
  <c r="F7" i="1" s="1"/>
  <c r="F29" i="7"/>
  <c r="F29" i="9"/>
  <c r="G37" i="19"/>
  <c r="C16" i="1" s="1"/>
  <c r="D14" i="26"/>
  <c r="E29" i="7"/>
  <c r="D15" i="26"/>
  <c r="E37" i="6"/>
  <c r="H7" i="9"/>
  <c r="G29" i="21"/>
  <c r="C18" i="1" s="1"/>
  <c r="H26" i="22"/>
  <c r="H37" i="13"/>
  <c r="D13" i="26"/>
  <c r="E37" i="15"/>
  <c r="F6" i="15"/>
  <c r="D7" i="26"/>
  <c r="H9" i="14"/>
  <c r="E29" i="18"/>
  <c r="F6" i="18"/>
  <c r="G29" i="20"/>
  <c r="C17" i="1" s="1"/>
  <c r="E62" i="15"/>
  <c r="D6" i="26"/>
  <c r="E54" i="24"/>
  <c r="G29" i="18"/>
  <c r="C19" i="1" s="1"/>
  <c r="F29" i="12"/>
  <c r="H24" i="12"/>
  <c r="E37" i="13"/>
  <c r="H13" i="14"/>
  <c r="F37" i="16"/>
  <c r="B14" i="1" s="1"/>
  <c r="F14" i="1" s="1"/>
  <c r="H8" i="17"/>
  <c r="E37" i="17"/>
  <c r="F29" i="11"/>
  <c r="H6" i="11"/>
  <c r="D5" i="26"/>
  <c r="G29" i="12"/>
  <c r="C9" i="1" s="1"/>
  <c r="F37" i="13"/>
  <c r="B11" i="1" s="1"/>
  <c r="F11" i="1" s="1"/>
  <c r="H7" i="14"/>
  <c r="G37" i="17"/>
  <c r="C15" i="1" s="1"/>
  <c r="H27" i="20"/>
  <c r="E29" i="10"/>
  <c r="F6" i="10"/>
  <c r="E29" i="11"/>
  <c r="E54" i="11"/>
  <c r="H6" i="12"/>
  <c r="H28" i="12"/>
  <c r="H37" i="16"/>
  <c r="E62" i="16"/>
  <c r="H8" i="18"/>
  <c r="H20" i="18"/>
  <c r="E37" i="16"/>
  <c r="F29" i="20"/>
  <c r="H6" i="20"/>
  <c r="H28" i="20"/>
  <c r="D16" i="26"/>
  <c r="H6" i="17"/>
  <c r="F37" i="17"/>
  <c r="B15" i="1" s="1"/>
  <c r="H13" i="18"/>
  <c r="E37" i="19"/>
  <c r="H6" i="21"/>
  <c r="F29" i="21"/>
  <c r="D8" i="26"/>
  <c r="D9" i="26"/>
  <c r="F6" i="14"/>
  <c r="E62" i="17"/>
  <c r="H7" i="18"/>
  <c r="H10" i="18"/>
  <c r="H25" i="18"/>
  <c r="H7" i="20"/>
  <c r="H11" i="20"/>
  <c r="H17" i="20"/>
  <c r="H21" i="20"/>
  <c r="H25" i="20"/>
  <c r="E29" i="20"/>
  <c r="F29" i="22"/>
  <c r="H6" i="22"/>
  <c r="H10" i="22"/>
  <c r="H14" i="22"/>
  <c r="H20" i="22"/>
  <c r="H24" i="22"/>
  <c r="H28" i="22"/>
  <c r="F29" i="24"/>
  <c r="H6" i="24"/>
  <c r="H10" i="24"/>
  <c r="H14" i="24"/>
  <c r="H20" i="24"/>
  <c r="H24" i="24"/>
  <c r="H28" i="24"/>
  <c r="D10" i="26"/>
  <c r="H10" i="17"/>
  <c r="H19" i="18"/>
  <c r="H22" i="18"/>
  <c r="F37" i="19"/>
  <c r="B16" i="1" s="1"/>
  <c r="F16" i="1" s="1"/>
  <c r="H9" i="19"/>
  <c r="E62" i="19"/>
  <c r="H17" i="21"/>
  <c r="H21" i="21"/>
  <c r="H25" i="21"/>
  <c r="E29" i="21"/>
  <c r="E29" i="23"/>
  <c r="F6" i="23"/>
  <c r="H20" i="23"/>
  <c r="H24" i="23"/>
  <c r="H28" i="23"/>
  <c r="G29" i="24"/>
  <c r="C22" i="1" s="1"/>
  <c r="D11" i="26"/>
  <c r="E54" i="20"/>
  <c r="E29" i="22"/>
  <c r="G29" i="23"/>
  <c r="C21" i="1" s="1"/>
  <c r="D4" i="26"/>
  <c r="D12" i="26"/>
  <c r="H14" i="17"/>
  <c r="H23" i="18"/>
  <c r="H6" i="19"/>
  <c r="H13" i="19"/>
  <c r="H8" i="21"/>
  <c r="H12" i="21"/>
  <c r="H18" i="21"/>
  <c r="H22" i="21"/>
  <c r="H26" i="21"/>
  <c r="E54" i="21"/>
  <c r="H7" i="23"/>
  <c r="H11" i="23"/>
  <c r="E54" i="23"/>
  <c r="E29" i="24"/>
  <c r="C29" i="1" l="1"/>
  <c r="D17" i="26"/>
  <c r="F29" i="23"/>
  <c r="H6" i="23"/>
  <c r="H29" i="21"/>
  <c r="B18" i="1"/>
  <c r="F18" i="1" s="1"/>
  <c r="H37" i="17"/>
  <c r="H29" i="20"/>
  <c r="B17" i="1"/>
  <c r="F17" i="1" s="1"/>
  <c r="F29" i="18"/>
  <c r="H6" i="18"/>
  <c r="H29" i="9"/>
  <c r="B6" i="1"/>
  <c r="F6" i="1" s="1"/>
  <c r="H29" i="22"/>
  <c r="B20" i="1"/>
  <c r="F20" i="1" s="1"/>
  <c r="H29" i="7"/>
  <c r="B8" i="1"/>
  <c r="F8" i="1" s="1"/>
  <c r="H37" i="19"/>
  <c r="H29" i="24"/>
  <c r="B22" i="1"/>
  <c r="F22" i="1" s="1"/>
  <c r="H6" i="10"/>
  <c r="F29" i="10"/>
  <c r="H29" i="12"/>
  <c r="B9" i="1"/>
  <c r="F9" i="1" s="1"/>
  <c r="H6" i="14"/>
  <c r="H37" i="14" s="1"/>
  <c r="F37" i="14"/>
  <c r="B12" i="1" s="1"/>
  <c r="F12" i="1" s="1"/>
  <c r="F15" i="1"/>
  <c r="H29" i="11"/>
  <c r="B23" i="1"/>
  <c r="F23" i="1" s="1"/>
  <c r="F37" i="15"/>
  <c r="B13" i="1" s="1"/>
  <c r="F13" i="1" s="1"/>
  <c r="H6" i="15"/>
  <c r="H37" i="15" s="1"/>
  <c r="F5" i="1"/>
  <c r="B10" i="1" l="1"/>
  <c r="F10" i="1" s="1"/>
  <c r="F29" i="1" s="1"/>
  <c r="C33" i="1" s="1"/>
  <c r="C36" i="1" s="1"/>
  <c r="H29" i="10"/>
  <c r="H29" i="23"/>
  <c r="B21" i="1"/>
  <c r="F21" i="1" s="1"/>
  <c r="H29" i="18"/>
  <c r="B19" i="1"/>
  <c r="F19" i="1" s="1"/>
  <c r="B29" i="1" l="1"/>
  <c r="C32" i="1" s="1"/>
</calcChain>
</file>

<file path=xl/sharedStrings.xml><?xml version="1.0" encoding="utf-8"?>
<sst xmlns="http://schemas.openxmlformats.org/spreadsheetml/2006/main" count="1779" uniqueCount="85">
  <si>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</si>
  <si>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</si>
  <si>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</si>
  <si>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</si>
  <si>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</si>
  <si>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</si>
  <si>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</si>
  <si>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</si>
  <si>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</si>
  <si>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</si>
  <si>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</si>
  <si>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</si>
  <si>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</si>
  <si>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</si>
  <si>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</si>
  <si>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</si>
  <si>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</si>
  <si>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</si>
  <si>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</si>
  <si>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</si>
  <si>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</si>
  <si>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</si>
  <si>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</si>
  <si>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</si>
  <si>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</si>
  <si>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</si>
  <si>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</si>
  <si>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</si>
  <si>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</si>
  <si>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</si>
  <si>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</si>
  <si>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</si>
  <si>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</si>
  <si>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</si>
  <si>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</si>
  <si>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</si>
  <si>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</si>
  <si>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</si>
  <si>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</si>
  <si>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</si>
  <si>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</si>
  <si>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</si>
  <si>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</si>
  <si>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</si>
  <si>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</si>
  <si>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</si>
  <si>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</si>
  <si>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</si>
  <si>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</si>
  <si>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</si>
  <si>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</si>
  <si>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</si>
  <si>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</si>
  <si>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</si>
  <si>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</si>
  <si>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</si>
  <si>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</si>
  <si>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</si>
  <si>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</si>
  <si>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</si>
  <si>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</si>
  <si>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</si>
  <si>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</si>
  <si>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</si>
  <si>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</si>
  <si>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</si>
  <si>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</si>
  <si>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</si>
  <si>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</si>
  <si>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</si>
  <si>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</si>
  <si>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</si>
  <si>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</si>
  <si>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</si>
  <si>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</si>
  <si>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</si>
  <si>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</si>
  <si>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</si>
  <si>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</si>
  <si>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</si>
  <si>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</si>
  <si>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</si>
  <si>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</si>
  <si>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</si>
  <si>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GAHANGA MONTHLY REPORT OF APRIL FROM 01-30/2026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</si>
</sst>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0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3" fillId="0" borderId="42" xfId="0" applyNumberFormat="1" applyFont="1" applyBorder="1" applyAlignment="1">
      <alignment horizontal="center"/>
    </xf>
    <xf numFmtId="0" fontId="2" fillId="0" borderId="38" xfId="0" applyFont="1" applyBorder="1"/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0" fontId="2" fillId="0" borderId="37" xfId="0" applyFont="1" applyBorder="1"/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0" fontId="0" fillId="0" borderId="0" xfId="0"/>
    <xf numFmtId="164" fontId="3" fillId="0" borderId="39" xfId="0" applyNumberFormat="1" applyFont="1" applyBorder="1" applyAlignment="1">
      <alignment horizontal="center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7" fillId="0" borderId="39" xfId="0" applyNumberFormat="1" applyFont="1" applyBorder="1" applyAlignment="1">
      <alignment horizontal="center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0" fontId="2" fillId="0" borderId="58" xfId="0" applyFont="1" applyBorder="1"/>
    <xf numFmtId="0" fontId="14" fillId="0" borderId="46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164" fontId="16" fillId="4" borderId="42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5" fillId="0" borderId="44" xfId="0" applyNumberFormat="1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11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3"/>
      <c r="L1" s="1"/>
      <c r="M1" s="1"/>
      <c r="N1" s="1"/>
      <c r="O1" s="1"/>
    </row>
    <row r="2" spans="1:15" ht="30.75" customHeight="1">
      <c r="A2" s="114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6"/>
      <c r="L2" s="1"/>
      <c r="M2" s="1"/>
      <c r="N2" s="1"/>
      <c r="O2" s="1"/>
    </row>
    <row r="3" spans="1:15" ht="15" customHeight="1">
      <c r="A3" s="117"/>
      <c r="B3" s="118"/>
      <c r="C3" s="118"/>
      <c r="D3" s="118"/>
      <c r="E3" s="118"/>
      <c r="F3" s="118"/>
      <c r="G3" s="118"/>
      <c r="H3" s="118"/>
      <c r="I3" s="118"/>
      <c r="J3" s="118"/>
      <c r="K3" s="119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9050781.6610169485</v>
      </c>
      <c r="C6" s="18">
        <f>GAHANGA!G29</f>
        <v>798440</v>
      </c>
      <c r="D6" s="19"/>
      <c r="E6" s="18"/>
      <c r="F6" s="14">
        <f t="shared" si="0"/>
        <v>9849221.6610169485</v>
      </c>
      <c r="G6" s="18">
        <f>GAHANGA!C33</f>
        <v>0</v>
      </c>
      <c r="H6" s="18">
        <f>GAHANGA!C31</f>
        <v>9846122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16718403.661016949</v>
      </c>
      <c r="C29" s="33">
        <f t="shared" si="1"/>
        <v>1494140</v>
      </c>
      <c r="D29" s="34">
        <f t="shared" si="1"/>
        <v>0</v>
      </c>
      <c r="E29" s="33">
        <f t="shared" si="1"/>
        <v>0</v>
      </c>
      <c r="F29" s="33">
        <f t="shared" si="1"/>
        <v>18212543.661016949</v>
      </c>
      <c r="G29" s="34">
        <f t="shared" si="1"/>
        <v>0</v>
      </c>
      <c r="H29" s="34">
        <f t="shared" si="1"/>
        <v>18209444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10"/>
      <c r="B30" s="107"/>
      <c r="C30" s="107"/>
      <c r="D30" s="103"/>
      <c r="E30" s="129" t="s">
        <v>32</v>
      </c>
      <c r="F30" s="126"/>
      <c r="G30" s="126"/>
      <c r="H30" s="126"/>
      <c r="I30" s="121"/>
      <c r="J30" s="120"/>
      <c r="K30" s="121"/>
      <c r="L30" s="1"/>
      <c r="M30" s="1"/>
      <c r="N30" s="1"/>
      <c r="O30" s="1"/>
    </row>
    <row r="31" spans="1:15" ht="18" customHeight="1">
      <c r="A31" s="108" t="s">
        <v>33</v>
      </c>
      <c r="B31" s="107"/>
      <c r="C31" s="107"/>
      <c r="D31" s="109"/>
      <c r="E31" s="122"/>
      <c r="F31" s="130"/>
      <c r="G31" s="130"/>
      <c r="H31" s="130"/>
      <c r="I31" s="123"/>
      <c r="J31" s="122"/>
      <c r="K31" s="123"/>
      <c r="L31" s="1"/>
      <c r="M31" s="1"/>
      <c r="N31" s="1"/>
      <c r="O31" s="1"/>
    </row>
    <row r="32" spans="1:15" ht="18" customHeight="1">
      <c r="A32" s="104" t="s">
        <v>34</v>
      </c>
      <c r="B32" s="103"/>
      <c r="C32" s="131">
        <f>SUM(B29:C29)</f>
        <v>18212543.661016949</v>
      </c>
      <c r="D32" s="126"/>
      <c r="E32" s="122"/>
      <c r="F32" s="130"/>
      <c r="G32" s="130"/>
      <c r="H32" s="130"/>
      <c r="I32" s="123"/>
      <c r="J32" s="122"/>
      <c r="K32" s="123"/>
      <c r="L32" s="1"/>
      <c r="M32" s="1"/>
      <c r="N32" s="1"/>
      <c r="O32" s="1"/>
    </row>
    <row r="33" spans="1:15" ht="18" customHeight="1">
      <c r="A33" s="104" t="s">
        <v>35</v>
      </c>
      <c r="B33" s="103"/>
      <c r="C33" s="102">
        <f>SUM(F29,G29)</f>
        <v>18212543.661016949</v>
      </c>
      <c r="D33" s="107"/>
      <c r="E33" s="122"/>
      <c r="F33" s="130"/>
      <c r="G33" s="130"/>
      <c r="H33" s="130"/>
      <c r="I33" s="123"/>
      <c r="J33" s="122"/>
      <c r="K33" s="123"/>
      <c r="L33" s="1"/>
      <c r="M33" s="1"/>
      <c r="N33" s="1"/>
      <c r="O33" s="1"/>
    </row>
    <row r="34" spans="1:15" ht="18" customHeight="1">
      <c r="A34" s="104" t="s">
        <v>36</v>
      </c>
      <c r="B34" s="103"/>
      <c r="C34" s="102">
        <f>SUM(H29,J29,I29)</f>
        <v>18209444</v>
      </c>
      <c r="D34" s="103"/>
      <c r="E34" s="122"/>
      <c r="F34" s="130"/>
      <c r="G34" s="130"/>
      <c r="H34" s="130"/>
      <c r="I34" s="123"/>
      <c r="J34" s="122"/>
      <c r="K34" s="123"/>
      <c r="L34" s="1"/>
      <c r="M34" s="1"/>
      <c r="N34" s="1"/>
      <c r="O34" s="1"/>
    </row>
    <row r="35" spans="1:15" ht="18" customHeight="1">
      <c r="A35" s="104" t="s">
        <v>37</v>
      </c>
      <c r="B35" s="103"/>
      <c r="C35" s="102">
        <f>SUM(D29:E29)</f>
        <v>0</v>
      </c>
      <c r="D35" s="103"/>
      <c r="E35" s="124"/>
      <c r="F35" s="127"/>
      <c r="G35" s="127"/>
      <c r="H35" s="127"/>
      <c r="I35" s="106"/>
      <c r="J35" s="122"/>
      <c r="K35" s="123"/>
      <c r="L35" s="1"/>
      <c r="M35" s="1"/>
      <c r="N35" s="1"/>
      <c r="O35" s="1"/>
    </row>
    <row r="36" spans="1:15" ht="18" customHeight="1">
      <c r="A36" s="104" t="s">
        <v>38</v>
      </c>
      <c r="B36" s="103"/>
      <c r="C36" s="102">
        <f>SUM(C33,C35)</f>
        <v>18212543.661016949</v>
      </c>
      <c r="D36" s="103"/>
      <c r="E36" s="125" t="s">
        <v>39</v>
      </c>
      <c r="F36" s="126"/>
      <c r="G36" s="126"/>
      <c r="H36" s="126"/>
      <c r="I36" s="121"/>
      <c r="J36" s="122"/>
      <c r="K36" s="123"/>
      <c r="L36" s="1"/>
      <c r="M36" s="1"/>
      <c r="N36" s="1"/>
      <c r="O36" s="1"/>
    </row>
    <row r="37" spans="1:15" ht="18" customHeight="1">
      <c r="A37" s="105" t="s">
        <v>40</v>
      </c>
      <c r="B37" s="106"/>
      <c r="C37" s="102">
        <f>SUM(C34:C35)</f>
        <v>18209444</v>
      </c>
      <c r="D37" s="103"/>
      <c r="E37" s="124"/>
      <c r="F37" s="127"/>
      <c r="G37" s="127"/>
      <c r="H37" s="127"/>
      <c r="I37" s="106"/>
      <c r="J37" s="122"/>
      <c r="K37" s="123"/>
      <c r="L37" s="1"/>
      <c r="M37" s="1"/>
      <c r="N37" s="1"/>
      <c r="O37" s="1"/>
    </row>
    <row r="38" spans="1:15" ht="18" customHeight="1">
      <c r="A38" s="128" t="s">
        <v>41</v>
      </c>
      <c r="B38" s="107"/>
      <c r="C38" s="107"/>
      <c r="D38" s="107"/>
      <c r="E38" s="107"/>
      <c r="F38" s="107"/>
      <c r="G38" s="107"/>
      <c r="H38" s="107"/>
      <c r="I38" s="103"/>
      <c r="J38" s="124"/>
      <c r="K38" s="106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  <mergeCell ref="A35:B35"/>
    <mergeCell ref="A36:B36"/>
    <mergeCell ref="A37:B37"/>
    <mergeCell ref="C34:D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3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64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f>SUM(C39:C44)</f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22.5" customHeight="1">
      <c r="A48" s="98"/>
      <c r="B48" s="160" t="s">
        <v>77</v>
      </c>
      <c r="C48" s="161"/>
      <c r="D48" s="162"/>
      <c r="E48" s="160" t="s">
        <v>78</v>
      </c>
      <c r="F48" s="161"/>
      <c r="G48" s="161"/>
      <c r="H48" s="162"/>
      <c r="I48" s="37"/>
      <c r="J48" s="37"/>
      <c r="K48" s="37"/>
    </row>
    <row r="49" spans="1:11" ht="21.7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22.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24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21.7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21.7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21.7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21.7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21.7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21.7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24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24.7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65" t="s">
        <v>82</v>
      </c>
      <c r="C62" s="107"/>
      <c r="D62" s="103"/>
      <c r="E62" s="166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B54:D54"/>
    <mergeCell ref="B63:D63"/>
    <mergeCell ref="E63:H63"/>
    <mergeCell ref="E60:H60"/>
    <mergeCell ref="B61:D61"/>
    <mergeCell ref="E61:H61"/>
    <mergeCell ref="B62:D62"/>
    <mergeCell ref="E62:H62"/>
    <mergeCell ref="B58:D58"/>
    <mergeCell ref="B59:D59"/>
    <mergeCell ref="B57:D57"/>
    <mergeCell ref="B56:D56"/>
    <mergeCell ref="B60:D60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8:H58"/>
    <mergeCell ref="E59:H59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A45:B45"/>
    <mergeCell ref="A46:H47"/>
    <mergeCell ref="E45:F45"/>
    <mergeCell ref="E44:F44"/>
    <mergeCell ref="B48:D48"/>
    <mergeCell ref="E48:H48"/>
    <mergeCell ref="A44:B44"/>
    <mergeCell ref="A40:B40"/>
    <mergeCell ref="A41:B41"/>
    <mergeCell ref="A39:B39"/>
    <mergeCell ref="E41:F41"/>
    <mergeCell ref="A42:B42"/>
    <mergeCell ref="E42:F42"/>
    <mergeCell ref="E39:F39"/>
    <mergeCell ref="E40:F40"/>
    <mergeCell ref="A43:B43"/>
    <mergeCell ref="E43:F43"/>
    <mergeCell ref="A15:H15"/>
    <mergeCell ref="E38:F38"/>
    <mergeCell ref="A38:B38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/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>
        <v>7670</v>
      </c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f>SUM(C31:C36)</f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83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>
        <v>15000</v>
      </c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>
        <v>9000</v>
      </c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44">
        <v>7670</v>
      </c>
      <c r="D8" s="139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44">
        <v>4130</v>
      </c>
      <c r="D9" s="139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44">
        <v>2124</v>
      </c>
      <c r="D10" s="139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44">
        <v>3540</v>
      </c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>
        <v>2006</v>
      </c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44">
        <v>1357</v>
      </c>
      <c r="D13" s="139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>
        <v>8363322</v>
      </c>
      <c r="D39" s="82"/>
      <c r="E39" s="141"/>
      <c r="F39" s="142"/>
      <c r="G39" s="83"/>
      <c r="H39" s="84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f>SUM(C39:C44)</f>
        <v>8363322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20252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250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3782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B62" s="152" t="s">
        <v>82</v>
      </c>
      <c r="C62" s="107"/>
      <c r="D62" s="103"/>
      <c r="E62" s="167">
        <f>SUM(E49:H61)</f>
        <v>24284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tabSelected="1" workbookViewId="0">
      <selection activeCell="C26" sqref="C26"/>
    </sheetView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84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>
        <v>625</v>
      </c>
      <c r="C7" s="141">
        <v>7670</v>
      </c>
      <c r="D7" s="142"/>
      <c r="E7" s="44">
        <f t="shared" si="0"/>
        <v>4793750</v>
      </c>
      <c r="F7" s="44">
        <f t="shared" si="1"/>
        <v>731250</v>
      </c>
      <c r="G7" s="44">
        <f t="shared" si="2"/>
        <v>31250</v>
      </c>
      <c r="H7" s="45">
        <f t="shared" si="3"/>
        <v>762500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>
        <v>200</v>
      </c>
      <c r="C9" s="144">
        <v>3500</v>
      </c>
      <c r="D9" s="139"/>
      <c r="E9" s="48">
        <f t="shared" si="0"/>
        <v>700000</v>
      </c>
      <c r="F9" s="48">
        <f t="shared" si="1"/>
        <v>106779.66101694915</v>
      </c>
      <c r="G9" s="48">
        <f t="shared" ref="G9:G12" si="4">PRODUCT(B9*30)</f>
        <v>6000</v>
      </c>
      <c r="H9" s="49">
        <f t="shared" si="3"/>
        <v>112779.66101694915</v>
      </c>
    </row>
    <row r="10" spans="1:8" ht="14.25" customHeight="1">
      <c r="A10" s="46" t="s">
        <v>54</v>
      </c>
      <c r="B10" s="47">
        <v>24773</v>
      </c>
      <c r="C10" s="144">
        <v>2124</v>
      </c>
      <c r="D10" s="139"/>
      <c r="E10" s="48">
        <f t="shared" si="0"/>
        <v>52617852</v>
      </c>
      <c r="F10" s="48">
        <f t="shared" si="1"/>
        <v>8026452</v>
      </c>
      <c r="G10" s="48">
        <f t="shared" si="4"/>
        <v>743190</v>
      </c>
      <c r="H10" s="49">
        <f t="shared" si="3"/>
        <v>8769642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>
        <v>900</v>
      </c>
      <c r="C13" s="144">
        <v>1357</v>
      </c>
      <c r="D13" s="139"/>
      <c r="E13" s="48">
        <f t="shared" si="0"/>
        <v>1221300</v>
      </c>
      <c r="F13" s="48">
        <f t="shared" si="1"/>
        <v>186300</v>
      </c>
      <c r="G13" s="48">
        <f t="shared" ref="G13:G14" si="5">PRODUCT(B13*20)</f>
        <v>18000</v>
      </c>
      <c r="H13" s="49">
        <f t="shared" si="3"/>
        <v>204300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59332902</v>
      </c>
      <c r="F29" s="74">
        <f t="shared" si="10"/>
        <v>9050781.6610169485</v>
      </c>
      <c r="G29" s="75">
        <f t="shared" si="10"/>
        <v>798440</v>
      </c>
      <c r="H29" s="76">
        <f t="shared" si="9"/>
        <v>9849221.6610169485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>
        <v>9846122</v>
      </c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9849222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24973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625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900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26498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"/>
  <sheetViews>
    <sheetView workbookViewId="0"/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>
        <v>1357</v>
      </c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>
        <v>2124</v>
      </c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  <c r="I48" s="37"/>
      <c r="J48" s="37"/>
      <c r="K48" s="37"/>
    </row>
    <row r="49" spans="1:11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B50:D50"/>
    <mergeCell ref="E50:H50"/>
    <mergeCell ref="E58:H58"/>
    <mergeCell ref="E59:H59"/>
    <mergeCell ref="E60:H60"/>
    <mergeCell ref="E61:H61"/>
    <mergeCell ref="C6:D6"/>
    <mergeCell ref="C7:D7"/>
    <mergeCell ref="C8:D8"/>
    <mergeCell ref="C9:D9"/>
    <mergeCell ref="C10:D10"/>
    <mergeCell ref="C11:D11"/>
    <mergeCell ref="C12:D12"/>
    <mergeCell ref="C13:D13"/>
    <mergeCell ref="E38:F38"/>
    <mergeCell ref="B48:D48"/>
    <mergeCell ref="E48:H48"/>
    <mergeCell ref="A46:H47"/>
    <mergeCell ref="E54:H54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B51:D51"/>
    <mergeCell ref="E51:H51"/>
    <mergeCell ref="B52:D52"/>
    <mergeCell ref="E52:H52"/>
    <mergeCell ref="B53:D53"/>
    <mergeCell ref="E53:H53"/>
    <mergeCell ref="A45:B45"/>
    <mergeCell ref="E45:F45"/>
    <mergeCell ref="C14:D14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5:D5"/>
    <mergeCell ref="E39:F39"/>
    <mergeCell ref="A40:B40"/>
    <mergeCell ref="E40:F40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>
        <v>1357</v>
      </c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71" t="s">
        <v>69</v>
      </c>
      <c r="B39" s="172"/>
      <c r="C39" s="81"/>
      <c r="D39" s="82"/>
      <c r="E39" s="173"/>
      <c r="F39" s="174"/>
      <c r="G39" s="83"/>
      <c r="H39" s="84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37" t="s">
        <v>72</v>
      </c>
      <c r="B42" s="103"/>
      <c r="C42" s="90"/>
      <c r="D42" s="74"/>
      <c r="E42" s="169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6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6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70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36">
        <f>SUM(B13:B14)</f>
        <v>0</v>
      </c>
      <c r="F51" s="107"/>
      <c r="G51" s="107"/>
      <c r="H51" s="10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8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8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8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8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8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8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8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8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8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8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  <c r="I48" s="37"/>
      <c r="J48" s="37"/>
      <c r="K48" s="37"/>
    </row>
    <row r="49" spans="1:11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SUM(B11:B14)</f>
        <v>0</v>
      </c>
      <c r="F49" s="107"/>
      <c r="G49" s="107"/>
      <c r="H49" s="103"/>
    </row>
    <row r="50" spans="1:8" ht="14.25" customHeight="1">
      <c r="A50" s="37"/>
      <c r="B50" s="135" t="s">
        <v>52</v>
      </c>
      <c r="C50" s="107"/>
      <c r="D50" s="103"/>
      <c r="E50" s="136">
        <f>SUM(B8:B10)</f>
        <v>0</v>
      </c>
      <c r="F50" s="107"/>
      <c r="G50" s="107"/>
      <c r="H50" s="103"/>
    </row>
    <row r="51" spans="1:8" ht="14.25" customHeight="1">
      <c r="A51" s="37"/>
      <c r="B51" s="135" t="s">
        <v>80</v>
      </c>
      <c r="C51" s="107"/>
      <c r="D51" s="103"/>
      <c r="E51" s="136">
        <f>SUM(B15:B16)</f>
        <v>0</v>
      </c>
      <c r="F51" s="107"/>
      <c r="G51" s="107"/>
      <c r="H51" s="103"/>
    </row>
    <row r="52" spans="1:8" ht="14.25" customHeight="1">
      <c r="A52" s="37"/>
      <c r="B52" s="152" t="s">
        <v>61</v>
      </c>
      <c r="C52" s="107"/>
      <c r="D52" s="103"/>
      <c r="E52" s="102">
        <f>SUM(B19:B20)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SUM(B29:B30)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0" si="7">B31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>B45</f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A1:H2"/>
    <mergeCell ref="A3:H4"/>
    <mergeCell ref="C5:D5"/>
    <mergeCell ref="C6:D6"/>
    <mergeCell ref="C7:D7"/>
    <mergeCell ref="C10:D10"/>
    <mergeCell ref="C11:D11"/>
    <mergeCell ref="C12:D12"/>
    <mergeCell ref="C13:D13"/>
    <mergeCell ref="A15:H15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8.7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8.7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E46:H46"/>
    <mergeCell ref="B46:D46"/>
    <mergeCell ref="B47:D47"/>
    <mergeCell ref="B48:D48"/>
    <mergeCell ref="B49:D49"/>
    <mergeCell ref="E49:H49"/>
    <mergeCell ref="E47:H47"/>
    <mergeCell ref="E48:H48"/>
    <mergeCell ref="E42:H42"/>
    <mergeCell ref="E43:H43"/>
    <mergeCell ref="B44:D44"/>
    <mergeCell ref="E44:H44"/>
    <mergeCell ref="B45:D45"/>
    <mergeCell ref="E45:H45"/>
    <mergeCell ref="E40:H40"/>
    <mergeCell ref="A37:B37"/>
    <mergeCell ref="E37:F37"/>
    <mergeCell ref="A38:H39"/>
    <mergeCell ref="E41:H41"/>
    <mergeCell ref="B41:D41"/>
    <mergeCell ref="B42:D42"/>
    <mergeCell ref="B43:D43"/>
    <mergeCell ref="A36:B36"/>
    <mergeCell ref="B40:D40"/>
    <mergeCell ref="A35:B35"/>
    <mergeCell ref="E35:F35"/>
    <mergeCell ref="E36:F36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44:D44"/>
    <mergeCell ref="B48:D48"/>
    <mergeCell ref="B46:D46"/>
    <mergeCell ref="B47:D47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15:H15"/>
    <mergeCell ref="A38:H39"/>
    <mergeCell ref="C8:D8"/>
    <mergeCell ref="C13:D13"/>
    <mergeCell ref="E48:H48"/>
    <mergeCell ref="B49:D49"/>
    <mergeCell ref="E49:H49"/>
    <mergeCell ref="A31:B31"/>
    <mergeCell ref="E31:F31"/>
    <mergeCell ref="A32:B32"/>
    <mergeCell ref="E32:F32"/>
    <mergeCell ref="A33:B33"/>
    <mergeCell ref="E33:F33"/>
    <mergeCell ref="E35:F35"/>
    <mergeCell ref="E34:F34"/>
    <mergeCell ref="A34:B34"/>
    <mergeCell ref="A35:B35"/>
    <mergeCell ref="E36:F36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4:D14"/>
    <mergeCell ref="A36:B36"/>
    <mergeCell ref="A37:B37"/>
    <mergeCell ref="B40:D40"/>
    <mergeCell ref="E40:H40"/>
    <mergeCell ref="A30:B30"/>
    <mergeCell ref="E30:F30"/>
    <mergeCell ref="E37:F37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34" t="s">
        <v>76</v>
      </c>
      <c r="B1" s="126"/>
      <c r="C1" s="126"/>
      <c r="D1" s="126"/>
      <c r="E1" s="126"/>
      <c r="F1" s="126"/>
      <c r="G1" s="121"/>
    </row>
    <row r="2" spans="1:7" ht="14.25" customHeight="1">
      <c r="A2" s="124"/>
      <c r="B2" s="127"/>
      <c r="C2" s="127"/>
      <c r="D2" s="127"/>
      <c r="E2" s="127"/>
      <c r="F2" s="127"/>
      <c r="G2" s="106"/>
    </row>
    <row r="3" spans="1:7" ht="14.25" customHeight="1">
      <c r="A3" s="177" t="s">
        <v>77</v>
      </c>
      <c r="B3" s="107"/>
      <c r="C3" s="103"/>
      <c r="D3" s="177" t="s">
        <v>78</v>
      </c>
      <c r="E3" s="107"/>
      <c r="F3" s="107"/>
      <c r="G3" s="103"/>
    </row>
    <row r="4" spans="1:7" ht="41.25" customHeight="1">
      <c r="A4" s="175" t="s">
        <v>79</v>
      </c>
      <c r="B4" s="107"/>
      <c r="C4" s="103"/>
      <c r="D4" s="17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45225</v>
      </c>
      <c r="E4" s="107"/>
      <c r="F4" s="107"/>
      <c r="G4" s="103"/>
    </row>
    <row r="5" spans="1:7" ht="36.75" customHeight="1">
      <c r="A5" s="175" t="s">
        <v>52</v>
      </c>
      <c r="B5" s="107"/>
      <c r="C5" s="103"/>
      <c r="D5" s="17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875</v>
      </c>
      <c r="E5" s="107"/>
      <c r="F5" s="107"/>
      <c r="G5" s="103"/>
    </row>
    <row r="6" spans="1:7" ht="39.75" customHeight="1">
      <c r="A6" s="175" t="s">
        <v>56</v>
      </c>
      <c r="B6" s="107"/>
      <c r="C6" s="103"/>
      <c r="D6" s="17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4682</v>
      </c>
      <c r="E6" s="107"/>
      <c r="F6" s="107"/>
      <c r="G6" s="103"/>
    </row>
    <row r="7" spans="1:7" ht="38.25" customHeight="1">
      <c r="A7" s="178" t="s">
        <v>61</v>
      </c>
      <c r="B7" s="107"/>
      <c r="C7" s="103"/>
      <c r="D7" s="17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07"/>
      <c r="F7" s="107"/>
      <c r="G7" s="103"/>
    </row>
    <row r="8" spans="1:7" ht="39.75" customHeight="1">
      <c r="A8" s="178" t="s">
        <v>62</v>
      </c>
      <c r="B8" s="107"/>
      <c r="C8" s="103"/>
      <c r="D8" s="17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07"/>
      <c r="F8" s="107"/>
      <c r="G8" s="103"/>
    </row>
    <row r="9" spans="1:7" ht="38.25" customHeight="1">
      <c r="A9" s="178" t="s">
        <v>81</v>
      </c>
      <c r="B9" s="107"/>
      <c r="C9" s="103"/>
      <c r="D9" s="17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07"/>
      <c r="F9" s="107"/>
      <c r="G9" s="103"/>
    </row>
    <row r="10" spans="1:7" ht="37.5" customHeight="1">
      <c r="A10" s="178" t="s">
        <v>81</v>
      </c>
      <c r="B10" s="107"/>
      <c r="C10" s="103"/>
      <c r="D10" s="17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07"/>
      <c r="F10" s="107"/>
      <c r="G10" s="103"/>
    </row>
    <row r="11" spans="1:7" ht="38.25" customHeight="1">
      <c r="A11" s="178" t="s">
        <v>81</v>
      </c>
      <c r="B11" s="107"/>
      <c r="C11" s="103"/>
      <c r="D11" s="17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07"/>
      <c r="F11" s="107"/>
      <c r="G11" s="103"/>
    </row>
    <row r="12" spans="1:7" ht="36" customHeight="1">
      <c r="A12" s="178" t="s">
        <v>81</v>
      </c>
      <c r="B12" s="107"/>
      <c r="C12" s="103"/>
      <c r="D12" s="17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07"/>
      <c r="F12" s="107"/>
      <c r="G12" s="103"/>
    </row>
    <row r="13" spans="1:7" ht="37.5" customHeight="1">
      <c r="A13" s="178" t="s">
        <v>81</v>
      </c>
      <c r="B13" s="107"/>
      <c r="C13" s="103"/>
      <c r="D13" s="17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07"/>
      <c r="F13" s="107"/>
      <c r="G13" s="103"/>
    </row>
    <row r="14" spans="1:7" ht="14.25" customHeight="1">
      <c r="A14" s="178" t="s">
        <v>81</v>
      </c>
      <c r="B14" s="107"/>
      <c r="C14" s="103"/>
      <c r="D14" s="17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07"/>
      <c r="F14" s="107"/>
      <c r="G14" s="103"/>
    </row>
    <row r="15" spans="1:7" ht="14.25" customHeight="1">
      <c r="A15" s="178" t="s">
        <v>81</v>
      </c>
      <c r="B15" s="107"/>
      <c r="C15" s="103"/>
      <c r="D15" s="17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07"/>
      <c r="F15" s="107"/>
      <c r="G15" s="103"/>
    </row>
    <row r="16" spans="1:7" ht="14.25" customHeight="1">
      <c r="A16" s="178" t="s">
        <v>81</v>
      </c>
      <c r="B16" s="107"/>
      <c r="C16" s="103"/>
      <c r="D16" s="17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07"/>
      <c r="F16" s="107"/>
      <c r="G16" s="103"/>
    </row>
    <row r="17" spans="1:7" ht="14.25" customHeight="1">
      <c r="A17" s="178" t="s">
        <v>82</v>
      </c>
      <c r="B17" s="107"/>
      <c r="C17" s="103"/>
      <c r="D17" s="179">
        <f>SUM(D4:D16)</f>
        <v>50782</v>
      </c>
      <c r="E17" s="107"/>
      <c r="F17" s="107"/>
      <c r="G17" s="103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A6:C6"/>
    <mergeCell ref="D6:G6"/>
    <mergeCell ref="A7:C7"/>
    <mergeCell ref="D7:G7"/>
    <mergeCell ref="D8:G8"/>
    <mergeCell ref="D13:G13"/>
    <mergeCell ref="A14:C14"/>
    <mergeCell ref="D14:G14"/>
    <mergeCell ref="A15:C15"/>
    <mergeCell ref="D15:G15"/>
    <mergeCell ref="A16:C16"/>
    <mergeCell ref="A17:C17"/>
    <mergeCell ref="A8:C8"/>
    <mergeCell ref="A13:C13"/>
    <mergeCell ref="A10:C10"/>
    <mergeCell ref="A9:C9"/>
    <mergeCell ref="A11:C11"/>
    <mergeCell ref="A12:C12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2026-05-01T11:54:16Z</dcterms:modified>
</cp:coreProperties>
</file>