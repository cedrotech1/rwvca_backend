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H P\Downloads\"/>
    </mc:Choice>
  </mc:AlternateContent>
  <xr:revisionPtr revIDLastSave="0" documentId="8_{D12ED0AC-27D3-4FAB-AC10-E70AEA1D1157}" xr6:coauthVersionLast="47" xr6:coauthVersionMax="47" xr10:uidLastSave="{00000000-0000-0000-0000-000000000000}"/>
  <bookViews>
    <workbookView xWindow="-110" yWindow="-110" windowWidth="19420" windowHeight="10300" tabRatio="965" firstSheet="7" activeTab="12" xr2:uid="{00000000-000D-0000-FFFF-FFFF00000000}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18" l="1"/>
  <c r="E58" i="17"/>
  <c r="E58" i="16"/>
  <c r="E58" i="15"/>
  <c r="E58" i="14"/>
  <c r="E58" i="13"/>
  <c r="E58" i="12"/>
  <c r="E58" i="11"/>
  <c r="E58" i="10"/>
  <c r="E58" i="9"/>
  <c r="E58" i="22"/>
  <c r="E58" i="8"/>
  <c r="E58" i="7"/>
  <c r="E58" i="6"/>
  <c r="E58" i="19"/>
  <c r="E58" i="5"/>
  <c r="E58" i="4"/>
  <c r="E58" i="3"/>
  <c r="E58" i="2"/>
  <c r="E58" i="23"/>
  <c r="E58" i="24"/>
  <c r="D13" i="21"/>
  <c r="E59" i="18"/>
  <c r="E59" i="17"/>
  <c r="E59" i="16"/>
  <c r="E59" i="15"/>
  <c r="E59" i="14"/>
  <c r="E59" i="13"/>
  <c r="E59" i="12"/>
  <c r="E59" i="11"/>
  <c r="E59" i="10"/>
  <c r="E59" i="9"/>
  <c r="E59" i="22"/>
  <c r="E59" i="8"/>
  <c r="E59" i="7"/>
  <c r="E59" i="6"/>
  <c r="E59" i="19"/>
  <c r="E59" i="5"/>
  <c r="E59" i="4"/>
  <c r="E59" i="3"/>
  <c r="E59" i="2"/>
  <c r="E59" i="23"/>
  <c r="E59" i="24"/>
  <c r="D14" i="21"/>
  <c r="E60" i="18"/>
  <c r="E60" i="17"/>
  <c r="E60" i="16"/>
  <c r="E60" i="15"/>
  <c r="E60" i="14"/>
  <c r="E60" i="13"/>
  <c r="E60" i="12"/>
  <c r="E60" i="11"/>
  <c r="E60" i="10"/>
  <c r="E60" i="9"/>
  <c r="E60" i="22"/>
  <c r="E60" i="8"/>
  <c r="E60" i="7"/>
  <c r="E60" i="6"/>
  <c r="E60" i="19"/>
  <c r="E60" i="5"/>
  <c r="E60" i="4"/>
  <c r="E60" i="3"/>
  <c r="E60" i="2"/>
  <c r="E60" i="23"/>
  <c r="E60" i="24"/>
  <c r="D15" i="21"/>
  <c r="E61" i="18"/>
  <c r="E61" i="17"/>
  <c r="E61" i="16"/>
  <c r="E61" i="15"/>
  <c r="E61" i="14"/>
  <c r="E61" i="13"/>
  <c r="E61" i="12"/>
  <c r="E61" i="11"/>
  <c r="E61" i="10"/>
  <c r="E61" i="9"/>
  <c r="E61" i="22"/>
  <c r="E61" i="8"/>
  <c r="E61" i="7"/>
  <c r="E61" i="6"/>
  <c r="E61" i="19"/>
  <c r="E61" i="5"/>
  <c r="E61" i="4"/>
  <c r="E61" i="3"/>
  <c r="E61" i="2"/>
  <c r="E61" i="23"/>
  <c r="E61" i="24"/>
  <c r="D16" i="21"/>
  <c r="E50" i="18"/>
  <c r="D5" i="21" s="1"/>
  <c r="E50" i="17"/>
  <c r="E50" i="16"/>
  <c r="E50" i="15"/>
  <c r="E50" i="14"/>
  <c r="E50" i="13"/>
  <c r="E50" i="12"/>
  <c r="E50" i="11"/>
  <c r="E50" i="10"/>
  <c r="E50" i="9"/>
  <c r="E50" i="22"/>
  <c r="E50" i="8"/>
  <c r="E50" i="7"/>
  <c r="E50" i="6"/>
  <c r="E50" i="19"/>
  <c r="E50" i="5"/>
  <c r="E50" i="4"/>
  <c r="E50" i="3"/>
  <c r="E50" i="2"/>
  <c r="E50" i="23"/>
  <c r="E50" i="24"/>
  <c r="E51" i="18"/>
  <c r="D6" i="21" s="1"/>
  <c r="E51" i="17"/>
  <c r="E51" i="16"/>
  <c r="E51" i="15"/>
  <c r="E51" i="14"/>
  <c r="E51" i="13"/>
  <c r="E51" i="12"/>
  <c r="E51" i="11"/>
  <c r="E51" i="10"/>
  <c r="E51" i="9"/>
  <c r="E51" i="22"/>
  <c r="E51" i="8"/>
  <c r="E51" i="7"/>
  <c r="E51" i="6"/>
  <c r="E51" i="19"/>
  <c r="E51" i="5"/>
  <c r="E51" i="4"/>
  <c r="E51" i="3"/>
  <c r="E51" i="2"/>
  <c r="E51" i="23"/>
  <c r="E51" i="24"/>
  <c r="E52" i="18"/>
  <c r="E52" i="17"/>
  <c r="E52" i="16"/>
  <c r="E52" i="15"/>
  <c r="E52" i="14"/>
  <c r="E52" i="13"/>
  <c r="E52" i="12"/>
  <c r="E52" i="11"/>
  <c r="E52" i="10"/>
  <c r="E52" i="9"/>
  <c r="E52" i="22"/>
  <c r="E52" i="8"/>
  <c r="E52" i="7"/>
  <c r="E52" i="6"/>
  <c r="E52" i="19"/>
  <c r="E52" i="5"/>
  <c r="E52" i="4"/>
  <c r="E52" i="3"/>
  <c r="E52" i="2"/>
  <c r="E52" i="23"/>
  <c r="E52" i="24"/>
  <c r="D7" i="21"/>
  <c r="E53" i="18"/>
  <c r="E53" i="17"/>
  <c r="E53" i="16"/>
  <c r="E53" i="15"/>
  <c r="E53" i="14"/>
  <c r="E53" i="13"/>
  <c r="E53" i="12"/>
  <c r="E53" i="11"/>
  <c r="E53" i="10"/>
  <c r="E53" i="9"/>
  <c r="E53" i="22"/>
  <c r="E53" i="8"/>
  <c r="E53" i="7"/>
  <c r="E53" i="6"/>
  <c r="E53" i="19"/>
  <c r="E53" i="5"/>
  <c r="E53" i="4"/>
  <c r="E53" i="3"/>
  <c r="E53" i="2"/>
  <c r="E53" i="23"/>
  <c r="E53" i="24"/>
  <c r="D8" i="21"/>
  <c r="E54" i="18"/>
  <c r="E54" i="17"/>
  <c r="E54" i="16"/>
  <c r="E54" i="15"/>
  <c r="E54" i="14"/>
  <c r="E54" i="13"/>
  <c r="E54" i="12"/>
  <c r="E54" i="11"/>
  <c r="E54" i="10"/>
  <c r="E54" i="9"/>
  <c r="E54" i="22"/>
  <c r="E54" i="8"/>
  <c r="E54" i="7"/>
  <c r="E54" i="6"/>
  <c r="E54" i="19"/>
  <c r="E54" i="5"/>
  <c r="E54" i="4"/>
  <c r="E54" i="3"/>
  <c r="E54" i="2"/>
  <c r="E54" i="23"/>
  <c r="E54" i="24"/>
  <c r="D9" i="21"/>
  <c r="E55" i="18"/>
  <c r="E55" i="17"/>
  <c r="E55" i="16"/>
  <c r="E55" i="15"/>
  <c r="E55" i="14"/>
  <c r="E55" i="13"/>
  <c r="E55" i="12"/>
  <c r="E55" i="11"/>
  <c r="E55" i="10"/>
  <c r="E55" i="9"/>
  <c r="E55" i="22"/>
  <c r="E55" i="8"/>
  <c r="E55" i="7"/>
  <c r="E55" i="6"/>
  <c r="E55" i="19"/>
  <c r="E55" i="5"/>
  <c r="E55" i="4"/>
  <c r="E55" i="3"/>
  <c r="E55" i="2"/>
  <c r="E55" i="23"/>
  <c r="E55" i="24"/>
  <c r="D10" i="21"/>
  <c r="E56" i="18"/>
  <c r="E56" i="17"/>
  <c r="E56" i="16"/>
  <c r="E56" i="15"/>
  <c r="E56" i="14"/>
  <c r="E56" i="13"/>
  <c r="E56" i="12"/>
  <c r="E56" i="11"/>
  <c r="E56" i="10"/>
  <c r="E56" i="9"/>
  <c r="E56" i="22"/>
  <c r="E56" i="8"/>
  <c r="E56" i="7"/>
  <c r="E56" i="6"/>
  <c r="E56" i="19"/>
  <c r="E56" i="5"/>
  <c r="E56" i="4"/>
  <c r="E56" i="3"/>
  <c r="E56" i="2"/>
  <c r="E56" i="23"/>
  <c r="E56" i="24"/>
  <c r="D11" i="21"/>
  <c r="E57" i="18"/>
  <c r="E57" i="17"/>
  <c r="E57" i="16"/>
  <c r="E57" i="15"/>
  <c r="E57" i="14"/>
  <c r="E57" i="13"/>
  <c r="E57" i="12"/>
  <c r="E57" i="11"/>
  <c r="E57" i="10"/>
  <c r="E57" i="9"/>
  <c r="E57" i="22"/>
  <c r="E57" i="8"/>
  <c r="E57" i="7"/>
  <c r="E57" i="6"/>
  <c r="E57" i="19"/>
  <c r="E57" i="5"/>
  <c r="E57" i="4"/>
  <c r="E57" i="3"/>
  <c r="E57" i="2"/>
  <c r="E57" i="23"/>
  <c r="E57" i="24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49" i="24"/>
  <c r="E62" i="24"/>
  <c r="C45" i="24"/>
  <c r="G36" i="24"/>
  <c r="E36" i="24"/>
  <c r="F36" i="24"/>
  <c r="H36" i="24"/>
  <c r="G35" i="24"/>
  <c r="E35" i="24"/>
  <c r="F35" i="24"/>
  <c r="H35" i="24"/>
  <c r="G34" i="24"/>
  <c r="E34" i="24"/>
  <c r="F34" i="24"/>
  <c r="H34" i="24"/>
  <c r="G33" i="24"/>
  <c r="E33" i="24"/>
  <c r="F33" i="24"/>
  <c r="H33" i="24"/>
  <c r="G32" i="24"/>
  <c r="E32" i="24"/>
  <c r="F32" i="24"/>
  <c r="H32" i="24"/>
  <c r="G31" i="24"/>
  <c r="E31" i="24"/>
  <c r="F31" i="24"/>
  <c r="H31" i="24"/>
  <c r="G30" i="24"/>
  <c r="E30" i="24"/>
  <c r="F30" i="24"/>
  <c r="H30" i="24"/>
  <c r="G29" i="24"/>
  <c r="E29" i="24"/>
  <c r="F29" i="24"/>
  <c r="H29" i="24"/>
  <c r="G28" i="24"/>
  <c r="E28" i="24"/>
  <c r="F28" i="24"/>
  <c r="H28" i="24"/>
  <c r="G27" i="24"/>
  <c r="E27" i="24"/>
  <c r="F27" i="24"/>
  <c r="H27" i="24"/>
  <c r="G26" i="24"/>
  <c r="E26" i="24"/>
  <c r="F26" i="24"/>
  <c r="H26" i="24"/>
  <c r="G25" i="24"/>
  <c r="E25" i="24"/>
  <c r="F25" i="24"/>
  <c r="H25" i="24"/>
  <c r="G24" i="24"/>
  <c r="E24" i="24"/>
  <c r="F24" i="24"/>
  <c r="H24" i="24"/>
  <c r="G23" i="24"/>
  <c r="E23" i="24"/>
  <c r="F23" i="24"/>
  <c r="H23" i="24"/>
  <c r="G22" i="24"/>
  <c r="E22" i="24"/>
  <c r="F22" i="24"/>
  <c r="H22" i="24"/>
  <c r="G21" i="24"/>
  <c r="E21" i="24"/>
  <c r="F21" i="24"/>
  <c r="H21" i="24"/>
  <c r="G20" i="24"/>
  <c r="E20" i="24"/>
  <c r="F20" i="24"/>
  <c r="H20" i="24"/>
  <c r="G19" i="24"/>
  <c r="E19" i="24"/>
  <c r="F19" i="24"/>
  <c r="H19" i="24"/>
  <c r="G18" i="24"/>
  <c r="E18" i="24"/>
  <c r="F18" i="24"/>
  <c r="H18" i="24"/>
  <c r="G17" i="24"/>
  <c r="E17" i="24"/>
  <c r="F17" i="24"/>
  <c r="H17" i="24"/>
  <c r="G14" i="24"/>
  <c r="E14" i="24"/>
  <c r="F14" i="24"/>
  <c r="H14" i="24"/>
  <c r="G13" i="24"/>
  <c r="E13" i="24"/>
  <c r="F13" i="24"/>
  <c r="H13" i="24"/>
  <c r="G12" i="24"/>
  <c r="E12" i="24"/>
  <c r="F12" i="24"/>
  <c r="H12" i="24"/>
  <c r="G11" i="24"/>
  <c r="E11" i="24"/>
  <c r="F11" i="24"/>
  <c r="H11" i="24"/>
  <c r="G10" i="24"/>
  <c r="E10" i="24"/>
  <c r="F10" i="24"/>
  <c r="H10" i="24"/>
  <c r="G9" i="24"/>
  <c r="E9" i="24"/>
  <c r="F9" i="24"/>
  <c r="H9" i="24"/>
  <c r="G8" i="24"/>
  <c r="E8" i="24"/>
  <c r="F8" i="24"/>
  <c r="H8" i="24"/>
  <c r="G7" i="24"/>
  <c r="E7" i="24"/>
  <c r="F7" i="24"/>
  <c r="H7" i="24"/>
  <c r="G6" i="24"/>
  <c r="G37" i="24"/>
  <c r="C25" i="1"/>
  <c r="E6" i="24"/>
  <c r="F6" i="24"/>
  <c r="E49" i="23"/>
  <c r="C45" i="23"/>
  <c r="G36" i="23"/>
  <c r="E36" i="23"/>
  <c r="F36" i="23"/>
  <c r="H36" i="23"/>
  <c r="G35" i="23"/>
  <c r="E35" i="23"/>
  <c r="F35" i="23"/>
  <c r="H35" i="23"/>
  <c r="G34" i="23"/>
  <c r="E34" i="23"/>
  <c r="F34" i="23"/>
  <c r="H34" i="23"/>
  <c r="G33" i="23"/>
  <c r="E33" i="23"/>
  <c r="F33" i="23"/>
  <c r="H33" i="23"/>
  <c r="G32" i="23"/>
  <c r="E32" i="23"/>
  <c r="F32" i="23"/>
  <c r="H32" i="23"/>
  <c r="G31" i="23"/>
  <c r="E31" i="23"/>
  <c r="F31" i="23"/>
  <c r="H31" i="23"/>
  <c r="G30" i="23"/>
  <c r="E30" i="23"/>
  <c r="F30" i="23"/>
  <c r="H30" i="23"/>
  <c r="G29" i="23"/>
  <c r="E29" i="23"/>
  <c r="F29" i="23"/>
  <c r="H29" i="23"/>
  <c r="G28" i="23"/>
  <c r="E28" i="23"/>
  <c r="F28" i="23"/>
  <c r="H28" i="23"/>
  <c r="G27" i="23"/>
  <c r="E27" i="23"/>
  <c r="F27" i="23"/>
  <c r="H27" i="23"/>
  <c r="G26" i="23"/>
  <c r="E26" i="23"/>
  <c r="F26" i="23"/>
  <c r="H26" i="23"/>
  <c r="G25" i="23"/>
  <c r="E25" i="23"/>
  <c r="F25" i="23"/>
  <c r="H25" i="23"/>
  <c r="G24" i="23"/>
  <c r="E24" i="23"/>
  <c r="F24" i="23"/>
  <c r="H24" i="23"/>
  <c r="G23" i="23"/>
  <c r="E23" i="23"/>
  <c r="F23" i="23"/>
  <c r="H23" i="23"/>
  <c r="G22" i="23"/>
  <c r="E22" i="23"/>
  <c r="F22" i="23"/>
  <c r="H22" i="23"/>
  <c r="G21" i="23"/>
  <c r="E21" i="23"/>
  <c r="F21" i="23"/>
  <c r="H21" i="23"/>
  <c r="G20" i="23"/>
  <c r="E20" i="23"/>
  <c r="F20" i="23"/>
  <c r="H20" i="23"/>
  <c r="G19" i="23"/>
  <c r="E19" i="23"/>
  <c r="F19" i="23"/>
  <c r="H19" i="23"/>
  <c r="G18" i="23"/>
  <c r="E18" i="23"/>
  <c r="F18" i="23"/>
  <c r="H18" i="23"/>
  <c r="G17" i="23"/>
  <c r="E17" i="23"/>
  <c r="F17" i="23"/>
  <c r="H17" i="23"/>
  <c r="G14" i="23"/>
  <c r="E14" i="23"/>
  <c r="F14" i="23"/>
  <c r="H14" i="23"/>
  <c r="G13" i="23"/>
  <c r="E13" i="23"/>
  <c r="F13" i="23"/>
  <c r="H13" i="23"/>
  <c r="G12" i="23"/>
  <c r="E12" i="23"/>
  <c r="F12" i="23"/>
  <c r="H12" i="23"/>
  <c r="G11" i="23"/>
  <c r="E11" i="23"/>
  <c r="F11" i="23"/>
  <c r="H11" i="23"/>
  <c r="G10" i="23"/>
  <c r="E10" i="23"/>
  <c r="F10" i="23"/>
  <c r="H10" i="23"/>
  <c r="G9" i="23"/>
  <c r="E9" i="23"/>
  <c r="F9" i="23"/>
  <c r="H9" i="23"/>
  <c r="G8" i="23"/>
  <c r="E8" i="23"/>
  <c r="F8" i="23"/>
  <c r="H8" i="23"/>
  <c r="G7" i="23"/>
  <c r="E7" i="23"/>
  <c r="F7" i="23"/>
  <c r="H7" i="23"/>
  <c r="G6" i="23"/>
  <c r="G37" i="23"/>
  <c r="C24" i="1"/>
  <c r="E6" i="23"/>
  <c r="F6" i="23"/>
  <c r="E49" i="18"/>
  <c r="C45" i="18"/>
  <c r="G36" i="18"/>
  <c r="E36" i="18"/>
  <c r="F36" i="18"/>
  <c r="H36" i="18"/>
  <c r="G35" i="18"/>
  <c r="E35" i="18"/>
  <c r="F35" i="18"/>
  <c r="H35" i="18"/>
  <c r="G34" i="18"/>
  <c r="E34" i="18"/>
  <c r="F34" i="18"/>
  <c r="H34" i="18"/>
  <c r="G33" i="18"/>
  <c r="E33" i="18"/>
  <c r="F33" i="18"/>
  <c r="H33" i="18"/>
  <c r="G32" i="18"/>
  <c r="E32" i="18"/>
  <c r="F32" i="18"/>
  <c r="H32" i="18"/>
  <c r="G31" i="18"/>
  <c r="E31" i="18"/>
  <c r="F31" i="18"/>
  <c r="H31" i="18"/>
  <c r="G30" i="18"/>
  <c r="E30" i="18"/>
  <c r="F30" i="18"/>
  <c r="H30" i="18"/>
  <c r="G29" i="18"/>
  <c r="E29" i="18"/>
  <c r="F29" i="18"/>
  <c r="H29" i="18"/>
  <c r="G28" i="18"/>
  <c r="E28" i="18"/>
  <c r="F28" i="18"/>
  <c r="H28" i="18"/>
  <c r="G27" i="18"/>
  <c r="E27" i="18"/>
  <c r="F27" i="18"/>
  <c r="H27" i="18"/>
  <c r="G26" i="18"/>
  <c r="E26" i="18"/>
  <c r="F26" i="18"/>
  <c r="H26" i="18"/>
  <c r="G25" i="18"/>
  <c r="E25" i="18"/>
  <c r="F25" i="18"/>
  <c r="H25" i="18"/>
  <c r="G24" i="18"/>
  <c r="E24" i="18"/>
  <c r="F24" i="18"/>
  <c r="H24" i="18"/>
  <c r="G23" i="18"/>
  <c r="E23" i="18"/>
  <c r="F23" i="18"/>
  <c r="H23" i="18"/>
  <c r="G22" i="18"/>
  <c r="E22" i="18"/>
  <c r="F22" i="18"/>
  <c r="H22" i="18"/>
  <c r="G21" i="18"/>
  <c r="E21" i="18"/>
  <c r="F21" i="18" s="1"/>
  <c r="G20" i="18"/>
  <c r="E20" i="18"/>
  <c r="F20" i="18"/>
  <c r="H20" i="18"/>
  <c r="G19" i="18"/>
  <c r="E19" i="18"/>
  <c r="F19" i="18"/>
  <c r="H19" i="18"/>
  <c r="G18" i="18"/>
  <c r="E18" i="18"/>
  <c r="F18" i="18"/>
  <c r="H18" i="18"/>
  <c r="G17" i="18"/>
  <c r="E17" i="18"/>
  <c r="F17" i="18" s="1"/>
  <c r="H17" i="18" s="1"/>
  <c r="G14" i="18"/>
  <c r="E14" i="18"/>
  <c r="F14" i="18"/>
  <c r="H14" i="18"/>
  <c r="G13" i="18"/>
  <c r="E13" i="18"/>
  <c r="F13" i="18" s="1"/>
  <c r="H13" i="18" s="1"/>
  <c r="G12" i="18"/>
  <c r="E12" i="18"/>
  <c r="F12" i="18"/>
  <c r="H12" i="18"/>
  <c r="G11" i="18"/>
  <c r="E11" i="18"/>
  <c r="F11" i="18"/>
  <c r="H11" i="18" s="1"/>
  <c r="G10" i="18"/>
  <c r="E10" i="18"/>
  <c r="F10" i="18" s="1"/>
  <c r="H10" i="18" s="1"/>
  <c r="G9" i="18"/>
  <c r="E9" i="18"/>
  <c r="F9" i="18"/>
  <c r="H9" i="18"/>
  <c r="G8" i="18"/>
  <c r="E8" i="18"/>
  <c r="F8" i="18" s="1"/>
  <c r="G7" i="18"/>
  <c r="E7" i="18"/>
  <c r="F7" i="18"/>
  <c r="H7" i="18" s="1"/>
  <c r="G6" i="18"/>
  <c r="E6" i="18"/>
  <c r="F6" i="18"/>
  <c r="E49" i="17"/>
  <c r="C45" i="17"/>
  <c r="G36" i="17"/>
  <c r="E36" i="17"/>
  <c r="F36" i="17"/>
  <c r="H36" i="17"/>
  <c r="G35" i="17"/>
  <c r="E35" i="17"/>
  <c r="F35" i="17"/>
  <c r="H35" i="17"/>
  <c r="G34" i="17"/>
  <c r="E34" i="17"/>
  <c r="F34" i="17"/>
  <c r="H34" i="17"/>
  <c r="G33" i="17"/>
  <c r="E33" i="17"/>
  <c r="F33" i="17"/>
  <c r="H33" i="17"/>
  <c r="G32" i="17"/>
  <c r="E32" i="17"/>
  <c r="F32" i="17"/>
  <c r="H32" i="17"/>
  <c r="G31" i="17"/>
  <c r="E31" i="17"/>
  <c r="F31" i="17"/>
  <c r="H31" i="17"/>
  <c r="G30" i="17"/>
  <c r="E30" i="17"/>
  <c r="F30" i="17"/>
  <c r="H30" i="17"/>
  <c r="G29" i="17"/>
  <c r="E29" i="17"/>
  <c r="F29" i="17"/>
  <c r="H29" i="17"/>
  <c r="G28" i="17"/>
  <c r="E28" i="17"/>
  <c r="F28" i="17"/>
  <c r="H28" i="17"/>
  <c r="G27" i="17"/>
  <c r="E27" i="17"/>
  <c r="F27" i="17"/>
  <c r="H27" i="17"/>
  <c r="G26" i="17"/>
  <c r="E26" i="17"/>
  <c r="F26" i="17"/>
  <c r="H26" i="17"/>
  <c r="G25" i="17"/>
  <c r="E25" i="17"/>
  <c r="F25" i="17"/>
  <c r="H25" i="17"/>
  <c r="G24" i="17"/>
  <c r="E24" i="17"/>
  <c r="F24" i="17"/>
  <c r="H24" i="17"/>
  <c r="G23" i="17"/>
  <c r="E23" i="17"/>
  <c r="F23" i="17"/>
  <c r="H23" i="17"/>
  <c r="G22" i="17"/>
  <c r="E22" i="17"/>
  <c r="F22" i="17"/>
  <c r="H22" i="17"/>
  <c r="G21" i="17"/>
  <c r="E21" i="17"/>
  <c r="F21" i="17"/>
  <c r="H21" i="17"/>
  <c r="G20" i="17"/>
  <c r="E20" i="17"/>
  <c r="F20" i="17"/>
  <c r="H20" i="17"/>
  <c r="G19" i="17"/>
  <c r="E19" i="17"/>
  <c r="F19" i="17"/>
  <c r="H19" i="17"/>
  <c r="G18" i="17"/>
  <c r="E18" i="17"/>
  <c r="F18" i="17"/>
  <c r="H18" i="17"/>
  <c r="G17" i="17"/>
  <c r="E17" i="17"/>
  <c r="F17" i="17"/>
  <c r="H17" i="17"/>
  <c r="G14" i="17"/>
  <c r="E14" i="17"/>
  <c r="F14" i="17"/>
  <c r="H14" i="17"/>
  <c r="G13" i="17"/>
  <c r="E13" i="17"/>
  <c r="F13" i="17"/>
  <c r="H13" i="17"/>
  <c r="G12" i="17"/>
  <c r="E12" i="17"/>
  <c r="F12" i="17"/>
  <c r="H12" i="17"/>
  <c r="G11" i="17"/>
  <c r="E11" i="17"/>
  <c r="F11" i="17"/>
  <c r="H11" i="17"/>
  <c r="G10" i="17"/>
  <c r="E10" i="17"/>
  <c r="F10" i="17"/>
  <c r="G9" i="17"/>
  <c r="E9" i="17"/>
  <c r="F9" i="17"/>
  <c r="H9" i="17"/>
  <c r="G8" i="17"/>
  <c r="E8" i="17"/>
  <c r="F8" i="17"/>
  <c r="H8" i="17"/>
  <c r="G7" i="17"/>
  <c r="E7" i="17"/>
  <c r="F7" i="17"/>
  <c r="H7" i="17"/>
  <c r="G6" i="17"/>
  <c r="G37" i="17"/>
  <c r="C21" i="1"/>
  <c r="E6" i="17"/>
  <c r="F6" i="17"/>
  <c r="E49" i="16"/>
  <c r="E62" i="16"/>
  <c r="C45" i="16"/>
  <c r="G36" i="16"/>
  <c r="E36" i="16"/>
  <c r="F36" i="16"/>
  <c r="H36" i="16"/>
  <c r="G35" i="16"/>
  <c r="E35" i="16"/>
  <c r="F35" i="16"/>
  <c r="H35" i="16"/>
  <c r="G34" i="16"/>
  <c r="E34" i="16"/>
  <c r="F34" i="16"/>
  <c r="H34" i="16"/>
  <c r="G33" i="16"/>
  <c r="E33" i="16"/>
  <c r="F33" i="16"/>
  <c r="H33" i="16"/>
  <c r="G32" i="16"/>
  <c r="E32" i="16"/>
  <c r="F32" i="16"/>
  <c r="H32" i="16"/>
  <c r="G31" i="16"/>
  <c r="E31" i="16"/>
  <c r="F31" i="16"/>
  <c r="H31" i="16"/>
  <c r="G30" i="16"/>
  <c r="E30" i="16"/>
  <c r="F30" i="16"/>
  <c r="H30" i="16"/>
  <c r="G29" i="16"/>
  <c r="E29" i="16"/>
  <c r="F29" i="16"/>
  <c r="H29" i="16"/>
  <c r="G28" i="16"/>
  <c r="E28" i="16"/>
  <c r="F28" i="16"/>
  <c r="H28" i="16"/>
  <c r="G27" i="16"/>
  <c r="E27" i="16"/>
  <c r="F27" i="16"/>
  <c r="H27" i="16"/>
  <c r="G26" i="16"/>
  <c r="E26" i="16"/>
  <c r="F26" i="16"/>
  <c r="H26" i="16"/>
  <c r="G25" i="16"/>
  <c r="E25" i="16"/>
  <c r="F25" i="16"/>
  <c r="H25" i="16"/>
  <c r="G24" i="16"/>
  <c r="E24" i="16"/>
  <c r="F24" i="16"/>
  <c r="H24" i="16"/>
  <c r="G23" i="16"/>
  <c r="E23" i="16"/>
  <c r="F23" i="16"/>
  <c r="H23" i="16"/>
  <c r="G22" i="16"/>
  <c r="E22" i="16"/>
  <c r="F22" i="16"/>
  <c r="H22" i="16"/>
  <c r="G21" i="16"/>
  <c r="E21" i="16"/>
  <c r="F21" i="16"/>
  <c r="H21" i="16"/>
  <c r="G20" i="16"/>
  <c r="E20" i="16"/>
  <c r="F20" i="16"/>
  <c r="H20" i="16"/>
  <c r="G19" i="16"/>
  <c r="E19" i="16"/>
  <c r="F19" i="16"/>
  <c r="H19" i="16"/>
  <c r="G18" i="16"/>
  <c r="E18" i="16"/>
  <c r="F18" i="16"/>
  <c r="H18" i="16"/>
  <c r="G17" i="16"/>
  <c r="E17" i="16"/>
  <c r="F17" i="16"/>
  <c r="H17" i="16"/>
  <c r="G14" i="16"/>
  <c r="E14" i="16"/>
  <c r="F14" i="16"/>
  <c r="H14" i="16"/>
  <c r="G13" i="16"/>
  <c r="E13" i="16"/>
  <c r="F13" i="16"/>
  <c r="H13" i="16"/>
  <c r="G12" i="16"/>
  <c r="E12" i="16"/>
  <c r="F12" i="16"/>
  <c r="H12" i="16"/>
  <c r="G11" i="16"/>
  <c r="E11" i="16"/>
  <c r="F11" i="16"/>
  <c r="H11" i="16"/>
  <c r="G10" i="16"/>
  <c r="E10" i="16"/>
  <c r="F10" i="16"/>
  <c r="G9" i="16"/>
  <c r="E9" i="16"/>
  <c r="F9" i="16"/>
  <c r="H9" i="16"/>
  <c r="G8" i="16"/>
  <c r="E8" i="16"/>
  <c r="F8" i="16"/>
  <c r="H8" i="16"/>
  <c r="G7" i="16"/>
  <c r="E7" i="16"/>
  <c r="F7" i="16"/>
  <c r="H7" i="16"/>
  <c r="G6" i="16"/>
  <c r="G37" i="16"/>
  <c r="C20" i="1"/>
  <c r="E6" i="16"/>
  <c r="F6" i="16"/>
  <c r="E49" i="14"/>
  <c r="E62" i="14"/>
  <c r="C45" i="14"/>
  <c r="G36" i="14"/>
  <c r="E36" i="14"/>
  <c r="F36" i="14"/>
  <c r="H36" i="14"/>
  <c r="G35" i="14"/>
  <c r="E35" i="14"/>
  <c r="F35" i="14"/>
  <c r="H35" i="14"/>
  <c r="G34" i="14"/>
  <c r="E34" i="14"/>
  <c r="F34" i="14"/>
  <c r="H34" i="14"/>
  <c r="G33" i="14"/>
  <c r="E33" i="14"/>
  <c r="F33" i="14"/>
  <c r="H33" i="14"/>
  <c r="G32" i="14"/>
  <c r="E32" i="14"/>
  <c r="F32" i="14"/>
  <c r="H32" i="14"/>
  <c r="G31" i="14"/>
  <c r="E31" i="14"/>
  <c r="F31" i="14"/>
  <c r="H31" i="14"/>
  <c r="G30" i="14"/>
  <c r="E30" i="14"/>
  <c r="F30" i="14"/>
  <c r="H30" i="14"/>
  <c r="G29" i="14"/>
  <c r="E29" i="14"/>
  <c r="F29" i="14"/>
  <c r="H29" i="14"/>
  <c r="G28" i="14"/>
  <c r="E28" i="14"/>
  <c r="F28" i="14"/>
  <c r="H28" i="14"/>
  <c r="G27" i="14"/>
  <c r="E27" i="14"/>
  <c r="F27" i="14"/>
  <c r="H27" i="14"/>
  <c r="G26" i="14"/>
  <c r="E26" i="14"/>
  <c r="F26" i="14"/>
  <c r="H26" i="14"/>
  <c r="G25" i="14"/>
  <c r="E25" i="14"/>
  <c r="F25" i="14"/>
  <c r="H25" i="14"/>
  <c r="G24" i="14"/>
  <c r="E24" i="14"/>
  <c r="F24" i="14"/>
  <c r="H24" i="14"/>
  <c r="G23" i="14"/>
  <c r="E23" i="14"/>
  <c r="F23" i="14"/>
  <c r="H23" i="14"/>
  <c r="G22" i="14"/>
  <c r="E22" i="14"/>
  <c r="F22" i="14"/>
  <c r="H22" i="14"/>
  <c r="G21" i="14"/>
  <c r="E21" i="14"/>
  <c r="F21" i="14"/>
  <c r="H21" i="14"/>
  <c r="G20" i="14"/>
  <c r="E20" i="14"/>
  <c r="F20" i="14"/>
  <c r="H20" i="14"/>
  <c r="G19" i="14"/>
  <c r="E19" i="14"/>
  <c r="F19" i="14"/>
  <c r="H19" i="14"/>
  <c r="G18" i="14"/>
  <c r="E18" i="14"/>
  <c r="F18" i="14"/>
  <c r="H18" i="14"/>
  <c r="G17" i="14"/>
  <c r="E17" i="14"/>
  <c r="F17" i="14"/>
  <c r="H17" i="14"/>
  <c r="G14" i="14"/>
  <c r="E14" i="14"/>
  <c r="F14" i="14"/>
  <c r="H14" i="14"/>
  <c r="G13" i="14"/>
  <c r="E13" i="14"/>
  <c r="F13" i="14"/>
  <c r="H13" i="14"/>
  <c r="G12" i="14"/>
  <c r="E12" i="14"/>
  <c r="F12" i="14"/>
  <c r="H12" i="14"/>
  <c r="G11" i="14"/>
  <c r="E11" i="14"/>
  <c r="F11" i="14"/>
  <c r="H11" i="14"/>
  <c r="G10" i="14"/>
  <c r="E10" i="14"/>
  <c r="F10" i="14"/>
  <c r="H10" i="14"/>
  <c r="G9" i="14"/>
  <c r="E9" i="14"/>
  <c r="F9" i="14"/>
  <c r="H9" i="14"/>
  <c r="G8" i="14"/>
  <c r="E8" i="14"/>
  <c r="F8" i="14"/>
  <c r="H8" i="14"/>
  <c r="G7" i="14"/>
  <c r="E7" i="14"/>
  <c r="F7" i="14"/>
  <c r="H7" i="14"/>
  <c r="G6" i="14"/>
  <c r="G37" i="14"/>
  <c r="C18" i="1"/>
  <c r="E6" i="14"/>
  <c r="F6" i="14"/>
  <c r="E49" i="13"/>
  <c r="C45" i="13"/>
  <c r="G36" i="13"/>
  <c r="E36" i="13"/>
  <c r="F36" i="13"/>
  <c r="H36" i="13"/>
  <c r="G35" i="13"/>
  <c r="E35" i="13"/>
  <c r="F35" i="13"/>
  <c r="H35" i="13"/>
  <c r="G34" i="13"/>
  <c r="E34" i="13"/>
  <c r="F34" i="13"/>
  <c r="H34" i="13"/>
  <c r="G33" i="13"/>
  <c r="E33" i="13"/>
  <c r="F33" i="13"/>
  <c r="H33" i="13"/>
  <c r="G32" i="13"/>
  <c r="E32" i="13"/>
  <c r="F32" i="13"/>
  <c r="H32" i="13"/>
  <c r="G31" i="13"/>
  <c r="E31" i="13"/>
  <c r="F31" i="13"/>
  <c r="H31" i="13"/>
  <c r="G30" i="13"/>
  <c r="E30" i="13"/>
  <c r="F30" i="13"/>
  <c r="H30" i="13"/>
  <c r="G29" i="13"/>
  <c r="E29" i="13"/>
  <c r="F29" i="13"/>
  <c r="H29" i="13"/>
  <c r="G28" i="13"/>
  <c r="E28" i="13"/>
  <c r="F28" i="13"/>
  <c r="H28" i="13"/>
  <c r="G27" i="13"/>
  <c r="E27" i="13"/>
  <c r="F27" i="13"/>
  <c r="H27" i="13"/>
  <c r="G26" i="13"/>
  <c r="E26" i="13"/>
  <c r="F26" i="13"/>
  <c r="H26" i="13"/>
  <c r="G25" i="13"/>
  <c r="E25" i="13"/>
  <c r="F25" i="13"/>
  <c r="H25" i="13"/>
  <c r="G24" i="13"/>
  <c r="E24" i="13"/>
  <c r="F24" i="13"/>
  <c r="H24" i="13"/>
  <c r="G23" i="13"/>
  <c r="E23" i="13"/>
  <c r="F23" i="13"/>
  <c r="H23" i="13"/>
  <c r="G22" i="13"/>
  <c r="E22" i="13"/>
  <c r="F22" i="13"/>
  <c r="H22" i="13"/>
  <c r="G21" i="13"/>
  <c r="E21" i="13"/>
  <c r="F21" i="13"/>
  <c r="H21" i="13"/>
  <c r="G20" i="13"/>
  <c r="E20" i="13"/>
  <c r="F20" i="13"/>
  <c r="H20" i="13"/>
  <c r="G19" i="13"/>
  <c r="E19" i="13"/>
  <c r="F19" i="13"/>
  <c r="H19" i="13"/>
  <c r="G18" i="13"/>
  <c r="E18" i="13"/>
  <c r="F18" i="13"/>
  <c r="H18" i="13"/>
  <c r="G17" i="13"/>
  <c r="E17" i="13"/>
  <c r="F17" i="13"/>
  <c r="H17" i="13"/>
  <c r="G14" i="13"/>
  <c r="E14" i="13"/>
  <c r="F14" i="13"/>
  <c r="H14" i="13"/>
  <c r="G13" i="13"/>
  <c r="E13" i="13"/>
  <c r="F13" i="13"/>
  <c r="H13" i="13"/>
  <c r="G12" i="13"/>
  <c r="E12" i="13"/>
  <c r="F12" i="13"/>
  <c r="H12" i="13"/>
  <c r="G11" i="13"/>
  <c r="E11" i="13"/>
  <c r="F11" i="13"/>
  <c r="H11" i="13"/>
  <c r="G10" i="13"/>
  <c r="E10" i="13"/>
  <c r="F10" i="13"/>
  <c r="H10" i="13"/>
  <c r="G9" i="13"/>
  <c r="E9" i="13"/>
  <c r="F9" i="13"/>
  <c r="H9" i="13"/>
  <c r="G8" i="13"/>
  <c r="E8" i="13"/>
  <c r="F8" i="13"/>
  <c r="H8" i="13"/>
  <c r="G7" i="13"/>
  <c r="E7" i="13"/>
  <c r="F7" i="13"/>
  <c r="H7" i="13"/>
  <c r="G6" i="13"/>
  <c r="E6" i="13"/>
  <c r="F6" i="13"/>
  <c r="E49" i="12"/>
  <c r="E62" i="12"/>
  <c r="C45" i="12"/>
  <c r="G36" i="12"/>
  <c r="E36" i="12"/>
  <c r="F36" i="12"/>
  <c r="H36" i="12"/>
  <c r="G35" i="12"/>
  <c r="E35" i="12"/>
  <c r="F35" i="12"/>
  <c r="H35" i="12"/>
  <c r="G34" i="12"/>
  <c r="E34" i="12"/>
  <c r="F34" i="12"/>
  <c r="H34" i="12"/>
  <c r="G33" i="12"/>
  <c r="E33" i="12"/>
  <c r="F33" i="12"/>
  <c r="H33" i="12"/>
  <c r="G32" i="12"/>
  <c r="E32" i="12"/>
  <c r="F32" i="12"/>
  <c r="H32" i="12"/>
  <c r="G31" i="12"/>
  <c r="E31" i="12"/>
  <c r="F31" i="12"/>
  <c r="H31" i="12"/>
  <c r="G30" i="12"/>
  <c r="E30" i="12"/>
  <c r="F30" i="12"/>
  <c r="H30" i="12"/>
  <c r="G29" i="12"/>
  <c r="E29" i="12"/>
  <c r="F29" i="12"/>
  <c r="H29" i="12"/>
  <c r="G28" i="12"/>
  <c r="E28" i="12"/>
  <c r="F28" i="12"/>
  <c r="H28" i="12"/>
  <c r="G27" i="12"/>
  <c r="E27" i="12"/>
  <c r="F27" i="12"/>
  <c r="H27" i="12"/>
  <c r="G26" i="12"/>
  <c r="E26" i="12"/>
  <c r="F26" i="12"/>
  <c r="H26" i="12"/>
  <c r="G25" i="12"/>
  <c r="E25" i="12"/>
  <c r="F25" i="12"/>
  <c r="H25" i="12"/>
  <c r="G24" i="12"/>
  <c r="E24" i="12"/>
  <c r="F24" i="12"/>
  <c r="H24" i="12"/>
  <c r="G23" i="12"/>
  <c r="E23" i="12"/>
  <c r="F23" i="12"/>
  <c r="H23" i="12"/>
  <c r="G22" i="12"/>
  <c r="E22" i="12"/>
  <c r="F22" i="12"/>
  <c r="H22" i="12"/>
  <c r="G21" i="12"/>
  <c r="E21" i="12"/>
  <c r="F21" i="12"/>
  <c r="H21" i="12"/>
  <c r="G20" i="12"/>
  <c r="E20" i="12"/>
  <c r="F20" i="12"/>
  <c r="H20" i="12"/>
  <c r="G19" i="12"/>
  <c r="E19" i="12"/>
  <c r="F19" i="12"/>
  <c r="H19" i="12"/>
  <c r="G18" i="12"/>
  <c r="E18" i="12"/>
  <c r="F18" i="12"/>
  <c r="H18" i="12"/>
  <c r="G17" i="12"/>
  <c r="E17" i="12"/>
  <c r="F17" i="12"/>
  <c r="H17" i="12"/>
  <c r="G14" i="12"/>
  <c r="E14" i="12"/>
  <c r="F14" i="12"/>
  <c r="H14" i="12"/>
  <c r="G13" i="12"/>
  <c r="E13" i="12"/>
  <c r="F13" i="12"/>
  <c r="H13" i="12"/>
  <c r="G12" i="12"/>
  <c r="E12" i="12"/>
  <c r="F12" i="12"/>
  <c r="H12" i="12"/>
  <c r="G11" i="12"/>
  <c r="E11" i="12"/>
  <c r="F11" i="12"/>
  <c r="H11" i="12"/>
  <c r="G10" i="12"/>
  <c r="E10" i="12"/>
  <c r="F10" i="12"/>
  <c r="H10" i="12"/>
  <c r="G9" i="12"/>
  <c r="E9" i="12"/>
  <c r="F9" i="12"/>
  <c r="H9" i="12"/>
  <c r="G8" i="12"/>
  <c r="E8" i="12"/>
  <c r="F8" i="12"/>
  <c r="H8" i="12"/>
  <c r="G7" i="12"/>
  <c r="E7" i="12"/>
  <c r="F7" i="12"/>
  <c r="H7" i="12"/>
  <c r="G6" i="12"/>
  <c r="E6" i="12"/>
  <c r="F6" i="12"/>
  <c r="E49" i="15"/>
  <c r="C45" i="15"/>
  <c r="G36" i="15"/>
  <c r="E36" i="15"/>
  <c r="F36" i="15"/>
  <c r="H36" i="15"/>
  <c r="G35" i="15"/>
  <c r="E35" i="15"/>
  <c r="F35" i="15"/>
  <c r="H35" i="15"/>
  <c r="G34" i="15"/>
  <c r="E34" i="15"/>
  <c r="F34" i="15"/>
  <c r="H34" i="15"/>
  <c r="G33" i="15"/>
  <c r="E33" i="15"/>
  <c r="F33" i="15"/>
  <c r="H33" i="15"/>
  <c r="G32" i="15"/>
  <c r="E32" i="15"/>
  <c r="F32" i="15"/>
  <c r="H32" i="15"/>
  <c r="G31" i="15"/>
  <c r="E31" i="15"/>
  <c r="F31" i="15"/>
  <c r="H31" i="15"/>
  <c r="G30" i="15"/>
  <c r="E30" i="15"/>
  <c r="F30" i="15"/>
  <c r="H30" i="15"/>
  <c r="G29" i="15"/>
  <c r="E29" i="15"/>
  <c r="F29" i="15"/>
  <c r="H29" i="15"/>
  <c r="G28" i="15"/>
  <c r="E28" i="15"/>
  <c r="F28" i="15"/>
  <c r="H28" i="15"/>
  <c r="G27" i="15"/>
  <c r="E27" i="15"/>
  <c r="F27" i="15"/>
  <c r="H27" i="15"/>
  <c r="G26" i="15"/>
  <c r="E26" i="15"/>
  <c r="F26" i="15"/>
  <c r="H26" i="15"/>
  <c r="G25" i="15"/>
  <c r="E25" i="15"/>
  <c r="F25" i="15"/>
  <c r="H25" i="15"/>
  <c r="G24" i="15"/>
  <c r="E24" i="15"/>
  <c r="F24" i="15"/>
  <c r="H24" i="15"/>
  <c r="G23" i="15"/>
  <c r="E23" i="15"/>
  <c r="F23" i="15"/>
  <c r="H23" i="15"/>
  <c r="G22" i="15"/>
  <c r="E22" i="15"/>
  <c r="F22" i="15"/>
  <c r="H22" i="15"/>
  <c r="G21" i="15"/>
  <c r="E21" i="15"/>
  <c r="F21" i="15"/>
  <c r="H21" i="15"/>
  <c r="G20" i="15"/>
  <c r="E20" i="15"/>
  <c r="F20" i="15"/>
  <c r="H20" i="15"/>
  <c r="G19" i="15"/>
  <c r="E19" i="15"/>
  <c r="F19" i="15"/>
  <c r="H19" i="15"/>
  <c r="G18" i="15"/>
  <c r="E18" i="15"/>
  <c r="F18" i="15"/>
  <c r="H18" i="15"/>
  <c r="G17" i="15"/>
  <c r="E17" i="15"/>
  <c r="F17" i="15"/>
  <c r="H17" i="15"/>
  <c r="G14" i="15"/>
  <c r="E14" i="15"/>
  <c r="F14" i="15"/>
  <c r="H14" i="15"/>
  <c r="G13" i="15"/>
  <c r="E13" i="15"/>
  <c r="F13" i="15"/>
  <c r="H13" i="15"/>
  <c r="G12" i="15"/>
  <c r="E12" i="15"/>
  <c r="F12" i="15"/>
  <c r="H12" i="15"/>
  <c r="G11" i="15"/>
  <c r="E11" i="15"/>
  <c r="F11" i="15"/>
  <c r="H11" i="15"/>
  <c r="G10" i="15"/>
  <c r="E10" i="15"/>
  <c r="F10" i="15"/>
  <c r="H10" i="15"/>
  <c r="G9" i="15"/>
  <c r="E9" i="15"/>
  <c r="F9" i="15"/>
  <c r="H9" i="15"/>
  <c r="G8" i="15"/>
  <c r="E8" i="15"/>
  <c r="F8" i="15"/>
  <c r="H8" i="15"/>
  <c r="G7" i="15"/>
  <c r="E7" i="15"/>
  <c r="F7" i="15"/>
  <c r="H7" i="15"/>
  <c r="G6" i="15"/>
  <c r="E6" i="15"/>
  <c r="F6" i="15"/>
  <c r="E49" i="11"/>
  <c r="C45" i="11"/>
  <c r="G36" i="11"/>
  <c r="E36" i="11"/>
  <c r="F36" i="11"/>
  <c r="H36" i="11"/>
  <c r="G35" i="11"/>
  <c r="E35" i="11"/>
  <c r="F35" i="11"/>
  <c r="G34" i="11"/>
  <c r="E34" i="11"/>
  <c r="F34" i="11"/>
  <c r="H34" i="11"/>
  <c r="G33" i="11"/>
  <c r="E33" i="11"/>
  <c r="F33" i="11"/>
  <c r="G32" i="11"/>
  <c r="E32" i="11"/>
  <c r="F32" i="11"/>
  <c r="H32" i="11"/>
  <c r="G31" i="11"/>
  <c r="E31" i="11"/>
  <c r="F31" i="11"/>
  <c r="G30" i="11"/>
  <c r="E30" i="11"/>
  <c r="F30" i="11"/>
  <c r="H30" i="11"/>
  <c r="G29" i="11"/>
  <c r="E29" i="11"/>
  <c r="F29" i="11"/>
  <c r="G28" i="11"/>
  <c r="E28" i="11"/>
  <c r="F28" i="11"/>
  <c r="H28" i="11"/>
  <c r="G27" i="11"/>
  <c r="E27" i="11"/>
  <c r="F27" i="11"/>
  <c r="G26" i="11"/>
  <c r="E26" i="11"/>
  <c r="F26" i="11"/>
  <c r="H26" i="11"/>
  <c r="G25" i="11"/>
  <c r="E25" i="11"/>
  <c r="F25" i="11"/>
  <c r="G24" i="11"/>
  <c r="E24" i="11"/>
  <c r="F24" i="11"/>
  <c r="H24" i="11"/>
  <c r="G23" i="11"/>
  <c r="E23" i="11"/>
  <c r="F23" i="11"/>
  <c r="G22" i="11"/>
  <c r="E22" i="11"/>
  <c r="F22" i="11"/>
  <c r="H22" i="11"/>
  <c r="G21" i="11"/>
  <c r="E21" i="11"/>
  <c r="F21" i="11"/>
  <c r="G20" i="11"/>
  <c r="E20" i="11"/>
  <c r="F20" i="11"/>
  <c r="H20" i="11"/>
  <c r="G19" i="11"/>
  <c r="E19" i="11"/>
  <c r="F19" i="11"/>
  <c r="G18" i="11"/>
  <c r="E18" i="11"/>
  <c r="F18" i="11"/>
  <c r="H18" i="11"/>
  <c r="G17" i="11"/>
  <c r="E17" i="11"/>
  <c r="F17" i="11"/>
  <c r="G14" i="11"/>
  <c r="E14" i="11"/>
  <c r="F14" i="11"/>
  <c r="H14" i="11"/>
  <c r="G13" i="11"/>
  <c r="E13" i="11"/>
  <c r="F13" i="11"/>
  <c r="H13" i="11"/>
  <c r="G12" i="11"/>
  <c r="E12" i="11"/>
  <c r="F12" i="11"/>
  <c r="H12" i="11"/>
  <c r="G11" i="11"/>
  <c r="E11" i="11"/>
  <c r="F11" i="11"/>
  <c r="H11" i="11"/>
  <c r="G10" i="11"/>
  <c r="E10" i="11"/>
  <c r="F10" i="11"/>
  <c r="H10" i="11"/>
  <c r="G9" i="11"/>
  <c r="E9" i="11"/>
  <c r="F9" i="11"/>
  <c r="H9" i="11"/>
  <c r="G8" i="11"/>
  <c r="E8" i="11"/>
  <c r="F8" i="11"/>
  <c r="H8" i="11"/>
  <c r="G7" i="11"/>
  <c r="E7" i="11"/>
  <c r="F7" i="11"/>
  <c r="H7" i="11"/>
  <c r="G6" i="11"/>
  <c r="E6" i="11"/>
  <c r="F6" i="11"/>
  <c r="E49" i="10"/>
  <c r="C45" i="10"/>
  <c r="G36" i="10"/>
  <c r="E36" i="10"/>
  <c r="F36" i="10"/>
  <c r="H36" i="10"/>
  <c r="G35" i="10"/>
  <c r="E35" i="10"/>
  <c r="F35" i="10"/>
  <c r="H35" i="10"/>
  <c r="G34" i="10"/>
  <c r="E34" i="10"/>
  <c r="F34" i="10"/>
  <c r="H34" i="10"/>
  <c r="G33" i="10"/>
  <c r="E33" i="10"/>
  <c r="F33" i="10"/>
  <c r="H33" i="10"/>
  <c r="G32" i="10"/>
  <c r="E32" i="10"/>
  <c r="F32" i="10"/>
  <c r="H32" i="10"/>
  <c r="G31" i="10"/>
  <c r="E31" i="10"/>
  <c r="F31" i="10"/>
  <c r="H31" i="10"/>
  <c r="G30" i="10"/>
  <c r="E30" i="10"/>
  <c r="F30" i="10"/>
  <c r="H30" i="10"/>
  <c r="G29" i="10"/>
  <c r="E29" i="10"/>
  <c r="F29" i="10"/>
  <c r="H29" i="10"/>
  <c r="G28" i="10"/>
  <c r="E28" i="10"/>
  <c r="F28" i="10"/>
  <c r="H28" i="10"/>
  <c r="G27" i="10"/>
  <c r="E27" i="10"/>
  <c r="F27" i="10"/>
  <c r="H27" i="10"/>
  <c r="G26" i="10"/>
  <c r="E26" i="10"/>
  <c r="F26" i="10"/>
  <c r="H26" i="10"/>
  <c r="G25" i="10"/>
  <c r="E25" i="10"/>
  <c r="F25" i="10"/>
  <c r="H25" i="10"/>
  <c r="G24" i="10"/>
  <c r="E24" i="10"/>
  <c r="F24" i="10"/>
  <c r="H24" i="10"/>
  <c r="G23" i="10"/>
  <c r="E23" i="10"/>
  <c r="F23" i="10"/>
  <c r="H23" i="10"/>
  <c r="G22" i="10"/>
  <c r="E22" i="10"/>
  <c r="F22" i="10"/>
  <c r="H22" i="10"/>
  <c r="G21" i="10"/>
  <c r="E21" i="10"/>
  <c r="F21" i="10"/>
  <c r="H21" i="10"/>
  <c r="G20" i="10"/>
  <c r="E20" i="10"/>
  <c r="F20" i="10"/>
  <c r="H20" i="10"/>
  <c r="G19" i="10"/>
  <c r="E19" i="10"/>
  <c r="F19" i="10"/>
  <c r="H19" i="10"/>
  <c r="G18" i="10"/>
  <c r="E18" i="10"/>
  <c r="F18" i="10"/>
  <c r="H18" i="10"/>
  <c r="G17" i="10"/>
  <c r="E17" i="10"/>
  <c r="F17" i="10"/>
  <c r="H17" i="10"/>
  <c r="G14" i="10"/>
  <c r="E14" i="10"/>
  <c r="F14" i="10"/>
  <c r="H14" i="10"/>
  <c r="G13" i="10"/>
  <c r="E13" i="10"/>
  <c r="F13" i="10"/>
  <c r="H13" i="10"/>
  <c r="G12" i="10"/>
  <c r="E12" i="10"/>
  <c r="F12" i="10"/>
  <c r="H12" i="10"/>
  <c r="G11" i="10"/>
  <c r="E11" i="10"/>
  <c r="F11" i="10"/>
  <c r="H11" i="10"/>
  <c r="G10" i="10"/>
  <c r="E10" i="10"/>
  <c r="F10" i="10"/>
  <c r="H10" i="10"/>
  <c r="G9" i="10"/>
  <c r="E9" i="10"/>
  <c r="F9" i="10"/>
  <c r="H9" i="10"/>
  <c r="G8" i="10"/>
  <c r="E8" i="10"/>
  <c r="F8" i="10"/>
  <c r="H8" i="10"/>
  <c r="G7" i="10"/>
  <c r="E7" i="10"/>
  <c r="F7" i="10"/>
  <c r="H7" i="10"/>
  <c r="G6" i="10"/>
  <c r="G37" i="10"/>
  <c r="E6" i="10"/>
  <c r="F6" i="10"/>
  <c r="E49" i="9"/>
  <c r="E62" i="9"/>
  <c r="C45" i="9"/>
  <c r="G36" i="9"/>
  <c r="E36" i="9"/>
  <c r="F36" i="9"/>
  <c r="H36" i="9"/>
  <c r="G35" i="9"/>
  <c r="E35" i="9"/>
  <c r="F35" i="9"/>
  <c r="H35" i="9"/>
  <c r="G34" i="9"/>
  <c r="E34" i="9"/>
  <c r="F34" i="9"/>
  <c r="H34" i="9"/>
  <c r="G33" i="9"/>
  <c r="E33" i="9"/>
  <c r="F33" i="9"/>
  <c r="H33" i="9"/>
  <c r="G32" i="9"/>
  <c r="E32" i="9"/>
  <c r="F32" i="9"/>
  <c r="H32" i="9"/>
  <c r="G31" i="9"/>
  <c r="E31" i="9"/>
  <c r="F31" i="9"/>
  <c r="H31" i="9"/>
  <c r="G30" i="9"/>
  <c r="E30" i="9"/>
  <c r="F30" i="9"/>
  <c r="H30" i="9"/>
  <c r="G29" i="9"/>
  <c r="E29" i="9"/>
  <c r="F29" i="9"/>
  <c r="H29" i="9"/>
  <c r="G28" i="9"/>
  <c r="E28" i="9"/>
  <c r="F28" i="9"/>
  <c r="H28" i="9"/>
  <c r="G27" i="9"/>
  <c r="E27" i="9"/>
  <c r="F27" i="9"/>
  <c r="H27" i="9"/>
  <c r="G26" i="9"/>
  <c r="E26" i="9"/>
  <c r="F26" i="9"/>
  <c r="H26" i="9"/>
  <c r="G25" i="9"/>
  <c r="E25" i="9"/>
  <c r="F25" i="9"/>
  <c r="H25" i="9"/>
  <c r="G24" i="9"/>
  <c r="E24" i="9"/>
  <c r="F24" i="9"/>
  <c r="H24" i="9"/>
  <c r="G23" i="9"/>
  <c r="E23" i="9"/>
  <c r="F23" i="9"/>
  <c r="H23" i="9"/>
  <c r="G22" i="9"/>
  <c r="E22" i="9"/>
  <c r="F22" i="9"/>
  <c r="H22" i="9"/>
  <c r="G21" i="9"/>
  <c r="E21" i="9"/>
  <c r="F21" i="9"/>
  <c r="H21" i="9"/>
  <c r="G20" i="9"/>
  <c r="E20" i="9"/>
  <c r="F20" i="9"/>
  <c r="H20" i="9"/>
  <c r="G19" i="9"/>
  <c r="E19" i="9"/>
  <c r="F19" i="9"/>
  <c r="H19" i="9"/>
  <c r="G18" i="9"/>
  <c r="E18" i="9"/>
  <c r="F18" i="9"/>
  <c r="H18" i="9"/>
  <c r="G17" i="9"/>
  <c r="E17" i="9"/>
  <c r="F17" i="9"/>
  <c r="H17" i="9"/>
  <c r="G14" i="9"/>
  <c r="E14" i="9"/>
  <c r="F14" i="9"/>
  <c r="H14" i="9"/>
  <c r="G13" i="9"/>
  <c r="E13" i="9"/>
  <c r="F13" i="9"/>
  <c r="H13" i="9"/>
  <c r="G12" i="9"/>
  <c r="E12" i="9"/>
  <c r="F12" i="9"/>
  <c r="H12" i="9"/>
  <c r="G11" i="9"/>
  <c r="E11" i="9"/>
  <c r="F11" i="9"/>
  <c r="H11" i="9"/>
  <c r="G10" i="9"/>
  <c r="E10" i="9"/>
  <c r="F10" i="9"/>
  <c r="H10" i="9"/>
  <c r="G9" i="9"/>
  <c r="E9" i="9"/>
  <c r="F9" i="9"/>
  <c r="H9" i="9"/>
  <c r="G8" i="9"/>
  <c r="E8" i="9"/>
  <c r="F8" i="9"/>
  <c r="H8" i="9"/>
  <c r="G7" i="9"/>
  <c r="E7" i="9"/>
  <c r="F7" i="9"/>
  <c r="H7" i="9"/>
  <c r="G6" i="9"/>
  <c r="E6" i="9"/>
  <c r="F6" i="9"/>
  <c r="E49" i="22"/>
  <c r="C45" i="22"/>
  <c r="G36" i="22"/>
  <c r="E36" i="22"/>
  <c r="F36" i="22"/>
  <c r="H36" i="22"/>
  <c r="G35" i="22"/>
  <c r="E35" i="22"/>
  <c r="F35" i="22"/>
  <c r="G34" i="22"/>
  <c r="E34" i="22"/>
  <c r="F34" i="22"/>
  <c r="H34" i="22"/>
  <c r="G33" i="22"/>
  <c r="E33" i="22"/>
  <c r="F33" i="22"/>
  <c r="G32" i="22"/>
  <c r="E32" i="22"/>
  <c r="F32" i="22"/>
  <c r="H32" i="22"/>
  <c r="G31" i="22"/>
  <c r="E31" i="22"/>
  <c r="F31" i="22"/>
  <c r="G30" i="22"/>
  <c r="E30" i="22"/>
  <c r="F30" i="22"/>
  <c r="H30" i="22"/>
  <c r="G29" i="22"/>
  <c r="E29" i="22"/>
  <c r="F29" i="22"/>
  <c r="G28" i="22"/>
  <c r="E28" i="22"/>
  <c r="F28" i="22"/>
  <c r="H28" i="22"/>
  <c r="G27" i="22"/>
  <c r="E27" i="22"/>
  <c r="F27" i="22"/>
  <c r="G26" i="22"/>
  <c r="E26" i="22"/>
  <c r="F26" i="22"/>
  <c r="H26" i="22"/>
  <c r="G25" i="22"/>
  <c r="E25" i="22"/>
  <c r="F25" i="22"/>
  <c r="G24" i="22"/>
  <c r="E24" i="22"/>
  <c r="F24" i="22"/>
  <c r="H24" i="22"/>
  <c r="G23" i="22"/>
  <c r="E23" i="22"/>
  <c r="F23" i="22"/>
  <c r="G22" i="22"/>
  <c r="E22" i="22"/>
  <c r="F22" i="22"/>
  <c r="H22" i="22"/>
  <c r="G21" i="22"/>
  <c r="E21" i="22"/>
  <c r="F21" i="22" s="1"/>
  <c r="H21" i="22" s="1"/>
  <c r="G20" i="22"/>
  <c r="E20" i="22"/>
  <c r="F20" i="22"/>
  <c r="H20" i="22"/>
  <c r="G19" i="22"/>
  <c r="E19" i="22"/>
  <c r="F19" i="22"/>
  <c r="H19" i="22"/>
  <c r="G18" i="22"/>
  <c r="E18" i="22"/>
  <c r="F18" i="22"/>
  <c r="H18" i="22"/>
  <c r="G17" i="22"/>
  <c r="E17" i="22"/>
  <c r="F17" i="22"/>
  <c r="H17" i="22"/>
  <c r="G14" i="22"/>
  <c r="E14" i="22"/>
  <c r="F14" i="22"/>
  <c r="H14" i="22"/>
  <c r="G13" i="22"/>
  <c r="E13" i="22"/>
  <c r="F13" i="22"/>
  <c r="H13" i="22"/>
  <c r="G12" i="22"/>
  <c r="E12" i="22"/>
  <c r="F12" i="22"/>
  <c r="H12" i="22"/>
  <c r="G11" i="22"/>
  <c r="E11" i="22"/>
  <c r="F11" i="22"/>
  <c r="H11" i="22"/>
  <c r="G10" i="22"/>
  <c r="G37" i="22" s="1"/>
  <c r="C12" i="1" s="1"/>
  <c r="E10" i="22"/>
  <c r="E37" i="22" s="1"/>
  <c r="G9" i="22"/>
  <c r="E9" i="22"/>
  <c r="F9" i="22"/>
  <c r="H9" i="22"/>
  <c r="G8" i="22"/>
  <c r="E8" i="22"/>
  <c r="F8" i="22"/>
  <c r="H8" i="22"/>
  <c r="G7" i="22"/>
  <c r="E7" i="22"/>
  <c r="F7" i="22"/>
  <c r="H7" i="22"/>
  <c r="G6" i="22"/>
  <c r="E6" i="22"/>
  <c r="F6" i="22"/>
  <c r="E49" i="8"/>
  <c r="E62" i="8"/>
  <c r="C45" i="8"/>
  <c r="G36" i="8"/>
  <c r="E36" i="8"/>
  <c r="F36" i="8"/>
  <c r="H36" i="8"/>
  <c r="G35" i="8"/>
  <c r="E35" i="8"/>
  <c r="F35" i="8"/>
  <c r="H35" i="8"/>
  <c r="G34" i="8"/>
  <c r="E34" i="8"/>
  <c r="F34" i="8"/>
  <c r="H34" i="8"/>
  <c r="G33" i="8"/>
  <c r="E33" i="8"/>
  <c r="F33" i="8"/>
  <c r="H33" i="8"/>
  <c r="G32" i="8"/>
  <c r="E32" i="8"/>
  <c r="F32" i="8"/>
  <c r="H32" i="8"/>
  <c r="G31" i="8"/>
  <c r="E31" i="8"/>
  <c r="F31" i="8"/>
  <c r="H31" i="8"/>
  <c r="G30" i="8"/>
  <c r="E30" i="8"/>
  <c r="F30" i="8"/>
  <c r="H30" i="8"/>
  <c r="G29" i="8"/>
  <c r="E29" i="8"/>
  <c r="F29" i="8"/>
  <c r="H29" i="8"/>
  <c r="G28" i="8"/>
  <c r="E28" i="8"/>
  <c r="F28" i="8"/>
  <c r="H28" i="8"/>
  <c r="G27" i="8"/>
  <c r="E27" i="8"/>
  <c r="F27" i="8"/>
  <c r="H27" i="8"/>
  <c r="G26" i="8"/>
  <c r="E26" i="8"/>
  <c r="F26" i="8"/>
  <c r="H26" i="8"/>
  <c r="G25" i="8"/>
  <c r="E25" i="8"/>
  <c r="F25" i="8"/>
  <c r="H25" i="8"/>
  <c r="G24" i="8"/>
  <c r="E24" i="8"/>
  <c r="F24" i="8"/>
  <c r="H24" i="8"/>
  <c r="G23" i="8"/>
  <c r="E23" i="8"/>
  <c r="F23" i="8"/>
  <c r="H23" i="8"/>
  <c r="G22" i="8"/>
  <c r="E22" i="8"/>
  <c r="F22" i="8"/>
  <c r="H22" i="8"/>
  <c r="G21" i="8"/>
  <c r="E21" i="8"/>
  <c r="F21" i="8"/>
  <c r="H21" i="8"/>
  <c r="G20" i="8"/>
  <c r="E20" i="8"/>
  <c r="F20" i="8"/>
  <c r="H20" i="8"/>
  <c r="G19" i="8"/>
  <c r="E19" i="8"/>
  <c r="F19" i="8"/>
  <c r="H19" i="8"/>
  <c r="G18" i="8"/>
  <c r="E18" i="8"/>
  <c r="F18" i="8"/>
  <c r="H18" i="8"/>
  <c r="G17" i="8"/>
  <c r="E17" i="8"/>
  <c r="F17" i="8"/>
  <c r="H17" i="8"/>
  <c r="G14" i="8"/>
  <c r="E14" i="8"/>
  <c r="F14" i="8"/>
  <c r="H14" i="8"/>
  <c r="G13" i="8"/>
  <c r="E13" i="8"/>
  <c r="F13" i="8"/>
  <c r="H13" i="8"/>
  <c r="G12" i="8"/>
  <c r="E12" i="8"/>
  <c r="F12" i="8"/>
  <c r="H12" i="8"/>
  <c r="G11" i="8"/>
  <c r="E11" i="8"/>
  <c r="F11" i="8"/>
  <c r="H11" i="8"/>
  <c r="G10" i="8"/>
  <c r="E10" i="8"/>
  <c r="F10" i="8"/>
  <c r="G9" i="8"/>
  <c r="E9" i="8"/>
  <c r="F9" i="8"/>
  <c r="H9" i="8"/>
  <c r="G8" i="8"/>
  <c r="E8" i="8"/>
  <c r="F8" i="8"/>
  <c r="H8" i="8"/>
  <c r="G7" i="8"/>
  <c r="E7" i="8"/>
  <c r="F7" i="8"/>
  <c r="H7" i="8"/>
  <c r="G6" i="8"/>
  <c r="E6" i="8"/>
  <c r="F6" i="8"/>
  <c r="E49" i="6"/>
  <c r="E62" i="6"/>
  <c r="C45" i="6"/>
  <c r="G36" i="6"/>
  <c r="E36" i="6"/>
  <c r="F36" i="6"/>
  <c r="H36" i="6"/>
  <c r="G35" i="6"/>
  <c r="E35" i="6"/>
  <c r="F35" i="6"/>
  <c r="H35" i="6"/>
  <c r="G34" i="6"/>
  <c r="E34" i="6"/>
  <c r="F34" i="6"/>
  <c r="H34" i="6"/>
  <c r="G33" i="6"/>
  <c r="E33" i="6"/>
  <c r="F33" i="6"/>
  <c r="H33" i="6"/>
  <c r="G32" i="6"/>
  <c r="E32" i="6"/>
  <c r="F32" i="6"/>
  <c r="H32" i="6"/>
  <c r="G31" i="6"/>
  <c r="E31" i="6"/>
  <c r="F31" i="6"/>
  <c r="H31" i="6"/>
  <c r="G30" i="6"/>
  <c r="E30" i="6"/>
  <c r="F30" i="6"/>
  <c r="H30" i="6"/>
  <c r="G29" i="6"/>
  <c r="E29" i="6"/>
  <c r="F29" i="6"/>
  <c r="H29" i="6"/>
  <c r="G28" i="6"/>
  <c r="E28" i="6"/>
  <c r="F28" i="6"/>
  <c r="H28" i="6"/>
  <c r="G27" i="6"/>
  <c r="E27" i="6"/>
  <c r="F27" i="6"/>
  <c r="H27" i="6"/>
  <c r="G26" i="6"/>
  <c r="E26" i="6"/>
  <c r="F26" i="6"/>
  <c r="H26" i="6"/>
  <c r="G25" i="6"/>
  <c r="E25" i="6"/>
  <c r="F25" i="6"/>
  <c r="H25" i="6"/>
  <c r="G24" i="6"/>
  <c r="E24" i="6"/>
  <c r="F24" i="6"/>
  <c r="H24" i="6"/>
  <c r="G23" i="6"/>
  <c r="E23" i="6"/>
  <c r="F23" i="6"/>
  <c r="H23" i="6"/>
  <c r="G22" i="6"/>
  <c r="E22" i="6"/>
  <c r="F22" i="6"/>
  <c r="H22" i="6"/>
  <c r="G21" i="6"/>
  <c r="E21" i="6"/>
  <c r="F21" i="6"/>
  <c r="H21" i="6"/>
  <c r="G20" i="6"/>
  <c r="E20" i="6"/>
  <c r="F20" i="6"/>
  <c r="H20" i="6"/>
  <c r="G19" i="6"/>
  <c r="E19" i="6"/>
  <c r="F19" i="6"/>
  <c r="H19" i="6"/>
  <c r="G18" i="6"/>
  <c r="E18" i="6"/>
  <c r="F18" i="6"/>
  <c r="H18" i="6"/>
  <c r="G17" i="6"/>
  <c r="E17" i="6"/>
  <c r="F17" i="6"/>
  <c r="H17" i="6"/>
  <c r="G14" i="6"/>
  <c r="E14" i="6"/>
  <c r="F14" i="6"/>
  <c r="H14" i="6"/>
  <c r="G13" i="6"/>
  <c r="E13" i="6"/>
  <c r="F13" i="6"/>
  <c r="H13" i="6"/>
  <c r="G12" i="6"/>
  <c r="E12" i="6"/>
  <c r="F12" i="6"/>
  <c r="H12" i="6"/>
  <c r="G11" i="6"/>
  <c r="E11" i="6"/>
  <c r="F11" i="6"/>
  <c r="H11" i="6"/>
  <c r="G10" i="6"/>
  <c r="E10" i="6"/>
  <c r="F10" i="6"/>
  <c r="G9" i="6"/>
  <c r="E9" i="6"/>
  <c r="F9" i="6"/>
  <c r="H9" i="6"/>
  <c r="G8" i="6"/>
  <c r="E8" i="6"/>
  <c r="F8" i="6"/>
  <c r="H8" i="6"/>
  <c r="G7" i="6"/>
  <c r="E7" i="6"/>
  <c r="F7" i="6"/>
  <c r="H7" i="6"/>
  <c r="G6" i="6"/>
  <c r="G37" i="6"/>
  <c r="C9" i="1"/>
  <c r="E6" i="6"/>
  <c r="F6" i="6"/>
  <c r="E49" i="19"/>
  <c r="C45" i="19"/>
  <c r="G36" i="19"/>
  <c r="E36" i="19"/>
  <c r="F36" i="19"/>
  <c r="H36" i="19"/>
  <c r="G35" i="19"/>
  <c r="E35" i="19"/>
  <c r="F35" i="19"/>
  <c r="H35" i="19"/>
  <c r="G34" i="19"/>
  <c r="E34" i="19"/>
  <c r="F34" i="19"/>
  <c r="H34" i="19"/>
  <c r="G33" i="19"/>
  <c r="E33" i="19"/>
  <c r="F33" i="19"/>
  <c r="H33" i="19"/>
  <c r="G32" i="19"/>
  <c r="E32" i="19"/>
  <c r="F32" i="19"/>
  <c r="H32" i="19"/>
  <c r="G31" i="19"/>
  <c r="E31" i="19"/>
  <c r="F31" i="19"/>
  <c r="H31" i="19"/>
  <c r="G30" i="19"/>
  <c r="E30" i="19"/>
  <c r="F30" i="19"/>
  <c r="H30" i="19"/>
  <c r="G29" i="19"/>
  <c r="E29" i="19"/>
  <c r="F29" i="19"/>
  <c r="H29" i="19"/>
  <c r="G28" i="19"/>
  <c r="E28" i="19"/>
  <c r="F28" i="19"/>
  <c r="H28" i="19"/>
  <c r="G27" i="19"/>
  <c r="E27" i="19"/>
  <c r="F27" i="19"/>
  <c r="H27" i="19"/>
  <c r="G26" i="19"/>
  <c r="E26" i="19"/>
  <c r="F26" i="19"/>
  <c r="H26" i="19"/>
  <c r="G25" i="19"/>
  <c r="E25" i="19"/>
  <c r="F25" i="19"/>
  <c r="H25" i="19"/>
  <c r="G24" i="19"/>
  <c r="E24" i="19"/>
  <c r="F24" i="19"/>
  <c r="H24" i="19"/>
  <c r="G23" i="19"/>
  <c r="E23" i="19"/>
  <c r="F23" i="19"/>
  <c r="H23" i="19"/>
  <c r="G22" i="19"/>
  <c r="E22" i="19"/>
  <c r="F22" i="19"/>
  <c r="H22" i="19"/>
  <c r="G21" i="19"/>
  <c r="E21" i="19"/>
  <c r="F21" i="19"/>
  <c r="H21" i="19"/>
  <c r="G20" i="19"/>
  <c r="E20" i="19"/>
  <c r="F20" i="19"/>
  <c r="H20" i="19"/>
  <c r="G19" i="19"/>
  <c r="E19" i="19"/>
  <c r="F19" i="19"/>
  <c r="H19" i="19"/>
  <c r="G18" i="19"/>
  <c r="E18" i="19"/>
  <c r="F18" i="19"/>
  <c r="H18" i="19"/>
  <c r="G17" i="19"/>
  <c r="E17" i="19"/>
  <c r="F17" i="19"/>
  <c r="H17" i="19"/>
  <c r="G14" i="19"/>
  <c r="E14" i="19"/>
  <c r="F14" i="19"/>
  <c r="H14" i="19"/>
  <c r="G13" i="19"/>
  <c r="E13" i="19"/>
  <c r="F13" i="19"/>
  <c r="H13" i="19"/>
  <c r="G12" i="19"/>
  <c r="E12" i="19"/>
  <c r="F12" i="19"/>
  <c r="H12" i="19"/>
  <c r="G11" i="19"/>
  <c r="E11" i="19"/>
  <c r="F11" i="19"/>
  <c r="H11" i="19"/>
  <c r="G10" i="19"/>
  <c r="E10" i="19"/>
  <c r="F10" i="19"/>
  <c r="H10" i="19"/>
  <c r="G9" i="19"/>
  <c r="E9" i="19"/>
  <c r="F9" i="19"/>
  <c r="H9" i="19"/>
  <c r="G8" i="19"/>
  <c r="E8" i="19"/>
  <c r="F8" i="19"/>
  <c r="H8" i="19"/>
  <c r="G7" i="19"/>
  <c r="E7" i="19"/>
  <c r="F7" i="19"/>
  <c r="H7" i="19"/>
  <c r="G6" i="19"/>
  <c r="G37" i="19"/>
  <c r="C23" i="1"/>
  <c r="E6" i="19"/>
  <c r="F6" i="19"/>
  <c r="E49" i="7"/>
  <c r="E62" i="7"/>
  <c r="C45" i="7"/>
  <c r="G36" i="7"/>
  <c r="E36" i="7"/>
  <c r="F36" i="7"/>
  <c r="H36" i="7"/>
  <c r="G35" i="7"/>
  <c r="E35" i="7"/>
  <c r="F35" i="7"/>
  <c r="G34" i="7"/>
  <c r="E34" i="7"/>
  <c r="F34" i="7"/>
  <c r="H34" i="7"/>
  <c r="G33" i="7"/>
  <c r="E33" i="7"/>
  <c r="F33" i="7"/>
  <c r="G32" i="7"/>
  <c r="E32" i="7"/>
  <c r="F32" i="7"/>
  <c r="H32" i="7"/>
  <c r="G31" i="7"/>
  <c r="E31" i="7"/>
  <c r="F31" i="7"/>
  <c r="G30" i="7"/>
  <c r="E30" i="7"/>
  <c r="F30" i="7"/>
  <c r="H30" i="7"/>
  <c r="G29" i="7"/>
  <c r="E29" i="7"/>
  <c r="F29" i="7"/>
  <c r="G28" i="7"/>
  <c r="E28" i="7"/>
  <c r="F28" i="7"/>
  <c r="H28" i="7"/>
  <c r="G27" i="7"/>
  <c r="E27" i="7"/>
  <c r="F27" i="7"/>
  <c r="G26" i="7"/>
  <c r="E26" i="7"/>
  <c r="F26" i="7"/>
  <c r="H26" i="7"/>
  <c r="G25" i="7"/>
  <c r="E25" i="7"/>
  <c r="F25" i="7"/>
  <c r="G24" i="7"/>
  <c r="E24" i="7"/>
  <c r="F24" i="7"/>
  <c r="H24" i="7"/>
  <c r="G23" i="7"/>
  <c r="E23" i="7"/>
  <c r="F23" i="7"/>
  <c r="H23" i="7"/>
  <c r="G22" i="7"/>
  <c r="E22" i="7"/>
  <c r="F22" i="7"/>
  <c r="H22" i="7"/>
  <c r="G21" i="7"/>
  <c r="E21" i="7"/>
  <c r="F21" i="7"/>
  <c r="H21" i="7"/>
  <c r="G20" i="7"/>
  <c r="E20" i="7"/>
  <c r="F20" i="7"/>
  <c r="H20" i="7"/>
  <c r="G19" i="7"/>
  <c r="E19" i="7"/>
  <c r="F19" i="7"/>
  <c r="H19" i="7"/>
  <c r="G18" i="7"/>
  <c r="E18" i="7"/>
  <c r="F18" i="7"/>
  <c r="H18" i="7"/>
  <c r="G17" i="7"/>
  <c r="E17" i="7"/>
  <c r="F17" i="7"/>
  <c r="H17" i="7"/>
  <c r="G14" i="7"/>
  <c r="E14" i="7"/>
  <c r="F14" i="7"/>
  <c r="H14" i="7"/>
  <c r="G13" i="7"/>
  <c r="E13" i="7"/>
  <c r="F13" i="7"/>
  <c r="H13" i="7"/>
  <c r="G12" i="7"/>
  <c r="E12" i="7"/>
  <c r="F12" i="7"/>
  <c r="H12" i="7"/>
  <c r="G11" i="7"/>
  <c r="E11" i="7"/>
  <c r="F11" i="7"/>
  <c r="H11" i="7"/>
  <c r="G10" i="7"/>
  <c r="E10" i="7"/>
  <c r="F10" i="7"/>
  <c r="G9" i="7"/>
  <c r="E9" i="7"/>
  <c r="F9" i="7"/>
  <c r="H9" i="7"/>
  <c r="G8" i="7"/>
  <c r="E8" i="7"/>
  <c r="F8" i="7"/>
  <c r="H8" i="7"/>
  <c r="G7" i="7"/>
  <c r="E7" i="7"/>
  <c r="F7" i="7"/>
  <c r="H7" i="7"/>
  <c r="G6" i="7"/>
  <c r="E6" i="7"/>
  <c r="F6" i="7"/>
  <c r="E49" i="4"/>
  <c r="C45" i="4"/>
  <c r="G36" i="4"/>
  <c r="E36" i="4"/>
  <c r="F36" i="4"/>
  <c r="H36" i="4"/>
  <c r="G35" i="4"/>
  <c r="E35" i="4"/>
  <c r="F35" i="4"/>
  <c r="G34" i="4"/>
  <c r="E34" i="4"/>
  <c r="F34" i="4"/>
  <c r="H34" i="4"/>
  <c r="G33" i="4"/>
  <c r="E33" i="4"/>
  <c r="F33" i="4"/>
  <c r="H33" i="4"/>
  <c r="G32" i="4"/>
  <c r="E32" i="4"/>
  <c r="F32" i="4"/>
  <c r="H32" i="4"/>
  <c r="G31" i="4"/>
  <c r="E31" i="4"/>
  <c r="F31" i="4"/>
  <c r="H31" i="4"/>
  <c r="G30" i="4"/>
  <c r="E30" i="4"/>
  <c r="F30" i="4"/>
  <c r="H30" i="4"/>
  <c r="G29" i="4"/>
  <c r="E29" i="4"/>
  <c r="F29" i="4"/>
  <c r="H29" i="4"/>
  <c r="G28" i="4"/>
  <c r="E28" i="4"/>
  <c r="F28" i="4"/>
  <c r="H28" i="4"/>
  <c r="G27" i="4"/>
  <c r="E27" i="4"/>
  <c r="F27" i="4"/>
  <c r="H27" i="4"/>
  <c r="G26" i="4"/>
  <c r="E26" i="4"/>
  <c r="F26" i="4"/>
  <c r="H26" i="4"/>
  <c r="G25" i="4"/>
  <c r="E25" i="4"/>
  <c r="F25" i="4"/>
  <c r="H25" i="4"/>
  <c r="G24" i="4"/>
  <c r="E24" i="4"/>
  <c r="F24" i="4"/>
  <c r="H24" i="4"/>
  <c r="G23" i="4"/>
  <c r="E23" i="4"/>
  <c r="F23" i="4"/>
  <c r="H23" i="4"/>
  <c r="G22" i="4"/>
  <c r="E22" i="4"/>
  <c r="F22" i="4"/>
  <c r="H22" i="4"/>
  <c r="G21" i="4"/>
  <c r="E21" i="4"/>
  <c r="F21" i="4"/>
  <c r="H21" i="4"/>
  <c r="G20" i="4"/>
  <c r="E20" i="4"/>
  <c r="F20" i="4"/>
  <c r="H20" i="4"/>
  <c r="G19" i="4"/>
  <c r="E19" i="4"/>
  <c r="F19" i="4"/>
  <c r="H19" i="4"/>
  <c r="G18" i="4"/>
  <c r="E18" i="4"/>
  <c r="F18" i="4"/>
  <c r="H18" i="4"/>
  <c r="G17" i="4"/>
  <c r="E17" i="4"/>
  <c r="F17" i="4"/>
  <c r="G14" i="4"/>
  <c r="E14" i="4"/>
  <c r="F14" i="4"/>
  <c r="H14" i="4"/>
  <c r="G13" i="4"/>
  <c r="E13" i="4"/>
  <c r="F13" i="4"/>
  <c r="H13" i="4"/>
  <c r="G12" i="4"/>
  <c r="E12" i="4"/>
  <c r="F12" i="4"/>
  <c r="H12" i="4"/>
  <c r="G11" i="4"/>
  <c r="E11" i="4"/>
  <c r="F11" i="4"/>
  <c r="H11" i="4"/>
  <c r="G10" i="4"/>
  <c r="E10" i="4"/>
  <c r="F10" i="4"/>
  <c r="G9" i="4"/>
  <c r="E9" i="4"/>
  <c r="F9" i="4"/>
  <c r="H9" i="4"/>
  <c r="G8" i="4"/>
  <c r="E8" i="4"/>
  <c r="F8" i="4"/>
  <c r="H8" i="4"/>
  <c r="G7" i="4"/>
  <c r="E7" i="4"/>
  <c r="F7" i="4"/>
  <c r="H7" i="4"/>
  <c r="G6" i="4"/>
  <c r="E6" i="4"/>
  <c r="F6" i="4"/>
  <c r="E49" i="3"/>
  <c r="E62" i="3"/>
  <c r="C45" i="3"/>
  <c r="G36" i="3"/>
  <c r="E36" i="3"/>
  <c r="F36" i="3"/>
  <c r="H36" i="3"/>
  <c r="G35" i="3"/>
  <c r="E35" i="3"/>
  <c r="F35" i="3"/>
  <c r="G34" i="3"/>
  <c r="E34" i="3"/>
  <c r="F34" i="3"/>
  <c r="H34" i="3"/>
  <c r="G33" i="3"/>
  <c r="E33" i="3"/>
  <c r="F33" i="3"/>
  <c r="H33" i="3"/>
  <c r="G32" i="3"/>
  <c r="E32" i="3"/>
  <c r="F32" i="3"/>
  <c r="H32" i="3"/>
  <c r="G31" i="3"/>
  <c r="E31" i="3"/>
  <c r="F31" i="3"/>
  <c r="H31" i="3"/>
  <c r="G30" i="3"/>
  <c r="E30" i="3"/>
  <c r="F30" i="3"/>
  <c r="H30" i="3"/>
  <c r="G29" i="3"/>
  <c r="E29" i="3"/>
  <c r="F29" i="3"/>
  <c r="H29" i="3"/>
  <c r="G28" i="3"/>
  <c r="E28" i="3"/>
  <c r="F28" i="3"/>
  <c r="H28" i="3"/>
  <c r="G27" i="3"/>
  <c r="E27" i="3"/>
  <c r="F27" i="3"/>
  <c r="H27" i="3"/>
  <c r="G26" i="3"/>
  <c r="E26" i="3"/>
  <c r="F26" i="3"/>
  <c r="H26" i="3"/>
  <c r="G25" i="3"/>
  <c r="E25" i="3"/>
  <c r="F25" i="3"/>
  <c r="H25" i="3"/>
  <c r="G24" i="3"/>
  <c r="E24" i="3"/>
  <c r="F24" i="3"/>
  <c r="H24" i="3"/>
  <c r="G23" i="3"/>
  <c r="E23" i="3"/>
  <c r="F23" i="3"/>
  <c r="H23" i="3"/>
  <c r="G22" i="3"/>
  <c r="E22" i="3"/>
  <c r="F22" i="3"/>
  <c r="H22" i="3"/>
  <c r="G21" i="3"/>
  <c r="E21" i="3"/>
  <c r="F21" i="3"/>
  <c r="H21" i="3"/>
  <c r="G20" i="3"/>
  <c r="E20" i="3"/>
  <c r="F20" i="3"/>
  <c r="H20" i="3"/>
  <c r="G19" i="3"/>
  <c r="E19" i="3"/>
  <c r="F19" i="3"/>
  <c r="H19" i="3"/>
  <c r="G18" i="3"/>
  <c r="E18" i="3"/>
  <c r="F18" i="3"/>
  <c r="H18" i="3"/>
  <c r="G17" i="3"/>
  <c r="E17" i="3"/>
  <c r="F17" i="3"/>
  <c r="H17" i="3"/>
  <c r="G14" i="3"/>
  <c r="E14" i="3"/>
  <c r="F14" i="3"/>
  <c r="H14" i="3"/>
  <c r="G13" i="3"/>
  <c r="E13" i="3"/>
  <c r="F13" i="3"/>
  <c r="H13" i="3"/>
  <c r="G12" i="3"/>
  <c r="E12" i="3"/>
  <c r="F12" i="3"/>
  <c r="H12" i="3"/>
  <c r="G11" i="3"/>
  <c r="E11" i="3"/>
  <c r="F11" i="3"/>
  <c r="H11" i="3"/>
  <c r="G10" i="3"/>
  <c r="E10" i="3"/>
  <c r="F10" i="3"/>
  <c r="H10" i="3"/>
  <c r="G9" i="3"/>
  <c r="E9" i="3"/>
  <c r="F9" i="3"/>
  <c r="H9" i="3"/>
  <c r="G8" i="3"/>
  <c r="E8" i="3"/>
  <c r="F8" i="3"/>
  <c r="H8" i="3"/>
  <c r="G7" i="3"/>
  <c r="E7" i="3"/>
  <c r="F7" i="3"/>
  <c r="H7" i="3"/>
  <c r="G6" i="3"/>
  <c r="E6" i="3"/>
  <c r="F6" i="3"/>
  <c r="E49" i="5"/>
  <c r="C45" i="5"/>
  <c r="G36" i="5"/>
  <c r="E36" i="5"/>
  <c r="F36" i="5"/>
  <c r="H36" i="5"/>
  <c r="G35" i="5"/>
  <c r="E35" i="5"/>
  <c r="F35" i="5"/>
  <c r="H35" i="5"/>
  <c r="G34" i="5"/>
  <c r="E34" i="5"/>
  <c r="F34" i="5"/>
  <c r="H34" i="5"/>
  <c r="G33" i="5"/>
  <c r="E33" i="5"/>
  <c r="F33" i="5"/>
  <c r="H33" i="5"/>
  <c r="G32" i="5"/>
  <c r="E32" i="5"/>
  <c r="F32" i="5"/>
  <c r="H32" i="5"/>
  <c r="G31" i="5"/>
  <c r="E31" i="5"/>
  <c r="F31" i="5"/>
  <c r="H31" i="5"/>
  <c r="G30" i="5"/>
  <c r="E30" i="5"/>
  <c r="F30" i="5"/>
  <c r="H30" i="5"/>
  <c r="G29" i="5"/>
  <c r="E29" i="5"/>
  <c r="F29" i="5"/>
  <c r="H29" i="5"/>
  <c r="G28" i="5"/>
  <c r="E28" i="5"/>
  <c r="F28" i="5"/>
  <c r="H28" i="5"/>
  <c r="G27" i="5"/>
  <c r="E27" i="5"/>
  <c r="F27" i="5"/>
  <c r="H27" i="5"/>
  <c r="G26" i="5"/>
  <c r="E26" i="5"/>
  <c r="F26" i="5"/>
  <c r="H26" i="5"/>
  <c r="G25" i="5"/>
  <c r="E25" i="5"/>
  <c r="F25" i="5"/>
  <c r="H25" i="5"/>
  <c r="G24" i="5"/>
  <c r="E24" i="5"/>
  <c r="F24" i="5"/>
  <c r="H24" i="5"/>
  <c r="G23" i="5"/>
  <c r="E23" i="5"/>
  <c r="F23" i="5"/>
  <c r="H23" i="5"/>
  <c r="G22" i="5"/>
  <c r="E22" i="5"/>
  <c r="F22" i="5"/>
  <c r="H22" i="5"/>
  <c r="G21" i="5"/>
  <c r="E21" i="5"/>
  <c r="F21" i="5"/>
  <c r="H21" i="5"/>
  <c r="G20" i="5"/>
  <c r="E20" i="5"/>
  <c r="F20" i="5"/>
  <c r="H20" i="5"/>
  <c r="G19" i="5"/>
  <c r="E19" i="5"/>
  <c r="F19" i="5"/>
  <c r="H19" i="5"/>
  <c r="G18" i="5"/>
  <c r="E18" i="5"/>
  <c r="F18" i="5"/>
  <c r="H18" i="5"/>
  <c r="G17" i="5"/>
  <c r="E17" i="5"/>
  <c r="F17" i="5"/>
  <c r="H17" i="5"/>
  <c r="G14" i="5"/>
  <c r="E14" i="5"/>
  <c r="F14" i="5"/>
  <c r="H14" i="5"/>
  <c r="G13" i="5"/>
  <c r="E13" i="5"/>
  <c r="F13" i="5"/>
  <c r="H13" i="5"/>
  <c r="G12" i="5"/>
  <c r="E12" i="5"/>
  <c r="F12" i="5"/>
  <c r="H12" i="5"/>
  <c r="G11" i="5"/>
  <c r="E11" i="5"/>
  <c r="F11" i="5"/>
  <c r="H11" i="5"/>
  <c r="G10" i="5"/>
  <c r="E10" i="5"/>
  <c r="F10" i="5"/>
  <c r="G9" i="5"/>
  <c r="E9" i="5"/>
  <c r="F9" i="5"/>
  <c r="H9" i="5"/>
  <c r="G8" i="5"/>
  <c r="E8" i="5"/>
  <c r="F8" i="5"/>
  <c r="H8" i="5"/>
  <c r="G7" i="5"/>
  <c r="E7" i="5"/>
  <c r="F7" i="5"/>
  <c r="H7" i="5"/>
  <c r="G6" i="5"/>
  <c r="E6" i="5"/>
  <c r="F6" i="5"/>
  <c r="E49" i="2"/>
  <c r="C45" i="2"/>
  <c r="G36" i="2"/>
  <c r="E36" i="2"/>
  <c r="F36" i="2"/>
  <c r="H36" i="2"/>
  <c r="G35" i="2"/>
  <c r="E35" i="2"/>
  <c r="F35" i="2"/>
  <c r="H35" i="2"/>
  <c r="G34" i="2"/>
  <c r="E34" i="2"/>
  <c r="F34" i="2"/>
  <c r="H34" i="2"/>
  <c r="G33" i="2"/>
  <c r="E33" i="2"/>
  <c r="F33" i="2"/>
  <c r="H33" i="2"/>
  <c r="G32" i="2"/>
  <c r="E32" i="2"/>
  <c r="F32" i="2"/>
  <c r="H32" i="2"/>
  <c r="G31" i="2"/>
  <c r="E31" i="2"/>
  <c r="F31" i="2"/>
  <c r="H31" i="2"/>
  <c r="G30" i="2"/>
  <c r="E30" i="2"/>
  <c r="F30" i="2"/>
  <c r="H30" i="2"/>
  <c r="G29" i="2"/>
  <c r="E29" i="2"/>
  <c r="F29" i="2"/>
  <c r="H29" i="2"/>
  <c r="G28" i="2"/>
  <c r="E28" i="2"/>
  <c r="F28" i="2"/>
  <c r="H28" i="2"/>
  <c r="G27" i="2"/>
  <c r="E27" i="2"/>
  <c r="F27" i="2"/>
  <c r="H27" i="2"/>
  <c r="G26" i="2"/>
  <c r="E26" i="2"/>
  <c r="F26" i="2"/>
  <c r="H26" i="2"/>
  <c r="G25" i="2"/>
  <c r="E25" i="2"/>
  <c r="F25" i="2"/>
  <c r="H25" i="2"/>
  <c r="G24" i="2"/>
  <c r="E24" i="2"/>
  <c r="F24" i="2"/>
  <c r="H24" i="2"/>
  <c r="G23" i="2"/>
  <c r="E23" i="2"/>
  <c r="F23" i="2"/>
  <c r="H23" i="2"/>
  <c r="G22" i="2"/>
  <c r="E22" i="2"/>
  <c r="F22" i="2"/>
  <c r="H22" i="2"/>
  <c r="G21" i="2"/>
  <c r="E21" i="2"/>
  <c r="F21" i="2"/>
  <c r="H21" i="2"/>
  <c r="G20" i="2"/>
  <c r="E20" i="2"/>
  <c r="F20" i="2"/>
  <c r="H20" i="2"/>
  <c r="G19" i="2"/>
  <c r="E19" i="2"/>
  <c r="F19" i="2"/>
  <c r="H19" i="2"/>
  <c r="G18" i="2"/>
  <c r="E18" i="2"/>
  <c r="F18" i="2"/>
  <c r="H18" i="2"/>
  <c r="G17" i="2"/>
  <c r="E17" i="2"/>
  <c r="F17" i="2"/>
  <c r="H17" i="2"/>
  <c r="G14" i="2"/>
  <c r="E14" i="2"/>
  <c r="F14" i="2"/>
  <c r="H14" i="2"/>
  <c r="G13" i="2"/>
  <c r="E13" i="2"/>
  <c r="F13" i="2"/>
  <c r="H13" i="2"/>
  <c r="G12" i="2"/>
  <c r="E12" i="2"/>
  <c r="F12" i="2"/>
  <c r="H12" i="2"/>
  <c r="G11" i="2"/>
  <c r="E11" i="2"/>
  <c r="F11" i="2"/>
  <c r="H11" i="2"/>
  <c r="G10" i="2"/>
  <c r="E10" i="2"/>
  <c r="F10" i="2"/>
  <c r="G9" i="2"/>
  <c r="E9" i="2"/>
  <c r="F9" i="2"/>
  <c r="H9" i="2"/>
  <c r="G8" i="2"/>
  <c r="E8" i="2"/>
  <c r="F8" i="2"/>
  <c r="H8" i="2"/>
  <c r="G7" i="2"/>
  <c r="E7" i="2"/>
  <c r="F7" i="2"/>
  <c r="H7" i="2"/>
  <c r="G6" i="2"/>
  <c r="E6" i="2"/>
  <c r="F6" i="2"/>
  <c r="H10" i="2"/>
  <c r="C37" i="1"/>
  <c r="G37" i="3"/>
  <c r="G37" i="2"/>
  <c r="E62" i="2"/>
  <c r="E37" i="24"/>
  <c r="F37" i="24"/>
  <c r="B25" i="1"/>
  <c r="E62" i="23"/>
  <c r="H10" i="17"/>
  <c r="E62" i="17"/>
  <c r="H10" i="16"/>
  <c r="E62" i="13"/>
  <c r="G37" i="13"/>
  <c r="C17" i="1"/>
  <c r="G37" i="12"/>
  <c r="G37" i="15"/>
  <c r="C19" i="1"/>
  <c r="F37" i="15"/>
  <c r="B19" i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/>
  <c r="H25" i="7"/>
  <c r="H27" i="7"/>
  <c r="H29" i="7"/>
  <c r="H31" i="7"/>
  <c r="H33" i="7"/>
  <c r="H35" i="7"/>
  <c r="H10" i="7"/>
  <c r="H35" i="4"/>
  <c r="H17" i="4"/>
  <c r="G37" i="4"/>
  <c r="C6" i="1"/>
  <c r="H10" i="4"/>
  <c r="E62" i="4"/>
  <c r="H35" i="3"/>
  <c r="H10" i="5"/>
  <c r="E62" i="5"/>
  <c r="G37" i="5"/>
  <c r="C8" i="1"/>
  <c r="H6" i="24"/>
  <c r="H37" i="24"/>
  <c r="F37" i="23"/>
  <c r="B24" i="1"/>
  <c r="H6" i="23"/>
  <c r="H37" i="23"/>
  <c r="E37" i="23"/>
  <c r="H6" i="18"/>
  <c r="F37" i="17"/>
  <c r="B21" i="1"/>
  <c r="H6" i="17"/>
  <c r="E37" i="17"/>
  <c r="F37" i="16"/>
  <c r="B20" i="1"/>
  <c r="H6" i="16"/>
  <c r="H37" i="16"/>
  <c r="E37" i="16"/>
  <c r="F37" i="14"/>
  <c r="B18" i="1"/>
  <c r="H6" i="14"/>
  <c r="H37" i="14"/>
  <c r="E37" i="14"/>
  <c r="F37" i="13"/>
  <c r="B17" i="1"/>
  <c r="H6" i="13"/>
  <c r="H37" i="13"/>
  <c r="E37" i="13"/>
  <c r="F37" i="12"/>
  <c r="H6" i="12"/>
  <c r="H37" i="12"/>
  <c r="E37" i="12"/>
  <c r="H6" i="15"/>
  <c r="H37" i="15"/>
  <c r="F37" i="11"/>
  <c r="H6" i="11"/>
  <c r="H37" i="11"/>
  <c r="E37" i="11"/>
  <c r="F37" i="10"/>
  <c r="H6" i="10"/>
  <c r="H37" i="10"/>
  <c r="E37" i="10"/>
  <c r="F37" i="9"/>
  <c r="H6" i="9"/>
  <c r="H37" i="9"/>
  <c r="E37" i="9"/>
  <c r="H6" i="22"/>
  <c r="F37" i="8"/>
  <c r="H6" i="8"/>
  <c r="H37" i="8"/>
  <c r="E37" i="8"/>
  <c r="F37" i="6"/>
  <c r="B9" i="1"/>
  <c r="H6" i="6"/>
  <c r="H37" i="6"/>
  <c r="E37" i="6"/>
  <c r="F37" i="19"/>
  <c r="B23" i="1"/>
  <c r="H6" i="19"/>
  <c r="H37" i="19"/>
  <c r="E37" i="19"/>
  <c r="F37" i="7"/>
  <c r="B10" i="1"/>
  <c r="H6" i="7"/>
  <c r="H37" i="7"/>
  <c r="E37" i="7"/>
  <c r="F37" i="4"/>
  <c r="B6" i="1"/>
  <c r="H6" i="4"/>
  <c r="H37" i="4"/>
  <c r="E37" i="4"/>
  <c r="F37" i="3"/>
  <c r="H6" i="3"/>
  <c r="E37" i="3"/>
  <c r="F37" i="5"/>
  <c r="B8" i="1"/>
  <c r="H6" i="5"/>
  <c r="H37" i="5"/>
  <c r="E37" i="5"/>
  <c r="F37" i="2"/>
  <c r="H6" i="2"/>
  <c r="H37" i="2"/>
  <c r="E37" i="2"/>
  <c r="H37" i="17"/>
  <c r="H37" i="3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29" i="1" s="1"/>
  <c r="H11" i="1"/>
  <c r="G29" i="1"/>
  <c r="I29" i="1"/>
  <c r="F24" i="1"/>
  <c r="C14" i="1"/>
  <c r="C11" i="1"/>
  <c r="C16" i="1"/>
  <c r="C15" i="1"/>
  <c r="C13" i="1"/>
  <c r="C7" i="1"/>
  <c r="F23" i="1"/>
  <c r="F9" i="1"/>
  <c r="F10" i="1"/>
  <c r="B11" i="1"/>
  <c r="F11" i="1"/>
  <c r="B13" i="1"/>
  <c r="F13" i="1"/>
  <c r="B14" i="1"/>
  <c r="F14" i="1"/>
  <c r="F17" i="1"/>
  <c r="F19" i="1"/>
  <c r="F20" i="1"/>
  <c r="B16" i="1"/>
  <c r="F16" i="1"/>
  <c r="F18" i="1"/>
  <c r="B15" i="1"/>
  <c r="F15" i="1"/>
  <c r="F8" i="1"/>
  <c r="F6" i="1"/>
  <c r="B7" i="1"/>
  <c r="F7" i="1"/>
  <c r="F21" i="1"/>
  <c r="C5" i="1"/>
  <c r="B5" i="1"/>
  <c r="F5" i="1"/>
  <c r="D29" i="1"/>
  <c r="J29" i="1"/>
  <c r="E29" i="1"/>
  <c r="C35" i="1"/>
  <c r="G37" i="18" l="1"/>
  <c r="C22" i="1" s="1"/>
  <c r="C29" i="1" s="1"/>
  <c r="C36" i="1"/>
  <c r="C34" i="1"/>
  <c r="F10" i="22"/>
  <c r="H10" i="22" s="1"/>
  <c r="H37" i="22" s="1"/>
  <c r="H21" i="18"/>
  <c r="H37" i="18" s="1"/>
  <c r="E37" i="18"/>
  <c r="E62" i="18"/>
  <c r="F37" i="18"/>
  <c r="B22" i="1" s="1"/>
  <c r="H8" i="18"/>
  <c r="D4" i="21"/>
  <c r="D17" i="21" s="1"/>
  <c r="F22" i="1" l="1"/>
  <c r="F37" i="22"/>
  <c r="B12" i="1" s="1"/>
  <c r="F12" i="1" s="1"/>
  <c r="F29" i="1"/>
  <c r="C33" i="1" s="1"/>
  <c r="B29" i="1"/>
  <c r="C32" i="1" s="1"/>
</calcChain>
</file>

<file path=xl/sharedStrings.xml><?xml version="1.0" encoding="utf-8"?>
<sst xmlns="http://schemas.openxmlformats.org/spreadsheetml/2006/main" count="1698" uniqueCount="91">
  <si>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</si>
  <si>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</si>
  <si>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</si>
  <si>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</si>
  <si>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</si>
  <si>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</si>
  <si>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</si>
  <si>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</si>
  <si>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</si>
  <si>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</si>
  <si>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</si>
  <si>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</si>
  <si>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</si>
  <si>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</si>
  <si>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</si>
  <si>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</si>
  <si>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</si>
  <si>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</si>
  <si>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</si>
  <si>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</si>
  <si>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</si>
  <si>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</si>
  <si>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</si>
  <si>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</si>
  <si>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</si>
  <si>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</si>
  <si>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</si>
  <si>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</si>
  <si>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</si>
  <si>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</si>
  <si>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</si>
  <si>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</si>
  <si>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</si>
  <si>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</si>
  <si>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</si>
  <si>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</si>
  <si>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</si>
  <si>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</si>
  <si>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</si>
  <si>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</si>
  <si>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</si>
  <si>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</si>
  <si>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</si>
  <si>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</si>
  <si>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</si>
  <si>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</si>
  <si>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</si>
  <si>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</si>
  <si>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</si>
  <si>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</si>
  <si>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</si>
  <si>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</si>
  <si>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</si>
  <si>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</si>
  <si>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</si>
  <si>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</si>
  <si>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</si>
  <si>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</si>
  <si>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</si>
  <si>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</si>
  <si>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</si>
  <si>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</si>
  <si>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</si>
  <si>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</si>
  <si>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</si>
  <si>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</si>
  <si>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</si>
  <si>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</si>
  <si>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</si>
  <si>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</si>
  <si>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</si>
  <si>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</si>
  <si>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</si>
  <si>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</si>
  <si>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</si>
  <si>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</si>
  <si>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</si>
  <si>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</si>
  <si>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</si>
  <si>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</si>
  <si>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</si>
  <si>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</si>
  <si>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</si>
  <si>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</si>
  <si>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</si>
  <si>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M.S.F SERVICE</t>
  </si>
  <si>
    <t>MONTHS REPORT OF NOVEMBER 2026</t>
  </si>
  <si>
    <t>PINUS0Ibipande</t>
  </si>
  <si>
    <t>QUANTITY REPORT RUHANGO</t>
  </si>
  <si>
    <t>QUANTITY REPORT NYANZA</t>
  </si>
  <si>
    <t>MONTHS REPORT OF 08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</si>
</sst>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90625" style="83" customWidth="1"/>
    <col min="2" max="2" width="28.26953125" style="87" customWidth="1"/>
    <col min="3" max="3" width="24.453125" style="88" customWidth="1"/>
    <col min="4" max="4" width="16.1796875" style="83" customWidth="1"/>
    <col min="5" max="5" width="21.81640625" style="83" customWidth="1"/>
    <col min="6" max="6" width="20.54296875" style="85" customWidth="1"/>
    <col min="7" max="7" width="20" style="85" customWidth="1"/>
    <col min="8" max="8" width="16.90625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4" t="s">
        <v>37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82"/>
      <c r="M1" s="82"/>
      <c r="N1" s="82"/>
    </row>
    <row r="2" spans="1:15" ht="31" customHeight="1">
      <c r="A2" s="116" t="s">
        <v>36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82"/>
      <c r="M2" s="82"/>
      <c r="N2" s="82"/>
    </row>
    <row r="3" spans="1:15" ht="15" customHeight="1" thickBo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521694.9152542373</v>
      </c>
      <c r="C12" s="48">
        <f>RUHANGO!G37</f>
        <v>352000</v>
      </c>
      <c r="D12" s="48">
        <f>RUHANGO!C43</f>
        <v>0</v>
      </c>
      <c r="E12" s="48">
        <f>RUHANGO!C44</f>
        <v>0</v>
      </c>
      <c r="F12" s="50">
        <f t="shared" si="0"/>
        <v>873694.91525423736</v>
      </c>
      <c r="G12" s="47">
        <f>RUHANGO!C41</f>
        <v>0</v>
      </c>
      <c r="H12" s="48">
        <f>RUHANGO!C39</f>
        <v>873695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590338.98305084743</v>
      </c>
      <c r="C22" s="48">
        <f>NYANZA!G37</f>
        <v>394500</v>
      </c>
      <c r="D22" s="48">
        <f>NYANZA!C43</f>
        <v>0</v>
      </c>
      <c r="E22" s="48">
        <f>NYANZA!C44</f>
        <v>0</v>
      </c>
      <c r="F22" s="50">
        <f t="shared" si="0"/>
        <v>984838.98305084743</v>
      </c>
      <c r="G22" s="47">
        <f>NYANZA!C41</f>
        <v>0</v>
      </c>
      <c r="H22" s="48">
        <f>NYANZA!C39</f>
        <v>984839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1112033.8983050848</v>
      </c>
      <c r="C29" s="70">
        <f t="shared" si="1"/>
        <v>746500</v>
      </c>
      <c r="D29" s="71">
        <f t="shared" si="1"/>
        <v>0</v>
      </c>
      <c r="E29" s="70">
        <f t="shared" si="1"/>
        <v>0</v>
      </c>
      <c r="F29" s="70">
        <f>SUM(F5:F28)</f>
        <v>1858533.8983050848</v>
      </c>
      <c r="G29" s="71">
        <f>SUM(G5:G28)</f>
        <v>0</v>
      </c>
      <c r="H29" s="71">
        <f>SUM(H5:H28)</f>
        <v>1858534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3"/>
      <c r="B30" s="153"/>
      <c r="C30" s="153"/>
      <c r="D30" s="154"/>
      <c r="E30" s="144" t="s">
        <v>11</v>
      </c>
      <c r="F30" s="145"/>
      <c r="G30" s="145"/>
      <c r="H30" s="145"/>
      <c r="I30" s="146"/>
      <c r="J30" s="118"/>
      <c r="K30" s="119"/>
      <c r="L30" s="82"/>
    </row>
    <row r="31" spans="1:15" ht="19" thickBot="1">
      <c r="A31" s="141" t="s">
        <v>9</v>
      </c>
      <c r="B31" s="142"/>
      <c r="C31" s="142"/>
      <c r="D31" s="142"/>
      <c r="E31" s="147"/>
      <c r="F31" s="148"/>
      <c r="G31" s="148"/>
      <c r="H31" s="148"/>
      <c r="I31" s="149"/>
      <c r="J31" s="120"/>
      <c r="K31" s="121"/>
      <c r="L31" s="82"/>
    </row>
    <row r="32" spans="1:15" ht="15" thickBot="1">
      <c r="A32" s="137" t="s">
        <v>12</v>
      </c>
      <c r="B32" s="138"/>
      <c r="C32" s="155">
        <f>SUM(B29+C29)</f>
        <v>1858533.8983050848</v>
      </c>
      <c r="D32" s="156"/>
      <c r="E32" s="147"/>
      <c r="F32" s="148"/>
      <c r="G32" s="148"/>
      <c r="H32" s="148"/>
      <c r="I32" s="149"/>
      <c r="J32" s="120"/>
      <c r="K32" s="121"/>
      <c r="L32" s="82"/>
    </row>
    <row r="33" spans="1:12" ht="15" thickBot="1">
      <c r="A33" s="137" t="s">
        <v>13</v>
      </c>
      <c r="B33" s="138"/>
      <c r="C33" s="133">
        <f>SUM(F29,G29)</f>
        <v>1858533.8983050848</v>
      </c>
      <c r="D33" s="143"/>
      <c r="E33" s="147"/>
      <c r="F33" s="148"/>
      <c r="G33" s="148"/>
      <c r="H33" s="148"/>
      <c r="I33" s="149"/>
      <c r="J33" s="120"/>
      <c r="K33" s="121"/>
      <c r="L33" s="82"/>
    </row>
    <row r="34" spans="1:12" ht="15" thickBot="1">
      <c r="A34" s="135" t="s">
        <v>81</v>
      </c>
      <c r="B34" s="136"/>
      <c r="C34" s="133">
        <f>SUM(H29,J29,I29+G29)</f>
        <v>1858534</v>
      </c>
      <c r="D34" s="134"/>
      <c r="E34" s="147"/>
      <c r="F34" s="148"/>
      <c r="G34" s="148"/>
      <c r="H34" s="148"/>
      <c r="I34" s="149"/>
      <c r="J34" s="120"/>
      <c r="K34" s="121"/>
      <c r="L34" s="82"/>
    </row>
    <row r="35" spans="1:12" ht="15" thickBot="1">
      <c r="A35" s="137" t="s">
        <v>10</v>
      </c>
      <c r="B35" s="138"/>
      <c r="C35" s="133">
        <f>SUM(D29:E29)</f>
        <v>0</v>
      </c>
      <c r="D35" s="134"/>
      <c r="E35" s="150"/>
      <c r="F35" s="151"/>
      <c r="G35" s="151"/>
      <c r="H35" s="151"/>
      <c r="I35" s="152"/>
      <c r="J35" s="120"/>
      <c r="K35" s="121"/>
      <c r="L35" s="82"/>
    </row>
    <row r="36" spans="1:12" ht="15" thickBot="1">
      <c r="A36" s="137" t="s">
        <v>83</v>
      </c>
      <c r="B36" s="138"/>
      <c r="C36" s="133">
        <f>SUM(H29+I29+J29+C35)</f>
        <v>1858534</v>
      </c>
      <c r="D36" s="134"/>
      <c r="E36" s="124" t="s">
        <v>35</v>
      </c>
      <c r="F36" s="125"/>
      <c r="G36" s="125"/>
      <c r="H36" s="125"/>
      <c r="I36" s="126"/>
      <c r="J36" s="120"/>
      <c r="K36" s="121"/>
      <c r="L36" s="82"/>
    </row>
    <row r="37" spans="1:12" ht="15" thickBot="1">
      <c r="A37" s="139" t="s">
        <v>14</v>
      </c>
      <c r="B37" s="140"/>
      <c r="C37" s="133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1858534</v>
      </c>
      <c r="D37" s="134"/>
      <c r="E37" s="127"/>
      <c r="F37" s="128"/>
      <c r="G37" s="128"/>
      <c r="H37" s="128"/>
      <c r="I37" s="129"/>
      <c r="J37" s="120"/>
      <c r="K37" s="121"/>
      <c r="L37" s="82"/>
    </row>
    <row r="38" spans="1:12" ht="26.5" thickBot="1">
      <c r="A38" s="130" t="s">
        <v>15</v>
      </c>
      <c r="B38" s="131"/>
      <c r="C38" s="131"/>
      <c r="D38" s="131"/>
      <c r="E38" s="131"/>
      <c r="F38" s="131"/>
      <c r="G38" s="131"/>
      <c r="H38" s="131"/>
      <c r="I38" s="132"/>
      <c r="J38" s="122"/>
      <c r="K38" s="123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9" style="43" customWidth="1"/>
    <col min="2" max="2" width="21.90625" style="43" customWidth="1"/>
    <col min="3" max="3" width="25" style="43" customWidth="1"/>
    <col min="4" max="4" width="15.36328125" style="43" customWidth="1"/>
    <col min="5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6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8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s="89" customFormat="1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9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20.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3.15" customHeight="1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22" customHeight="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22.5" customHeight="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24.65" customHeight="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22" customHeight="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22" customHeight="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22" customHeight="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22" customHeight="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81640625" style="43" customWidth="1"/>
    <col min="7" max="7" width="20.54296875" style="43" customWidth="1"/>
    <col min="8" max="8" width="21.8164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4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3.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>
        <v>2124</v>
      </c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43" customWidth="1"/>
    <col min="2" max="2" width="26.36328125" style="43" customWidth="1"/>
    <col min="3" max="3" width="19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179687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4.6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workbookViewId="0">
      <selection activeCell="E6" sqref="E6:H14"/>
    </sheetView>
  </sheetViews>
  <sheetFormatPr defaultColWidth="8.7265625"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453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"/>
  <sheetViews>
    <sheetView workbookViewId="0">
      <selection activeCell="E6" sqref="E6:H14"/>
    </sheetView>
  </sheetViews>
  <sheetFormatPr defaultColWidth="8.7265625" defaultRowHeight="14.5"/>
  <cols>
    <col min="1" max="1" width="23.54296875" style="43" customWidth="1"/>
    <col min="2" max="2" width="19.54296875" style="43" customWidth="1"/>
    <col min="3" max="3" width="14.81640625" style="43" customWidth="1"/>
    <col min="4" max="4" width="9.6328125" style="43" customWidth="1"/>
    <col min="5" max="5" width="22.1796875" style="43" customWidth="1"/>
    <col min="6" max="6" width="23.54296875" style="43" customWidth="1"/>
    <col min="7" max="7" width="17.1796875" style="43" customWidth="1"/>
    <col min="8" max="8" width="22.6328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workbookViewId="0">
      <selection activeCell="E6" sqref="E6:H14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36328125" customWidth="1"/>
    <col min="5" max="5" width="21.6328125" customWidth="1"/>
    <col min="6" max="6" width="19.6328125" customWidth="1"/>
    <col min="7" max="7" width="15.6328125" customWidth="1"/>
    <col min="8" max="8" width="20.81640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4"/>
  <sheetViews>
    <sheetView workbookViewId="0">
      <selection activeCell="E6" sqref="E6:H14"/>
    </sheetView>
  </sheetViews>
  <sheetFormatPr defaultRowHeight="14.5"/>
  <cols>
    <col min="1" max="1" width="23.54296875" customWidth="1"/>
    <col min="2" max="2" width="14.63281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453125" customWidth="1"/>
    <col min="8" max="8" width="16.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3.90625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90625" style="43" customWidth="1"/>
    <col min="8" max="8" width="15.7265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3.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6.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workbookViewId="0">
      <selection activeCell="E6" sqref="E6:H14"/>
    </sheetView>
  </sheetViews>
  <sheetFormatPr defaultRowHeight="14.5"/>
  <cols>
    <col min="1" max="1" width="24.453125" customWidth="1"/>
    <col min="2" max="2" width="16.36328125" customWidth="1"/>
    <col min="3" max="3" width="21.36328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4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workbookViewId="0">
      <selection activeCell="E6" sqref="E6:H14"/>
    </sheetView>
  </sheetViews>
  <sheetFormatPr defaultRowHeight="14.5"/>
  <cols>
    <col min="1" max="1" width="19" customWidth="1"/>
    <col min="2" max="2" width="16.1796875" customWidth="1"/>
    <col min="3" max="3" width="20.81640625" customWidth="1"/>
    <col min="4" max="4" width="14.089843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3.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0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4"/>
  <sheetViews>
    <sheetView workbookViewId="0">
      <selection activeCell="E6" sqref="E6:H14"/>
    </sheetView>
  </sheetViews>
  <sheetFormatPr defaultColWidth="8.7265625"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4.90625" style="43" customWidth="1"/>
    <col min="5" max="5" width="19.26953125" style="43" customWidth="1"/>
    <col min="6" max="6" width="15.9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1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5.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9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tabSelected="1" topLeftCell="A7" zoomScaleNormal="100" workbookViewId="0">
      <selection activeCell="E35" sqref="E35"/>
    </sheetView>
  </sheetViews>
  <sheetFormatPr defaultRowHeight="14.5"/>
  <cols>
    <col min="1" max="1" width="23.08984375" customWidth="1"/>
    <col min="2" max="2" width="15.453125" customWidth="1"/>
    <col min="3" max="3" width="20.26953125" customWidth="1"/>
    <col min="4" max="4" width="16.1796875" customWidth="1"/>
    <col min="5" max="5" width="18.26953125" customWidth="1"/>
    <col min="6" max="6" width="15.36328125" customWidth="1"/>
    <col min="7" max="7" width="22.90625" customWidth="1"/>
    <col min="8" max="8" width="19" customWidth="1"/>
  </cols>
  <sheetData>
    <row r="1" spans="1:9" ht="14.5" customHeight="1">
      <c r="A1" s="210" t="s">
        <v>88</v>
      </c>
      <c r="B1" s="211"/>
      <c r="C1" s="211"/>
      <c r="D1" s="211"/>
      <c r="E1" s="211"/>
      <c r="F1" s="211"/>
      <c r="G1" s="211"/>
      <c r="H1" s="211"/>
      <c r="I1" s="157"/>
    </row>
    <row r="2" spans="1:9" ht="22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90</v>
      </c>
      <c r="B3" s="215"/>
      <c r="C3" s="215"/>
      <c r="D3" s="215"/>
      <c r="E3" s="215"/>
      <c r="F3" s="215"/>
      <c r="G3" s="215"/>
      <c r="H3" s="216"/>
      <c r="I3" s="158"/>
    </row>
    <row r="4" spans="1:9" ht="22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>
        <v>2000</v>
      </c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>
        <v>1900</v>
      </c>
      <c r="C10" s="196">
        <v>1800</v>
      </c>
      <c r="D10" s="197"/>
      <c r="E10" s="12">
        <f t="shared" si="0"/>
        <v>3420000</v>
      </c>
      <c r="F10" s="12">
        <f t="shared" si="1"/>
        <v>521694.9152542373</v>
      </c>
      <c r="G10" s="12">
        <f>PRODUCT(B10*30)</f>
        <v>57000</v>
      </c>
      <c r="H10" s="100">
        <f t="shared" si="2"/>
        <v>578694.91525423736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>
        <v>2300</v>
      </c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85</v>
      </c>
      <c r="B21" s="13">
        <v>5900</v>
      </c>
      <c r="C21" s="13"/>
      <c r="D21" s="13">
        <v>50</v>
      </c>
      <c r="E21" s="20">
        <f t="shared" si="4"/>
        <v>0</v>
      </c>
      <c r="F21" s="17">
        <f t="shared" si="3"/>
        <v>0</v>
      </c>
      <c r="G21" s="15">
        <f t="shared" si="5"/>
        <v>295000</v>
      </c>
      <c r="H21" s="103">
        <f t="shared" si="6"/>
        <v>295000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3420000</v>
      </c>
      <c r="F37" s="24">
        <f>SUM(F5:F36)</f>
        <v>521694.9152542373</v>
      </c>
      <c r="G37" s="24">
        <f t="shared" ref="G37:H37" si="10">SUM(G5:G36)</f>
        <v>352000</v>
      </c>
      <c r="H37" s="24">
        <f t="shared" si="10"/>
        <v>873694.91525423736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>
        <v>873695</v>
      </c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873695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1900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1900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4"/>
  <sheetViews>
    <sheetView zoomScaleNormal="100" workbookViewId="0">
      <selection activeCell="E6" sqref="E6:H14"/>
    </sheetView>
  </sheetViews>
  <sheetFormatPr defaultColWidth="8.7265625" defaultRowHeight="14.5"/>
  <cols>
    <col min="1" max="1" width="24.6328125" style="43" customWidth="1"/>
    <col min="2" max="2" width="15.9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72656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34.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7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9.15" customHeight="1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5" customHeight="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customHeight="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customHeight="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customHeight="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customHeight="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customHeight="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customHeight="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customHeight="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customHeight="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customHeight="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customHeight="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customHeight="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customHeight="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customHeight="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4.5" customHeight="1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4"/>
  <sheetViews>
    <sheetView workbookViewId="0">
      <selection activeCell="E6" sqref="E6:H14"/>
    </sheetView>
  </sheetViews>
  <sheetFormatPr defaultColWidth="8.7265625" defaultRowHeight="14.5"/>
  <cols>
    <col min="1" max="1" width="19.7265625" style="43" customWidth="1"/>
    <col min="2" max="2" width="14.36328125" style="43" customWidth="1"/>
    <col min="3" max="3" width="20" style="43" customWidth="1"/>
    <col min="4" max="4" width="14.08984375" style="43" customWidth="1"/>
    <col min="5" max="5" width="20" style="43" customWidth="1"/>
    <col min="6" max="6" width="15.36328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1.6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4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4"/>
  <sheetViews>
    <sheetView workbookViewId="0">
      <selection activeCell="E6" sqref="E6:H14"/>
    </sheetView>
  </sheetViews>
  <sheetFormatPr defaultColWidth="8.7265625" defaultRowHeight="14.5"/>
  <cols>
    <col min="1" max="1" width="19.7265625" style="43" customWidth="1"/>
    <col min="2" max="2" width="14.36328125" style="43" customWidth="1"/>
    <col min="3" max="3" width="23.90625" style="43" customWidth="1"/>
    <col min="4" max="4" width="18" style="43" customWidth="1"/>
    <col min="5" max="5" width="20.54296875" style="43" customWidth="1"/>
    <col min="6" max="6" width="22.90625" style="43" customWidth="1"/>
    <col min="7" max="7" width="21.0898437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6.90625" customWidth="1"/>
    <col min="6" max="7" width="19" customWidth="1"/>
    <col min="8" max="8" width="24.3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9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9" customWidth="1"/>
    <col min="5" max="5" width="17.7265625" customWidth="1"/>
    <col min="6" max="6" width="18" customWidth="1"/>
    <col min="7" max="7" width="21.81640625" customWidth="1"/>
    <col min="8" max="8" width="22.3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0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0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9" customWidth="1"/>
    <col min="7" max="7" width="17.7265625" customWidth="1"/>
    <col min="8" max="8" width="22.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4.6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.6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4"/>
  <sheetViews>
    <sheetView topLeftCell="A4" workbookViewId="0">
      <selection activeCell="D36" sqref="D36"/>
    </sheetView>
  </sheetViews>
  <sheetFormatPr defaultRowHeight="14.5"/>
  <cols>
    <col min="1" max="1" width="22.453125" customWidth="1"/>
    <col min="2" max="2" width="17.1796875" customWidth="1"/>
    <col min="3" max="3" width="19.26953125" customWidth="1"/>
    <col min="4" max="4" width="16.54296875" customWidth="1"/>
    <col min="5" max="5" width="22.36328125" customWidth="1"/>
    <col min="6" max="6" width="17.1796875" customWidth="1"/>
    <col min="7" max="7" width="16.26953125" customWidth="1"/>
    <col min="8" max="8" width="23.26953125" customWidth="1"/>
  </cols>
  <sheetData>
    <row r="1" spans="1:9" ht="14.5" customHeight="1">
      <c r="A1" s="210" t="s">
        <v>89</v>
      </c>
      <c r="B1" s="211"/>
      <c r="C1" s="211"/>
      <c r="D1" s="211"/>
      <c r="E1" s="211"/>
      <c r="F1" s="211"/>
      <c r="G1" s="211"/>
      <c r="H1" s="211"/>
      <c r="I1" s="157"/>
    </row>
    <row r="2" spans="1:9" ht="27.6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86</v>
      </c>
      <c r="B3" s="215"/>
      <c r="C3" s="215"/>
      <c r="D3" s="215"/>
      <c r="E3" s="215"/>
      <c r="F3" s="215"/>
      <c r="G3" s="215"/>
      <c r="H3" s="216"/>
      <c r="I3" s="158"/>
    </row>
    <row r="4" spans="1:9" ht="21.6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>
        <v>400</v>
      </c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20000</v>
      </c>
      <c r="H7" s="99">
        <f t="shared" si="2"/>
        <v>20000</v>
      </c>
      <c r="I7" s="158"/>
    </row>
    <row r="8" spans="1:9">
      <c r="A8" s="39" t="s">
        <v>87</v>
      </c>
      <c r="B8" s="11"/>
      <c r="C8" s="196">
        <v>2500</v>
      </c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>
        <v>2150</v>
      </c>
      <c r="C10" s="196">
        <v>1800</v>
      </c>
      <c r="D10" s="197"/>
      <c r="E10" s="12">
        <f t="shared" si="0"/>
        <v>3870000</v>
      </c>
      <c r="F10" s="12">
        <f t="shared" si="1"/>
        <v>590338.98305084743</v>
      </c>
      <c r="G10" s="12">
        <f>PRODUCT(B10*30)</f>
        <v>64500</v>
      </c>
      <c r="H10" s="100">
        <f t="shared" si="2"/>
        <v>654838.98305084743</v>
      </c>
      <c r="I10" s="158"/>
    </row>
    <row r="11" spans="1:9">
      <c r="A11" s="40" t="s">
        <v>66</v>
      </c>
      <c r="B11" s="11"/>
      <c r="C11" s="196">
        <v>2500</v>
      </c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>
        <v>750</v>
      </c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15000</v>
      </c>
      <c r="H13" s="100">
        <f t="shared" si="2"/>
        <v>15000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85</v>
      </c>
      <c r="B21" s="13">
        <v>5900</v>
      </c>
      <c r="C21" s="13"/>
      <c r="D21" s="13">
        <v>50</v>
      </c>
      <c r="E21" s="20">
        <f t="shared" si="4"/>
        <v>0</v>
      </c>
      <c r="F21" s="17">
        <f t="shared" si="3"/>
        <v>0</v>
      </c>
      <c r="G21" s="15">
        <f t="shared" si="5"/>
        <v>295000</v>
      </c>
      <c r="H21" s="103">
        <f t="shared" si="6"/>
        <v>295000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3870000</v>
      </c>
      <c r="F37" s="24">
        <f>SUM(F5:F36)</f>
        <v>590338.98305084743</v>
      </c>
      <c r="G37" s="24">
        <f t="shared" ref="G37:H37" si="10">SUM(G5:G36)</f>
        <v>394500</v>
      </c>
      <c r="H37" s="24">
        <f t="shared" si="10"/>
        <v>984838.98305084743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>
        <v>984839</v>
      </c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984839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2150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400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750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3300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90625" style="43" customWidth="1"/>
    <col min="2" max="2" width="16.17968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9" style="43" customWidth="1"/>
    <col min="8" max="8" width="24.6328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0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2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81640625" customWidth="1"/>
    <col min="3" max="3" width="25.26953125" customWidth="1"/>
    <col min="4" max="4" width="18.453125" customWidth="1"/>
    <col min="5" max="5" width="21.08984375" customWidth="1"/>
    <col min="6" max="6" width="15.36328125" customWidth="1"/>
    <col min="7" max="7" width="13.453125" customWidth="1"/>
    <col min="8" max="8" width="15.36328125" customWidth="1"/>
  </cols>
  <sheetData>
    <row r="1" spans="1:9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9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30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84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84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84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84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84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84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84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84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0" t="s">
        <v>57</v>
      </c>
      <c r="B1" s="181"/>
      <c r="C1" s="181"/>
      <c r="D1" s="181"/>
      <c r="E1" s="181"/>
      <c r="F1" s="181"/>
      <c r="G1" s="238"/>
    </row>
    <row r="2" spans="1:7" ht="15" thickBot="1">
      <c r="A2" s="182"/>
      <c r="B2" s="183"/>
      <c r="C2" s="183"/>
      <c r="D2" s="183"/>
      <c r="E2" s="183"/>
      <c r="F2" s="183"/>
      <c r="G2" s="239"/>
    </row>
    <row r="3" spans="1:7" ht="28.5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4050</v>
      </c>
      <c r="E4" s="236"/>
      <c r="F4" s="236"/>
      <c r="G4" s="237"/>
    </row>
    <row r="5" spans="1:7" ht="3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400</v>
      </c>
      <c r="E5" s="236"/>
      <c r="F5" s="236"/>
      <c r="G5" s="237"/>
    </row>
    <row r="6" spans="1:7" ht="40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750</v>
      </c>
      <c r="E6" s="236"/>
      <c r="F6" s="236"/>
      <c r="G6" s="237"/>
    </row>
    <row r="7" spans="1:7" ht="38.5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6"/>
      <c r="F7" s="236"/>
      <c r="G7" s="237"/>
    </row>
    <row r="8" spans="1:7" ht="40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6"/>
      <c r="F8" s="236"/>
      <c r="G8" s="237"/>
    </row>
    <row r="9" spans="1:7" ht="38.5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.15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65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.15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43" t="s">
        <v>65</v>
      </c>
      <c r="B17" s="244"/>
      <c r="C17" s="245"/>
      <c r="D17" s="246">
        <f>SUM(D4:D16)</f>
        <v>5200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niyonkurujoas55@gmail.com</cp:lastModifiedBy>
  <dcterms:created xsi:type="dcterms:W3CDTF">2023-12-29T10:10:15Z</dcterms:created>
  <dcterms:modified xsi:type="dcterms:W3CDTF">2026-09-01T15:34:13Z</dcterms:modified>
</cp:coreProperties>
</file>