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 firstSheet="3" activeTab="17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THIRTH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G8" i="28"/>
  <c r="E8" i="28"/>
  <c r="F8" i="28" s="1"/>
  <c r="H8" i="28" s="1"/>
  <c r="G7" i="28"/>
  <c r="E7" i="28"/>
  <c r="F7" i="28" s="1"/>
  <c r="H7" i="28" s="1"/>
  <c r="G6" i="28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G10" i="27"/>
  <c r="E10" i="27"/>
  <c r="F10" i="27" s="1"/>
  <c r="H10" i="27" s="1"/>
  <c r="G9" i="27"/>
  <c r="E9" i="27"/>
  <c r="F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G37" i="28" l="1"/>
  <c r="E62" i="28"/>
  <c r="H9" i="25"/>
  <c r="H17" i="25"/>
  <c r="H23" i="25"/>
  <c r="H29" i="25"/>
  <c r="H35" i="25"/>
  <c r="H9" i="26"/>
  <c r="H17" i="26"/>
  <c r="H23" i="26"/>
  <c r="H29" i="26"/>
  <c r="H35" i="26"/>
  <c r="H9" i="27"/>
  <c r="H17" i="27"/>
  <c r="H23" i="27"/>
  <c r="H29" i="27"/>
  <c r="H35" i="27"/>
  <c r="H9" i="28"/>
  <c r="H17" i="28"/>
  <c r="H23" i="28"/>
  <c r="H29" i="28"/>
  <c r="H35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G18" i="17"/>
  <c r="E18" i="17"/>
  <c r="F18" i="17" s="1"/>
  <c r="H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G20" i="15"/>
  <c r="F20" i="15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G24" i="10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E33" i="8"/>
  <c r="F33" i="8" s="1"/>
  <c r="H33" i="8" s="1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G6" i="2"/>
  <c r="E6" i="2"/>
  <c r="F6" i="2" s="1"/>
  <c r="G37" i="10" l="1"/>
  <c r="H13" i="4"/>
  <c r="H7" i="4"/>
  <c r="H23" i="23"/>
  <c r="H20" i="23"/>
  <c r="H13" i="19"/>
  <c r="H13" i="7"/>
  <c r="H7" i="7"/>
  <c r="H13" i="5"/>
  <c r="H7" i="5"/>
  <c r="H27" i="2"/>
  <c r="H13" i="2"/>
  <c r="H7" i="2"/>
  <c r="H13" i="6"/>
  <c r="H17" i="17"/>
  <c r="D4" i="21"/>
  <c r="H20" i="15"/>
  <c r="H7" i="15"/>
  <c r="D6" i="21"/>
  <c r="E62" i="16"/>
  <c r="D7" i="21"/>
  <c r="E62" i="7"/>
  <c r="D11" i="21"/>
  <c r="H37" i="25"/>
  <c r="H12" i="2"/>
  <c r="H20" i="2"/>
  <c r="H26" i="2"/>
  <c r="H32" i="2"/>
  <c r="H12" i="5"/>
  <c r="H20" i="5"/>
  <c r="H26" i="5"/>
  <c r="H32" i="5"/>
  <c r="H12" i="3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E62" i="6"/>
  <c r="H12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5" i="15"/>
  <c r="D12" i="21"/>
  <c r="H19" i="24"/>
  <c r="H35" i="24"/>
  <c r="E62" i="12"/>
  <c r="G37" i="17"/>
  <c r="C21" i="1" s="1"/>
  <c r="G37" i="18"/>
  <c r="C22" i="1" s="1"/>
  <c r="E62" i="14"/>
  <c r="H37" i="28"/>
  <c r="D9" i="21"/>
  <c r="D10" i="21"/>
  <c r="G37" i="19"/>
  <c r="C23" i="1" s="1"/>
  <c r="G37" i="6"/>
  <c r="C9" i="1" s="1"/>
  <c r="D13" i="21"/>
  <c r="H19" i="10"/>
  <c r="H25" i="10"/>
  <c r="H31" i="10"/>
  <c r="H11" i="11"/>
  <c r="H26" i="15"/>
  <c r="D14" i="21"/>
  <c r="H37" i="26"/>
  <c r="D16" i="21"/>
  <c r="D5" i="21"/>
  <c r="G37" i="14"/>
  <c r="C18" i="1" s="1"/>
  <c r="G37" i="16"/>
  <c r="C20" i="1" s="1"/>
  <c r="G37" i="23"/>
  <c r="C24" i="1" s="1"/>
  <c r="E62" i="24"/>
  <c r="G37" i="24"/>
  <c r="C25" i="1" s="1"/>
  <c r="D8" i="21"/>
  <c r="E62" i="8"/>
  <c r="E62" i="9"/>
  <c r="H21" i="15"/>
  <c r="H11" i="12"/>
  <c r="H19" i="12"/>
  <c r="H25" i="12"/>
  <c r="H31" i="12"/>
  <c r="H11" i="13"/>
  <c r="H19" i="13"/>
  <c r="H25" i="13"/>
  <c r="H31" i="13"/>
  <c r="H11" i="14"/>
  <c r="H19" i="14"/>
  <c r="H25" i="14"/>
  <c r="H31" i="14"/>
  <c r="H11" i="16"/>
  <c r="H19" i="16"/>
  <c r="H25" i="16"/>
  <c r="H31" i="16"/>
  <c r="H11" i="17"/>
  <c r="H19" i="17"/>
  <c r="H25" i="17"/>
  <c r="H31" i="17"/>
  <c r="H11" i="18"/>
  <c r="H19" i="18"/>
  <c r="H25" i="18"/>
  <c r="H31" i="18"/>
  <c r="D15" i="21"/>
  <c r="H11" i="23"/>
  <c r="H19" i="23"/>
  <c r="H25" i="23"/>
  <c r="H31" i="23"/>
  <c r="H31" i="24"/>
  <c r="H37" i="27"/>
  <c r="H13" i="3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H37" i="13" s="1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37" i="18" l="1"/>
  <c r="H37" i="14"/>
  <c r="H37" i="10"/>
  <c r="H37" i="4"/>
  <c r="H37" i="11"/>
  <c r="H37" i="24"/>
  <c r="H37" i="15"/>
  <c r="H37" i="16"/>
  <c r="H37" i="7"/>
  <c r="H37" i="12"/>
  <c r="H37" i="6"/>
  <c r="H37" i="8"/>
  <c r="H37" i="2"/>
  <c r="H37" i="5"/>
  <c r="H37" i="19"/>
  <c r="H37" i="9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<sst xmlns="http://schemas.openxmlformats.org/spreadsheetml/2006/main" count="2012" uniqueCount="104">
  <si>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</si>
  <si>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</si>
  <si>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</si>
  <si>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</si>
  <si>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</si>
  <si>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</si>
  <si>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</si>
  <si>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</si>
  <si>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</si>
  <si>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</si>
  <si>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</si>
  <si>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</si>
  <si>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</si>
  <si>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</si>
  <si>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</si>
  <si>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</si>
  <si>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</si>
  <si>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</si>
  <si>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</si>
  <si>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</si>
  <si>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</si>
  <si>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</si>
  <si>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</si>
  <si>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</si>
  <si>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</si>
  <si>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</si>
  <si>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</si>
  <si>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</si>
  <si>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</si>
  <si>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</si>
  <si>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</si>
  <si>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</si>
  <si>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</si>
  <si>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</si>
  <si>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</si>
  <si>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</si>
  <si>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</si>
  <si>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</si>
  <si>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</si>
  <si>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</si>
  <si>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</si>
  <si>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</si>
  <si>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</si>
  <si>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</si>
  <si>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</si>
  <si>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</si>
  <si>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</si>
  <si>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</si>
  <si>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</si>
  <si>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</si>
  <si>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</si>
  <si>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</si>
  <si>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</si>
  <si>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</si>
  <si>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</si>
  <si>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</si>
  <si>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</si>
  <si>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</si>
  <si>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</si>
  <si>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</si>
  <si>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</si>
  <si>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</si>
  <si>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</si>
  <si>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</si>
  <si>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</si>
  <si>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</si>
  <si>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</si>
  <si>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</si>
  <si>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</si>
  <si>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</si>
  <si>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</si>
  <si>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</si>
  <si>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</si>
  <si>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</si>
  <si>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</si>
  <si>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</si>
  <si>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</si>
  <si>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</si>
  <si>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</si>
  <si>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</si>
  <si>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</si>
  <si>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</si>
  <si>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</si>
  <si>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</si>
  <si>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</si>
  <si>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</si>
  <si>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</si>
  <si>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</si>
  <si>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MONTHS REPORT OF MARCH 2026</t>
  </si>
  <si>
    <t>IBIPANDE BYA SIPURE</t>
  </si>
  <si>
    <t>DESCHET</t>
  </si>
  <si>
    <t>GEREVERIA</t>
  </si>
  <si>
    <t>IBIPANDE BYA PINUS</t>
  </si>
  <si>
    <t>WEEK REPORT FROM MARCH 2026</t>
  </si>
  <si>
    <t xml:space="preserve">PINUS </t>
  </si>
  <si>
    <t>MUNYONGORO</t>
  </si>
  <si>
    <t>IBIPANDE BY'INTURUSU</t>
  </si>
  <si>
    <t>PLANCHE ZA PINUS</t>
  </si>
  <si>
    <t>SIPURE</t>
  </si>
  <si>
    <t>INTURUSU NTOYA</t>
  </si>
  <si>
    <t>IBIPANDE BITOYA</t>
  </si>
  <si>
    <t>INTURUSU NINI</t>
  </si>
  <si>
    <t>INGIGA</t>
  </si>
  <si>
    <t>IBIPANDE PINUS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</si>
</sst>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2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1" fillId="4" borderId="38" xfId="1" applyNumberFormat="1" applyFont="1" applyFill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10" zoomScale="80" zoomScaleNormal="80" workbookViewId="0">
      <selection activeCell="A26" sqref="A26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26" t="s">
        <v>36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72"/>
      <c r="M1" s="72"/>
      <c r="N1" s="72"/>
    </row>
    <row r="2" spans="1:15" ht="31.05" customHeight="1">
      <c r="A2" s="128" t="s">
        <v>35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72"/>
      <c r="M2" s="72"/>
      <c r="N2" s="72"/>
    </row>
    <row r="3" spans="1:15" ht="15" customHeight="1" thickBot="1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GISOZI!F37</f>
        <v>44476540.62711864</v>
      </c>
      <c r="C5" s="37">
        <f>GISOZI!G37</f>
        <v>3499460</v>
      </c>
      <c r="D5" s="37">
        <f>GISOZI!C43</f>
        <v>0</v>
      </c>
      <c r="E5" s="37">
        <f>GISOZI!C44</f>
        <v>0</v>
      </c>
      <c r="F5" s="41">
        <f>SUM(B5:C5)</f>
        <v>47976000.62711864</v>
      </c>
      <c r="G5" s="37">
        <f>GISOZI!C41</f>
        <v>0</v>
      </c>
      <c r="H5" s="37">
        <f>GISOZI!C39</f>
        <v>47624229</v>
      </c>
      <c r="I5" s="37">
        <f>GISOZI!C42</f>
        <v>353490</v>
      </c>
      <c r="J5" s="37">
        <f>GISOZI!C40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8465760</v>
      </c>
      <c r="C6" s="39">
        <f>GAHANGA!G37</f>
        <v>755700</v>
      </c>
      <c r="D6" s="39">
        <f>GAHANGA!C43</f>
        <v>0</v>
      </c>
      <c r="E6" s="39">
        <f>GAHANGA!C44</f>
        <v>0</v>
      </c>
      <c r="F6" s="41">
        <f t="shared" ref="F6:F28" si="0">SUM(B6:C6)</f>
        <v>9221460</v>
      </c>
      <c r="G6" s="39">
        <f>GAHANGA!C41</f>
        <v>0</v>
      </c>
      <c r="H6" s="39">
        <f>GAHANGA!C39</f>
        <v>0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12443715</v>
      </c>
      <c r="C7" s="39">
        <f>KIMIRONKO!G37</f>
        <v>1119020</v>
      </c>
      <c r="D7" s="39">
        <f>KIMIRONKO!C43</f>
        <v>0</v>
      </c>
      <c r="E7" s="39">
        <f>KIMIRONKO!C44</f>
        <v>0</v>
      </c>
      <c r="F7" s="41">
        <f t="shared" si="0"/>
        <v>13562735</v>
      </c>
      <c r="G7" s="39">
        <f>KIMIRONKO!C41</f>
        <v>131420</v>
      </c>
      <c r="H7" s="39">
        <f>KIMIRONKO!C39</f>
        <v>13562735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7804028.1355932206</v>
      </c>
      <c r="C8" s="39">
        <f>BISHENYI!G37</f>
        <v>655270</v>
      </c>
      <c r="D8" s="39">
        <f>BISHENYI!C43</f>
        <v>0</v>
      </c>
      <c r="E8" s="39">
        <f>BISHENYI!C44</f>
        <v>0</v>
      </c>
      <c r="F8" s="41">
        <f t="shared" si="0"/>
        <v>8459298.1355932206</v>
      </c>
      <c r="G8" s="38">
        <f>BISHENYI!C41</f>
        <v>0</v>
      </c>
      <c r="H8" s="39">
        <f>BISHENYI!C39</f>
        <v>8459518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4180662</v>
      </c>
      <c r="C9" s="39">
        <f>RWAMAGANA!G37</f>
        <v>462650</v>
      </c>
      <c r="D9" s="39">
        <f>RWAMAGANA!C43</f>
        <v>0</v>
      </c>
      <c r="E9" s="39">
        <f>RWAMAGANA!C44</f>
        <v>0</v>
      </c>
      <c r="F9" s="41">
        <f t="shared" si="0"/>
        <v>4643312</v>
      </c>
      <c r="G9" s="38">
        <f>RWAMAGANA!C41</f>
        <v>0</v>
      </c>
      <c r="H9" s="39">
        <f>RWAMAGANA!C39</f>
        <v>0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11304855</v>
      </c>
      <c r="C10" s="39">
        <f>BUGESERA!G37</f>
        <v>1034840</v>
      </c>
      <c r="D10" s="39">
        <f>BUGESERA!C43</f>
        <v>0</v>
      </c>
      <c r="E10" s="39">
        <f>BUGESERA!C44</f>
        <v>0</v>
      </c>
      <c r="F10" s="41">
        <f t="shared" si="0"/>
        <v>12339695</v>
      </c>
      <c r="G10" s="38">
        <f>BUGESERA!C41</f>
        <v>0</v>
      </c>
      <c r="H10" s="39">
        <f>BUGESERA!C39</f>
        <v>11377269</v>
      </c>
      <c r="I10" s="39">
        <f>BUGESERA!C42</f>
        <v>0</v>
      </c>
      <c r="J10" s="39">
        <f>BUGESERA!C40</f>
        <v>962426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4332346.7796610175</v>
      </c>
      <c r="C11" s="39">
        <f>MUHANGA!G37</f>
        <v>393090</v>
      </c>
      <c r="D11" s="39">
        <f>MUHANGA!C43</f>
        <v>0</v>
      </c>
      <c r="E11" s="39">
        <f>MUHANGA!C44</f>
        <v>0</v>
      </c>
      <c r="F11" s="41">
        <f t="shared" si="0"/>
        <v>4725436.7796610175</v>
      </c>
      <c r="G11" s="38">
        <f>MUHANGA!C41</f>
        <v>0</v>
      </c>
      <c r="H11" s="39">
        <f>MUHANGA!C39</f>
        <v>4725437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296542.37288135593</v>
      </c>
      <c r="C12" s="39">
        <f>RUHANGO!G37</f>
        <v>182400</v>
      </c>
      <c r="D12" s="39">
        <f>RUHANGO!C43</f>
        <v>0</v>
      </c>
      <c r="E12" s="39">
        <f>RUHANGO!C44</f>
        <v>0</v>
      </c>
      <c r="F12" s="41">
        <f t="shared" si="0"/>
        <v>478942.37288135593</v>
      </c>
      <c r="G12" s="38">
        <f>RUHANGO!C41</f>
        <v>0</v>
      </c>
      <c r="H12" s="39">
        <f>RUHANGO!C39</f>
        <v>478942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4717285.9322033897</v>
      </c>
      <c r="C13" s="39">
        <f>HUYE!G37</f>
        <v>392700</v>
      </c>
      <c r="D13" s="39">
        <f>HUYE!C43</f>
        <v>0</v>
      </c>
      <c r="E13" s="39">
        <f>HUYE!C44</f>
        <v>0</v>
      </c>
      <c r="F13" s="41">
        <f t="shared" si="0"/>
        <v>5109985.9322033897</v>
      </c>
      <c r="G13" s="38">
        <f>HUYE!C41</f>
        <v>0</v>
      </c>
      <c r="H13" s="39">
        <f>HUYE!C39</f>
        <v>5093314</v>
      </c>
      <c r="I13" s="39">
        <f>HUYE!C42</f>
        <v>0</v>
      </c>
      <c r="J13" s="39">
        <f>HUYE!C40</f>
        <v>16672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1890524.7457627119</v>
      </c>
      <c r="C14" s="39">
        <f>RUSIZI!G37</f>
        <v>328600</v>
      </c>
      <c r="D14" s="39">
        <f>RUSIZI!C43</f>
        <v>0</v>
      </c>
      <c r="E14" s="39">
        <f>RUSIZI!C44</f>
        <v>0</v>
      </c>
      <c r="F14" s="41">
        <f t="shared" si="0"/>
        <v>2219124.7457627119</v>
      </c>
      <c r="G14" s="38">
        <f>RUSIZI!C41</f>
        <v>0</v>
      </c>
      <c r="H14" s="39">
        <f>RUSIZI!C39</f>
        <v>2219125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971206.779661017</v>
      </c>
      <c r="C15" s="39">
        <f>NYAMAGABE!G37</f>
        <v>93000</v>
      </c>
      <c r="D15" s="39">
        <f>NYAMAGABE!C43</f>
        <v>0</v>
      </c>
      <c r="E15" s="39">
        <f>NYAMAGABE!C44</f>
        <v>0</v>
      </c>
      <c r="F15" s="41">
        <f t="shared" si="0"/>
        <v>1064206.779661017</v>
      </c>
      <c r="G15" s="38">
        <f>NYAMAGABE!C41</f>
        <v>0</v>
      </c>
      <c r="H15" s="39">
        <f>NYAMAGABE!C39</f>
        <v>0</v>
      </c>
      <c r="I15" s="39">
        <f>NYAMAGABE!C42</f>
        <v>0</v>
      </c>
      <c r="J15" s="39">
        <f>NYAMAGABE!C40</f>
        <v>54207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1629518.6440677966</v>
      </c>
      <c r="C16" s="39">
        <f>KARONGI!G37</f>
        <v>298134</v>
      </c>
      <c r="D16" s="39">
        <f>KARONGI!C43</f>
        <v>0</v>
      </c>
      <c r="E16" s="39">
        <f>KARONGI!C44</f>
        <v>0</v>
      </c>
      <c r="F16" s="41">
        <f t="shared" si="0"/>
        <v>1927652.6440677966</v>
      </c>
      <c r="G16" s="38">
        <f>KARONGI!C41</f>
        <v>0</v>
      </c>
      <c r="H16" s="39">
        <f>KARONGI!C39</f>
        <v>1927663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5438142</v>
      </c>
      <c r="C17" s="39">
        <f>RUBAVU!G37</f>
        <v>566950</v>
      </c>
      <c r="D17" s="39">
        <f>RUBAVU!C43</f>
        <v>0</v>
      </c>
      <c r="E17" s="39">
        <f>RUBAVU!C44</f>
        <v>0</v>
      </c>
      <c r="F17" s="41">
        <f t="shared" si="0"/>
        <v>6005092</v>
      </c>
      <c r="G17" s="38">
        <f>RUBAVU!C41</f>
        <v>0</v>
      </c>
      <c r="H17" s="39">
        <f>RUBAVU!C39</f>
        <v>6005092</v>
      </c>
      <c r="I17" s="39">
        <f>RUBAVU!C42</f>
        <v>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3126837.9661016949</v>
      </c>
      <c r="C18" s="39">
        <f>MUSANZE!G37</f>
        <v>392252</v>
      </c>
      <c r="D18" s="39">
        <f>MUSANZE!C43</f>
        <v>0</v>
      </c>
      <c r="E18" s="39">
        <f>MUSANZE!C44</f>
        <v>0</v>
      </c>
      <c r="F18" s="41">
        <f t="shared" si="0"/>
        <v>3519089.9661016949</v>
      </c>
      <c r="G18" s="38">
        <f>MUSANZE!C41</f>
        <v>0</v>
      </c>
      <c r="H18" s="39">
        <f>MUSANZE!C39</f>
        <v>1115630</v>
      </c>
      <c r="I18" s="39">
        <f>MUSANZE!C42</f>
        <v>0</v>
      </c>
      <c r="J18" s="39">
        <f>MUSANZE!C40</f>
        <v>2403460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2524652.2372881356</v>
      </c>
      <c r="C19" s="39">
        <f>KAYONZA!G37</f>
        <v>313390</v>
      </c>
      <c r="D19" s="39">
        <f>KAYONZA!C43</f>
        <v>0</v>
      </c>
      <c r="E19" s="39">
        <f>KAYONZA!C44</f>
        <v>0</v>
      </c>
      <c r="F19" s="41">
        <f t="shared" si="0"/>
        <v>2838042.2372881356</v>
      </c>
      <c r="G19" s="38">
        <f>KAYONZA!C41</f>
        <v>0</v>
      </c>
      <c r="H19" s="39">
        <f>KAYONZA!C39</f>
        <v>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333887.79661016946</v>
      </c>
      <c r="C20" s="39">
        <f>NYAGATARE!G37</f>
        <v>216810</v>
      </c>
      <c r="D20" s="39">
        <f>NYAGATARE!C43</f>
        <v>0</v>
      </c>
      <c r="E20" s="39">
        <f>NYAGATARE!C44</f>
        <v>0</v>
      </c>
      <c r="F20" s="41">
        <f t="shared" si="0"/>
        <v>550697.79661016946</v>
      </c>
      <c r="G20" s="38">
        <f>NYAGATARE!C41</f>
        <v>0</v>
      </c>
      <c r="H20" s="39">
        <f>NYAGATARE!C39</f>
        <v>550698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1168554.6610169492</v>
      </c>
      <c r="C21" s="39">
        <f>KIREHE!G37</f>
        <v>303435</v>
      </c>
      <c r="D21" s="39">
        <f>KIREHE!C43</f>
        <v>0</v>
      </c>
      <c r="E21" s="39">
        <f>KIREHE!C44</f>
        <v>0</v>
      </c>
      <c r="F21" s="41">
        <f t="shared" si="0"/>
        <v>1471989.6610169492</v>
      </c>
      <c r="G21" s="38">
        <f>KIREHE!C41</f>
        <v>0</v>
      </c>
      <c r="H21" s="39">
        <f>KIREHE!C39</f>
        <v>1471990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613525.42372881353</v>
      </c>
      <c r="C22" s="39">
        <f>NYANZA!G37</f>
        <v>137000</v>
      </c>
      <c r="D22" s="39">
        <f>NYANZA!C43</f>
        <v>0</v>
      </c>
      <c r="E22" s="39">
        <f>NYANZA!C44</f>
        <v>0</v>
      </c>
      <c r="F22" s="41">
        <f t="shared" si="0"/>
        <v>750525.42372881353</v>
      </c>
      <c r="G22" s="38">
        <f>NYANZA!C41</f>
        <v>0</v>
      </c>
      <c r="H22" s="39">
        <f>NYANZA!C39</f>
        <v>750525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4361742</v>
      </c>
      <c r="C23" s="39">
        <f>NYARUGENGE!G37</f>
        <v>404490</v>
      </c>
      <c r="D23" s="39">
        <f>NYARUGENGE!C43</f>
        <v>50000</v>
      </c>
      <c r="E23" s="39">
        <f>NYARUGENGE!C44</f>
        <v>100000</v>
      </c>
      <c r="F23" s="41">
        <f t="shared" si="0"/>
        <v>4766232</v>
      </c>
      <c r="G23" s="38">
        <f>NYARUGENGE!C41</f>
        <v>0</v>
      </c>
      <c r="H23" s="39">
        <f>NYARUGENGE!C39</f>
        <v>4766232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739534.57627118647</v>
      </c>
      <c r="C24" s="39">
        <f>GATSIBO!G37</f>
        <v>224680</v>
      </c>
      <c r="D24" s="39">
        <f>GATSIBO!C43</f>
        <v>0</v>
      </c>
      <c r="E24" s="39">
        <f>GATSIBO!C44</f>
        <v>0</v>
      </c>
      <c r="F24" s="41">
        <f t="shared" si="0"/>
        <v>964214.57627118647</v>
      </c>
      <c r="G24" s="38">
        <f>GATSIBO!C41</f>
        <v>0</v>
      </c>
      <c r="H24" s="40">
        <f>GATSIBO!C39</f>
        <v>964215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3061479.0508474577</v>
      </c>
      <c r="C25" s="39">
        <f>GASHYUSHYA!G37</f>
        <v>340910</v>
      </c>
      <c r="D25" s="39">
        <f>GASHYUSHYA!C43</f>
        <v>0</v>
      </c>
      <c r="E25" s="39">
        <f>GASHYUSHYA!C44</f>
        <v>250000</v>
      </c>
      <c r="F25" s="41">
        <f t="shared" si="0"/>
        <v>3402389.0508474577</v>
      </c>
      <c r="G25" s="39">
        <f>GASHYUSHYA!C41</f>
        <v>0</v>
      </c>
      <c r="H25" s="40">
        <f>GASHYUSHYA!C39</f>
        <v>3402389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801776.44067796611</v>
      </c>
      <c r="C27" s="39">
        <f>NGORORERO!G37</f>
        <v>37950</v>
      </c>
      <c r="D27" s="39">
        <f>NGORORERO!C43</f>
        <v>0</v>
      </c>
      <c r="E27" s="39">
        <f>NGORORERO!C44</f>
        <v>0</v>
      </c>
      <c r="F27" s="41">
        <f t="shared" si="0"/>
        <v>839726.44067796611</v>
      </c>
      <c r="G27" s="39">
        <f>NGORORERO!C41</f>
        <v>0</v>
      </c>
      <c r="H27" s="40">
        <f>NGORORERO!C39</f>
        <v>839726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/>
      <c r="B28" s="38">
        <f>THIRTH!F37</f>
        <v>0</v>
      </c>
      <c r="C28" s="39">
        <f>THIRTH!G37</f>
        <v>0</v>
      </c>
      <c r="D28" s="39">
        <f>THIRTH!C43</f>
        <v>0</v>
      </c>
      <c r="E28" s="39">
        <f>THIRTH!C44</f>
        <v>0</v>
      </c>
      <c r="F28" s="41">
        <f t="shared" si="0"/>
        <v>0</v>
      </c>
      <c r="G28" s="39">
        <f>THIRTH!C41</f>
        <v>0</v>
      </c>
      <c r="H28" s="40">
        <f>THIRTH!C39</f>
        <v>0</v>
      </c>
      <c r="I28" s="101">
        <f>THIRTH!C42</f>
        <v>0</v>
      </c>
      <c r="J28" s="102">
        <f>THIRTH!C40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124683118.16949151</v>
      </c>
      <c r="C29" s="60">
        <f t="shared" si="1"/>
        <v>12152731</v>
      </c>
      <c r="D29" s="61">
        <f t="shared" si="1"/>
        <v>50000</v>
      </c>
      <c r="E29" s="60">
        <f t="shared" si="1"/>
        <v>350000</v>
      </c>
      <c r="F29" s="60">
        <f>SUM(F5:F28)</f>
        <v>136835849.16949153</v>
      </c>
      <c r="G29" s="61">
        <f>SUM(G5:G28)</f>
        <v>131420</v>
      </c>
      <c r="H29" s="61">
        <f>SUM(H5:H28)</f>
        <v>115334729</v>
      </c>
      <c r="I29" s="61">
        <f>SUM(I5:I28)</f>
        <v>353490</v>
      </c>
      <c r="J29" s="69">
        <f>SUM(J5:J28)</f>
        <v>3436765</v>
      </c>
      <c r="K29" s="71"/>
      <c r="M29" s="76"/>
    </row>
    <row r="30" spans="1:15" ht="15" thickBot="1">
      <c r="A30" s="120"/>
      <c r="B30" s="120"/>
      <c r="C30" s="120"/>
      <c r="D30" s="121"/>
      <c r="E30" s="111" t="s">
        <v>11</v>
      </c>
      <c r="F30" s="112"/>
      <c r="G30" s="112"/>
      <c r="H30" s="112"/>
      <c r="I30" s="113"/>
      <c r="J30" s="130"/>
      <c r="K30" s="131"/>
      <c r="L30" s="72"/>
    </row>
    <row r="31" spans="1:15" ht="18.600000000000001" thickBot="1">
      <c r="A31" s="107" t="s">
        <v>9</v>
      </c>
      <c r="B31" s="108"/>
      <c r="C31" s="108"/>
      <c r="D31" s="108"/>
      <c r="E31" s="114"/>
      <c r="F31" s="115"/>
      <c r="G31" s="115"/>
      <c r="H31" s="115"/>
      <c r="I31" s="116"/>
      <c r="J31" s="132"/>
      <c r="K31" s="133"/>
      <c r="L31" s="72"/>
    </row>
    <row r="32" spans="1:15" ht="15" thickBot="1">
      <c r="A32" s="122" t="s">
        <v>12</v>
      </c>
      <c r="B32" s="123"/>
      <c r="C32" s="124">
        <f>SUM(B29+C29)</f>
        <v>136835849.16949153</v>
      </c>
      <c r="D32" s="125"/>
      <c r="E32" s="114"/>
      <c r="F32" s="115"/>
      <c r="G32" s="115"/>
      <c r="H32" s="115"/>
      <c r="I32" s="116"/>
      <c r="J32" s="132"/>
      <c r="K32" s="133"/>
      <c r="L32" s="72"/>
    </row>
    <row r="33" spans="1:12" ht="15" thickBot="1">
      <c r="A33" s="122" t="s">
        <v>13</v>
      </c>
      <c r="B33" s="123"/>
      <c r="C33" s="109">
        <f>SUM(F29,G29)</f>
        <v>136967269.16949153</v>
      </c>
      <c r="D33" s="110"/>
      <c r="E33" s="114"/>
      <c r="F33" s="115"/>
      <c r="G33" s="115"/>
      <c r="H33" s="115"/>
      <c r="I33" s="116"/>
      <c r="J33" s="132"/>
      <c r="K33" s="133"/>
      <c r="L33" s="72"/>
    </row>
    <row r="34" spans="1:12" ht="15" thickBot="1">
      <c r="A34" s="146" t="s">
        <v>80</v>
      </c>
      <c r="B34" s="147"/>
      <c r="C34" s="109">
        <f>SUM(H29,J29,I29+G29)</f>
        <v>119256404</v>
      </c>
      <c r="D34" s="145"/>
      <c r="E34" s="114"/>
      <c r="F34" s="115"/>
      <c r="G34" s="115"/>
      <c r="H34" s="115"/>
      <c r="I34" s="116"/>
      <c r="J34" s="132"/>
      <c r="K34" s="133"/>
      <c r="L34" s="72"/>
    </row>
    <row r="35" spans="1:12" ht="15" thickBot="1">
      <c r="A35" s="122" t="s">
        <v>10</v>
      </c>
      <c r="B35" s="123"/>
      <c r="C35" s="109">
        <f>SUM(D29:E29)</f>
        <v>400000</v>
      </c>
      <c r="D35" s="145"/>
      <c r="E35" s="117"/>
      <c r="F35" s="118"/>
      <c r="G35" s="118"/>
      <c r="H35" s="118"/>
      <c r="I35" s="119"/>
      <c r="J35" s="132"/>
      <c r="K35" s="133"/>
      <c r="L35" s="72"/>
    </row>
    <row r="36" spans="1:12" ht="15" thickBot="1">
      <c r="A36" s="122" t="s">
        <v>82</v>
      </c>
      <c r="B36" s="123"/>
      <c r="C36" s="109">
        <f>SUM(H29+I29+J29+C35)</f>
        <v>119524984</v>
      </c>
      <c r="D36" s="145"/>
      <c r="E36" s="136" t="s">
        <v>34</v>
      </c>
      <c r="F36" s="137"/>
      <c r="G36" s="137"/>
      <c r="H36" s="137"/>
      <c r="I36" s="138"/>
      <c r="J36" s="132"/>
      <c r="K36" s="133"/>
      <c r="L36" s="72"/>
    </row>
    <row r="37" spans="1:12" ht="15" thickBot="1">
      <c r="A37" s="105" t="s">
        <v>14</v>
      </c>
      <c r="B37" s="106"/>
      <c r="C37" s="109">
        <f>NYANZA!C45+KIREHE!C45+NYAGATARE!C45+KAYONZA!C45+MUSANZE!C45+MUSANZE!C45+RUBAVU!C45+KARONGI!C45+NYAMAGABE!C45+RUSIZI!C45+HUYE!C45+RUHANGO!C45+MUHANGA!C45+BUGESERA!C45+RWAMAGANA!C45+NYARUGENGE!C45+BISHENYI!C45+GAHANGA!C45+KIMIRONKO!C45+GISOZI!C45+GATSIBO!C45+GASHYUSHYA!C45</f>
        <v>122335768</v>
      </c>
      <c r="D37" s="145"/>
      <c r="E37" s="139"/>
      <c r="F37" s="140"/>
      <c r="G37" s="140"/>
      <c r="H37" s="140"/>
      <c r="I37" s="141"/>
      <c r="J37" s="132"/>
      <c r="K37" s="133"/>
      <c r="L37" s="72"/>
    </row>
    <row r="38" spans="1:12" ht="26.4" thickBot="1">
      <c r="A38" s="142" t="s">
        <v>15</v>
      </c>
      <c r="B38" s="143"/>
      <c r="C38" s="143"/>
      <c r="D38" s="143"/>
      <c r="E38" s="143"/>
      <c r="F38" s="143"/>
      <c r="G38" s="143"/>
      <c r="H38" s="143"/>
      <c r="I38" s="144"/>
      <c r="J38" s="134"/>
      <c r="K38" s="135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" zoomScale="90" zoomScaleNormal="90" workbookViewId="0">
      <selection activeCell="C56" sqref="C56:D56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6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8.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>
        <v>400</v>
      </c>
      <c r="C6" s="165">
        <v>10620</v>
      </c>
      <c r="D6" s="166"/>
      <c r="E6" s="2">
        <f t="shared" ref="E6:E14" si="0">PRODUCT(B6*C6)</f>
        <v>4248000</v>
      </c>
      <c r="F6" s="2">
        <f t="shared" ref="F6:F14" si="1">PRODUCT(E6*18)/118</f>
        <v>648000</v>
      </c>
      <c r="G6" s="2">
        <f>PRODUCT(B6*50)</f>
        <v>20000</v>
      </c>
      <c r="H6" s="89">
        <f t="shared" ref="H6:H14" si="2">SUM(F6:G6)</f>
        <v>668000</v>
      </c>
      <c r="I6" s="202"/>
    </row>
    <row r="7" spans="1:9">
      <c r="A7" s="48" t="s">
        <v>94</v>
      </c>
      <c r="B7" s="1">
        <v>2585</v>
      </c>
      <c r="C7" s="165">
        <v>8000</v>
      </c>
      <c r="D7" s="166"/>
      <c r="E7" s="2">
        <f t="shared" si="0"/>
        <v>20680000</v>
      </c>
      <c r="F7" s="2">
        <f t="shared" si="1"/>
        <v>3154576.2711864407</v>
      </c>
      <c r="G7" s="2">
        <f>PRODUCT(B7*50)</f>
        <v>129250</v>
      </c>
      <c r="H7" s="89">
        <f t="shared" si="2"/>
        <v>3283826.2711864407</v>
      </c>
      <c r="I7" s="202"/>
    </row>
    <row r="8" spans="1:9">
      <c r="A8" s="32" t="s">
        <v>44</v>
      </c>
      <c r="B8" s="3">
        <v>1628</v>
      </c>
      <c r="C8" s="154">
        <v>6000</v>
      </c>
      <c r="D8" s="155"/>
      <c r="E8" s="4">
        <f t="shared" si="0"/>
        <v>9768000</v>
      </c>
      <c r="F8" s="4">
        <f t="shared" si="1"/>
        <v>1490033.8983050848</v>
      </c>
      <c r="G8" s="4">
        <f>PRODUCT(B8*50)</f>
        <v>81400</v>
      </c>
      <c r="H8" s="90">
        <f t="shared" si="2"/>
        <v>1571433.8983050848</v>
      </c>
      <c r="I8" s="202"/>
    </row>
    <row r="9" spans="1:9">
      <c r="A9" s="31" t="s">
        <v>46</v>
      </c>
      <c r="B9" s="3">
        <v>1885</v>
      </c>
      <c r="C9" s="154">
        <v>3776</v>
      </c>
      <c r="D9" s="155"/>
      <c r="E9" s="4">
        <f t="shared" si="0"/>
        <v>7117760</v>
      </c>
      <c r="F9" s="4">
        <f t="shared" si="1"/>
        <v>1085760</v>
      </c>
      <c r="G9" s="4">
        <f>PRODUCT(B9*30)</f>
        <v>56550</v>
      </c>
      <c r="H9" s="90">
        <f t="shared" si="2"/>
        <v>1142310</v>
      </c>
      <c r="I9" s="202"/>
    </row>
    <row r="10" spans="1:9">
      <c r="A10" s="31" t="s">
        <v>47</v>
      </c>
      <c r="B10" s="3">
        <v>9896</v>
      </c>
      <c r="C10" s="154">
        <v>2000</v>
      </c>
      <c r="D10" s="155"/>
      <c r="E10" s="4">
        <f t="shared" si="0"/>
        <v>19792000</v>
      </c>
      <c r="F10" s="4">
        <f t="shared" si="1"/>
        <v>3019118.6440677964</v>
      </c>
      <c r="G10" s="4">
        <f>PRODUCT(B10*30)</f>
        <v>296880</v>
      </c>
      <c r="H10" s="90">
        <f t="shared" si="2"/>
        <v>3315998.6440677964</v>
      </c>
      <c r="I10" s="202"/>
    </row>
    <row r="11" spans="1:9">
      <c r="A11" s="32" t="s">
        <v>65</v>
      </c>
      <c r="B11" s="3">
        <v>78824</v>
      </c>
      <c r="C11" s="154">
        <v>2124</v>
      </c>
      <c r="D11" s="155"/>
      <c r="E11" s="4">
        <f t="shared" si="0"/>
        <v>167422176</v>
      </c>
      <c r="F11" s="4">
        <f t="shared" si="1"/>
        <v>25538976</v>
      </c>
      <c r="G11" s="4">
        <f>PRODUCT(B11*30)</f>
        <v>2364720</v>
      </c>
      <c r="H11" s="90">
        <f t="shared" si="2"/>
        <v>27903696</v>
      </c>
      <c r="I11" s="202"/>
    </row>
    <row r="12" spans="1:9">
      <c r="A12" s="32" t="s">
        <v>65</v>
      </c>
      <c r="B12" s="3">
        <v>7291</v>
      </c>
      <c r="C12" s="154">
        <v>2950</v>
      </c>
      <c r="D12" s="155"/>
      <c r="E12" s="4">
        <f t="shared" si="0"/>
        <v>21508450</v>
      </c>
      <c r="F12" s="4">
        <f>PRODUCT(E12*18)/118</f>
        <v>3280950</v>
      </c>
      <c r="G12" s="4">
        <f>PRODUCT(B12*30)</f>
        <v>218730</v>
      </c>
      <c r="H12" s="90">
        <f t="shared" si="2"/>
        <v>3499680</v>
      </c>
      <c r="I12" s="202"/>
    </row>
    <row r="13" spans="1:9">
      <c r="A13" s="32" t="s">
        <v>59</v>
      </c>
      <c r="B13" s="3">
        <v>3367</v>
      </c>
      <c r="C13" s="154">
        <v>1357</v>
      </c>
      <c r="D13" s="155"/>
      <c r="E13" s="4">
        <f t="shared" si="0"/>
        <v>4569019</v>
      </c>
      <c r="F13" s="4">
        <f t="shared" si="1"/>
        <v>696969</v>
      </c>
      <c r="G13" s="4">
        <f>PRODUCT(B13*20)</f>
        <v>67340</v>
      </c>
      <c r="H13" s="90">
        <f t="shared" si="2"/>
        <v>764309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45</v>
      </c>
      <c r="B17" s="18">
        <v>600</v>
      </c>
      <c r="C17" s="18">
        <v>10000</v>
      </c>
      <c r="D17" s="18">
        <v>50</v>
      </c>
      <c r="E17" s="11">
        <f>PRODUCT(B17*C17)</f>
        <v>6000000</v>
      </c>
      <c r="F17" s="8">
        <f t="shared" ref="F17:F36" si="3">PRODUCT(E17*18)/118</f>
        <v>915254.23728813557</v>
      </c>
      <c r="G17" s="84">
        <f>PRODUCT(B17*D17)</f>
        <v>30000</v>
      </c>
      <c r="H17" s="92">
        <f>SUM(F17:G17)</f>
        <v>945254.23728813557</v>
      </c>
      <c r="I17" s="202"/>
    </row>
    <row r="18" spans="1:9" ht="15" thickBot="1">
      <c r="A18" s="26" t="s">
        <v>95</v>
      </c>
      <c r="B18" s="19">
        <v>450</v>
      </c>
      <c r="C18" s="19">
        <v>2360</v>
      </c>
      <c r="D18" s="19">
        <v>20</v>
      </c>
      <c r="E18" s="12">
        <f t="shared" ref="E18:E22" si="4">PRODUCT(B18*C18)</f>
        <v>1062000</v>
      </c>
      <c r="F18" s="9">
        <f t="shared" si="3"/>
        <v>162000</v>
      </c>
      <c r="G18" s="7">
        <f t="shared" ref="G18:G22" si="5">PRODUCT(B18*D18)</f>
        <v>9000</v>
      </c>
      <c r="H18" s="93">
        <f t="shared" ref="H18:H22" si="6">SUM(F18:G18)</f>
        <v>171000</v>
      </c>
      <c r="I18" s="202"/>
    </row>
    <row r="19" spans="1:9" ht="15" thickBot="1">
      <c r="A19" s="27" t="s">
        <v>65</v>
      </c>
      <c r="B19" s="5">
        <v>800</v>
      </c>
      <c r="C19" s="5">
        <v>2700</v>
      </c>
      <c r="D19" s="5">
        <v>30</v>
      </c>
      <c r="E19" s="12">
        <f t="shared" si="4"/>
        <v>2160000</v>
      </c>
      <c r="F19" s="9">
        <f t="shared" si="3"/>
        <v>329491.5254237288</v>
      </c>
      <c r="G19" s="7">
        <f t="shared" si="5"/>
        <v>24000</v>
      </c>
      <c r="H19" s="93">
        <f t="shared" si="6"/>
        <v>353491.5254237288</v>
      </c>
      <c r="I19" s="202"/>
    </row>
    <row r="20" spans="1:9" ht="15" thickBot="1">
      <c r="A20" s="27" t="s">
        <v>44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7" t="s">
        <v>96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7" t="s">
        <v>92</v>
      </c>
      <c r="B22" s="5">
        <v>1000</v>
      </c>
      <c r="C22" s="5">
        <v>2000</v>
      </c>
      <c r="D22" s="5">
        <v>25</v>
      </c>
      <c r="E22" s="12">
        <f t="shared" si="4"/>
        <v>2000000</v>
      </c>
      <c r="F22" s="9">
        <f t="shared" si="3"/>
        <v>305084.74576271186</v>
      </c>
      <c r="G22" s="85">
        <f t="shared" si="5"/>
        <v>25000</v>
      </c>
      <c r="H22" s="94">
        <f t="shared" si="6"/>
        <v>330084.74576271186</v>
      </c>
      <c r="I22" s="202"/>
    </row>
    <row r="23" spans="1:9" ht="15" thickBot="1">
      <c r="A23" s="27" t="s">
        <v>45</v>
      </c>
      <c r="B23" s="20">
        <v>115</v>
      </c>
      <c r="C23" s="20">
        <v>4000</v>
      </c>
      <c r="D23" s="20">
        <v>50</v>
      </c>
      <c r="E23" s="12">
        <f>PRODUCT(B23*C23)</f>
        <v>460000</v>
      </c>
      <c r="F23" s="9">
        <f t="shared" si="3"/>
        <v>70169.491525423728</v>
      </c>
      <c r="G23" s="7">
        <f>PRODUCT(B23*D23)</f>
        <v>5750</v>
      </c>
      <c r="H23" s="93">
        <f>SUM(F23:G23)</f>
        <v>75919.491525423728</v>
      </c>
      <c r="I23" s="202"/>
    </row>
    <row r="24" spans="1:9" ht="15" thickBot="1">
      <c r="A24" s="27" t="s">
        <v>97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7" t="s">
        <v>98</v>
      </c>
      <c r="B25" s="5">
        <v>331</v>
      </c>
      <c r="C25" s="5">
        <v>18000</v>
      </c>
      <c r="D25" s="5">
        <v>50</v>
      </c>
      <c r="E25" s="12">
        <f t="shared" si="7"/>
        <v>5958000</v>
      </c>
      <c r="F25" s="9">
        <f t="shared" si="3"/>
        <v>908847.45762711868</v>
      </c>
      <c r="G25" s="7">
        <f t="shared" si="8"/>
        <v>16550</v>
      </c>
      <c r="H25" s="93">
        <f t="shared" si="9"/>
        <v>925397.45762711868</v>
      </c>
      <c r="I25" s="202"/>
    </row>
    <row r="26" spans="1:9" ht="15" thickBot="1">
      <c r="A26" s="27" t="s">
        <v>99</v>
      </c>
      <c r="B26" s="5">
        <v>1607</v>
      </c>
      <c r="C26" s="5">
        <v>2500</v>
      </c>
      <c r="D26" s="5">
        <v>30</v>
      </c>
      <c r="E26" s="12">
        <f t="shared" si="7"/>
        <v>4017500</v>
      </c>
      <c r="F26" s="9">
        <f t="shared" si="3"/>
        <v>612838.98305084743</v>
      </c>
      <c r="G26" s="84">
        <f t="shared" si="8"/>
        <v>48210</v>
      </c>
      <c r="H26" s="92">
        <f t="shared" si="9"/>
        <v>661048.98305084743</v>
      </c>
      <c r="I26" s="202"/>
    </row>
    <row r="27" spans="1:9" ht="15" thickBot="1">
      <c r="A27" s="27" t="s">
        <v>95</v>
      </c>
      <c r="B27" s="5">
        <v>1630</v>
      </c>
      <c r="C27" s="5">
        <v>3000</v>
      </c>
      <c r="D27" s="5">
        <v>20</v>
      </c>
      <c r="E27" s="12">
        <f t="shared" si="7"/>
        <v>4890000</v>
      </c>
      <c r="F27" s="9">
        <f t="shared" si="3"/>
        <v>745932.20338983054</v>
      </c>
      <c r="G27" s="7">
        <f t="shared" si="8"/>
        <v>32600</v>
      </c>
      <c r="H27" s="93">
        <f t="shared" si="9"/>
        <v>778532.20338983054</v>
      </c>
      <c r="I27" s="202"/>
    </row>
    <row r="28" spans="1:9" ht="15" thickBot="1">
      <c r="A28" s="104" t="s">
        <v>65</v>
      </c>
      <c r="B28" s="87">
        <v>786</v>
      </c>
      <c r="C28" s="87">
        <v>3000</v>
      </c>
      <c r="D28" s="87">
        <v>30</v>
      </c>
      <c r="E28" s="17">
        <f t="shared" si="7"/>
        <v>2358000</v>
      </c>
      <c r="F28" s="13">
        <f t="shared" si="3"/>
        <v>359694.9152542373</v>
      </c>
      <c r="G28" s="86">
        <f t="shared" si="8"/>
        <v>23580</v>
      </c>
      <c r="H28" s="95">
        <f t="shared" si="9"/>
        <v>383274.9152542373</v>
      </c>
      <c r="I28" s="202"/>
    </row>
    <row r="29" spans="1:9" ht="15" thickBot="1">
      <c r="A29" s="27" t="s">
        <v>98</v>
      </c>
      <c r="B29" s="5">
        <v>598</v>
      </c>
      <c r="C29" s="5">
        <v>12036</v>
      </c>
      <c r="D29" s="5">
        <v>50</v>
      </c>
      <c r="E29" s="17">
        <f t="shared" si="7"/>
        <v>7197528</v>
      </c>
      <c r="F29" s="13">
        <f t="shared" si="3"/>
        <v>1097928</v>
      </c>
      <c r="G29" s="10">
        <f t="shared" si="8"/>
        <v>29900</v>
      </c>
      <c r="H29" s="96">
        <f t="shared" si="9"/>
        <v>1127828</v>
      </c>
      <c r="I29" s="202"/>
    </row>
    <row r="30" spans="1:9" ht="15" thickBot="1">
      <c r="A30" s="27" t="s">
        <v>90</v>
      </c>
      <c r="B30" s="5">
        <v>36</v>
      </c>
      <c r="C30" s="5">
        <v>10000</v>
      </c>
      <c r="D30" s="5"/>
      <c r="E30" s="17">
        <f t="shared" si="7"/>
        <v>360000</v>
      </c>
      <c r="F30" s="13">
        <f t="shared" si="3"/>
        <v>54915.254237288136</v>
      </c>
      <c r="G30" s="10">
        <f t="shared" si="8"/>
        <v>0</v>
      </c>
      <c r="H30" s="96">
        <f t="shared" si="9"/>
        <v>54915.254237288136</v>
      </c>
      <c r="I30" s="202"/>
    </row>
    <row r="31" spans="1:9" ht="15" thickBot="1">
      <c r="A31" s="27" t="s">
        <v>90</v>
      </c>
      <c r="B31" s="20">
        <v>4</v>
      </c>
      <c r="C31" s="20"/>
      <c r="D31" s="20">
        <v>5000</v>
      </c>
      <c r="E31" s="17">
        <f t="shared" si="7"/>
        <v>0</v>
      </c>
      <c r="F31" s="13">
        <f t="shared" si="3"/>
        <v>0</v>
      </c>
      <c r="G31" s="10">
        <f t="shared" si="8"/>
        <v>20000</v>
      </c>
      <c r="H31" s="96">
        <f t="shared" si="9"/>
        <v>20000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291568433</v>
      </c>
      <c r="F37" s="16">
        <f>SUM(F5:F36)</f>
        <v>44476540.62711864</v>
      </c>
      <c r="G37" s="16">
        <f t="shared" ref="G37:H37" si="10">SUM(G5:G36)</f>
        <v>3499460</v>
      </c>
      <c r="H37" s="16">
        <f t="shared" si="10"/>
        <v>47976000.62711864</v>
      </c>
      <c r="I37" s="202"/>
    </row>
    <row r="38" spans="1:9" s="79" customFormat="1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47624229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>
        <v>353490</v>
      </c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47977719</v>
      </c>
      <c r="D45" s="82"/>
      <c r="E45" s="189"/>
      <c r="F45" s="190"/>
      <c r="G45" s="83"/>
      <c r="H45" s="100"/>
      <c r="I45" s="202"/>
    </row>
    <row r="46" spans="1:9" ht="19.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20.5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2.95" customHeight="1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22.05" customHeight="1" thickBot="1">
      <c r="A49" s="210"/>
      <c r="B49" s="211"/>
      <c r="C49" s="185" t="s">
        <v>60</v>
      </c>
      <c r="D49" s="186"/>
      <c r="E49" s="195">
        <f>SUM(B9:B12)</f>
        <v>97896</v>
      </c>
      <c r="F49" s="196"/>
      <c r="G49" s="196"/>
      <c r="H49" s="196"/>
      <c r="I49" s="202"/>
    </row>
    <row r="50" spans="1:9" ht="22.5" customHeight="1" thickBot="1">
      <c r="A50" s="212"/>
      <c r="B50" s="213"/>
      <c r="C50" s="185" t="s">
        <v>45</v>
      </c>
      <c r="D50" s="186"/>
      <c r="E50" s="195">
        <f>SUM(B6:B8)</f>
        <v>4613</v>
      </c>
      <c r="F50" s="196"/>
      <c r="G50" s="196"/>
      <c r="H50" s="196"/>
      <c r="I50" s="202"/>
    </row>
    <row r="51" spans="1:9" ht="24.45" customHeight="1" thickBot="1">
      <c r="A51" s="212"/>
      <c r="B51" s="213"/>
      <c r="C51" s="185" t="s">
        <v>61</v>
      </c>
      <c r="D51" s="186"/>
      <c r="E51" s="195">
        <f>SUM(B13:B14)</f>
        <v>3367</v>
      </c>
      <c r="F51" s="196"/>
      <c r="G51" s="196"/>
      <c r="H51" s="196"/>
      <c r="I51" s="202"/>
    </row>
    <row r="52" spans="1:9" ht="22.05" customHeight="1" thickBot="1">
      <c r="A52" s="212"/>
      <c r="B52" s="213"/>
      <c r="C52" s="187" t="s">
        <v>62</v>
      </c>
      <c r="D52" s="188"/>
      <c r="E52" s="148">
        <f>SUM(B17:B18)</f>
        <v>1050</v>
      </c>
      <c r="F52" s="149"/>
      <c r="G52" s="149"/>
      <c r="H52" s="149"/>
      <c r="I52" s="202"/>
    </row>
    <row r="53" spans="1:9" ht="22.05" customHeight="1" thickBot="1">
      <c r="A53" s="212"/>
      <c r="B53" s="213"/>
      <c r="C53" s="187" t="s">
        <v>63</v>
      </c>
      <c r="D53" s="188"/>
      <c r="E53" s="148">
        <f>SUM(B19:B20)</f>
        <v>800</v>
      </c>
      <c r="F53" s="149"/>
      <c r="G53" s="149"/>
      <c r="H53" s="149"/>
      <c r="I53" s="202"/>
    </row>
    <row r="54" spans="1:9" ht="22.05" customHeight="1" thickBot="1">
      <c r="A54" s="212"/>
      <c r="B54" s="213"/>
      <c r="C54" s="187" t="s">
        <v>55</v>
      </c>
      <c r="D54" s="188"/>
      <c r="E54" s="148">
        <f>B29</f>
        <v>598</v>
      </c>
      <c r="F54" s="149"/>
      <c r="G54" s="149"/>
      <c r="H54" s="149"/>
      <c r="I54" s="202"/>
    </row>
    <row r="55" spans="1:9" ht="22.05" customHeight="1" thickBot="1">
      <c r="A55" s="212"/>
      <c r="B55" s="213"/>
      <c r="C55" s="187" t="s">
        <v>55</v>
      </c>
      <c r="D55" s="188"/>
      <c r="E55" s="148">
        <f t="shared" ref="E55:E61" si="11">B30</f>
        <v>36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4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108364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9" workbookViewId="0">
      <selection activeCell="C40" sqref="C40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4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17"/>
    </row>
    <row r="4" spans="1:9" ht="22.9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150</v>
      </c>
      <c r="C7" s="165">
        <v>7670</v>
      </c>
      <c r="D7" s="166"/>
      <c r="E7" s="2">
        <f t="shared" si="0"/>
        <v>1150500</v>
      </c>
      <c r="F7" s="2">
        <f t="shared" si="1"/>
        <v>175500</v>
      </c>
      <c r="G7" s="2">
        <f>PRODUCT(B7*50)</f>
        <v>7500</v>
      </c>
      <c r="H7" s="89">
        <f t="shared" si="2"/>
        <v>183000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19509</v>
      </c>
      <c r="C10" s="154">
        <v>2360</v>
      </c>
      <c r="D10" s="155"/>
      <c r="E10" s="4">
        <f t="shared" si="0"/>
        <v>46041240</v>
      </c>
      <c r="F10" s="4">
        <f t="shared" si="1"/>
        <v>7023240</v>
      </c>
      <c r="G10" s="4">
        <f>PRODUCT(B10*30)</f>
        <v>585270</v>
      </c>
      <c r="H10" s="90">
        <f t="shared" si="2"/>
        <v>7608510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2000</v>
      </c>
      <c r="C13" s="154">
        <v>1534</v>
      </c>
      <c r="D13" s="155"/>
      <c r="E13" s="4">
        <f t="shared" si="0"/>
        <v>3068000</v>
      </c>
      <c r="F13" s="4">
        <f t="shared" si="1"/>
        <v>468000</v>
      </c>
      <c r="G13" s="4">
        <f>PRODUCT(B13*20)</f>
        <v>40000</v>
      </c>
      <c r="H13" s="90">
        <f t="shared" si="2"/>
        <v>508000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92</v>
      </c>
      <c r="B17" s="18">
        <v>450</v>
      </c>
      <c r="C17" s="18">
        <v>2000</v>
      </c>
      <c r="D17" s="18">
        <v>50</v>
      </c>
      <c r="E17" s="11">
        <f>PRODUCT(B17*C17)</f>
        <v>900000</v>
      </c>
      <c r="F17" s="8">
        <f t="shared" ref="F17:F36" si="3">PRODUCT(E17*18)/118</f>
        <v>137288.13559322033</v>
      </c>
      <c r="G17" s="84">
        <f>PRODUCT(B17*D17)</f>
        <v>22500</v>
      </c>
      <c r="H17" s="92">
        <f>SUM(F17:G17)</f>
        <v>159788.13559322033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51159740</v>
      </c>
      <c r="F37" s="16">
        <f>SUM(F5:F36)</f>
        <v>7804028.1355932206</v>
      </c>
      <c r="G37" s="16">
        <f t="shared" ref="G37:H37" si="10">SUM(G5:G36)</f>
        <v>655270</v>
      </c>
      <c r="H37" s="16">
        <f t="shared" si="10"/>
        <v>8459298.1355932206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>
        <v>8459518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8459518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19509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150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2000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450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22109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5" workbookViewId="0">
      <selection activeCell="A41" sqref="A41:B41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4.4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17"/>
    </row>
    <row r="4" spans="1:9" ht="21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>
        <v>160</v>
      </c>
      <c r="C8" s="154">
        <v>5900</v>
      </c>
      <c r="D8" s="155"/>
      <c r="E8" s="4">
        <f t="shared" si="0"/>
        <v>944000</v>
      </c>
      <c r="F8" s="4">
        <f t="shared" si="1"/>
        <v>144000</v>
      </c>
      <c r="G8" s="4">
        <f>PRODUCT(B8*50)</f>
        <v>8000</v>
      </c>
      <c r="H8" s="90">
        <f t="shared" si="2"/>
        <v>152000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11923</v>
      </c>
      <c r="C10" s="154">
        <v>2124</v>
      </c>
      <c r="D10" s="155"/>
      <c r="E10" s="4">
        <f t="shared" si="0"/>
        <v>25324452</v>
      </c>
      <c r="F10" s="4">
        <f t="shared" si="1"/>
        <v>3863052</v>
      </c>
      <c r="G10" s="4">
        <f>PRODUCT(B10*30)</f>
        <v>357690</v>
      </c>
      <c r="H10" s="90">
        <f t="shared" si="2"/>
        <v>4220742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450</v>
      </c>
      <c r="C13" s="154">
        <v>1357</v>
      </c>
      <c r="D13" s="155"/>
      <c r="E13" s="4">
        <f t="shared" si="0"/>
        <v>610650</v>
      </c>
      <c r="F13" s="4">
        <f t="shared" si="1"/>
        <v>93150</v>
      </c>
      <c r="G13" s="4">
        <f>PRODUCT(B13*20)</f>
        <v>9000</v>
      </c>
      <c r="H13" s="90">
        <f t="shared" si="2"/>
        <v>102150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91</v>
      </c>
      <c r="B17" s="18">
        <v>447</v>
      </c>
      <c r="C17" s="18">
        <v>1180</v>
      </c>
      <c r="D17" s="18">
        <v>30</v>
      </c>
      <c r="E17" s="11">
        <f>PRODUCT(B17*C17)</f>
        <v>527460</v>
      </c>
      <c r="F17" s="8">
        <f t="shared" ref="F17:F36" si="3">PRODUCT(E17*18)/118</f>
        <v>80460</v>
      </c>
      <c r="G17" s="84">
        <f>PRODUCT(B17*D17)</f>
        <v>13410</v>
      </c>
      <c r="H17" s="92">
        <f>SUM(F17:G17)</f>
        <v>93870</v>
      </c>
      <c r="I17" s="217"/>
    </row>
    <row r="18" spans="1:9" ht="15" thickBot="1">
      <c r="A18" s="26" t="s">
        <v>91</v>
      </c>
      <c r="B18" s="19">
        <v>355</v>
      </c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74550</v>
      </c>
      <c r="H18" s="93">
        <f t="shared" ref="H18:H22" si="6">SUM(F18:G18)</f>
        <v>74550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27406562</v>
      </c>
      <c r="F37" s="16">
        <f>SUM(F5:F36)</f>
        <v>4180662</v>
      </c>
      <c r="G37" s="16">
        <f t="shared" ref="G37:H37" si="10">SUM(G5:G36)</f>
        <v>462650</v>
      </c>
      <c r="H37" s="16">
        <f t="shared" si="10"/>
        <v>4643312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11923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160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450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802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13335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85" zoomScaleNormal="85" workbookViewId="0">
      <selection activeCell="C42" sqref="C42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156" t="s">
        <v>84</v>
      </c>
      <c r="B1" s="157"/>
      <c r="C1" s="157"/>
      <c r="D1" s="157"/>
      <c r="E1" s="157"/>
      <c r="F1" s="157"/>
      <c r="G1" s="157"/>
      <c r="H1" s="157"/>
      <c r="I1" s="216"/>
    </row>
    <row r="2" spans="1:9" ht="24.4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93</v>
      </c>
      <c r="B3" s="161"/>
      <c r="C3" s="161"/>
      <c r="D3" s="161"/>
      <c r="E3" s="161"/>
      <c r="F3" s="161"/>
      <c r="G3" s="161"/>
      <c r="H3" s="162"/>
      <c r="I3" s="217"/>
    </row>
    <row r="4" spans="1:9" ht="28.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>
        <v>670</v>
      </c>
      <c r="C8" s="154">
        <v>7670</v>
      </c>
      <c r="D8" s="155"/>
      <c r="E8" s="4">
        <f t="shared" si="0"/>
        <v>5138900</v>
      </c>
      <c r="F8" s="4">
        <f t="shared" si="1"/>
        <v>783900</v>
      </c>
      <c r="G8" s="4">
        <f>PRODUCT(B8*50)</f>
        <v>33500</v>
      </c>
      <c r="H8" s="90">
        <f t="shared" si="2"/>
        <v>817400</v>
      </c>
      <c r="I8" s="217"/>
    </row>
    <row r="9" spans="1:9">
      <c r="A9" s="31" t="s">
        <v>46</v>
      </c>
      <c r="B9" s="3"/>
      <c r="C9" s="154">
        <v>3700</v>
      </c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54">
        <v>2714</v>
      </c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>
        <v>31458</v>
      </c>
      <c r="C12" s="154">
        <v>2124</v>
      </c>
      <c r="D12" s="155"/>
      <c r="E12" s="4">
        <f t="shared" si="0"/>
        <v>66816792</v>
      </c>
      <c r="F12" s="4">
        <f>PRODUCT(E12*18)/118</f>
        <v>10192392</v>
      </c>
      <c r="G12" s="4">
        <f>PRODUCT(B12*30)</f>
        <v>943740</v>
      </c>
      <c r="H12" s="90">
        <f t="shared" si="2"/>
        <v>11136132</v>
      </c>
      <c r="I12" s="217"/>
    </row>
    <row r="13" spans="1:9">
      <c r="A13" s="32" t="s">
        <v>59</v>
      </c>
      <c r="B13" s="3">
        <v>7089</v>
      </c>
      <c r="C13" s="154">
        <v>1357</v>
      </c>
      <c r="D13" s="155"/>
      <c r="E13" s="4">
        <f t="shared" si="0"/>
        <v>9619773</v>
      </c>
      <c r="F13" s="4">
        <f t="shared" si="1"/>
        <v>1467423</v>
      </c>
      <c r="G13" s="4">
        <f>PRODUCT(B13*20)</f>
        <v>141780</v>
      </c>
      <c r="H13" s="90">
        <f t="shared" si="2"/>
        <v>1609203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81575465</v>
      </c>
      <c r="F37" s="16">
        <f>SUM(F5:F36)</f>
        <v>12443715</v>
      </c>
      <c r="G37" s="16">
        <f t="shared" ref="G37:H37" si="10">SUM(G5:G36)</f>
        <v>1119020</v>
      </c>
      <c r="H37" s="16">
        <f t="shared" si="10"/>
        <v>13562735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>
        <v>13562735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>
        <v>131420</v>
      </c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13694155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31458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670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7089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39217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7" workbookViewId="0">
      <selection activeCell="C41" sqref="C41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17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490</v>
      </c>
      <c r="C7" s="165">
        <v>7670</v>
      </c>
      <c r="D7" s="166"/>
      <c r="E7" s="2">
        <f t="shared" si="0"/>
        <v>3758300</v>
      </c>
      <c r="F7" s="2">
        <f t="shared" si="1"/>
        <v>573300</v>
      </c>
      <c r="G7" s="2">
        <f>PRODUCT(B7*50)</f>
        <v>24500</v>
      </c>
      <c r="H7" s="89">
        <f t="shared" si="2"/>
        <v>597800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24040</v>
      </c>
      <c r="C10" s="154">
        <v>2124</v>
      </c>
      <c r="D10" s="155"/>
      <c r="E10" s="4">
        <f t="shared" si="0"/>
        <v>51060960</v>
      </c>
      <c r="F10" s="4">
        <f t="shared" si="1"/>
        <v>7788960</v>
      </c>
      <c r="G10" s="4">
        <f>PRODUCT(B10*30)</f>
        <v>721200</v>
      </c>
      <c r="H10" s="90">
        <f t="shared" si="2"/>
        <v>8510160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500</v>
      </c>
      <c r="C13" s="154">
        <v>1357</v>
      </c>
      <c r="D13" s="155"/>
      <c r="E13" s="4">
        <f t="shared" si="0"/>
        <v>678500</v>
      </c>
      <c r="F13" s="4">
        <f t="shared" si="1"/>
        <v>103500</v>
      </c>
      <c r="G13" s="4">
        <f>PRODUCT(B13*20)</f>
        <v>10000</v>
      </c>
      <c r="H13" s="90">
        <f t="shared" si="2"/>
        <v>113500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>
        <v>30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55497760</v>
      </c>
      <c r="F37" s="16">
        <f>SUM(F5:F36)</f>
        <v>8465760</v>
      </c>
      <c r="G37" s="16">
        <f t="shared" ref="G37:H37" si="10">SUM(G5:G36)</f>
        <v>755700</v>
      </c>
      <c r="H37" s="16">
        <f t="shared" si="10"/>
        <v>9221460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24040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490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500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25030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8" sqref="C48:D48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>
        <v>125</v>
      </c>
      <c r="C6" s="165">
        <v>7670</v>
      </c>
      <c r="D6" s="166"/>
      <c r="E6" s="2">
        <f t="shared" ref="E6:E14" si="0">PRODUCT(B6*C6)</f>
        <v>958750</v>
      </c>
      <c r="F6" s="2">
        <f t="shared" ref="F6:F14" si="1">PRODUCT(E6*18)/118</f>
        <v>146250</v>
      </c>
      <c r="G6" s="2">
        <f>PRODUCT(B6*50)</f>
        <v>6250</v>
      </c>
      <c r="H6" s="89">
        <f t="shared" ref="H6:H14" si="2">SUM(F6:G6)</f>
        <v>152500</v>
      </c>
      <c r="I6" s="202"/>
    </row>
    <row r="7" spans="1:9">
      <c r="A7" s="30" t="s">
        <v>44</v>
      </c>
      <c r="B7" s="1">
        <v>510</v>
      </c>
      <c r="C7" s="165">
        <v>4720</v>
      </c>
      <c r="D7" s="166"/>
      <c r="E7" s="2">
        <f t="shared" si="0"/>
        <v>2407200</v>
      </c>
      <c r="F7" s="2">
        <f t="shared" si="1"/>
        <v>367200</v>
      </c>
      <c r="G7" s="2">
        <f>PRODUCT(B7*50)</f>
        <v>25500</v>
      </c>
      <c r="H7" s="89">
        <f t="shared" si="2"/>
        <v>392700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27686</v>
      </c>
      <c r="C10" s="154">
        <v>2124</v>
      </c>
      <c r="D10" s="155"/>
      <c r="E10" s="4">
        <f t="shared" si="0"/>
        <v>58805064</v>
      </c>
      <c r="F10" s="4">
        <f t="shared" si="1"/>
        <v>8970264</v>
      </c>
      <c r="G10" s="4">
        <f>PRODUCT(B10*30)</f>
        <v>830580</v>
      </c>
      <c r="H10" s="90">
        <f t="shared" si="2"/>
        <v>9800844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7783</v>
      </c>
      <c r="C13" s="154">
        <v>1357</v>
      </c>
      <c r="D13" s="155"/>
      <c r="E13" s="4">
        <f t="shared" si="0"/>
        <v>10561531</v>
      </c>
      <c r="F13" s="4">
        <f t="shared" si="1"/>
        <v>1611081</v>
      </c>
      <c r="G13" s="4">
        <f>PRODUCT(B13*20)</f>
        <v>155660</v>
      </c>
      <c r="H13" s="90">
        <f t="shared" si="2"/>
        <v>1766741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>
        <v>30</v>
      </c>
      <c r="C17" s="18">
        <v>2006</v>
      </c>
      <c r="D17" s="18">
        <v>25</v>
      </c>
      <c r="E17" s="11">
        <f>PRODUCT(B17*C17)</f>
        <v>60180</v>
      </c>
      <c r="F17" s="8">
        <f t="shared" ref="F17:F36" si="3">PRODUCT(E17*18)/118</f>
        <v>9180</v>
      </c>
      <c r="G17" s="84">
        <f>PRODUCT(B17*D17)</f>
        <v>750</v>
      </c>
      <c r="H17" s="92">
        <f>SUM(F17:G17)</f>
        <v>9930</v>
      </c>
      <c r="I17" s="202"/>
    </row>
    <row r="18" spans="1:9" ht="15" thickBot="1">
      <c r="A18" s="26" t="s">
        <v>101</v>
      </c>
      <c r="B18" s="19">
        <v>320</v>
      </c>
      <c r="C18" s="19">
        <v>3304</v>
      </c>
      <c r="D18" s="19">
        <v>40</v>
      </c>
      <c r="E18" s="12">
        <f t="shared" ref="E18:E22" si="4">PRODUCT(B18*C18)</f>
        <v>1057280</v>
      </c>
      <c r="F18" s="9">
        <f t="shared" si="3"/>
        <v>161280</v>
      </c>
      <c r="G18" s="7">
        <f t="shared" ref="G18:G22" si="5">PRODUCT(B18*D18)</f>
        <v>12800</v>
      </c>
      <c r="H18" s="93">
        <f t="shared" ref="H18:H22" si="6">SUM(F18:G18)</f>
        <v>174080</v>
      </c>
      <c r="I18" s="202"/>
    </row>
    <row r="19" spans="1:9" ht="15" thickBot="1">
      <c r="A19" s="27" t="s">
        <v>63</v>
      </c>
      <c r="B19" s="5">
        <v>110</v>
      </c>
      <c r="C19" s="5">
        <v>2360</v>
      </c>
      <c r="D19" s="5">
        <v>30</v>
      </c>
      <c r="E19" s="12">
        <f t="shared" si="4"/>
        <v>259600</v>
      </c>
      <c r="F19" s="9">
        <f t="shared" si="3"/>
        <v>39600</v>
      </c>
      <c r="G19" s="7">
        <f t="shared" si="5"/>
        <v>3300</v>
      </c>
      <c r="H19" s="93">
        <f t="shared" si="6"/>
        <v>42900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74109605</v>
      </c>
      <c r="F37" s="16">
        <f>SUM(F5:F36)</f>
        <v>11304855</v>
      </c>
      <c r="G37" s="16">
        <f t="shared" ref="G37:H37" si="10">SUM(G5:G36)</f>
        <v>1034840</v>
      </c>
      <c r="H37" s="16">
        <f t="shared" si="10"/>
        <v>12339695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11377269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>
        <v>962426</v>
      </c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12339695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27686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635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7783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350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110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36564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3" workbookViewId="0">
      <selection activeCell="C49" sqref="C49:D49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12983</v>
      </c>
      <c r="C10" s="154">
        <v>2124</v>
      </c>
      <c r="D10" s="155"/>
      <c r="E10" s="4">
        <f t="shared" si="0"/>
        <v>27575892</v>
      </c>
      <c r="F10" s="4">
        <f t="shared" si="1"/>
        <v>4206492</v>
      </c>
      <c r="G10" s="4">
        <f>PRODUCT(B10*30)</f>
        <v>389490</v>
      </c>
      <c r="H10" s="90">
        <f t="shared" si="2"/>
        <v>4595982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750</v>
      </c>
      <c r="C13" s="154">
        <v>1357</v>
      </c>
      <c r="D13" s="155"/>
      <c r="E13" s="4">
        <f t="shared" si="0"/>
        <v>1017750</v>
      </c>
      <c r="F13" s="4">
        <f t="shared" si="1"/>
        <v>155250</v>
      </c>
      <c r="G13" s="4">
        <f>PRODUCT(B13*20)</f>
        <v>15000</v>
      </c>
      <c r="H13" s="90">
        <f t="shared" si="2"/>
        <v>170250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28593642</v>
      </c>
      <c r="F37" s="16">
        <f>SUM(F5:F36)</f>
        <v>4361742</v>
      </c>
      <c r="G37" s="16">
        <f t="shared" ref="G37:H37" si="10">SUM(G5:G36)</f>
        <v>404490</v>
      </c>
      <c r="H37" s="16">
        <f t="shared" si="10"/>
        <v>4766232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4766232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>
        <v>50000</v>
      </c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>
        <v>100000</v>
      </c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4916232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12983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750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13733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9" workbookViewId="0">
      <selection activeCell="C42" sqref="C42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2.9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17"/>
    </row>
    <row r="4" spans="1:9" ht="25.9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2545</v>
      </c>
      <c r="C10" s="154">
        <v>2200</v>
      </c>
      <c r="D10" s="155"/>
      <c r="E10" s="4">
        <f t="shared" si="0"/>
        <v>5599000</v>
      </c>
      <c r="F10" s="4">
        <f t="shared" si="1"/>
        <v>854084.74576271186</v>
      </c>
      <c r="G10" s="4">
        <f>PRODUCT(B10*30)</f>
        <v>76350</v>
      </c>
      <c r="H10" s="90">
        <f t="shared" si="2"/>
        <v>930434.74576271186</v>
      </c>
      <c r="I10" s="217"/>
    </row>
    <row r="11" spans="1:9">
      <c r="A11" s="32" t="s">
        <v>65</v>
      </c>
      <c r="B11" s="3">
        <v>7415</v>
      </c>
      <c r="C11" s="154">
        <v>2596</v>
      </c>
      <c r="D11" s="155"/>
      <c r="E11" s="4">
        <f t="shared" si="0"/>
        <v>19249340</v>
      </c>
      <c r="F11" s="4">
        <f t="shared" si="1"/>
        <v>2936340</v>
      </c>
      <c r="G11" s="4">
        <f>PRODUCT(B11*30)</f>
        <v>222450</v>
      </c>
      <c r="H11" s="90">
        <f t="shared" si="2"/>
        <v>3158790</v>
      </c>
      <c r="I11" s="217"/>
    </row>
    <row r="12" spans="1:9">
      <c r="A12" s="32" t="s">
        <v>65</v>
      </c>
      <c r="B12" s="3">
        <v>600</v>
      </c>
      <c r="C12" s="154">
        <v>2500</v>
      </c>
      <c r="D12" s="155"/>
      <c r="E12" s="4">
        <f t="shared" si="0"/>
        <v>1500000</v>
      </c>
      <c r="F12" s="4">
        <f>PRODUCT(E12*18)/118</f>
        <v>228813.55932203389</v>
      </c>
      <c r="G12" s="4">
        <f>PRODUCT(B12*30)</f>
        <v>18000</v>
      </c>
      <c r="H12" s="90">
        <f t="shared" si="2"/>
        <v>246813.55932203389</v>
      </c>
      <c r="I12" s="217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1570</v>
      </c>
      <c r="C17" s="18">
        <v>1180</v>
      </c>
      <c r="D17" s="18">
        <v>20</v>
      </c>
      <c r="E17" s="11">
        <f>PRODUCT(B17*C17)</f>
        <v>1852600</v>
      </c>
      <c r="F17" s="8">
        <f t="shared" ref="F17:F36" si="3">PRODUCT(E17*18)/118</f>
        <v>282600</v>
      </c>
      <c r="G17" s="84">
        <f>PRODUCT(B17*D17)</f>
        <v>31400</v>
      </c>
      <c r="H17" s="92">
        <f>SUM(F17:G17)</f>
        <v>314000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7" t="s">
        <v>65</v>
      </c>
      <c r="B21" s="5">
        <v>163</v>
      </c>
      <c r="C21" s="5"/>
      <c r="D21" s="5">
        <v>30</v>
      </c>
      <c r="E21" s="12">
        <f t="shared" si="4"/>
        <v>0</v>
      </c>
      <c r="F21" s="9">
        <f t="shared" si="3"/>
        <v>0</v>
      </c>
      <c r="G21" s="7">
        <f t="shared" si="5"/>
        <v>4890</v>
      </c>
      <c r="H21" s="93">
        <f t="shared" si="6"/>
        <v>4890</v>
      </c>
      <c r="I21" s="217"/>
    </row>
    <row r="22" spans="1:9" ht="15" thickBot="1">
      <c r="A22" s="27" t="s">
        <v>90</v>
      </c>
      <c r="B22" s="5">
        <v>20</v>
      </c>
      <c r="C22" s="5">
        <v>10000</v>
      </c>
      <c r="D22" s="5">
        <v>2000</v>
      </c>
      <c r="E22" s="12">
        <f t="shared" si="4"/>
        <v>200000</v>
      </c>
      <c r="F22" s="9">
        <f t="shared" si="3"/>
        <v>30508.474576271186</v>
      </c>
      <c r="G22" s="85">
        <f t="shared" si="5"/>
        <v>40000</v>
      </c>
      <c r="H22" s="94">
        <f t="shared" si="6"/>
        <v>70508.474576271183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28400940</v>
      </c>
      <c r="F37" s="16">
        <f>SUM(F5:F36)</f>
        <v>4332346.7796610175</v>
      </c>
      <c r="G37" s="16">
        <f t="shared" ref="G37:H37" si="10">SUM(G5:G36)</f>
        <v>393090</v>
      </c>
      <c r="H37" s="16">
        <f t="shared" si="10"/>
        <v>4725436.7796610165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>
        <v>4725437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4725437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10560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1570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12130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C41" sqref="C41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4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1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>
        <v>1254</v>
      </c>
      <c r="C6" s="165">
        <v>9440</v>
      </c>
      <c r="D6" s="166"/>
      <c r="E6" s="2">
        <f t="shared" ref="E6:E14" si="0">PRODUCT(B6*C6)</f>
        <v>11837760</v>
      </c>
      <c r="F6" s="2">
        <f t="shared" ref="F6:F14" si="1">PRODUCT(E6*18)/118</f>
        <v>1805760</v>
      </c>
      <c r="G6" s="2">
        <f>PRODUCT(B6*50)</f>
        <v>62700</v>
      </c>
      <c r="H6" s="89">
        <f t="shared" ref="H6:H14" si="2">SUM(F6:G6)</f>
        <v>1868460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103</v>
      </c>
      <c r="B8" s="3">
        <v>100</v>
      </c>
      <c r="C8" s="154">
        <v>2360</v>
      </c>
      <c r="D8" s="155"/>
      <c r="E8" s="4">
        <f t="shared" si="0"/>
        <v>236000</v>
      </c>
      <c r="F8" s="4">
        <f t="shared" si="1"/>
        <v>36000</v>
      </c>
      <c r="G8" s="4">
        <f>PRODUCT(B8*50)</f>
        <v>5000</v>
      </c>
      <c r="H8" s="90">
        <f t="shared" si="2"/>
        <v>41000</v>
      </c>
      <c r="I8" s="202"/>
    </row>
    <row r="9" spans="1:9">
      <c r="A9" s="31" t="s">
        <v>46</v>
      </c>
      <c r="B9" s="3">
        <v>839</v>
      </c>
      <c r="C9" s="154">
        <v>4130</v>
      </c>
      <c r="D9" s="155"/>
      <c r="E9" s="4">
        <f t="shared" si="0"/>
        <v>3465070</v>
      </c>
      <c r="F9" s="4">
        <f t="shared" si="1"/>
        <v>528570</v>
      </c>
      <c r="G9" s="4">
        <f>PRODUCT(B9*30)</f>
        <v>25170</v>
      </c>
      <c r="H9" s="90">
        <f t="shared" si="2"/>
        <v>553740</v>
      </c>
      <c r="I9" s="202"/>
    </row>
    <row r="10" spans="1:9">
      <c r="A10" s="31" t="s">
        <v>47</v>
      </c>
      <c r="B10" s="3">
        <v>4567</v>
      </c>
      <c r="C10" s="154">
        <v>2360</v>
      </c>
      <c r="D10" s="155"/>
      <c r="E10" s="4">
        <f t="shared" si="0"/>
        <v>10778120</v>
      </c>
      <c r="F10" s="4">
        <f t="shared" si="1"/>
        <v>1644120</v>
      </c>
      <c r="G10" s="4">
        <f>PRODUCT(B10*30)</f>
        <v>137010</v>
      </c>
      <c r="H10" s="90">
        <f t="shared" si="2"/>
        <v>1781130</v>
      </c>
      <c r="I10" s="202"/>
    </row>
    <row r="11" spans="1:9">
      <c r="A11" s="32" t="s">
        <v>65</v>
      </c>
      <c r="B11" s="3">
        <v>120</v>
      </c>
      <c r="C11" s="154">
        <v>4300</v>
      </c>
      <c r="D11" s="155"/>
      <c r="E11" s="4">
        <f t="shared" si="0"/>
        <v>516000</v>
      </c>
      <c r="F11" s="4">
        <f t="shared" si="1"/>
        <v>78711.864406779656</v>
      </c>
      <c r="G11" s="4">
        <f>PRODUCT(B11*30)</f>
        <v>3600</v>
      </c>
      <c r="H11" s="90">
        <f t="shared" si="2"/>
        <v>82311.864406779656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91</v>
      </c>
      <c r="B14" s="3">
        <v>2086</v>
      </c>
      <c r="C14" s="154">
        <v>1180</v>
      </c>
      <c r="D14" s="155"/>
      <c r="E14" s="4">
        <f t="shared" si="0"/>
        <v>2461480</v>
      </c>
      <c r="F14" s="4">
        <f t="shared" si="1"/>
        <v>375480</v>
      </c>
      <c r="G14" s="4">
        <f>PRODUCT(B14*20)</f>
        <v>41720</v>
      </c>
      <c r="H14" s="90">
        <f t="shared" si="2"/>
        <v>417200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90</v>
      </c>
      <c r="B21" s="5">
        <v>45</v>
      </c>
      <c r="C21" s="5">
        <v>10000</v>
      </c>
      <c r="D21" s="5">
        <v>1500</v>
      </c>
      <c r="E21" s="12">
        <f t="shared" si="4"/>
        <v>450000</v>
      </c>
      <c r="F21" s="9">
        <f t="shared" si="3"/>
        <v>68644.067796610165</v>
      </c>
      <c r="G21" s="7">
        <f t="shared" si="5"/>
        <v>67500</v>
      </c>
      <c r="H21" s="93">
        <f t="shared" si="6"/>
        <v>136144.06779661018</v>
      </c>
      <c r="I21" s="202"/>
    </row>
    <row r="22" spans="1:9" ht="15" thickBot="1">
      <c r="A22" s="28" t="s">
        <v>90</v>
      </c>
      <c r="B22" s="5">
        <v>1</v>
      </c>
      <c r="C22" s="5">
        <v>1180000</v>
      </c>
      <c r="D22" s="5">
        <v>50000</v>
      </c>
      <c r="E22" s="12">
        <f t="shared" si="4"/>
        <v>1180000</v>
      </c>
      <c r="F22" s="9">
        <f t="shared" si="3"/>
        <v>180000</v>
      </c>
      <c r="G22" s="85">
        <f t="shared" si="5"/>
        <v>50000</v>
      </c>
      <c r="H22" s="94">
        <f t="shared" si="6"/>
        <v>230000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30924430</v>
      </c>
      <c r="F37" s="16">
        <f>SUM(F5:F36)</f>
        <v>4717285.9322033897</v>
      </c>
      <c r="G37" s="16">
        <f t="shared" ref="G37:H37" si="10">SUM(G5:G36)</f>
        <v>392700</v>
      </c>
      <c r="H37" s="16">
        <f t="shared" si="10"/>
        <v>5109985.9322033897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5093314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>
        <v>16672</v>
      </c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5109986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5526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1354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2086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8966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3" workbookViewId="0">
      <selection activeCell="C39" sqref="C39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2.9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0.5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>
        <v>180</v>
      </c>
      <c r="C8" s="154">
        <v>8260</v>
      </c>
      <c r="D8" s="155"/>
      <c r="E8" s="4">
        <f t="shared" si="0"/>
        <v>1486800</v>
      </c>
      <c r="F8" s="4">
        <f t="shared" si="1"/>
        <v>226800</v>
      </c>
      <c r="G8" s="4">
        <f>PRODUCT(B8*50)</f>
        <v>9000</v>
      </c>
      <c r="H8" s="90">
        <f t="shared" si="2"/>
        <v>235800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2000</v>
      </c>
      <c r="C10" s="154">
        <v>2360</v>
      </c>
      <c r="D10" s="155"/>
      <c r="E10" s="4">
        <f t="shared" si="0"/>
        <v>4720000</v>
      </c>
      <c r="F10" s="4">
        <f t="shared" si="1"/>
        <v>720000</v>
      </c>
      <c r="G10" s="4">
        <f>PRODUCT(B10*30)</f>
        <v>60000</v>
      </c>
      <c r="H10" s="90">
        <f t="shared" si="2"/>
        <v>780000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s="34" customFormat="1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s="34" customFormat="1" ht="15" thickBot="1">
      <c r="A21" s="28" t="s">
        <v>90</v>
      </c>
      <c r="B21" s="5">
        <v>16</v>
      </c>
      <c r="C21" s="5">
        <v>10000</v>
      </c>
      <c r="D21" s="5">
        <v>1500</v>
      </c>
      <c r="E21" s="12">
        <f t="shared" si="4"/>
        <v>160000</v>
      </c>
      <c r="F21" s="9">
        <f t="shared" si="3"/>
        <v>24406.77966101695</v>
      </c>
      <c r="G21" s="7">
        <f t="shared" si="5"/>
        <v>24000</v>
      </c>
      <c r="H21" s="93">
        <f t="shared" si="6"/>
        <v>48406.779661016946</v>
      </c>
      <c r="I21" s="202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6366800</v>
      </c>
      <c r="F37" s="16">
        <f>SUM(F5:F36)</f>
        <v>971206.779661017</v>
      </c>
      <c r="G37" s="16">
        <f t="shared" ref="G37:H37" si="10">SUM(G5:G36)</f>
        <v>93000</v>
      </c>
      <c r="H37" s="16">
        <f t="shared" si="10"/>
        <v>1064206.779661017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4.55" customHeight="1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02"/>
    </row>
    <row r="40" spans="1:9" ht="15" customHeight="1" thickBot="1">
      <c r="A40" s="176" t="s">
        <v>68</v>
      </c>
      <c r="B40" s="177"/>
      <c r="C40" s="42">
        <v>54207</v>
      </c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54207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2000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180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2180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C16" workbookViewId="0">
      <selection activeCell="C41" sqref="C41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21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17"/>
    </row>
    <row r="4" spans="1:9" ht="25.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>
        <v>534</v>
      </c>
      <c r="C7" s="165">
        <v>5900</v>
      </c>
      <c r="D7" s="166"/>
      <c r="E7" s="2">
        <f t="shared" si="0"/>
        <v>3150600</v>
      </c>
      <c r="F7" s="2">
        <f t="shared" si="1"/>
        <v>480600</v>
      </c>
      <c r="G7" s="2">
        <f>PRODUCT(B7*50)</f>
        <v>26700</v>
      </c>
      <c r="H7" s="89">
        <f t="shared" si="2"/>
        <v>507300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>
        <v>5982</v>
      </c>
      <c r="C11" s="154">
        <v>2124</v>
      </c>
      <c r="D11" s="155"/>
      <c r="E11" s="4">
        <f t="shared" si="0"/>
        <v>12705768</v>
      </c>
      <c r="F11" s="4">
        <f t="shared" si="1"/>
        <v>1938168</v>
      </c>
      <c r="G11" s="4">
        <f>PRODUCT(B11*30)</f>
        <v>179460</v>
      </c>
      <c r="H11" s="90">
        <f t="shared" si="2"/>
        <v>2117628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350</v>
      </c>
      <c r="C13" s="154">
        <v>1357</v>
      </c>
      <c r="D13" s="155"/>
      <c r="E13" s="4">
        <f t="shared" si="0"/>
        <v>474950</v>
      </c>
      <c r="F13" s="4">
        <f t="shared" si="1"/>
        <v>72450</v>
      </c>
      <c r="G13" s="4">
        <f>PRODUCT(B13*20)</f>
        <v>7000</v>
      </c>
      <c r="H13" s="90">
        <f t="shared" si="2"/>
        <v>79450</v>
      </c>
      <c r="I13" s="217"/>
    </row>
    <row r="14" spans="1:9" ht="15" thickBot="1">
      <c r="A14" s="33" t="s">
        <v>59</v>
      </c>
      <c r="B14" s="3">
        <v>100</v>
      </c>
      <c r="C14" s="154">
        <v>1354</v>
      </c>
      <c r="D14" s="155"/>
      <c r="E14" s="4">
        <f t="shared" si="0"/>
        <v>135400</v>
      </c>
      <c r="F14" s="4">
        <f t="shared" si="1"/>
        <v>20654.237288135595</v>
      </c>
      <c r="G14" s="4">
        <f>PRODUCT(B14*20)</f>
        <v>2000</v>
      </c>
      <c r="H14" s="90">
        <f t="shared" si="2"/>
        <v>22654.237288135595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71</v>
      </c>
      <c r="C17" s="18">
        <v>1180</v>
      </c>
      <c r="D17" s="18">
        <v>30</v>
      </c>
      <c r="E17" s="11">
        <f>PRODUCT(B17*C17)</f>
        <v>83780</v>
      </c>
      <c r="F17" s="8">
        <f t="shared" ref="F17:F36" si="3">PRODUCT(E17*18)/118</f>
        <v>12780</v>
      </c>
      <c r="G17" s="84">
        <f>PRODUCT(B17*D17)</f>
        <v>2130</v>
      </c>
      <c r="H17" s="92">
        <f>SUM(F17:G17)</f>
        <v>14910</v>
      </c>
      <c r="I17" s="217"/>
    </row>
    <row r="18" spans="1:9" ht="15" thickBot="1">
      <c r="A18" s="26" t="s">
        <v>62</v>
      </c>
      <c r="B18" s="19">
        <v>10</v>
      </c>
      <c r="C18" s="19"/>
      <c r="D18" s="19">
        <v>300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3000</v>
      </c>
      <c r="H18" s="93">
        <f t="shared" ref="H18:H22" si="6">SUM(F18:G18)</f>
        <v>3000</v>
      </c>
      <c r="I18" s="217"/>
    </row>
    <row r="19" spans="1:9" ht="15" thickBot="1">
      <c r="A19" s="27" t="s">
        <v>63</v>
      </c>
      <c r="B19" s="5">
        <v>200</v>
      </c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40000</v>
      </c>
      <c r="H19" s="93">
        <f t="shared" si="6"/>
        <v>40000</v>
      </c>
      <c r="I19" s="217"/>
    </row>
    <row r="20" spans="1:9" ht="15" thickBot="1">
      <c r="A20" s="27" t="s">
        <v>89</v>
      </c>
      <c r="B20" s="5">
        <v>150</v>
      </c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53100</v>
      </c>
      <c r="H20" s="94">
        <f t="shared" si="6"/>
        <v>53100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16550498</v>
      </c>
      <c r="F37" s="16">
        <f>SUM(F5:F36)</f>
        <v>2524652.2372881356</v>
      </c>
      <c r="G37" s="16">
        <f t="shared" ref="G37:H37" si="10">SUM(G5:G36)</f>
        <v>313390</v>
      </c>
      <c r="H37" s="16">
        <f t="shared" si="10"/>
        <v>2838042.2372881356</v>
      </c>
      <c r="I37" s="217"/>
    </row>
    <row r="38" spans="1:9" ht="19.0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9.05" customHeight="1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5982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534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450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81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350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7397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5" zoomScaleNormal="100" workbookViewId="0">
      <selection activeCell="C40" sqref="C40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2.0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2.0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1080</v>
      </c>
      <c r="C10" s="154">
        <v>1800</v>
      </c>
      <c r="D10" s="155"/>
      <c r="E10" s="4">
        <f t="shared" si="0"/>
        <v>1944000</v>
      </c>
      <c r="F10" s="4">
        <f t="shared" si="1"/>
        <v>296542.37288135593</v>
      </c>
      <c r="G10" s="4">
        <f>PRODUCT(B10*30)</f>
        <v>32400</v>
      </c>
      <c r="H10" s="90">
        <f t="shared" si="2"/>
        <v>328942.37288135593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s="34" customFormat="1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s="34" customFormat="1" ht="15" thickBot="1">
      <c r="A21" s="28" t="s">
        <v>52</v>
      </c>
      <c r="B21" s="5">
        <v>3000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150000</v>
      </c>
      <c r="H21" s="93">
        <f t="shared" si="6"/>
        <v>150000</v>
      </c>
      <c r="I21" s="202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1944000</v>
      </c>
      <c r="F37" s="16">
        <f>SUM(F5:F36)</f>
        <v>296542.37288135593</v>
      </c>
      <c r="G37" s="16">
        <f t="shared" ref="G37:H37" si="10">SUM(G5:G36)</f>
        <v>182400</v>
      </c>
      <c r="H37" s="16">
        <f t="shared" si="10"/>
        <v>478942.37288135593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478942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478942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1080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1080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5" zoomScaleNormal="100" workbookViewId="0">
      <selection activeCell="A64" sqref="A64:H64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34.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17"/>
    </row>
    <row r="4" spans="1:9" ht="27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>
        <v>450</v>
      </c>
      <c r="C9" s="154">
        <v>3900</v>
      </c>
      <c r="D9" s="155"/>
      <c r="E9" s="4">
        <f t="shared" si="0"/>
        <v>1755000</v>
      </c>
      <c r="F9" s="4">
        <f t="shared" si="1"/>
        <v>267711.86440677964</v>
      </c>
      <c r="G9" s="4">
        <f>PRODUCT(B9*30)</f>
        <v>13500</v>
      </c>
      <c r="H9" s="90">
        <f t="shared" si="2"/>
        <v>281211.86440677964</v>
      </c>
      <c r="I9" s="217"/>
    </row>
    <row r="10" spans="1:9">
      <c r="A10" s="31" t="s">
        <v>47</v>
      </c>
      <c r="B10" s="3">
        <v>3670</v>
      </c>
      <c r="C10" s="154">
        <v>2124</v>
      </c>
      <c r="D10" s="155"/>
      <c r="E10" s="4">
        <f t="shared" si="0"/>
        <v>7795080</v>
      </c>
      <c r="F10" s="4">
        <f t="shared" si="1"/>
        <v>1189080</v>
      </c>
      <c r="G10" s="4">
        <f>PRODUCT(B10*30)</f>
        <v>110100</v>
      </c>
      <c r="H10" s="90">
        <f t="shared" si="2"/>
        <v>1299180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270</v>
      </c>
      <c r="C13" s="154">
        <v>1416</v>
      </c>
      <c r="D13" s="155"/>
      <c r="E13" s="4">
        <f t="shared" si="0"/>
        <v>382320</v>
      </c>
      <c r="F13" s="4">
        <f t="shared" si="1"/>
        <v>58320</v>
      </c>
      <c r="G13" s="4">
        <f>PRODUCT(B13*20)</f>
        <v>5400</v>
      </c>
      <c r="H13" s="90">
        <f t="shared" si="2"/>
        <v>63720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>
        <v>100</v>
      </c>
      <c r="C17" s="18"/>
      <c r="D17" s="18">
        <v>320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32000</v>
      </c>
      <c r="H17" s="92">
        <f>SUM(F17:G17)</f>
        <v>32000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>
        <v>240</v>
      </c>
      <c r="C21" s="5"/>
      <c r="D21" s="5">
        <v>266</v>
      </c>
      <c r="E21" s="12">
        <f t="shared" si="4"/>
        <v>0</v>
      </c>
      <c r="F21" s="9">
        <f t="shared" si="3"/>
        <v>0</v>
      </c>
      <c r="G21" s="7">
        <f t="shared" si="5"/>
        <v>63840</v>
      </c>
      <c r="H21" s="93">
        <f t="shared" si="6"/>
        <v>63840</v>
      </c>
      <c r="I21" s="217"/>
    </row>
    <row r="22" spans="1:9" ht="15" thickBot="1">
      <c r="A22" s="28" t="s">
        <v>52</v>
      </c>
      <c r="B22" s="5">
        <v>136</v>
      </c>
      <c r="C22" s="5"/>
      <c r="D22" s="5">
        <v>354</v>
      </c>
      <c r="E22" s="12">
        <f t="shared" si="4"/>
        <v>0</v>
      </c>
      <c r="F22" s="9">
        <f t="shared" si="3"/>
        <v>0</v>
      </c>
      <c r="G22" s="85">
        <f t="shared" si="5"/>
        <v>48144</v>
      </c>
      <c r="H22" s="94">
        <f t="shared" si="6"/>
        <v>48144</v>
      </c>
      <c r="I22" s="217"/>
    </row>
    <row r="23" spans="1:9" ht="15" thickBot="1">
      <c r="A23" s="28" t="s">
        <v>52</v>
      </c>
      <c r="B23" s="20">
        <v>300</v>
      </c>
      <c r="C23" s="20">
        <v>2500</v>
      </c>
      <c r="D23" s="20">
        <v>50</v>
      </c>
      <c r="E23" s="12">
        <f>PRODUCT(B23*C23)</f>
        <v>750000</v>
      </c>
      <c r="F23" s="9">
        <f t="shared" si="3"/>
        <v>114406.77966101695</v>
      </c>
      <c r="G23" s="7">
        <f>PRODUCT(B23*D23)</f>
        <v>15000</v>
      </c>
      <c r="H23" s="93">
        <f>SUM(F23:G23)</f>
        <v>129406.77966101695</v>
      </c>
      <c r="I23" s="217"/>
    </row>
    <row r="24" spans="1:9" ht="15" thickBot="1">
      <c r="A24" s="28" t="s">
        <v>52</v>
      </c>
      <c r="B24" s="19">
        <v>50</v>
      </c>
      <c r="C24" s="19"/>
      <c r="D24" s="19">
        <v>203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10150</v>
      </c>
      <c r="H24" s="94">
        <f t="shared" ref="H24:H36" si="9">SUM(F24:G24)</f>
        <v>10150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10682400</v>
      </c>
      <c r="F37" s="16">
        <f>SUM(F5:F36)</f>
        <v>1629518.6440677966</v>
      </c>
      <c r="G37" s="16">
        <f t="shared" ref="G37:H37" si="10">SUM(G5:G36)</f>
        <v>298134</v>
      </c>
      <c r="H37" s="16">
        <f t="shared" si="10"/>
        <v>1927652.6440677966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4.55" customHeight="1" thickBot="1">
      <c r="A39" s="179" t="s">
        <v>67</v>
      </c>
      <c r="B39" s="180"/>
      <c r="C39" s="46">
        <v>1927663</v>
      </c>
      <c r="D39" s="49"/>
      <c r="E39" s="171"/>
      <c r="F39" s="171"/>
      <c r="G39" s="52"/>
      <c r="H39" s="98"/>
      <c r="I39" s="217"/>
    </row>
    <row r="40" spans="1:9" ht="15" customHeight="1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1927663</v>
      </c>
      <c r="D45" s="82"/>
      <c r="E45" s="189"/>
      <c r="F45" s="190"/>
      <c r="G45" s="83"/>
      <c r="H45" s="100"/>
      <c r="I45" s="217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8.95" customHeight="1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5" customHeight="1" thickBot="1">
      <c r="A49" s="210"/>
      <c r="B49" s="211"/>
      <c r="C49" s="185" t="s">
        <v>60</v>
      </c>
      <c r="D49" s="186"/>
      <c r="E49" s="195">
        <f>SUM(B9:B12)</f>
        <v>4120</v>
      </c>
      <c r="F49" s="196"/>
      <c r="G49" s="196"/>
      <c r="H49" s="196"/>
      <c r="I49" s="217"/>
    </row>
    <row r="50" spans="1:9" ht="19.05" customHeight="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17"/>
    </row>
    <row r="51" spans="1:9" ht="19.05" customHeight="1" thickBot="1">
      <c r="A51" s="212"/>
      <c r="B51" s="213"/>
      <c r="C51" s="185" t="s">
        <v>61</v>
      </c>
      <c r="D51" s="186"/>
      <c r="E51" s="195">
        <f>SUM(B13:B14)</f>
        <v>270</v>
      </c>
      <c r="F51" s="196"/>
      <c r="G51" s="196"/>
      <c r="H51" s="196"/>
      <c r="I51" s="217"/>
    </row>
    <row r="52" spans="1:9" ht="19.05" customHeight="1" thickBot="1">
      <c r="A52" s="212"/>
      <c r="B52" s="213"/>
      <c r="C52" s="187" t="s">
        <v>62</v>
      </c>
      <c r="D52" s="188"/>
      <c r="E52" s="148">
        <f>SUM(B17:B18)</f>
        <v>100</v>
      </c>
      <c r="F52" s="149"/>
      <c r="G52" s="149"/>
      <c r="H52" s="149"/>
      <c r="I52" s="217"/>
    </row>
    <row r="53" spans="1:9" ht="19.05" customHeight="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9.05" customHeight="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9.05" customHeight="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9.05" customHeight="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9.05" customHeight="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9.05" customHeight="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9.05" customHeight="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9.05" customHeight="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9.05" customHeight="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4490</v>
      </c>
      <c r="F62" s="153"/>
      <c r="G62" s="153"/>
      <c r="H62" s="153"/>
      <c r="I62" s="217"/>
    </row>
    <row r="63" spans="1:9" ht="19.05" customHeight="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4.55" customHeight="1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8" sqref="C48:D48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1.4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4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65</v>
      </c>
      <c r="B17" s="18">
        <v>4540</v>
      </c>
      <c r="C17" s="18">
        <v>2124</v>
      </c>
      <c r="D17" s="18">
        <v>40</v>
      </c>
      <c r="E17" s="11">
        <f>PRODUCT(B17*C17)</f>
        <v>9642960</v>
      </c>
      <c r="F17" s="8">
        <f t="shared" ref="F17:F36" si="3">PRODUCT(E17*18)/118</f>
        <v>1470960</v>
      </c>
      <c r="G17" s="84">
        <f>PRODUCT(B17*D17)</f>
        <v>181600</v>
      </c>
      <c r="H17" s="92">
        <f>SUM(F17:G17)</f>
        <v>1652560</v>
      </c>
      <c r="I17" s="202"/>
    </row>
    <row r="18" spans="1:9" ht="15" thickBot="1">
      <c r="A18" s="26" t="s">
        <v>59</v>
      </c>
      <c r="B18" s="19">
        <v>1640</v>
      </c>
      <c r="C18" s="19">
        <v>1357</v>
      </c>
      <c r="D18" s="19">
        <v>30</v>
      </c>
      <c r="E18" s="12">
        <f t="shared" ref="E18:E22" si="4">PRODUCT(B18*C18)</f>
        <v>2225480</v>
      </c>
      <c r="F18" s="9">
        <f t="shared" si="3"/>
        <v>339480</v>
      </c>
      <c r="G18" s="7">
        <f t="shared" ref="G18:G22" si="5">PRODUCT(B18*D18)</f>
        <v>49200</v>
      </c>
      <c r="H18" s="93">
        <f t="shared" ref="H18:H22" si="6">SUM(F18:G18)</f>
        <v>388680</v>
      </c>
      <c r="I18" s="202"/>
    </row>
    <row r="19" spans="1:9" ht="15" thickBot="1">
      <c r="A19" s="27" t="s">
        <v>63</v>
      </c>
      <c r="B19" s="5">
        <v>350</v>
      </c>
      <c r="C19" s="5">
        <v>1500</v>
      </c>
      <c r="D19" s="5">
        <v>40</v>
      </c>
      <c r="E19" s="12">
        <f t="shared" si="4"/>
        <v>525000</v>
      </c>
      <c r="F19" s="9">
        <f t="shared" si="3"/>
        <v>80084.745762711871</v>
      </c>
      <c r="G19" s="7">
        <f t="shared" si="5"/>
        <v>14000</v>
      </c>
      <c r="H19" s="93">
        <f t="shared" si="6"/>
        <v>94084.745762711871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>
        <v>838</v>
      </c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83800</v>
      </c>
      <c r="H21" s="93">
        <f t="shared" si="6"/>
        <v>83800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12393440</v>
      </c>
      <c r="F37" s="16">
        <f>SUM(F5:F36)</f>
        <v>1890524.7457627119</v>
      </c>
      <c r="G37" s="16">
        <f t="shared" ref="G37:H37" si="10">SUM(G5:G36)</f>
        <v>328600</v>
      </c>
      <c r="H37" s="16">
        <f t="shared" si="10"/>
        <v>2219124.7457627119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4.55" customHeight="1" thickBot="1">
      <c r="A39" s="179" t="s">
        <v>67</v>
      </c>
      <c r="B39" s="180"/>
      <c r="C39" s="46">
        <v>2219125</v>
      </c>
      <c r="D39" s="49"/>
      <c r="E39" s="171"/>
      <c r="F39" s="171"/>
      <c r="G39" s="52"/>
      <c r="H39" s="98"/>
      <c r="I39" s="202"/>
    </row>
    <row r="40" spans="1:9" ht="15" customHeight="1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2219125</v>
      </c>
      <c r="D45" s="82"/>
      <c r="E45" s="189"/>
      <c r="F45" s="190"/>
      <c r="G45" s="83"/>
      <c r="H45" s="100"/>
      <c r="I45" s="202"/>
    </row>
    <row r="46" spans="1:9" ht="14.55" customHeight="1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customHeight="1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6180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350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6530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5" workbookViewId="0">
      <selection activeCell="D20" sqref="D20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customHeight="1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17"/>
    </row>
    <row r="4" spans="1:9" ht="15" customHeight="1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>
        <v>545</v>
      </c>
      <c r="C6" s="165">
        <v>8850</v>
      </c>
      <c r="D6" s="166"/>
      <c r="E6" s="2">
        <f t="shared" ref="E6:E14" si="0">PRODUCT(B6*C6)</f>
        <v>4823250</v>
      </c>
      <c r="F6" s="2">
        <f t="shared" ref="F6:F14" si="1">PRODUCT(E6*18)/118</f>
        <v>735750</v>
      </c>
      <c r="G6" s="2">
        <f>PRODUCT(B6*50)</f>
        <v>27250</v>
      </c>
      <c r="H6" s="89">
        <f t="shared" ref="H6:H14" si="2">SUM(F6:G6)</f>
        <v>763000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2" t="s">
        <v>92</v>
      </c>
      <c r="B8" s="3">
        <v>70</v>
      </c>
      <c r="C8" s="154">
        <v>2360</v>
      </c>
      <c r="D8" s="155"/>
      <c r="E8" s="4">
        <f t="shared" si="0"/>
        <v>165200</v>
      </c>
      <c r="F8" s="4">
        <f t="shared" si="1"/>
        <v>25200</v>
      </c>
      <c r="G8" s="4">
        <f>PRODUCT(B8*50)</f>
        <v>3500</v>
      </c>
      <c r="H8" s="90">
        <f t="shared" si="2"/>
        <v>28700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>
        <v>9728</v>
      </c>
      <c r="C10" s="154">
        <v>2360</v>
      </c>
      <c r="D10" s="155"/>
      <c r="E10" s="4">
        <f t="shared" si="0"/>
        <v>22958080</v>
      </c>
      <c r="F10" s="4">
        <f t="shared" si="1"/>
        <v>3502080</v>
      </c>
      <c r="G10" s="4">
        <f>PRODUCT(B10*30)</f>
        <v>291840</v>
      </c>
      <c r="H10" s="90">
        <f t="shared" si="2"/>
        <v>3793920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>
        <v>3268</v>
      </c>
      <c r="C13" s="154">
        <v>1534</v>
      </c>
      <c r="D13" s="155"/>
      <c r="E13" s="4">
        <f t="shared" si="0"/>
        <v>5013112</v>
      </c>
      <c r="F13" s="4">
        <f t="shared" si="1"/>
        <v>764712</v>
      </c>
      <c r="G13" s="4">
        <f>PRODUCT(B13*20)</f>
        <v>65360</v>
      </c>
      <c r="H13" s="90">
        <f t="shared" si="2"/>
        <v>830072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92</v>
      </c>
      <c r="B17" s="18">
        <v>1520</v>
      </c>
      <c r="C17" s="18">
        <v>1770</v>
      </c>
      <c r="D17" s="18">
        <v>50</v>
      </c>
      <c r="E17" s="11">
        <f>PRODUCT(B17*C17)</f>
        <v>2690400</v>
      </c>
      <c r="F17" s="8">
        <f t="shared" ref="F17:F36" si="3">PRODUCT(E17*18)/118</f>
        <v>410400</v>
      </c>
      <c r="G17" s="84">
        <f>PRODUCT(B17*D17)</f>
        <v>76000</v>
      </c>
      <c r="H17" s="92">
        <f>SUM(F17:G17)</f>
        <v>486400</v>
      </c>
      <c r="I17" s="217"/>
    </row>
    <row r="18" spans="1:9" ht="15" thickBot="1">
      <c r="A18" s="26" t="s">
        <v>62</v>
      </c>
      <c r="B18" s="19">
        <v>200</v>
      </c>
      <c r="C18" s="19"/>
      <c r="D18" s="19">
        <v>320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64000</v>
      </c>
      <c r="H18" s="93">
        <f t="shared" ref="H18:H22" si="6">SUM(F18:G18)</f>
        <v>64000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7" t="s">
        <v>65</v>
      </c>
      <c r="B21" s="5">
        <v>100</v>
      </c>
      <c r="C21" s="5"/>
      <c r="D21" s="5">
        <v>390</v>
      </c>
      <c r="E21" s="12">
        <f t="shared" si="4"/>
        <v>0</v>
      </c>
      <c r="F21" s="9">
        <f t="shared" si="3"/>
        <v>0</v>
      </c>
      <c r="G21" s="7">
        <f t="shared" si="5"/>
        <v>39000</v>
      </c>
      <c r="H21" s="93">
        <f t="shared" si="6"/>
        <v>39000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35650042</v>
      </c>
      <c r="F37" s="16">
        <f>SUM(F5:F36)</f>
        <v>5438142</v>
      </c>
      <c r="G37" s="16">
        <f t="shared" ref="G37:H37" si="10">SUM(G5:G36)</f>
        <v>566950</v>
      </c>
      <c r="H37" s="16">
        <f t="shared" si="10"/>
        <v>6005092</v>
      </c>
      <c r="I37" s="217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customHeight="1" thickBot="1">
      <c r="A39" s="179" t="s">
        <v>67</v>
      </c>
      <c r="B39" s="180"/>
      <c r="C39" s="46">
        <v>6005092</v>
      </c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6005092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9728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615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3268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1720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15331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46" sqref="A46:H47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9.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1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>
        <v>110</v>
      </c>
      <c r="C6" s="165">
        <v>8850</v>
      </c>
      <c r="D6" s="166"/>
      <c r="E6" s="2">
        <f t="shared" ref="E6:E14" si="0">PRODUCT(B6*C6)</f>
        <v>973500</v>
      </c>
      <c r="F6" s="2">
        <f t="shared" ref="F6:F14" si="1">PRODUCT(E6*18)/118</f>
        <v>148500</v>
      </c>
      <c r="G6" s="2">
        <f>PRODUCT(B6*50)</f>
        <v>5500</v>
      </c>
      <c r="H6" s="89">
        <f t="shared" ref="H6:H14" si="2">SUM(F6:G6)</f>
        <v>154000</v>
      </c>
      <c r="I6" s="202"/>
    </row>
    <row r="7" spans="1:9">
      <c r="A7" s="30" t="s">
        <v>44</v>
      </c>
      <c r="B7" s="1">
        <v>50</v>
      </c>
      <c r="C7" s="165">
        <v>5950</v>
      </c>
      <c r="D7" s="166"/>
      <c r="E7" s="2">
        <f t="shared" si="0"/>
        <v>297500</v>
      </c>
      <c r="F7" s="2">
        <f t="shared" si="1"/>
        <v>45381.355932203391</v>
      </c>
      <c r="G7" s="2">
        <f>PRODUCT(B7*50)</f>
        <v>2500</v>
      </c>
      <c r="H7" s="89">
        <f t="shared" si="2"/>
        <v>47881.355932203391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>
        <v>52</v>
      </c>
      <c r="C9" s="154">
        <v>3000</v>
      </c>
      <c r="D9" s="155"/>
      <c r="E9" s="4">
        <f t="shared" si="0"/>
        <v>156000</v>
      </c>
      <c r="F9" s="4">
        <f t="shared" si="1"/>
        <v>23796.610169491527</v>
      </c>
      <c r="G9" s="4">
        <f>PRODUCT(B9*30)</f>
        <v>1560</v>
      </c>
      <c r="H9" s="90">
        <f t="shared" si="2"/>
        <v>25356.610169491527</v>
      </c>
      <c r="I9" s="202"/>
    </row>
    <row r="10" spans="1:9">
      <c r="A10" s="31" t="s">
        <v>47</v>
      </c>
      <c r="B10" s="3">
        <v>6390</v>
      </c>
      <c r="C10" s="154">
        <v>2124</v>
      </c>
      <c r="D10" s="155"/>
      <c r="E10" s="4">
        <f t="shared" si="0"/>
        <v>13572360</v>
      </c>
      <c r="F10" s="4">
        <f t="shared" si="1"/>
        <v>2070360</v>
      </c>
      <c r="G10" s="4">
        <f>PRODUCT(B10*30)</f>
        <v>191700</v>
      </c>
      <c r="H10" s="90">
        <f t="shared" si="2"/>
        <v>2262060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325</v>
      </c>
      <c r="C13" s="154">
        <v>944</v>
      </c>
      <c r="D13" s="155"/>
      <c r="E13" s="4">
        <f t="shared" si="0"/>
        <v>306800</v>
      </c>
      <c r="F13" s="4">
        <f t="shared" si="1"/>
        <v>46800</v>
      </c>
      <c r="G13" s="4">
        <f>PRODUCT(B13*20)</f>
        <v>6500</v>
      </c>
      <c r="H13" s="90">
        <f t="shared" si="2"/>
        <v>53300</v>
      </c>
      <c r="I13" s="202"/>
    </row>
    <row r="14" spans="1:9" ht="15" thickBot="1">
      <c r="A14" s="33" t="s">
        <v>91</v>
      </c>
      <c r="B14" s="3">
        <v>1400</v>
      </c>
      <c r="C14" s="154">
        <v>1180</v>
      </c>
      <c r="D14" s="155"/>
      <c r="E14" s="4">
        <f t="shared" si="0"/>
        <v>1652000</v>
      </c>
      <c r="F14" s="4">
        <f t="shared" si="1"/>
        <v>252000</v>
      </c>
      <c r="G14" s="4">
        <f>PRODUCT(B14*20)</f>
        <v>28000</v>
      </c>
      <c r="H14" s="90">
        <f t="shared" si="2"/>
        <v>280000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>
        <v>1140</v>
      </c>
      <c r="C17" s="18">
        <v>2360</v>
      </c>
      <c r="D17" s="18">
        <v>25</v>
      </c>
      <c r="E17" s="11">
        <f>PRODUCT(B17*C17)</f>
        <v>2690400</v>
      </c>
      <c r="F17" s="8">
        <f t="shared" ref="F17:F36" si="3">PRODUCT(E17*18)/118</f>
        <v>410400</v>
      </c>
      <c r="G17" s="84">
        <f>PRODUCT(B17*D17)</f>
        <v>28500</v>
      </c>
      <c r="H17" s="92">
        <f>SUM(F17:G17)</f>
        <v>438900</v>
      </c>
      <c r="I17" s="202"/>
    </row>
    <row r="18" spans="1:9" ht="15" thickBot="1">
      <c r="A18" s="26" t="s">
        <v>100</v>
      </c>
      <c r="B18" s="19">
        <v>480</v>
      </c>
      <c r="C18" s="19">
        <v>1770</v>
      </c>
      <c r="D18" s="19">
        <v>25</v>
      </c>
      <c r="E18" s="12">
        <f t="shared" ref="E18:E22" si="4">PRODUCT(B18*C18)</f>
        <v>849600</v>
      </c>
      <c r="F18" s="9">
        <f t="shared" si="3"/>
        <v>129600</v>
      </c>
      <c r="G18" s="7">
        <f t="shared" ref="G18:G22" si="5">PRODUCT(B18*D18)</f>
        <v>12000</v>
      </c>
      <c r="H18" s="93">
        <f t="shared" ref="H18:H22" si="6">SUM(F18:G18)</f>
        <v>141600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>
        <v>1</v>
      </c>
      <c r="C21" s="5"/>
      <c r="D21" s="5">
        <v>7000</v>
      </c>
      <c r="E21" s="12">
        <f t="shared" si="4"/>
        <v>0</v>
      </c>
      <c r="F21" s="9">
        <f t="shared" si="3"/>
        <v>0</v>
      </c>
      <c r="G21" s="7">
        <f t="shared" si="5"/>
        <v>7000</v>
      </c>
      <c r="H21" s="93">
        <f t="shared" si="6"/>
        <v>7000</v>
      </c>
      <c r="I21" s="202"/>
    </row>
    <row r="22" spans="1:9" ht="15" thickBot="1">
      <c r="A22" s="28" t="s">
        <v>52</v>
      </c>
      <c r="B22" s="5">
        <v>1</v>
      </c>
      <c r="C22" s="5"/>
      <c r="D22" s="5">
        <v>7000</v>
      </c>
      <c r="E22" s="12">
        <f t="shared" si="4"/>
        <v>0</v>
      </c>
      <c r="F22" s="9">
        <f t="shared" si="3"/>
        <v>0</v>
      </c>
      <c r="G22" s="85">
        <f t="shared" si="5"/>
        <v>7000</v>
      </c>
      <c r="H22" s="94">
        <f t="shared" si="6"/>
        <v>7000</v>
      </c>
      <c r="I22" s="202"/>
    </row>
    <row r="23" spans="1:9" ht="15" thickBot="1">
      <c r="A23" s="28" t="s">
        <v>52</v>
      </c>
      <c r="B23" s="20">
        <v>1</v>
      </c>
      <c r="C23" s="20"/>
      <c r="D23" s="20">
        <v>6412</v>
      </c>
      <c r="E23" s="12">
        <f>PRODUCT(B23*C23)</f>
        <v>0</v>
      </c>
      <c r="F23" s="9">
        <f t="shared" si="3"/>
        <v>0</v>
      </c>
      <c r="G23" s="7">
        <f>PRODUCT(B23*D23)</f>
        <v>6412</v>
      </c>
      <c r="H23" s="93">
        <f>SUM(F23:G23)</f>
        <v>6412</v>
      </c>
      <c r="I23" s="202"/>
    </row>
    <row r="24" spans="1:9" ht="15" thickBot="1">
      <c r="A24" s="28" t="s">
        <v>52</v>
      </c>
      <c r="B24" s="19">
        <v>80</v>
      </c>
      <c r="C24" s="19"/>
      <c r="D24" s="19">
        <v>354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28320</v>
      </c>
      <c r="H24" s="94">
        <f t="shared" ref="H24:H36" si="9">SUM(F24:G24)</f>
        <v>28320</v>
      </c>
      <c r="I24" s="202"/>
    </row>
    <row r="25" spans="1:9" ht="15" thickBot="1">
      <c r="A25" s="28" t="s">
        <v>52</v>
      </c>
      <c r="B25" s="5">
        <v>190</v>
      </c>
      <c r="C25" s="5"/>
      <c r="D25" s="5">
        <v>354</v>
      </c>
      <c r="E25" s="12">
        <f t="shared" si="7"/>
        <v>0</v>
      </c>
      <c r="F25" s="9">
        <f t="shared" si="3"/>
        <v>0</v>
      </c>
      <c r="G25" s="7">
        <f t="shared" si="8"/>
        <v>67260</v>
      </c>
      <c r="H25" s="93">
        <f t="shared" si="9"/>
        <v>67260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20498160</v>
      </c>
      <c r="F37" s="16">
        <f>SUM(F5:F36)</f>
        <v>3126837.9661016949</v>
      </c>
      <c r="G37" s="16">
        <f t="shared" ref="G37:H37" si="10">SUM(G5:G36)</f>
        <v>392252</v>
      </c>
      <c r="H37" s="16">
        <f t="shared" si="10"/>
        <v>3519089.9661016949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1115630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>
        <v>2403460</v>
      </c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3519090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6442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160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1725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1620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9947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5" workbookViewId="0">
      <selection activeCell="C41" sqref="C41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0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0.5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65</v>
      </c>
      <c r="B6" s="1">
        <v>463</v>
      </c>
      <c r="C6" s="165">
        <v>2500</v>
      </c>
      <c r="D6" s="166"/>
      <c r="E6" s="2">
        <f t="shared" ref="E6:E14" si="0">PRODUCT(B6*C6)</f>
        <v>1157500</v>
      </c>
      <c r="F6" s="2">
        <f t="shared" ref="F6:F14" si="1">PRODUCT(E6*18)/118</f>
        <v>176567.79661016949</v>
      </c>
      <c r="G6" s="2">
        <f>PRODUCT(B6*50)</f>
        <v>23150</v>
      </c>
      <c r="H6" s="89">
        <f t="shared" ref="H6:H14" si="2">SUM(F6:G6)</f>
        <v>199717.79661016949</v>
      </c>
      <c r="I6" s="202"/>
    </row>
    <row r="7" spans="1:9">
      <c r="A7" s="30" t="s">
        <v>65</v>
      </c>
      <c r="B7" s="1">
        <v>180</v>
      </c>
      <c r="C7" s="165">
        <v>2124</v>
      </c>
      <c r="D7" s="166"/>
      <c r="E7" s="2">
        <f t="shared" si="0"/>
        <v>382320</v>
      </c>
      <c r="F7" s="2">
        <f t="shared" si="1"/>
        <v>58320</v>
      </c>
      <c r="G7" s="2">
        <f>PRODUCT(B7*50)</f>
        <v>9000</v>
      </c>
      <c r="H7" s="89">
        <f t="shared" si="2"/>
        <v>67320</v>
      </c>
      <c r="I7" s="202"/>
    </row>
    <row r="8" spans="1:9">
      <c r="A8" s="31" t="s">
        <v>45</v>
      </c>
      <c r="B8" s="3">
        <v>110</v>
      </c>
      <c r="C8" s="154">
        <v>5900</v>
      </c>
      <c r="D8" s="155"/>
      <c r="E8" s="4">
        <f t="shared" si="0"/>
        <v>649000</v>
      </c>
      <c r="F8" s="4">
        <f t="shared" si="1"/>
        <v>99000</v>
      </c>
      <c r="G8" s="4">
        <f>PRODUCT(B8*50)</f>
        <v>5500</v>
      </c>
      <c r="H8" s="90">
        <f t="shared" si="2"/>
        <v>104500</v>
      </c>
      <c r="I8" s="202"/>
    </row>
    <row r="9" spans="1:9">
      <c r="A9" s="31" t="s">
        <v>46</v>
      </c>
      <c r="B9" s="3">
        <v>5972</v>
      </c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179160</v>
      </c>
      <c r="H9" s="90">
        <f t="shared" si="2"/>
        <v>179160</v>
      </c>
      <c r="I9" s="202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65</v>
      </c>
      <c r="B17" s="18"/>
      <c r="C17" s="18">
        <v>2124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99</v>
      </c>
      <c r="B18" s="19"/>
      <c r="C18" s="19">
        <v>2000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91</v>
      </c>
      <c r="B19" s="5"/>
      <c r="C19" s="5">
        <v>1180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2188820</v>
      </c>
      <c r="F37" s="16">
        <f>SUM(F5:F36)</f>
        <v>333887.79661016946</v>
      </c>
      <c r="G37" s="16">
        <f t="shared" ref="G37:H37" si="10">SUM(G5:G36)</f>
        <v>216810</v>
      </c>
      <c r="H37" s="16">
        <f t="shared" si="10"/>
        <v>550697.79661016946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550698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550698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5972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753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6725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8" sqref="C48:D48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4.4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1.4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2637</v>
      </c>
      <c r="C10" s="154">
        <v>2124</v>
      </c>
      <c r="D10" s="155"/>
      <c r="E10" s="4">
        <f t="shared" si="0"/>
        <v>5600988</v>
      </c>
      <c r="F10" s="4">
        <f t="shared" si="1"/>
        <v>854388</v>
      </c>
      <c r="G10" s="4">
        <f>PRODUCT(B10*30)</f>
        <v>79110</v>
      </c>
      <c r="H10" s="90">
        <f t="shared" si="2"/>
        <v>933498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>
        <v>1310</v>
      </c>
      <c r="C17" s="18">
        <v>1000</v>
      </c>
      <c r="D17" s="18">
        <v>30</v>
      </c>
      <c r="E17" s="11">
        <f>PRODUCT(B17*C17)</f>
        <v>1310000</v>
      </c>
      <c r="F17" s="8">
        <f t="shared" ref="F17:F36" si="3">PRODUCT(E17*18)/118</f>
        <v>199830.50847457626</v>
      </c>
      <c r="G17" s="84">
        <f>PRODUCT(B17*D17)</f>
        <v>39300</v>
      </c>
      <c r="H17" s="92">
        <f>SUM(F17:G17)</f>
        <v>239130.50847457626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91</v>
      </c>
      <c r="B19" s="5">
        <v>136</v>
      </c>
      <c r="C19" s="5">
        <v>1180</v>
      </c>
      <c r="D19" s="5">
        <v>30</v>
      </c>
      <c r="E19" s="12">
        <f t="shared" si="4"/>
        <v>160480</v>
      </c>
      <c r="F19" s="9">
        <f t="shared" si="3"/>
        <v>24480</v>
      </c>
      <c r="G19" s="7">
        <f t="shared" si="5"/>
        <v>4080</v>
      </c>
      <c r="H19" s="93">
        <f t="shared" si="6"/>
        <v>28560</v>
      </c>
      <c r="I19" s="202"/>
    </row>
    <row r="20" spans="1:9" ht="15" thickBot="1">
      <c r="A20" s="27" t="s">
        <v>59</v>
      </c>
      <c r="B20" s="5">
        <v>384</v>
      </c>
      <c r="C20" s="5">
        <v>1534</v>
      </c>
      <c r="D20" s="5">
        <v>30</v>
      </c>
      <c r="E20" s="12">
        <f t="shared" si="4"/>
        <v>589056</v>
      </c>
      <c r="F20" s="9">
        <f t="shared" si="3"/>
        <v>89856</v>
      </c>
      <c r="G20" s="85">
        <f t="shared" si="5"/>
        <v>11520</v>
      </c>
      <c r="H20" s="94">
        <f t="shared" si="6"/>
        <v>101376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>
        <v>1</v>
      </c>
      <c r="C22" s="5">
        <v>1</v>
      </c>
      <c r="D22" s="5">
        <v>169425</v>
      </c>
      <c r="E22" s="12">
        <f t="shared" si="4"/>
        <v>1</v>
      </c>
      <c r="F22" s="9">
        <f t="shared" si="3"/>
        <v>0.15254237288135594</v>
      </c>
      <c r="G22" s="85">
        <f t="shared" si="5"/>
        <v>169425</v>
      </c>
      <c r="H22" s="94">
        <f t="shared" si="6"/>
        <v>169425.15254237287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7660525</v>
      </c>
      <c r="F37" s="16">
        <f>SUM(F5:F36)</f>
        <v>1168554.6610169492</v>
      </c>
      <c r="G37" s="16">
        <f t="shared" ref="G37:H37" si="10">SUM(G5:G36)</f>
        <v>303435</v>
      </c>
      <c r="H37" s="16">
        <f t="shared" si="10"/>
        <v>1471989.6610169492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1471990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1471990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2637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1310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520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4467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41" sqref="C41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7.4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1.4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92</v>
      </c>
      <c r="B8" s="3">
        <v>150</v>
      </c>
      <c r="C8" s="154">
        <v>2500</v>
      </c>
      <c r="D8" s="155"/>
      <c r="E8" s="4">
        <f t="shared" si="0"/>
        <v>375000</v>
      </c>
      <c r="F8" s="4">
        <f t="shared" si="1"/>
        <v>57203.389830508473</v>
      </c>
      <c r="G8" s="4">
        <f>PRODUCT(B8*50)</f>
        <v>7500</v>
      </c>
      <c r="H8" s="90">
        <f t="shared" si="2"/>
        <v>64703.389830508473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1140</v>
      </c>
      <c r="C10" s="154">
        <v>1800</v>
      </c>
      <c r="D10" s="155"/>
      <c r="E10" s="4">
        <f t="shared" si="0"/>
        <v>2052000</v>
      </c>
      <c r="F10" s="4">
        <f t="shared" si="1"/>
        <v>313016.94915254239</v>
      </c>
      <c r="G10" s="4">
        <f>PRODUCT(B10*30)</f>
        <v>34200</v>
      </c>
      <c r="H10" s="90">
        <f t="shared" si="2"/>
        <v>347216.94915254239</v>
      </c>
      <c r="I10" s="202"/>
    </row>
    <row r="11" spans="1:9">
      <c r="A11" s="32" t="s">
        <v>65</v>
      </c>
      <c r="B11" s="3">
        <v>510</v>
      </c>
      <c r="C11" s="154">
        <v>2500</v>
      </c>
      <c r="D11" s="155"/>
      <c r="E11" s="4">
        <f t="shared" si="0"/>
        <v>1275000</v>
      </c>
      <c r="F11" s="4">
        <f t="shared" si="1"/>
        <v>194491.5254237288</v>
      </c>
      <c r="G11" s="4">
        <f>PRODUCT(B11*30)</f>
        <v>15300</v>
      </c>
      <c r="H11" s="90">
        <f t="shared" si="2"/>
        <v>209791.5254237288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>
        <v>400</v>
      </c>
      <c r="C17" s="18">
        <v>800</v>
      </c>
      <c r="D17" s="18">
        <v>20</v>
      </c>
      <c r="E17" s="11">
        <f>PRODUCT(B17*C17)</f>
        <v>320000</v>
      </c>
      <c r="F17" s="8">
        <f t="shared" ref="F17:F36" si="3">PRODUCT(E17*18)/118</f>
        <v>48813.5593220339</v>
      </c>
      <c r="G17" s="84">
        <f>PRODUCT(B17*D17)</f>
        <v>8000</v>
      </c>
      <c r="H17" s="92">
        <f>SUM(F17:G17)</f>
        <v>56813.5593220339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>
        <v>1440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72000</v>
      </c>
      <c r="H21" s="93">
        <f t="shared" si="6"/>
        <v>72000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4022000</v>
      </c>
      <c r="F37" s="16">
        <f>SUM(F5:F36)</f>
        <v>613525.42372881353</v>
      </c>
      <c r="G37" s="16">
        <f t="shared" ref="G37:H37" si="10">SUM(G5:G36)</f>
        <v>137000</v>
      </c>
      <c r="H37" s="16">
        <f t="shared" si="10"/>
        <v>750525.42372881353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750525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750525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1650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150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400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2200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6" workbookViewId="0">
      <selection activeCell="C40" sqref="C40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0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 ht="14.55" customHeight="1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22.05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92</v>
      </c>
      <c r="B8" s="3">
        <v>290</v>
      </c>
      <c r="C8" s="154">
        <v>2000</v>
      </c>
      <c r="D8" s="155"/>
      <c r="E8" s="4">
        <f t="shared" si="0"/>
        <v>580000</v>
      </c>
      <c r="F8" s="4">
        <f t="shared" si="1"/>
        <v>88474.576271186437</v>
      </c>
      <c r="G8" s="4">
        <f>PRODUCT(B8*50)</f>
        <v>14500</v>
      </c>
      <c r="H8" s="90">
        <f t="shared" si="2"/>
        <v>102974.57627118644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1980</v>
      </c>
      <c r="C10" s="154">
        <v>2124</v>
      </c>
      <c r="D10" s="155"/>
      <c r="E10" s="4">
        <f t="shared" si="0"/>
        <v>4205520</v>
      </c>
      <c r="F10" s="4">
        <f t="shared" si="1"/>
        <v>641520</v>
      </c>
      <c r="G10" s="4">
        <f>PRODUCT(B10*30)</f>
        <v>59400</v>
      </c>
      <c r="H10" s="90">
        <f t="shared" si="2"/>
        <v>700920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>
        <v>20</v>
      </c>
      <c r="C13" s="154">
        <v>1357</v>
      </c>
      <c r="D13" s="155"/>
      <c r="E13" s="4">
        <f t="shared" si="0"/>
        <v>27140</v>
      </c>
      <c r="F13" s="4">
        <f t="shared" si="1"/>
        <v>4140</v>
      </c>
      <c r="G13" s="4">
        <f>PRODUCT(B13*20)</f>
        <v>400</v>
      </c>
      <c r="H13" s="90">
        <f t="shared" si="2"/>
        <v>4540</v>
      </c>
      <c r="I13" s="202"/>
    </row>
    <row r="14" spans="1:9" ht="15" thickBot="1">
      <c r="A14" s="33" t="s">
        <v>59</v>
      </c>
      <c r="B14" s="3">
        <v>30</v>
      </c>
      <c r="C14" s="154">
        <v>1180</v>
      </c>
      <c r="D14" s="155"/>
      <c r="E14" s="4">
        <f t="shared" si="0"/>
        <v>35400</v>
      </c>
      <c r="F14" s="4">
        <f t="shared" si="1"/>
        <v>5400</v>
      </c>
      <c r="G14" s="4">
        <f>PRODUCT(B14*20)</f>
        <v>600</v>
      </c>
      <c r="H14" s="90">
        <f t="shared" si="2"/>
        <v>6000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91</v>
      </c>
      <c r="B20" s="5">
        <v>296</v>
      </c>
      <c r="C20" s="5"/>
      <c r="D20" s="5">
        <v>200</v>
      </c>
      <c r="E20" s="12">
        <f t="shared" si="4"/>
        <v>0</v>
      </c>
      <c r="F20" s="9">
        <f t="shared" si="3"/>
        <v>0</v>
      </c>
      <c r="G20" s="85">
        <f t="shared" si="5"/>
        <v>59200</v>
      </c>
      <c r="H20" s="94">
        <f t="shared" si="6"/>
        <v>59200</v>
      </c>
      <c r="I20" s="202"/>
    </row>
    <row r="21" spans="1:9" ht="15" thickBot="1">
      <c r="A21" s="28" t="s">
        <v>65</v>
      </c>
      <c r="B21" s="5">
        <v>100</v>
      </c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35400</v>
      </c>
      <c r="H21" s="93">
        <f t="shared" si="6"/>
        <v>35400</v>
      </c>
      <c r="I21" s="202"/>
    </row>
    <row r="22" spans="1:9" ht="15" thickBot="1">
      <c r="A22" s="28" t="s">
        <v>59</v>
      </c>
      <c r="B22" s="5">
        <v>40</v>
      </c>
      <c r="C22" s="5"/>
      <c r="D22" s="5">
        <v>217</v>
      </c>
      <c r="E22" s="12">
        <f t="shared" si="4"/>
        <v>0</v>
      </c>
      <c r="F22" s="9">
        <f t="shared" si="3"/>
        <v>0</v>
      </c>
      <c r="G22" s="85">
        <f t="shared" si="5"/>
        <v>8680</v>
      </c>
      <c r="H22" s="94">
        <f t="shared" si="6"/>
        <v>8680</v>
      </c>
      <c r="I22" s="202"/>
    </row>
    <row r="23" spans="1:9" ht="15" thickBot="1">
      <c r="A23" s="28" t="s">
        <v>102</v>
      </c>
      <c r="B23" s="20">
        <v>93</v>
      </c>
      <c r="C23" s="20"/>
      <c r="D23" s="20">
        <v>500</v>
      </c>
      <c r="E23" s="12">
        <f>PRODUCT(B23*C23)</f>
        <v>0</v>
      </c>
      <c r="F23" s="9">
        <f t="shared" si="3"/>
        <v>0</v>
      </c>
      <c r="G23" s="7">
        <f>PRODUCT(B23*D23)</f>
        <v>46500</v>
      </c>
      <c r="H23" s="93">
        <f>SUM(F23:G23)</f>
        <v>46500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4848060</v>
      </c>
      <c r="F37" s="16">
        <f>SUM(F5:F36)</f>
        <v>739534.57627118647</v>
      </c>
      <c r="G37" s="16">
        <f t="shared" ref="G37:H37" si="10">SUM(G5:G36)</f>
        <v>224680</v>
      </c>
      <c r="H37" s="16">
        <f t="shared" si="10"/>
        <v>964214.57627118647</v>
      </c>
      <c r="I37" s="202"/>
    </row>
    <row r="38" spans="1:9" ht="14.55" customHeight="1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customHeight="1" thickBot="1">
      <c r="A39" s="179" t="s">
        <v>67</v>
      </c>
      <c r="B39" s="180"/>
      <c r="C39" s="46">
        <v>964215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964215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1980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290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50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296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55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55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55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55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55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55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55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55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2616</v>
      </c>
      <c r="F62" s="153"/>
      <c r="G62" s="153"/>
      <c r="H62" s="153"/>
      <c r="I62" s="202"/>
    </row>
    <row r="63" spans="1:9" ht="18.600000000000001" thickBot="1">
      <c r="A63" s="214"/>
      <c r="B63" s="215"/>
      <c r="C63" s="219"/>
      <c r="D63" s="220"/>
      <c r="E63" s="221"/>
      <c r="F63" s="222"/>
      <c r="G63" s="222"/>
      <c r="H63" s="222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3" workbookViewId="0">
      <selection activeCell="C43" sqref="C43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29.55" customHeight="1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30" customHeight="1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>
        <v>170</v>
      </c>
      <c r="C8" s="154">
        <v>8000</v>
      </c>
      <c r="D8" s="155"/>
      <c r="E8" s="4">
        <f t="shared" si="0"/>
        <v>1360000</v>
      </c>
      <c r="F8" s="4">
        <f t="shared" si="1"/>
        <v>207457.62711864407</v>
      </c>
      <c r="G8" s="4">
        <f>PRODUCT(B8*50)</f>
        <v>8500</v>
      </c>
      <c r="H8" s="90">
        <f t="shared" si="2"/>
        <v>215957.62711864407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1067</v>
      </c>
      <c r="C10" s="154">
        <v>2000</v>
      </c>
      <c r="D10" s="155"/>
      <c r="E10" s="4">
        <f t="shared" si="0"/>
        <v>2134000</v>
      </c>
      <c r="F10" s="4">
        <f t="shared" si="1"/>
        <v>325525.42372881353</v>
      </c>
      <c r="G10" s="4">
        <f>PRODUCT(B10*30)</f>
        <v>32010</v>
      </c>
      <c r="H10" s="90">
        <f t="shared" si="2"/>
        <v>357535.42372881353</v>
      </c>
      <c r="I10" s="202"/>
    </row>
    <row r="11" spans="1:9">
      <c r="A11" s="32" t="s">
        <v>65</v>
      </c>
      <c r="B11" s="3">
        <v>7105</v>
      </c>
      <c r="C11" s="154">
        <v>2124</v>
      </c>
      <c r="D11" s="155"/>
      <c r="E11" s="4">
        <f t="shared" si="0"/>
        <v>15091020</v>
      </c>
      <c r="F11" s="4">
        <f t="shared" si="1"/>
        <v>2302020</v>
      </c>
      <c r="G11" s="4">
        <f>PRODUCT(B11*30)</f>
        <v>213150</v>
      </c>
      <c r="H11" s="90">
        <f t="shared" si="2"/>
        <v>2515170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>
        <v>699</v>
      </c>
      <c r="C17" s="18">
        <v>2124</v>
      </c>
      <c r="D17" s="18">
        <v>50</v>
      </c>
      <c r="E17" s="11">
        <f>PRODUCT(B17*C17)</f>
        <v>1484676</v>
      </c>
      <c r="F17" s="8">
        <f t="shared" ref="F17:F36" si="3">PRODUCT(E17*18)/118</f>
        <v>226476</v>
      </c>
      <c r="G17" s="84">
        <f>PRODUCT(B17*D17)</f>
        <v>34950</v>
      </c>
      <c r="H17" s="92">
        <f>SUM(F17:G17)</f>
        <v>261426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>
        <v>523</v>
      </c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52300</v>
      </c>
      <c r="H21" s="93">
        <f t="shared" si="6"/>
        <v>52300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20069696</v>
      </c>
      <c r="F37" s="16">
        <f>SUM(F5:F36)</f>
        <v>3061479.0508474577</v>
      </c>
      <c r="G37" s="16">
        <f t="shared" ref="G37:H37" si="10">SUM(G5:G36)</f>
        <v>340910</v>
      </c>
      <c r="H37" s="16">
        <f t="shared" si="10"/>
        <v>3402389.0508474577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3402389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>
        <v>250000</v>
      </c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3652389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8172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170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699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9041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20" sqref="C20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>
      <c r="A3" s="160" t="s">
        <v>79</v>
      </c>
      <c r="B3" s="161"/>
      <c r="C3" s="161"/>
      <c r="D3" s="161"/>
      <c r="E3" s="161"/>
      <c r="F3" s="161"/>
      <c r="G3" s="161"/>
      <c r="H3" s="162"/>
      <c r="I3" s="217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>
        <v>2124</v>
      </c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0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zoomScaleNormal="100" workbookViewId="0">
      <selection activeCell="C53" sqref="C53:D53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>
      <c r="A3" s="160" t="s">
        <v>88</v>
      </c>
      <c r="B3" s="161"/>
      <c r="C3" s="161"/>
      <c r="D3" s="161"/>
      <c r="E3" s="161"/>
      <c r="F3" s="161"/>
      <c r="G3" s="161"/>
      <c r="H3" s="162"/>
      <c r="I3" s="202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>
        <v>655</v>
      </c>
      <c r="C7" s="165">
        <v>7670</v>
      </c>
      <c r="D7" s="166"/>
      <c r="E7" s="2">
        <f t="shared" si="0"/>
        <v>5023850</v>
      </c>
      <c r="F7" s="2">
        <f t="shared" si="1"/>
        <v>766350</v>
      </c>
      <c r="G7" s="2">
        <f>PRODUCT(B7*50)</f>
        <v>32750</v>
      </c>
      <c r="H7" s="89">
        <f t="shared" si="2"/>
        <v>799100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>
        <v>40</v>
      </c>
      <c r="C10" s="154">
        <v>1806</v>
      </c>
      <c r="D10" s="155"/>
      <c r="E10" s="4">
        <f t="shared" si="0"/>
        <v>72240</v>
      </c>
      <c r="F10" s="4">
        <f t="shared" si="1"/>
        <v>11019.661016949152</v>
      </c>
      <c r="G10" s="4">
        <f>PRODUCT(B10*30)</f>
        <v>1200</v>
      </c>
      <c r="H10" s="90">
        <f t="shared" si="2"/>
        <v>12219.661016949152</v>
      </c>
      <c r="I10" s="202"/>
    </row>
    <row r="11" spans="1:9">
      <c r="A11" s="32" t="s">
        <v>65</v>
      </c>
      <c r="B11" s="3"/>
      <c r="C11" s="154">
        <v>2124</v>
      </c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223" t="s">
        <v>48</v>
      </c>
      <c r="B15" s="224"/>
      <c r="C15" s="224"/>
      <c r="D15" s="224"/>
      <c r="E15" s="224"/>
      <c r="F15" s="224"/>
      <c r="G15" s="224"/>
      <c r="H15" s="224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>
        <v>200</v>
      </c>
      <c r="C17" s="18">
        <v>800</v>
      </c>
      <c r="D17" s="18">
        <v>20</v>
      </c>
      <c r="E17" s="11">
        <f>PRODUCT(B17*C17)</f>
        <v>160000</v>
      </c>
      <c r="F17" s="8">
        <f t="shared" ref="F17:F36" si="3">PRODUCT(E17*18)/118</f>
        <v>24406.77966101695</v>
      </c>
      <c r="G17" s="84">
        <f>PRODUCT(B17*D17)</f>
        <v>4000</v>
      </c>
      <c r="H17" s="92">
        <f>SUM(F17:G17)</f>
        <v>28406.77966101695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5256090</v>
      </c>
      <c r="F37" s="16">
        <f>SUM(F5:F36)</f>
        <v>801776.44067796611</v>
      </c>
      <c r="G37" s="16">
        <f t="shared" ref="G37:H37" si="10">SUM(G5:G36)</f>
        <v>37950</v>
      </c>
      <c r="H37" s="16">
        <f t="shared" si="10"/>
        <v>839726.44067796611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>
        <v>839726</v>
      </c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839726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40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655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200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895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8" sqref="C18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16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17"/>
    </row>
    <row r="3" spans="1:9">
      <c r="A3" s="160" t="s">
        <v>79</v>
      </c>
      <c r="B3" s="161"/>
      <c r="C3" s="161"/>
      <c r="D3" s="161"/>
      <c r="E3" s="161"/>
      <c r="F3" s="161"/>
      <c r="G3" s="161"/>
      <c r="H3" s="162"/>
      <c r="I3" s="217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17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17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7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7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7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7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7"/>
    </row>
    <row r="11" spans="1:9">
      <c r="A11" s="32" t="s">
        <v>65</v>
      </c>
      <c r="B11" s="3"/>
      <c r="C11" s="154">
        <v>2124</v>
      </c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7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7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7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7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17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7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7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7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7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7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7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7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7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7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7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7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7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7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7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7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7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7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7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7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7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7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7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17"/>
    </row>
    <row r="39" spans="1:9" ht="15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17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17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17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17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17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17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17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17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17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17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17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17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17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17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17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17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17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17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17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17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17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17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17"/>
    </row>
    <row r="62" spans="1:9" ht="32.4" thickBot="1">
      <c r="A62" s="212"/>
      <c r="B62" s="213"/>
      <c r="C62" s="187" t="s">
        <v>64</v>
      </c>
      <c r="D62" s="188"/>
      <c r="E62" s="152">
        <f>SUM(E49:H61)</f>
        <v>0</v>
      </c>
      <c r="F62" s="153"/>
      <c r="G62" s="153"/>
      <c r="H62" s="153"/>
      <c r="I62" s="217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17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18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9" sqref="B9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156" t="s">
        <v>54</v>
      </c>
      <c r="B1" s="157"/>
      <c r="C1" s="157"/>
      <c r="D1" s="157"/>
      <c r="E1" s="157"/>
      <c r="F1" s="157"/>
      <c r="G1" s="157"/>
      <c r="H1" s="157"/>
      <c r="I1" s="201"/>
    </row>
    <row r="2" spans="1:9" ht="15" thickBot="1">
      <c r="A2" s="158"/>
      <c r="B2" s="159"/>
      <c r="C2" s="159"/>
      <c r="D2" s="159"/>
      <c r="E2" s="159"/>
      <c r="F2" s="159"/>
      <c r="G2" s="159"/>
      <c r="H2" s="159"/>
      <c r="I2" s="202"/>
    </row>
    <row r="3" spans="1:9">
      <c r="A3" s="160" t="s">
        <v>79</v>
      </c>
      <c r="B3" s="161"/>
      <c r="C3" s="161"/>
      <c r="D3" s="161"/>
      <c r="E3" s="161"/>
      <c r="F3" s="161"/>
      <c r="G3" s="161"/>
      <c r="H3" s="162"/>
      <c r="I3" s="202"/>
    </row>
    <row r="4" spans="1:9" ht="15" thickBot="1">
      <c r="A4" s="158"/>
      <c r="B4" s="159"/>
      <c r="C4" s="159"/>
      <c r="D4" s="159"/>
      <c r="E4" s="159"/>
      <c r="F4" s="159"/>
      <c r="G4" s="159"/>
      <c r="H4" s="159"/>
      <c r="I4" s="202"/>
    </row>
    <row r="5" spans="1:9" ht="15" thickBot="1">
      <c r="A5" s="88" t="s">
        <v>37</v>
      </c>
      <c r="B5" s="22" t="s">
        <v>38</v>
      </c>
      <c r="C5" s="163" t="s">
        <v>39</v>
      </c>
      <c r="D5" s="164"/>
      <c r="E5" s="22" t="s">
        <v>40</v>
      </c>
      <c r="F5" s="23" t="s">
        <v>41</v>
      </c>
      <c r="G5" s="22" t="s">
        <v>42</v>
      </c>
      <c r="H5" s="23" t="s">
        <v>8</v>
      </c>
      <c r="I5" s="202"/>
    </row>
    <row r="6" spans="1:9">
      <c r="A6" s="30" t="s">
        <v>43</v>
      </c>
      <c r="B6" s="1"/>
      <c r="C6" s="165"/>
      <c r="D6" s="166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02"/>
    </row>
    <row r="7" spans="1:9">
      <c r="A7" s="30" t="s">
        <v>44</v>
      </c>
      <c r="B7" s="1"/>
      <c r="C7" s="165"/>
      <c r="D7" s="166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02"/>
    </row>
    <row r="8" spans="1:9">
      <c r="A8" s="31" t="s">
        <v>45</v>
      </c>
      <c r="B8" s="3"/>
      <c r="C8" s="154"/>
      <c r="D8" s="155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02"/>
    </row>
    <row r="9" spans="1:9">
      <c r="A9" s="31" t="s">
        <v>46</v>
      </c>
      <c r="B9" s="3"/>
      <c r="C9" s="154"/>
      <c r="D9" s="155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02"/>
    </row>
    <row r="10" spans="1:9">
      <c r="A10" s="31" t="s">
        <v>47</v>
      </c>
      <c r="B10" s="3"/>
      <c r="C10" s="154"/>
      <c r="D10" s="155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02"/>
    </row>
    <row r="11" spans="1:9">
      <c r="A11" s="32" t="s">
        <v>65</v>
      </c>
      <c r="B11" s="3"/>
      <c r="C11" s="154"/>
      <c r="D11" s="155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02"/>
    </row>
    <row r="12" spans="1:9">
      <c r="A12" s="32" t="s">
        <v>65</v>
      </c>
      <c r="B12" s="3"/>
      <c r="C12" s="154"/>
      <c r="D12" s="155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02"/>
    </row>
    <row r="13" spans="1:9">
      <c r="A13" s="32" t="s">
        <v>59</v>
      </c>
      <c r="B13" s="3"/>
      <c r="C13" s="154"/>
      <c r="D13" s="155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02"/>
    </row>
    <row r="14" spans="1:9" ht="15" thickBot="1">
      <c r="A14" s="33" t="s">
        <v>59</v>
      </c>
      <c r="B14" s="3"/>
      <c r="C14" s="154"/>
      <c r="D14" s="155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02"/>
    </row>
    <row r="15" spans="1:9" ht="26.4" thickBot="1">
      <c r="A15" s="169" t="s">
        <v>48</v>
      </c>
      <c r="B15" s="170"/>
      <c r="C15" s="170"/>
      <c r="D15" s="170"/>
      <c r="E15" s="170"/>
      <c r="F15" s="170"/>
      <c r="G15" s="170"/>
      <c r="H15" s="170"/>
      <c r="I15" s="202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02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02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02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02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02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02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02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02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02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02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02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02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02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02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02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02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02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02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02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02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02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02"/>
    </row>
    <row r="38" spans="1:9" ht="15" thickBot="1">
      <c r="A38" s="174" t="s">
        <v>77</v>
      </c>
      <c r="B38" s="175"/>
      <c r="C38" s="54" t="s">
        <v>71</v>
      </c>
      <c r="D38" s="45"/>
      <c r="E38" s="172" t="s">
        <v>69</v>
      </c>
      <c r="F38" s="173"/>
      <c r="G38" s="53" t="s">
        <v>70</v>
      </c>
      <c r="H38" s="97" t="s">
        <v>71</v>
      </c>
      <c r="I38" s="202"/>
    </row>
    <row r="39" spans="1:9" ht="15" thickBot="1">
      <c r="A39" s="179" t="s">
        <v>67</v>
      </c>
      <c r="B39" s="180"/>
      <c r="C39" s="46"/>
      <c r="D39" s="49"/>
      <c r="E39" s="171"/>
      <c r="F39" s="171"/>
      <c r="G39" s="52"/>
      <c r="H39" s="98"/>
      <c r="I39" s="202"/>
    </row>
    <row r="40" spans="1:9" ht="15" thickBot="1">
      <c r="A40" s="176" t="s">
        <v>68</v>
      </c>
      <c r="B40" s="177"/>
      <c r="C40" s="42"/>
      <c r="D40" s="50"/>
      <c r="E40" s="178"/>
      <c r="F40" s="178"/>
      <c r="G40" s="51"/>
      <c r="H40" s="99"/>
      <c r="I40" s="202"/>
    </row>
    <row r="41" spans="1:9" ht="15" thickBot="1">
      <c r="A41" s="176" t="s">
        <v>72</v>
      </c>
      <c r="B41" s="177"/>
      <c r="C41" s="43"/>
      <c r="D41" s="49"/>
      <c r="E41" s="168"/>
      <c r="F41" s="168"/>
      <c r="G41" s="51"/>
      <c r="H41" s="99"/>
      <c r="I41" s="202"/>
    </row>
    <row r="42" spans="1:9" ht="15" thickBot="1">
      <c r="A42" s="181" t="s">
        <v>73</v>
      </c>
      <c r="B42" s="182"/>
      <c r="C42" s="44"/>
      <c r="D42" s="47"/>
      <c r="E42" s="167"/>
      <c r="F42" s="168"/>
      <c r="G42" s="3"/>
      <c r="H42" s="99"/>
      <c r="I42" s="202"/>
    </row>
    <row r="43" spans="1:9" ht="15" thickBot="1">
      <c r="A43" s="183" t="s">
        <v>74</v>
      </c>
      <c r="B43" s="184"/>
      <c r="C43" s="80"/>
      <c r="D43" s="47"/>
      <c r="E43" s="167"/>
      <c r="F43" s="168"/>
      <c r="G43" s="3"/>
      <c r="H43" s="99"/>
      <c r="I43" s="202"/>
    </row>
    <row r="44" spans="1:9" ht="15" thickBot="1">
      <c r="A44" s="183" t="s">
        <v>75</v>
      </c>
      <c r="B44" s="184"/>
      <c r="C44" s="80"/>
      <c r="D44" s="48"/>
      <c r="E44" s="167"/>
      <c r="F44" s="168"/>
      <c r="G44" s="3"/>
      <c r="H44" s="99"/>
      <c r="I44" s="202"/>
    </row>
    <row r="45" spans="1:9" ht="15" thickBot="1">
      <c r="A45" s="183" t="s">
        <v>76</v>
      </c>
      <c r="B45" s="184"/>
      <c r="C45" s="81">
        <f>SUM(C39+C40+C41+C42+C43+C44)</f>
        <v>0</v>
      </c>
      <c r="D45" s="82"/>
      <c r="E45" s="189"/>
      <c r="F45" s="190"/>
      <c r="G45" s="83"/>
      <c r="H45" s="100"/>
      <c r="I45" s="202"/>
    </row>
    <row r="46" spans="1:9">
      <c r="A46" s="191" t="s">
        <v>56</v>
      </c>
      <c r="B46" s="192"/>
      <c r="C46" s="192"/>
      <c r="D46" s="192"/>
      <c r="E46" s="192"/>
      <c r="F46" s="192"/>
      <c r="G46" s="192"/>
      <c r="H46" s="192"/>
      <c r="I46" s="202"/>
    </row>
    <row r="47" spans="1:9" ht="15" thickBot="1">
      <c r="A47" s="193"/>
      <c r="B47" s="194"/>
      <c r="C47" s="194"/>
      <c r="D47" s="194"/>
      <c r="E47" s="194"/>
      <c r="F47" s="194"/>
      <c r="G47" s="194"/>
      <c r="H47" s="194"/>
      <c r="I47" s="202"/>
    </row>
    <row r="48" spans="1:9" ht="24" thickBot="1">
      <c r="A48" s="208" t="s">
        <v>9</v>
      </c>
      <c r="B48" s="209"/>
      <c r="C48" s="199" t="s">
        <v>57</v>
      </c>
      <c r="D48" s="200"/>
      <c r="E48" s="197" t="s">
        <v>58</v>
      </c>
      <c r="F48" s="198"/>
      <c r="G48" s="198"/>
      <c r="H48" s="198"/>
      <c r="I48" s="202"/>
    </row>
    <row r="49" spans="1:9" ht="18.600000000000001" thickBot="1">
      <c r="A49" s="210"/>
      <c r="B49" s="211"/>
      <c r="C49" s="185" t="s">
        <v>60</v>
      </c>
      <c r="D49" s="186"/>
      <c r="E49" s="195">
        <f>SUM(B9:B12)</f>
        <v>0</v>
      </c>
      <c r="F49" s="196"/>
      <c r="G49" s="196"/>
      <c r="H49" s="196"/>
      <c r="I49" s="202"/>
    </row>
    <row r="50" spans="1:9" ht="18.600000000000001" thickBot="1">
      <c r="A50" s="212"/>
      <c r="B50" s="213"/>
      <c r="C50" s="185" t="s">
        <v>45</v>
      </c>
      <c r="D50" s="186"/>
      <c r="E50" s="195">
        <f>SUM(B6:B8)</f>
        <v>0</v>
      </c>
      <c r="F50" s="196"/>
      <c r="G50" s="196"/>
      <c r="H50" s="196"/>
      <c r="I50" s="202"/>
    </row>
    <row r="51" spans="1:9" ht="18.600000000000001" thickBot="1">
      <c r="A51" s="212"/>
      <c r="B51" s="213"/>
      <c r="C51" s="185" t="s">
        <v>61</v>
      </c>
      <c r="D51" s="186"/>
      <c r="E51" s="195">
        <f>SUM(B13:B14)</f>
        <v>0</v>
      </c>
      <c r="F51" s="196"/>
      <c r="G51" s="196"/>
      <c r="H51" s="196"/>
      <c r="I51" s="202"/>
    </row>
    <row r="52" spans="1:9" ht="18.600000000000001" thickBot="1">
      <c r="A52" s="212"/>
      <c r="B52" s="213"/>
      <c r="C52" s="187" t="s">
        <v>62</v>
      </c>
      <c r="D52" s="188"/>
      <c r="E52" s="148">
        <f>SUM(B17:B18)</f>
        <v>0</v>
      </c>
      <c r="F52" s="149"/>
      <c r="G52" s="149"/>
      <c r="H52" s="149"/>
      <c r="I52" s="202"/>
    </row>
    <row r="53" spans="1:9" ht="18.600000000000001" thickBot="1">
      <c r="A53" s="212"/>
      <c r="B53" s="213"/>
      <c r="C53" s="187" t="s">
        <v>63</v>
      </c>
      <c r="D53" s="188"/>
      <c r="E53" s="148">
        <f>SUM(B19:B20)</f>
        <v>0</v>
      </c>
      <c r="F53" s="149"/>
      <c r="G53" s="149"/>
      <c r="H53" s="149"/>
      <c r="I53" s="202"/>
    </row>
    <row r="54" spans="1:9" ht="18.600000000000001" thickBot="1">
      <c r="A54" s="212"/>
      <c r="B54" s="213"/>
      <c r="C54" s="187" t="s">
        <v>83</v>
      </c>
      <c r="D54" s="188"/>
      <c r="E54" s="148">
        <f>B29</f>
        <v>0</v>
      </c>
      <c r="F54" s="149"/>
      <c r="G54" s="149"/>
      <c r="H54" s="149"/>
      <c r="I54" s="202"/>
    </row>
    <row r="55" spans="1:9" ht="18.600000000000001" thickBot="1">
      <c r="A55" s="212"/>
      <c r="B55" s="213"/>
      <c r="C55" s="187" t="s">
        <v>83</v>
      </c>
      <c r="D55" s="188"/>
      <c r="E55" s="148">
        <f t="shared" ref="E55:E61" si="11">B30</f>
        <v>0</v>
      </c>
      <c r="F55" s="149"/>
      <c r="G55" s="149"/>
      <c r="H55" s="149"/>
      <c r="I55" s="202"/>
    </row>
    <row r="56" spans="1:9" ht="18.600000000000001" thickBot="1">
      <c r="A56" s="212"/>
      <c r="B56" s="213"/>
      <c r="C56" s="187" t="s">
        <v>83</v>
      </c>
      <c r="D56" s="188"/>
      <c r="E56" s="148">
        <f t="shared" si="11"/>
        <v>0</v>
      </c>
      <c r="F56" s="149"/>
      <c r="G56" s="149"/>
      <c r="H56" s="149"/>
      <c r="I56" s="202"/>
    </row>
    <row r="57" spans="1:9" ht="18.600000000000001" thickBot="1">
      <c r="A57" s="212"/>
      <c r="B57" s="213"/>
      <c r="C57" s="187" t="s">
        <v>83</v>
      </c>
      <c r="D57" s="188"/>
      <c r="E57" s="148">
        <f t="shared" si="11"/>
        <v>0</v>
      </c>
      <c r="F57" s="149"/>
      <c r="G57" s="149"/>
      <c r="H57" s="149"/>
      <c r="I57" s="202"/>
    </row>
    <row r="58" spans="1:9" ht="18.600000000000001" thickBot="1">
      <c r="A58" s="212"/>
      <c r="B58" s="213"/>
      <c r="C58" s="187" t="s">
        <v>83</v>
      </c>
      <c r="D58" s="188"/>
      <c r="E58" s="148">
        <f t="shared" si="11"/>
        <v>0</v>
      </c>
      <c r="F58" s="149"/>
      <c r="G58" s="149"/>
      <c r="H58" s="149"/>
      <c r="I58" s="202"/>
    </row>
    <row r="59" spans="1:9" ht="18.600000000000001" thickBot="1">
      <c r="A59" s="212"/>
      <c r="B59" s="213"/>
      <c r="C59" s="187" t="s">
        <v>83</v>
      </c>
      <c r="D59" s="188"/>
      <c r="E59" s="148">
        <f t="shared" si="11"/>
        <v>0</v>
      </c>
      <c r="F59" s="149"/>
      <c r="G59" s="149"/>
      <c r="H59" s="149"/>
      <c r="I59" s="202"/>
    </row>
    <row r="60" spans="1:9" ht="18.600000000000001" thickBot="1">
      <c r="A60" s="212"/>
      <c r="B60" s="213"/>
      <c r="C60" s="187" t="s">
        <v>83</v>
      </c>
      <c r="D60" s="188"/>
      <c r="E60" s="148">
        <f t="shared" si="11"/>
        <v>0</v>
      </c>
      <c r="F60" s="149"/>
      <c r="G60" s="149"/>
      <c r="H60" s="149"/>
      <c r="I60" s="202"/>
    </row>
    <row r="61" spans="1:9" ht="18.600000000000001" thickBot="1">
      <c r="A61" s="212"/>
      <c r="B61" s="213"/>
      <c r="C61" s="187" t="s">
        <v>83</v>
      </c>
      <c r="D61" s="188"/>
      <c r="E61" s="148">
        <f t="shared" si="11"/>
        <v>0</v>
      </c>
      <c r="F61" s="149"/>
      <c r="G61" s="149"/>
      <c r="H61" s="149"/>
      <c r="I61" s="202"/>
    </row>
    <row r="62" spans="1:9" ht="32.4" thickBot="1">
      <c r="A62" s="212"/>
      <c r="B62" s="213"/>
      <c r="C62" s="187" t="s">
        <v>64</v>
      </c>
      <c r="D62" s="188"/>
      <c r="E62" s="152">
        <f>SUM(E49:H61)</f>
        <v>0</v>
      </c>
      <c r="F62" s="153"/>
      <c r="G62" s="153"/>
      <c r="H62" s="153"/>
      <c r="I62" s="202"/>
    </row>
    <row r="63" spans="1:9" ht="18.600000000000001" thickBot="1">
      <c r="A63" s="214"/>
      <c r="B63" s="215"/>
      <c r="C63" s="204"/>
      <c r="D63" s="205"/>
      <c r="E63" s="150"/>
      <c r="F63" s="151"/>
      <c r="G63" s="151"/>
      <c r="H63" s="151"/>
      <c r="I63" s="202"/>
    </row>
    <row r="64" spans="1:9" ht="15" thickBot="1">
      <c r="A64" s="206"/>
      <c r="B64" s="207"/>
      <c r="C64" s="207"/>
      <c r="D64" s="207"/>
      <c r="E64" s="207"/>
      <c r="F64" s="207"/>
      <c r="G64" s="207"/>
      <c r="H64" s="207"/>
      <c r="I64" s="20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191" t="s">
        <v>56</v>
      </c>
      <c r="B1" s="192"/>
      <c r="C1" s="192"/>
      <c r="D1" s="192"/>
      <c r="E1" s="192"/>
      <c r="F1" s="192"/>
      <c r="G1" s="237"/>
    </row>
    <row r="2" spans="1:7" ht="15" thickBot="1">
      <c r="A2" s="193"/>
      <c r="B2" s="194"/>
      <c r="C2" s="194"/>
      <c r="D2" s="194"/>
      <c r="E2" s="194"/>
      <c r="F2" s="194"/>
      <c r="G2" s="238"/>
    </row>
    <row r="3" spans="1:7" ht="28.8" thickBot="1">
      <c r="A3" s="239" t="s">
        <v>57</v>
      </c>
      <c r="B3" s="240"/>
      <c r="C3" s="241"/>
      <c r="D3" s="239" t="s">
        <v>58</v>
      </c>
      <c r="E3" s="240"/>
      <c r="F3" s="240"/>
      <c r="G3" s="241"/>
    </row>
    <row r="4" spans="1:7" ht="41.55" customHeight="1" thickBot="1">
      <c r="A4" s="234" t="s">
        <v>60</v>
      </c>
      <c r="B4" s="235"/>
      <c r="C4" s="236"/>
      <c r="D4" s="225">
        <f>NYANZA!E49+KIREHE!E49+NYAGATARE!E49+KAYONZA!E49+MUSANZE!E49+MUSANZE!E49+RUBAVU!E49+KARONGI!E49+NYAMAGABE!E49+RUSIZI!E49+HUYE!E49+RUHANGO!E49+MUHANGA!E49+BUGESERA!E49+RWAMAGANA!E49+NYARUGENGE!E49+BISHENYI!E49+GAHANGA!E49+KIMIRONKO!E49+GISOZI!E49+GATSIBO!E49+GASHYUSHYA!E49+RUTSIRO!E49+NGORORERO!E49+THIRTH!E49+FOURTH!E49</f>
        <v>297826</v>
      </c>
      <c r="E4" s="226"/>
      <c r="F4" s="226"/>
      <c r="G4" s="227"/>
    </row>
    <row r="5" spans="1:7" ht="37.049999999999997" customHeight="1" thickBot="1">
      <c r="A5" s="234" t="s">
        <v>45</v>
      </c>
      <c r="B5" s="235"/>
      <c r="C5" s="236"/>
      <c r="D5" s="225">
        <f>NYANZA!E50+KIREHE!E50+NYAGATARE!E50+KAYONZA!E50+MUSANZE!E50+MUSANZE!E50+RUBAVU!E50+KARONGI!E50+NYAMAGABE!E50+RUSIZI!E50+HUYE!E50+RUHANGO!E50+MUHANGA!E50+BUGESERA!E50+RWAMAGANA!E50+NYARUGENGE!E50+BISHENYI!E50+GAHANGA!E50+KIMIRONKO!E50+GISOZI!E50+GATSIBO!E50+GASHYUSHYA!E50+RUTSIRO!E50+NGORORERO!E50+THIRTH!E50+FOURTH!E50</f>
        <v>11739</v>
      </c>
      <c r="E5" s="226"/>
      <c r="F5" s="226"/>
      <c r="G5" s="227"/>
    </row>
    <row r="6" spans="1:7" ht="40.049999999999997" customHeight="1" thickBot="1">
      <c r="A6" s="234" t="s">
        <v>59</v>
      </c>
      <c r="B6" s="235"/>
      <c r="C6" s="236"/>
      <c r="D6" s="225">
        <f>NYANZA!E51+KIREHE!E51+NYAGATARE!E51+KAYONZA!E51+MUSANZE!E51+MUSANZE!E51+RUBAVU!E51+KARONGI!E51+NYAMAGABE!E51+RUSIZI!E51+HUYE!E51+RUHANGO!E51+MUHANGA!E51+BUGESERA!E51+RWAMAGANA!E51+NYARUGENGE!E51+BISHENYI!E51+GAHANGA!E51+KIMIRONKO!E51+GISOZI!E51+GATSIBO!E51+GASHYUSHYA!E51+RUTSIRO!E51+NGORORERO!E51+THIRTH!E51+FOURTH!E51</f>
        <v>31513</v>
      </c>
      <c r="E6" s="226"/>
      <c r="F6" s="226"/>
      <c r="G6" s="227"/>
    </row>
    <row r="7" spans="1:7" ht="38.549999999999997" customHeight="1" thickBot="1">
      <c r="A7" s="228" t="s">
        <v>62</v>
      </c>
      <c r="B7" s="229"/>
      <c r="C7" s="230"/>
      <c r="D7" s="225">
        <f>NYANZA!E52+KIREHE!E52+NYAGATARE!E52+KAYONZA!E52+MUSANZE!E52+MUSANZE!E52+RUBAVU!E52+KARONGI!E52+NYAMAGABE!E52+RUSIZI!E52+HUYE!E52+RUHANGO!E52+MUHANGA!E52+BUGESERA!E52+RWAMAGANA!E52+NYARUGENGE!E52+BISHENYI!E52+GAHANGA!E52+KIMIRONKO!E52+GISOZI!E52+GATSIBO!E52+GASHYUSHYA!E52+RUTSIRO!E52+NGORORERO!E52+THIRTH!E52+FOURTH!E52</f>
        <v>18152</v>
      </c>
      <c r="E7" s="226"/>
      <c r="F7" s="226"/>
      <c r="G7" s="227"/>
    </row>
    <row r="8" spans="1:7" ht="40.049999999999997" customHeight="1" thickBot="1">
      <c r="A8" s="228" t="s">
        <v>63</v>
      </c>
      <c r="B8" s="229"/>
      <c r="C8" s="230"/>
      <c r="D8" s="225">
        <f>NYANZA!E53+KIREHE!E53+NYAGATARE!E53+KAYONZA!E53+MUSANZE!E53+MUSANZE!E53+RUBAVU!E53+KARONGI!E53+NYAMAGABE!E53+RUSIZI!E53+HUYE!E53+RUHANGO!E53+MUHANGA!E53+BUGESERA!E53+RWAMAGANA!E53+NYARUGENGE!E53+BISHENYI!E53+GAHANGA!E53+KIMIRONKO!E53+GISOZI!E53+GATSIBO!E53+GASHYUSHYA!E53+RUTSIRO!E53+NGORORERO!E53+THIRTH!E53+FOURTH!E53</f>
        <v>2426</v>
      </c>
      <c r="E8" s="226"/>
      <c r="F8" s="226"/>
      <c r="G8" s="227"/>
    </row>
    <row r="9" spans="1:7" ht="38.549999999999997" customHeight="1" thickBot="1">
      <c r="A9" s="228" t="s">
        <v>83</v>
      </c>
      <c r="B9" s="229"/>
      <c r="C9" s="230"/>
      <c r="D9" s="225">
        <f>NYANZA!E54+KIREHE!E54+NYAGATARE!E54+KAYONZA!E54+MUSANZE!E54+MUSANZE!E54+RUBAVU!E54+KARONGI!E54+NYAMAGABE!E54+RUSIZI!E54+HUYE!E54+RUHANGO!E54+MUHANGA!E54+BUGESERA!E54+RWAMAGANA!E54+NYARUGENGE!E54+BISHENYI!E54+GAHANGA!E54+KIMIRONKO!E54+GISOZI!E54+GATSIBO!E54+GASHYUSHYA!E54+RUTSIRO!E54+NGORORERO!E54+THIRTH!E54+FOURTH!E54</f>
        <v>598</v>
      </c>
      <c r="E9" s="226"/>
      <c r="F9" s="226"/>
      <c r="G9" s="227"/>
    </row>
    <row r="10" spans="1:7" ht="37.950000000000003" customHeight="1" thickBot="1">
      <c r="A10" s="228" t="s">
        <v>83</v>
      </c>
      <c r="B10" s="229"/>
      <c r="C10" s="230"/>
      <c r="D10" s="225">
        <f>NYANZA!E55+KIREHE!E55+NYAGATARE!E55+KAYONZA!E55+MUSANZE!E55+MUSANZE!E55+RUBAVU!E55+KARONGI!E55+NYAMAGABE!E55+RUSIZI!E55+HUYE!E55+RUHANGO!E55+MUHANGA!E55+BUGESERA!E55+RWAMAGANA!E55+NYARUGENGE!E55+BISHENYI!E55+GAHANGA!E55+KIMIRONKO!E55+GISOZI!E55+GATSIBO!E55+GASHYUSHYA!E55+RUTSIRO!E55+NGORORERO!E55+THIRTH!E55+FOURTH!E55</f>
        <v>36</v>
      </c>
      <c r="E10" s="226"/>
      <c r="F10" s="226"/>
      <c r="G10" s="227"/>
    </row>
    <row r="11" spans="1:7" ht="38.549999999999997" customHeight="1" thickBot="1">
      <c r="A11" s="228" t="s">
        <v>83</v>
      </c>
      <c r="B11" s="229"/>
      <c r="C11" s="230"/>
      <c r="D11" s="225">
        <f>NYANZA!E56+KIREHE!E56+NYAGATARE!E56+KAYONZA!E56+MUSANZE!E56+MUSANZE!E56+RUBAVU!E56+KARONGI!E56+NYAMAGABE!E56+RUSIZI!E56+HUYE!E56+RUHANGO!E56+MUHANGA!E56+BUGESERA!E56+RWAMAGANA!E56+NYARUGENGE!E56+BISHENYI!E56+GAHANGA!E56+KIMIRONKO!E56+GISOZI!E56+GATSIBO!E56+GASHYUSHYA!E56+RUTSIRO!E56+NGORORERO!E56+THIRTH!E56+FOURTH!E56</f>
        <v>4</v>
      </c>
      <c r="E11" s="226"/>
      <c r="F11" s="226"/>
      <c r="G11" s="227"/>
    </row>
    <row r="12" spans="1:7" ht="36.450000000000003" customHeight="1" thickBot="1">
      <c r="A12" s="228" t="s">
        <v>83</v>
      </c>
      <c r="B12" s="229"/>
      <c r="C12" s="230"/>
      <c r="D12" s="225">
        <f>NYANZA!E57+KIREHE!E57+NYAGATARE!E57+KAYONZA!E57+MUSANZE!E57+MUSANZE!E57+RUBAVU!E57+KARONGI!E57+NYAMAGABE!E57+RUSIZI!E57+HUYE!E57+RUHANGO!E57+MUHANGA!E57+BUGESERA!E57+RWAMAGANA!E57+NYARUGENGE!E57+BISHENYI!E57+GAHANGA!E57+KIMIRONKO!E57+GISOZI!E57+GATSIBO!E57+GASHYUSHYA!E57+RUTSIRO!E57+NGORORERO!E57+THIRTH!E57+FOURTH!E57</f>
        <v>0</v>
      </c>
      <c r="E12" s="226"/>
      <c r="F12" s="226"/>
      <c r="G12" s="227"/>
    </row>
    <row r="13" spans="1:7" ht="37.950000000000003" customHeight="1" thickBot="1">
      <c r="A13" s="228" t="s">
        <v>83</v>
      </c>
      <c r="B13" s="229"/>
      <c r="C13" s="230"/>
      <c r="D13" s="225">
        <f>NYANZA!E58+KIREHE!E58+NYAGATARE!E58+KAYONZA!E58+MUSANZE!E58+MUSANZE!E58+RUBAVU!E58+KARONGI!E58+NYAMAGABE!E58+RUSIZI!E58+HUYE!E58+RUHANGO!E58+MUHANGA!E58+BUGESERA!E58+RWAMAGANA!E58+NYARUGENGE!E58+BISHENYI!E58+GAHANGA!E58+KIMIRONKO!E58+GISOZI!E58+GATSIBO!E58+GASHYUSHYA!E58+RUTSIRO!E58+NGORORERO!E58+THIRTH!E58+FOURTH!E58</f>
        <v>0</v>
      </c>
      <c r="E13" s="226"/>
      <c r="F13" s="226"/>
      <c r="G13" s="227"/>
    </row>
    <row r="14" spans="1:7" ht="29.4" thickBot="1">
      <c r="A14" s="228" t="s">
        <v>83</v>
      </c>
      <c r="B14" s="229"/>
      <c r="C14" s="230"/>
      <c r="D14" s="225">
        <f>NYANZA!E59+KIREHE!E59+NYAGATARE!E59+KAYONZA!E59+MUSANZE!E59+MUSANZE!E59+RUBAVU!E59+KARONGI!E59+NYAMAGABE!E59+RUSIZI!E59+HUYE!E59+RUHANGO!E59+MUHANGA!E59+BUGESERA!E59+RWAMAGANA!E59+NYARUGENGE!E59+BISHENYI!E59+GAHANGA!E59+KIMIRONKO!E59+GISOZI!E59+GATSIBO!E59+GASHYUSHYA!E59+RUTSIRO!E59+NGORORERO!E59+THIRTH!E59+FOURTH!E59</f>
        <v>0</v>
      </c>
      <c r="E14" s="226"/>
      <c r="F14" s="226"/>
      <c r="G14" s="227"/>
    </row>
    <row r="15" spans="1:7" ht="29.4" thickBot="1">
      <c r="A15" s="228" t="s">
        <v>83</v>
      </c>
      <c r="B15" s="229"/>
      <c r="C15" s="230"/>
      <c r="D15" s="225">
        <f>NYANZA!E60+KIREHE!E60+NYAGATARE!E60+KAYONZA!E60+MUSANZE!E60+MUSANZE!E60+RUBAVU!E60+KARONGI!E60+NYAMAGABE!E60+RUSIZI!E60+HUYE!E60+RUHANGO!E60+MUHANGA!E60+BUGESERA!E60+RWAMAGANA!E60+NYARUGENGE!E60+BISHENYI!E60+GAHANGA!E60+KIMIRONKO!E60+GISOZI!E60+GATSIBO!E60+GASHYUSHYA!E60+RUTSIRO!E60+NGORORERO!E60+THIRTH!E60+FOURTH!E60</f>
        <v>0</v>
      </c>
      <c r="E15" s="226"/>
      <c r="F15" s="226"/>
      <c r="G15" s="227"/>
    </row>
    <row r="16" spans="1:7" ht="29.4" thickBot="1">
      <c r="A16" s="228" t="s">
        <v>83</v>
      </c>
      <c r="B16" s="229"/>
      <c r="C16" s="230"/>
      <c r="D16" s="225">
        <f>NYANZA!E61+KIREHE!E61+NYAGATARE!E61+KAYONZA!E61+MUSANZE!E61+MUSANZE!E61+RUBAVU!E61+KARONGI!E61+NYAMAGABE!E61+RUSIZI!E61+HUYE!E61+RUHANGO!E61+MUHANGA!E61+BUGESERA!E61+RWAMAGANA!E61+NYARUGENGE!E61+BISHENYI!E61+GAHANGA!E61+KIMIRONKO!E61+GISOZI!E61+GATSIBO!E61+GASHYUSHYA!E61+RUTSIRO!E61+NGORORERO!E61+THIRTH!E61+FOURTH!E61</f>
        <v>0</v>
      </c>
      <c r="E16" s="226"/>
      <c r="F16" s="226"/>
      <c r="G16" s="227"/>
    </row>
    <row r="17" spans="1:7" ht="29.4" thickBot="1">
      <c r="A17" s="228" t="s">
        <v>64</v>
      </c>
      <c r="B17" s="229"/>
      <c r="C17" s="230"/>
      <c r="D17" s="231">
        <f>SUM(D4:D16)</f>
        <v>362294</v>
      </c>
      <c r="E17" s="232"/>
      <c r="F17" s="232"/>
      <c r="G17" s="233"/>
    </row>
  </sheetData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THIRTH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2026-05-26T09:43:39Z</dcterms:modified>
</cp:coreProperties>
</file>