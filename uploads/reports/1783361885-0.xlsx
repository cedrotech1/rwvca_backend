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7" i="1" l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<sst xmlns="http://schemas.openxmlformats.org/spreadsheetml/2006/main" count="65" uniqueCount="47">
  <si>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</si>
  <si>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</si>
  <si>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</si>
  <si>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</si>
  <si>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</si>
  <si>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</si>
  <si>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</si>
  <si>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</si>
  <si>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</si>
  <si>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</si>
  <si>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</si>
  <si>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</si>
  <si>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</si>
  <si>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</si>
  <si>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</si>
  <si>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</si>
  <si>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</si>
  <si>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</si>
  <si>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</si>
  <si>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</si>
  <si>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</si>
  <si>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</si>
  <si>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</si>
  <si>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</si>
  <si>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</si>
  <si>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</si>
  <si>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</si>
  <si>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</si>
  <si>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</si>
  <si>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</si>
  <si>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</si>
  <si>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</si>
  <si>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</si>
  <si>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</si>
  <si>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</si>
  <si>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</si>
  <si>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</si>
  <si>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</si>
  <si>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</si>
  <si>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</si>
  <si>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</si>
  <si>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</si>
  <si>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</si>
  <si>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</si>
  <si>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</si>
  <si>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</si>
  <si>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WEEKLY REPORT ON 01/07-05/07/2026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</si>
</sst>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I1" sqref="I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9">
        <v>8850</v>
      </c>
      <c r="D6" s="60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>
        <v>250</v>
      </c>
      <c r="C8" s="61">
        <v>2360</v>
      </c>
      <c r="D8" s="62"/>
      <c r="E8" s="13">
        <f t="shared" si="3"/>
        <v>590000</v>
      </c>
      <c r="F8" s="13">
        <f t="shared" si="4"/>
        <v>90000</v>
      </c>
      <c r="G8" s="13">
        <f>PRODUCT(B8*50)</f>
        <v>12500</v>
      </c>
      <c r="H8" s="14">
        <f t="shared" si="5"/>
        <v>102500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1745</v>
      </c>
      <c r="C10" s="61">
        <v>2360</v>
      </c>
      <c r="D10" s="62"/>
      <c r="E10" s="13">
        <f t="shared" si="3"/>
        <v>4118200</v>
      </c>
      <c r="F10" s="13">
        <f t="shared" si="4"/>
        <v>628200</v>
      </c>
      <c r="G10" s="13">
        <f>PRODUCT(B10*30)</f>
        <v>52350</v>
      </c>
      <c r="H10" s="14">
        <f t="shared" si="5"/>
        <v>680550</v>
      </c>
    </row>
    <row r="11" spans="1:8">
      <c r="A11" s="10" t="s">
        <v>12</v>
      </c>
      <c r="B11" s="11">
        <v>200</v>
      </c>
      <c r="C11" s="61">
        <v>1534</v>
      </c>
      <c r="D11" s="62"/>
      <c r="E11" s="13">
        <f t="shared" si="3"/>
        <v>306800</v>
      </c>
      <c r="F11" s="13">
        <f t="shared" si="4"/>
        <v>46800</v>
      </c>
      <c r="G11" s="13">
        <f>PRODUCT(B11*20)</f>
        <v>4000</v>
      </c>
      <c r="H11" s="14">
        <f t="shared" si="5"/>
        <v>50800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>
        <v>200</v>
      </c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78000</v>
      </c>
      <c r="H19" s="14">
        <f t="shared" si="9"/>
        <v>78000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5015000</v>
      </c>
      <c r="F41" s="36">
        <f>SUM(F6:F40)</f>
        <v>765000</v>
      </c>
      <c r="G41" s="36">
        <f>SUM(G6:G40)</f>
        <v>146850</v>
      </c>
      <c r="H41" s="37">
        <f t="shared" si="19"/>
        <v>911850</v>
      </c>
    </row>
    <row r="42" spans="1:8">
      <c r="A42" s="83" t="s">
        <v>34</v>
      </c>
      <c r="B42" s="84"/>
      <c r="C42" s="38">
        <v>911850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</f>
        <v>911850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2026-07-06T18:15:52Z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