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33EB721-A404-49BA-BCE7-93306821CC80}" xr6:coauthVersionLast="47" xr6:coauthVersionMax="47" xr10:uidLastSave="{00000000-0000-0000-0000-000000000000}"/>
  <bookViews>
    <workbookView xWindow="-110" yWindow="-110" windowWidth="19420" windowHeight="1042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<sst xmlns="http://schemas.openxmlformats.org/spreadsheetml/2006/main" count="1779" uniqueCount="85">
  <si>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</si>
  <si>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</si>
  <si>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</si>
  <si>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</si>
  <si>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</si>
  <si>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</si>
  <si>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</si>
  <si>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</si>
  <si>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</si>
  <si>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</si>
  <si>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</si>
  <si>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</si>
  <si>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</si>
  <si>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</si>
  <si>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</si>
  <si>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</si>
  <si>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</si>
  <si>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</si>
  <si>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</si>
  <si>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</si>
  <si>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</si>
  <si>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</si>
  <si>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</si>
  <si>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</si>
  <si>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</si>
  <si>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</si>
  <si>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</si>
  <si>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</si>
  <si>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</si>
  <si>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</si>
  <si>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</si>
  <si>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</si>
  <si>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</si>
  <si>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</si>
  <si>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</si>
  <si>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</si>
  <si>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</si>
  <si>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</si>
  <si>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</si>
  <si>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</si>
  <si>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</si>
  <si>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</si>
  <si>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</si>
  <si>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</si>
  <si>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</si>
  <si>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</si>
  <si>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</si>
  <si>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</si>
  <si>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</si>
  <si>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</si>
  <si>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</si>
  <si>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</si>
  <si>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</si>
  <si>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</si>
  <si>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</si>
  <si>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</si>
  <si>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</si>
  <si>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</si>
  <si>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</si>
  <si>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</si>
  <si>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</si>
  <si>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</si>
  <si>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</si>
  <si>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</si>
  <si>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</si>
  <si>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</si>
  <si>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</si>
  <si>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</si>
  <si>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</si>
  <si>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</si>
  <si>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</si>
  <si>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</si>
  <si>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</si>
  <si>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</si>
  <si>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</si>
  <si>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</si>
  <si>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</si>
  <si>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</si>
  <si>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</si>
  <si>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</si>
  <si>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</si>
  <si>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</si>
  <si>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</si>
  <si>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</si>
  <si>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13/04 - 19/04/2026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</si>
</sst>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3" t="s">
        <v>38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15"/>
      <c r="M1" s="115"/>
      <c r="N1" s="115"/>
    </row>
    <row r="2" spans="1:15" ht="31" customHeight="1">
      <c r="A2" s="205" t="s">
        <v>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115"/>
      <c r="M2" s="115"/>
      <c r="N2" s="115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486000</v>
      </c>
      <c r="C16" s="68">
        <f>KARONGI!G37</f>
        <v>66600</v>
      </c>
      <c r="D16" s="4"/>
      <c r="E16" s="3"/>
      <c r="F16" s="70">
        <f t="shared" si="0"/>
        <v>552600</v>
      </c>
      <c r="G16" s="67">
        <f>KARONGI!C41</f>
        <v>0</v>
      </c>
      <c r="H16" s="68">
        <f>KARONGI!C39</f>
        <v>581860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8153622</v>
      </c>
      <c r="C29" s="102">
        <f t="shared" si="1"/>
        <v>762300</v>
      </c>
      <c r="D29" s="103">
        <f t="shared" si="1"/>
        <v>0</v>
      </c>
      <c r="E29" s="102">
        <f t="shared" si="1"/>
        <v>0</v>
      </c>
      <c r="F29" s="102">
        <f>SUM(F5:F28)</f>
        <v>8915922</v>
      </c>
      <c r="G29" s="103">
        <f>SUM(G5:G28)</f>
        <v>0</v>
      </c>
      <c r="H29" s="103">
        <f>SUM(H5:H28)</f>
        <v>8945182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7"/>
      <c r="B30" s="197"/>
      <c r="C30" s="197"/>
      <c r="D30" s="198"/>
      <c r="E30" s="231" t="s">
        <v>12</v>
      </c>
      <c r="F30" s="232"/>
      <c r="G30" s="232"/>
      <c r="H30" s="232"/>
      <c r="I30" s="233"/>
      <c r="J30" s="207"/>
      <c r="K30" s="208"/>
      <c r="L30" s="115"/>
    </row>
    <row r="31" spans="1:15" ht="19" thickBot="1">
      <c r="A31" s="228" t="s">
        <v>9</v>
      </c>
      <c r="B31" s="229"/>
      <c r="C31" s="229"/>
      <c r="D31" s="229"/>
      <c r="E31" s="234"/>
      <c r="F31" s="235"/>
      <c r="G31" s="235"/>
      <c r="H31" s="235"/>
      <c r="I31" s="236"/>
      <c r="J31" s="209"/>
      <c r="K31" s="210"/>
      <c r="L31" s="115"/>
    </row>
    <row r="32" spans="1:15" ht="15" thickBot="1">
      <c r="A32" s="199" t="s">
        <v>13</v>
      </c>
      <c r="B32" s="200"/>
      <c r="C32" s="201">
        <f>SUM(B29:C29)</f>
        <v>8915922</v>
      </c>
      <c r="D32" s="202"/>
      <c r="E32" s="234"/>
      <c r="F32" s="235"/>
      <c r="G32" s="235"/>
      <c r="H32" s="235"/>
      <c r="I32" s="236"/>
      <c r="J32" s="209"/>
      <c r="K32" s="210"/>
      <c r="L32" s="115"/>
    </row>
    <row r="33" spans="1:12" ht="15" thickBot="1">
      <c r="A33" s="199" t="s">
        <v>14</v>
      </c>
      <c r="B33" s="200"/>
      <c r="C33" s="222">
        <f>SUM(F29,G29)</f>
        <v>8915922</v>
      </c>
      <c r="D33" s="230"/>
      <c r="E33" s="234"/>
      <c r="F33" s="235"/>
      <c r="G33" s="235"/>
      <c r="H33" s="235"/>
      <c r="I33" s="236"/>
      <c r="J33" s="209"/>
      <c r="K33" s="210"/>
      <c r="L33" s="115"/>
    </row>
    <row r="34" spans="1:12" ht="15" thickBot="1">
      <c r="A34" s="224" t="s">
        <v>83</v>
      </c>
      <c r="B34" s="225"/>
      <c r="C34" s="222">
        <f>SUM(H29,J29,I29)</f>
        <v>8945182</v>
      </c>
      <c r="D34" s="223"/>
      <c r="E34" s="234"/>
      <c r="F34" s="235"/>
      <c r="G34" s="235"/>
      <c r="H34" s="235"/>
      <c r="I34" s="236"/>
      <c r="J34" s="209"/>
      <c r="K34" s="210"/>
      <c r="L34" s="115"/>
    </row>
    <row r="35" spans="1:12" ht="15" thickBot="1">
      <c r="A35" s="199" t="s">
        <v>11</v>
      </c>
      <c r="B35" s="200"/>
      <c r="C35" s="222">
        <f>SUM(D29:E29)</f>
        <v>0</v>
      </c>
      <c r="D35" s="223"/>
      <c r="E35" s="237"/>
      <c r="F35" s="238"/>
      <c r="G35" s="238"/>
      <c r="H35" s="238"/>
      <c r="I35" s="239"/>
      <c r="J35" s="209"/>
      <c r="K35" s="210"/>
      <c r="L35" s="115"/>
    </row>
    <row r="36" spans="1:12" ht="15" thickBot="1">
      <c r="A36" s="199" t="s">
        <v>10</v>
      </c>
      <c r="B36" s="200"/>
      <c r="C36" s="222">
        <f t="shared" ref="C36" si="2">SUM(C33,C35)</f>
        <v>8915922</v>
      </c>
      <c r="D36" s="223"/>
      <c r="E36" s="213" t="s">
        <v>36</v>
      </c>
      <c r="F36" s="214"/>
      <c r="G36" s="214"/>
      <c r="H36" s="214"/>
      <c r="I36" s="215"/>
      <c r="J36" s="209"/>
      <c r="K36" s="210"/>
      <c r="L36" s="115"/>
    </row>
    <row r="37" spans="1:12" ht="15" thickBot="1">
      <c r="A37" s="226" t="s">
        <v>15</v>
      </c>
      <c r="B37" s="227"/>
      <c r="C37" s="222">
        <f>SUM(C34:C35)</f>
        <v>8945182</v>
      </c>
      <c r="D37" s="223"/>
      <c r="E37" s="216"/>
      <c r="F37" s="217"/>
      <c r="G37" s="217"/>
      <c r="H37" s="217"/>
      <c r="I37" s="218"/>
      <c r="J37" s="209"/>
      <c r="K37" s="210"/>
      <c r="L37" s="115"/>
    </row>
    <row r="38" spans="1:12" ht="26.5" thickBot="1">
      <c r="A38" s="219" t="s">
        <v>16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54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720</v>
      </c>
      <c r="C8" s="147">
        <v>1416</v>
      </c>
      <c r="D8" s="148"/>
      <c r="E8" s="16">
        <f t="shared" si="0"/>
        <v>1019520</v>
      </c>
      <c r="F8" s="16">
        <f t="shared" si="1"/>
        <v>155520</v>
      </c>
      <c r="G8" s="16">
        <f>PRODUCT(B8*50)</f>
        <v>36000</v>
      </c>
      <c r="H8" s="17">
        <f t="shared" si="2"/>
        <v>191520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1020</v>
      </c>
      <c r="C10" s="147">
        <v>2124</v>
      </c>
      <c r="D10" s="148"/>
      <c r="E10" s="16">
        <f t="shared" si="0"/>
        <v>2166480</v>
      </c>
      <c r="F10" s="16">
        <f t="shared" si="1"/>
        <v>330480</v>
      </c>
      <c r="G10" s="16">
        <f>PRODUCT(B10*30)</f>
        <v>30600</v>
      </c>
      <c r="H10" s="17">
        <f t="shared" si="2"/>
        <v>361080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>
        <v>110</v>
      </c>
      <c r="C17" s="35"/>
      <c r="D17" s="35">
        <v>266</v>
      </c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3186000</v>
      </c>
      <c r="F37" s="32">
        <f>SUM(F5:F36)</f>
        <v>486000</v>
      </c>
      <c r="G37" s="32">
        <f t="shared" ref="G37:H37" si="3">SUM(G5:G36)</f>
        <v>66600</v>
      </c>
      <c r="H37" s="32">
        <f t="shared" si="3"/>
        <v>552600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581860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1020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720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110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1850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21272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970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110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26134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2026-04-20T09:53:41Z</dcterms:modified>
</cp:coreProperties>
</file>