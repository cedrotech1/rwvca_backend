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6930" activeTab="10" tabRatio="965"/>
  </bookViews>
  <sheets>
    <sheet name="FINACHIAL REPORT" sheetId="1" r:id="rId1"/>
    <sheet name="NGOM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<sst xmlns="http://schemas.openxmlformats.org/spreadsheetml/2006/main" uniqueCount="86" count="86">
  <si>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</si>
  <si>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</si>
  <si>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</si>
  <si>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</si>
  <si>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</si>
  <si>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</si>
  <si>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</si>
  <si>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</si>
  <si>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</si>
  <si>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</si>
  <si>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</si>
  <si>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</si>
  <si>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</si>
  <si>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</si>
  <si>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</si>
  <si>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</si>
  <si>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</si>
  <si>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</si>
  <si>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</si>
  <si>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</si>
  <si>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</si>
  <si>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</si>
  <si>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</si>
  <si>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</si>
  <si>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</si>
  <si>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</si>
  <si>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</si>
  <si>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</si>
  <si>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</si>
  <si>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</si>
  <si>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</si>
  <si>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</si>
  <si>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</si>
  <si>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</si>
  <si>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</si>
  <si>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</si>
  <si>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</si>
  <si>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</si>
  <si>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</si>
  <si>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</si>
  <si>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</si>
  <si>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</si>
  <si>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</si>
  <si>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</si>
  <si>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</si>
  <si>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</si>
  <si>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</si>
  <si>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</si>
  <si>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</si>
  <si>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</si>
  <si>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</si>
  <si>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</si>
  <si>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</si>
  <si>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</si>
  <si>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</si>
  <si>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</si>
  <si>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</si>
  <si>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</si>
  <si>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</si>
  <si>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</si>
  <si>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</si>
  <si>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</si>
  <si>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</si>
  <si>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</si>
  <si>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</si>
  <si>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</si>
  <si>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</si>
  <si>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</si>
  <si>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</si>
  <si>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</si>
  <si>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</si>
  <si>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</si>
  <si>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</si>
  <si>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</si>
  <si>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</si>
  <si>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</si>
  <si>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</si>
  <si>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</si>
  <si>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</si>
  <si>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</si>
  <si>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</si>
  <si>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</si>
  <si>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</si>
  <si>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</si>
  <si>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MONTHLY REPORT OF MARCH 2026</t>
  </si>
  <si>
    <t>Gumira Patrick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</si>
</sst>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31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lgerian"/>
      <b/>
      <i/>
      <sz val="36"/>
    </font>
    <font>
      <name val="Calibri"/>
      <b/>
      <sz val="36"/>
      <color rgb="FF002060"/>
    </font>
    <font>
      <name val="Calibri"/>
      <b/>
      <sz val="10"/>
      <color rgb="FF000000"/>
    </font>
    <font>
      <name val="Calibri"/>
      <b/>
      <sz val="14"/>
    </font>
    <font>
      <name val="Calibri"/>
      <b/>
      <sz val="11"/>
      <color rgb="FF000000"/>
    </font>
    <font>
      <name val="Calibri"/>
      <b/>
      <i/>
      <sz val="14"/>
      <color rgb="FF000000"/>
    </font>
    <font>
      <name val="Calibri"/>
      <b/>
      <i/>
      <sz val="11"/>
      <color rgb="FF000000"/>
    </font>
    <font>
      <name val="Calibri"/>
      <b/>
      <i/>
      <sz val="20"/>
      <color rgb="FFFFFFFF"/>
    </font>
    <font>
      <name val="Calibri"/>
      <b/>
      <sz val="18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  <color rgb="FF000000"/>
    </font>
    <font>
      <name val="Calibri"/>
      <b/>
      <sz val="22"/>
      <color rgb="FF000000"/>
    </font>
    <font>
      <name val="Calibri"/>
      <b/>
      <sz val="18"/>
      <color rgb="FF000000"/>
    </font>
    <font>
      <name val="Bodoni MT Black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charset val="128"/>
      <sz val="22"/>
      <color rgb="FF000000"/>
    </font>
    <font>
      <name val="Calibri"/>
      <sz val="11"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30" fillId="0" borderId="0">
      <alignment vertical="top"/>
      <protection locked="0" hidden="0"/>
    </xf>
  </cellStyleXfs>
  <cellXfs count="313">
    <xf numFmtId="0" fontId="0" fillId="0" borderId="0" xfId="0">
      <alignment vertical="center"/>
    </xf>
    <xf numFmtId="165" fontId="1" fillId="0" borderId="0" xfId="1" applyNumberFormat="1" applyFont="1" applyAlignment="1">
      <alignment vertical="bottom"/>
      <protection locked="0" hidden="0"/>
    </xf>
    <xf numFmtId="165" fontId="2" fillId="0" borderId="1" xfId="1" applyNumberFormat="1" applyFont="1" applyBorder="1" applyAlignment="1">
      <alignment vertical="bottom"/>
      <protection locked="0" hidden="0"/>
    </xf>
    <xf numFmtId="165" fontId="2" fillId="0" borderId="2" xfId="1" applyNumberFormat="1" applyFont="1" applyBorder="1" applyAlignment="1">
      <alignment vertical="bottom"/>
      <protection locked="0" hidden="0"/>
    </xf>
    <xf numFmtId="165" fontId="2" fillId="0" borderId="0" xfId="1" applyNumberFormat="1" applyFont="1" applyAlignment="1">
      <alignment vertical="bottom"/>
      <protection locked="0" hidden="0"/>
    </xf>
    <xf numFmtId="165" fontId="3" fillId="2" borderId="1" xfId="1" applyNumberFormat="1" applyFont="1" applyFill="1" applyBorder="1" applyAlignment="1">
      <alignment horizontal="center" vertical="bottom"/>
      <protection locked="0" hidden="0"/>
    </xf>
    <xf numFmtId="165" fontId="3" fillId="2" borderId="0" xfId="1" applyNumberFormat="1" applyFont="1" applyFill="1" applyBorder="1" applyAlignment="1">
      <alignment horizontal="center" vertical="bottom"/>
      <protection locked="0" hidden="0"/>
    </xf>
    <xf numFmtId="165" fontId="1" fillId="0" borderId="0" xfId="1" applyNumberFormat="1" applyFont="1" applyBorder="1" applyAlignment="1">
      <alignment vertical="bottom"/>
      <protection locked="0" hidden="0"/>
    </xf>
    <xf numFmtId="165" fontId="4" fillId="2" borderId="1" xfId="1" applyNumberFormat="1" applyFont="1" applyFill="1" applyBorder="1" applyAlignment="1">
      <alignment horizontal="center" vertical="center"/>
      <protection locked="0" hidden="0"/>
    </xf>
    <xf numFmtId="165" fontId="4" fillId="2" borderId="0" xfId="1" applyNumberFormat="1" applyFont="1" applyFill="1" applyBorder="1" applyAlignment="1">
      <alignment horizontal="center" vertical="center"/>
      <protection locked="0" hidden="0"/>
    </xf>
    <xf numFmtId="165" fontId="2" fillId="2" borderId="3" xfId="1" applyNumberFormat="1" applyFont="1" applyFill="1" applyBorder="1" applyAlignment="1">
      <alignment vertical="bottom"/>
      <protection locked="0" hidden="0"/>
    </xf>
    <xf numFmtId="165" fontId="2" fillId="3" borderId="3" xfId="1" applyNumberFormat="1" applyFont="1" applyFill="1" applyBorder="1" applyAlignment="1">
      <alignment vertical="bottom"/>
      <protection locked="0" hidden="0"/>
    </xf>
    <xf numFmtId="165" fontId="2" fillId="3" borderId="4" xfId="1" applyNumberFormat="1" applyFont="1" applyFill="1" applyBorder="1" applyAlignment="1">
      <alignment vertical="bottom"/>
      <protection locked="0" hidden="0"/>
    </xf>
    <xf numFmtId="165" fontId="2" fillId="3" borderId="5" xfId="1" applyNumberFormat="1" applyFont="1" applyFill="1" applyBorder="1" applyAlignment="1">
      <alignment vertical="bottom"/>
      <protection locked="0" hidden="0"/>
    </xf>
    <xf numFmtId="165" fontId="2" fillId="3" borderId="6" xfId="1" applyNumberFormat="1" applyFont="1" applyFill="1" applyBorder="1" applyAlignment="1">
      <alignment vertical="bottom"/>
      <protection locked="0" hidden="0"/>
    </xf>
    <xf numFmtId="165" fontId="5" fillId="3" borderId="7" xfId="1" applyNumberFormat="1" applyFont="1" applyFill="1" applyBorder="1" applyAlignment="1">
      <alignment vertical="bottom"/>
      <protection locked="0" hidden="0"/>
    </xf>
    <xf numFmtId="165" fontId="1" fillId="2" borderId="2" xfId="1" applyNumberFormat="1" applyFont="1" applyFill="1" applyBorder="1" applyAlignment="1">
      <alignment horizontal="center" vertical="bottom"/>
      <protection locked="0" hidden="0"/>
    </xf>
    <xf numFmtId="165" fontId="2" fillId="3" borderId="0" xfId="1" applyNumberFormat="1" applyFont="1" applyFill="1" applyBorder="1" applyAlignment="1">
      <alignment vertical="bottom"/>
      <protection locked="0" hidden="0"/>
    </xf>
    <xf numFmtId="165" fontId="2" fillId="2" borderId="8" xfId="1" applyNumberFormat="1" applyFont="1" applyFill="1" applyBorder="1" applyAlignment="1">
      <alignment vertical="bottom"/>
      <protection locked="0" hidden="0"/>
    </xf>
    <xf numFmtId="165" fontId="2" fillId="0" borderId="8" xfId="1" applyNumberFormat="1" applyFont="1" applyBorder="1" applyAlignment="1">
      <alignment vertical="bottom"/>
      <protection locked="1" hidden="1"/>
    </xf>
    <xf numFmtId="165" fontId="2" fillId="0" borderId="9" xfId="1" applyNumberFormat="1" applyFont="1" applyBorder="1" applyAlignment="1">
      <alignment vertical="bottom"/>
      <protection locked="1" hidden="1"/>
    </xf>
    <xf numFmtId="165" fontId="2" fillId="0" borderId="10" xfId="1" applyNumberFormat="1" applyFont="1" applyFill="1" applyBorder="1" applyAlignment="1">
      <alignment vertical="bottom"/>
      <protection locked="0" hidden="0"/>
    </xf>
    <xf numFmtId="165" fontId="2" fillId="0" borderId="9" xfId="1" applyNumberFormat="1" applyFont="1" applyBorder="1" applyAlignment="1">
      <alignment vertical="bottom"/>
      <protection locked="0" hidden="0"/>
    </xf>
    <xf numFmtId="165" fontId="2" fillId="0" borderId="6" xfId="1" applyNumberFormat="1" applyFont="1" applyBorder="1" applyAlignment="1">
      <alignment vertical="bottom"/>
      <protection locked="1" hidden="1"/>
    </xf>
    <xf numFmtId="165" fontId="2" fillId="0" borderId="0" xfId="1" applyNumberFormat="1" applyFont="1" applyBorder="1" applyAlignment="1">
      <alignment vertical="bottom"/>
      <protection locked="0" hidden="0"/>
    </xf>
    <xf numFmtId="165" fontId="2" fillId="2" borderId="11" xfId="1" applyNumberFormat="1" applyFont="1" applyFill="1" applyBorder="1" applyAlignment="1">
      <alignment vertical="bottom"/>
      <protection locked="0" hidden="0"/>
    </xf>
    <xf numFmtId="165" fontId="2" fillId="0" borderId="11" xfId="1" applyNumberFormat="1" applyFont="1" applyBorder="1" applyAlignment="1">
      <alignment vertical="bottom"/>
      <protection locked="1" hidden="1"/>
    </xf>
    <xf numFmtId="165" fontId="2" fillId="0" borderId="12" xfId="1" applyNumberFormat="1" applyFont="1" applyBorder="1" applyAlignment="1">
      <alignment vertical="bottom"/>
      <protection locked="1" hidden="1"/>
    </xf>
    <xf numFmtId="165" fontId="2" fillId="0" borderId="13" xfId="1" applyNumberFormat="1" applyFont="1" applyFill="1" applyBorder="1" applyAlignment="1">
      <alignment vertical="bottom"/>
      <protection locked="0" hidden="0"/>
    </xf>
    <xf numFmtId="165" fontId="2" fillId="0" borderId="12" xfId="1" applyNumberFormat="1" applyFont="1" applyBorder="1" applyAlignment="1">
      <alignment vertical="bottom"/>
      <protection locked="0" hidden="0"/>
    </xf>
    <xf numFmtId="165" fontId="1" fillId="0" borderId="13" xfId="1" applyNumberFormat="1" applyFont="1" applyBorder="1" applyAlignment="1">
      <alignment vertical="bottom"/>
      <protection locked="0" hidden="0"/>
    </xf>
    <xf numFmtId="165" fontId="1" fillId="0" borderId="12" xfId="1" applyNumberFormat="1" applyFont="1" applyBorder="1" applyAlignment="1">
      <alignment vertical="bottom"/>
      <protection locked="0" hidden="0"/>
    </xf>
    <xf numFmtId="165" fontId="2" fillId="0" borderId="14" xfId="1" applyNumberFormat="1" applyFont="1" applyBorder="1" applyAlignment="1">
      <alignment vertical="bottom"/>
      <protection locked="1" hidden="1"/>
    </xf>
    <xf numFmtId="165" fontId="1" fillId="2" borderId="11" xfId="1" applyNumberFormat="1" applyFont="1" applyFill="1" applyBorder="1" applyAlignment="1">
      <alignment vertical="bottom"/>
      <protection locked="0" hidden="0"/>
    </xf>
    <xf numFmtId="165" fontId="2" fillId="0" borderId="11" xfId="1" applyNumberFormat="1" applyFont="1" applyBorder="1" applyAlignment="1">
      <alignment vertical="bottom"/>
      <protection locked="0" hidden="0"/>
    </xf>
    <xf numFmtId="165" fontId="1" fillId="0" borderId="15" xfId="1" applyNumberFormat="1" applyFont="1" applyBorder="1" applyAlignment="1">
      <alignment vertical="bottom"/>
      <protection locked="0" hidden="0"/>
    </xf>
    <xf numFmtId="165" fontId="1" fillId="0" borderId="16" xfId="1" applyNumberFormat="1" applyFont="1" applyBorder="1" applyAlignment="1">
      <alignment vertical="bottom"/>
      <protection locked="0" hidden="0"/>
    </xf>
    <xf numFmtId="165" fontId="1" fillId="0" borderId="17" xfId="1" applyNumberFormat="1" applyFont="1" applyBorder="1" applyAlignment="1">
      <alignment vertical="bottom"/>
      <protection locked="0" hidden="0"/>
    </xf>
    <xf numFmtId="165" fontId="1" fillId="2" borderId="18" xfId="1" applyNumberFormat="1" applyFont="1" applyFill="1" applyBorder="1" applyAlignment="1">
      <alignment vertical="bottom"/>
      <protection locked="0" hidden="0"/>
    </xf>
    <xf numFmtId="165" fontId="2" fillId="0" borderId="18" xfId="1" applyNumberFormat="1" applyFont="1" applyBorder="1" applyAlignment="1">
      <alignment vertical="bottom"/>
      <protection locked="0" hidden="0"/>
    </xf>
    <xf numFmtId="165" fontId="2" fillId="0" borderId="14" xfId="1" applyNumberFormat="1" applyFont="1" applyBorder="1" applyAlignment="1">
      <alignment vertical="bottom"/>
      <protection locked="0" hidden="0"/>
    </xf>
    <xf numFmtId="165" fontId="1" fillId="0" borderId="19" xfId="1" applyNumberFormat="1" applyFont="1" applyBorder="1" applyAlignment="1">
      <alignment vertical="bottom"/>
      <protection locked="0" hidden="0"/>
    </xf>
    <xf numFmtId="165" fontId="1" fillId="0" borderId="14" xfId="1" applyNumberFormat="1" applyFont="1" applyBorder="1" applyAlignment="1">
      <alignment vertical="bottom"/>
      <protection locked="0" hidden="0"/>
    </xf>
    <xf numFmtId="165" fontId="1" fillId="0" borderId="20" xfId="1" applyNumberFormat="1" applyFont="1" applyBorder="1" applyAlignment="1">
      <alignment vertical="bottom"/>
      <protection locked="0" hidden="0"/>
    </xf>
    <xf numFmtId="165" fontId="6" fillId="2" borderId="21" xfId="1" applyNumberFormat="1" applyFont="1" applyFill="1" applyBorder="1" applyAlignment="1">
      <alignment vertical="bottom"/>
      <protection locked="0" hidden="0"/>
    </xf>
    <xf numFmtId="165" fontId="6" fillId="2" borderId="21" xfId="1" applyNumberFormat="1" applyFont="1" applyFill="1" applyBorder="1" applyAlignment="1">
      <alignment vertical="bottom"/>
      <protection locked="1" hidden="1"/>
    </xf>
    <xf numFmtId="165" fontId="6" fillId="2" borderId="22" xfId="1" applyNumberFormat="1" applyFont="1" applyFill="1" applyBorder="1" applyAlignment="1">
      <alignment vertical="bottom"/>
      <protection locked="1" hidden="1"/>
    </xf>
    <xf numFmtId="165" fontId="6" fillId="2" borderId="23" xfId="1" applyNumberFormat="1" applyFont="1" applyFill="1" applyBorder="1" applyAlignment="1">
      <alignment vertical="bottom"/>
      <protection locked="1" hidden="1"/>
    </xf>
    <xf numFmtId="165" fontId="2" fillId="2" borderId="2" xfId="1" applyNumberFormat="1" applyFont="1" applyFill="1" applyBorder="1" applyAlignment="1">
      <alignment vertical="bottom"/>
      <protection locked="1" hidden="1"/>
    </xf>
    <xf numFmtId="165" fontId="6" fillId="2" borderId="0" xfId="1" applyNumberFormat="1" applyFont="1" applyFill="1" applyBorder="1" applyAlignment="1">
      <alignment vertical="bottom"/>
      <protection locked="0" hidden="0"/>
    </xf>
    <xf numFmtId="165" fontId="1" fillId="3" borderId="24" xfId="1" applyNumberFormat="1" applyFont="1" applyFill="1" applyBorder="1" applyAlignment="1">
      <alignment horizontal="center" vertical="bottom"/>
      <protection locked="0" hidden="0"/>
    </xf>
    <xf numFmtId="165" fontId="1" fillId="3" borderId="25" xfId="1" applyNumberFormat="1" applyFont="1" applyFill="1" applyBorder="1" applyAlignment="1">
      <alignment horizontal="center" vertical="bottom"/>
      <protection locked="0" hidden="0"/>
    </xf>
    <xf numFmtId="165" fontId="7" fillId="0" borderId="3" xfId="1" applyNumberFormat="1" applyFont="1" applyBorder="1" applyAlignment="1">
      <alignment horizontal="left" vertical="top"/>
      <protection locked="0" hidden="0"/>
    </xf>
    <xf numFmtId="165" fontId="7" fillId="0" borderId="7" xfId="1" applyNumberFormat="1" applyFont="1" applyBorder="1" applyAlignment="1">
      <alignment horizontal="left" vertical="top"/>
      <protection locked="0" hidden="0"/>
    </xf>
    <xf numFmtId="165" fontId="7" fillId="0" borderId="5" xfId="1" applyNumberFormat="1" applyFont="1" applyBorder="1" applyAlignment="1">
      <alignment horizontal="left" vertical="top"/>
      <protection locked="0" hidden="0"/>
    </xf>
    <xf numFmtId="165" fontId="1" fillId="2" borderId="3" xfId="1" applyNumberFormat="1" applyFont="1" applyFill="1" applyBorder="1" applyAlignment="1">
      <alignment horizontal="center" vertical="bottom"/>
      <protection locked="0" hidden="0"/>
    </xf>
    <xf numFmtId="165" fontId="1" fillId="2" borderId="5" xfId="1" applyNumberFormat="1" applyFont="1" applyFill="1" applyBorder="1" applyAlignment="1">
      <alignment horizontal="center" vertical="bottom"/>
      <protection locked="0" hidden="0"/>
    </xf>
    <xf numFmtId="165" fontId="8" fillId="4" borderId="26" xfId="1" applyNumberFormat="1" applyFont="1" applyFill="1" applyBorder="1" applyAlignment="1">
      <alignment horizontal="center" vertical="bottom"/>
      <protection locked="0" hidden="0"/>
    </xf>
    <xf numFmtId="165" fontId="8" fillId="4" borderId="24" xfId="1" applyNumberFormat="1" applyFont="1" applyFill="1" applyBorder="1" applyAlignment="1">
      <alignment horizontal="center" vertical="bottom"/>
      <protection locked="0" hidden="0"/>
    </xf>
    <xf numFmtId="165" fontId="7" fillId="0" borderId="1" xfId="1" applyNumberFormat="1" applyFont="1" applyBorder="1" applyAlignment="1">
      <alignment horizontal="left" vertical="top"/>
      <protection locked="0" hidden="0"/>
    </xf>
    <xf numFmtId="165" fontId="7" fillId="0" borderId="0" xfId="1" applyNumberFormat="1" applyFont="1" applyBorder="1" applyAlignment="1">
      <alignment horizontal="left" vertical="top"/>
      <protection locked="0" hidden="0"/>
    </xf>
    <xf numFmtId="165" fontId="7" fillId="0" borderId="27" xfId="1" applyNumberFormat="1" applyFont="1" applyBorder="1" applyAlignment="1">
      <alignment horizontal="left" vertical="top"/>
      <protection locked="0" hidden="0"/>
    </xf>
    <xf numFmtId="165" fontId="1" fillId="2" borderId="1" xfId="1" applyNumberFormat="1" applyFont="1" applyFill="1" applyBorder="1" applyAlignment="1">
      <alignment horizontal="center" vertical="bottom"/>
      <protection locked="0" hidden="0"/>
    </xf>
    <xf numFmtId="165" fontId="1" fillId="2" borderId="27" xfId="1" applyNumberFormat="1" applyFont="1" applyFill="1" applyBorder="1" applyAlignment="1">
      <alignment horizontal="center" vertical="bottom"/>
      <protection locked="0" hidden="0"/>
    </xf>
    <xf numFmtId="165" fontId="7" fillId="0" borderId="28" xfId="1" applyNumberFormat="1" applyFont="1" applyBorder="1" applyAlignment="1">
      <alignment horizontal="left" vertical="bottom"/>
      <protection locked="0" hidden="0"/>
    </xf>
    <xf numFmtId="165" fontId="7" fillId="0" borderId="29" xfId="1" applyNumberFormat="1" applyFont="1" applyBorder="1" applyAlignment="1">
      <alignment horizontal="left" vertical="bottom"/>
      <protection locked="0" hidden="0"/>
    </xf>
    <xf numFmtId="165" fontId="1" fillId="0" borderId="3" xfId="1" applyNumberFormat="1" applyFont="1" applyBorder="1" applyAlignment="1">
      <alignment horizontal="center" vertical="bottom"/>
      <protection locked="1" hidden="1"/>
    </xf>
    <xf numFmtId="165" fontId="1" fillId="0" borderId="7" xfId="1" applyNumberFormat="1" applyFont="1" applyBorder="1" applyAlignment="1">
      <alignment horizontal="center" vertical="bottom"/>
      <protection locked="1" hidden="1"/>
    </xf>
    <xf numFmtId="165" fontId="1" fillId="0" borderId="26" xfId="1" applyNumberFormat="1" applyFont="1" applyBorder="1" applyAlignment="1">
      <alignment horizontal="center" vertical="bottom"/>
      <protection locked="1" hidden="1"/>
    </xf>
    <xf numFmtId="165" fontId="1" fillId="0" borderId="24" xfId="1" applyNumberFormat="1" applyFont="1" applyBorder="1" applyAlignment="1">
      <alignment horizontal="center" vertical="bottom"/>
      <protection locked="1" hidden="1"/>
    </xf>
    <xf numFmtId="165" fontId="7" fillId="0" borderId="26" xfId="1" applyNumberFormat="1" applyFont="1" applyBorder="1" applyAlignment="1">
      <alignment horizontal="left" vertical="bottom"/>
      <protection locked="0" hidden="0"/>
    </xf>
    <xf numFmtId="165" fontId="7" fillId="0" borderId="25" xfId="1" applyNumberFormat="1" applyFont="1" applyBorder="1" applyAlignment="1">
      <alignment horizontal="left" vertical="bottom"/>
      <protection locked="0" hidden="0"/>
    </xf>
    <xf numFmtId="165" fontId="1" fillId="0" borderId="25" xfId="1" applyNumberFormat="1" applyFont="1" applyBorder="1" applyAlignment="1">
      <alignment horizontal="center" vertical="bottom"/>
      <protection locked="1" hidden="1"/>
    </xf>
    <xf numFmtId="165" fontId="7" fillId="0" borderId="21" xfId="1" applyNumberFormat="1" applyFont="1" applyBorder="1" applyAlignment="1">
      <alignment horizontal="left" vertical="top"/>
      <protection locked="0" hidden="0"/>
    </xf>
    <xf numFmtId="165" fontId="7" fillId="0" borderId="23" xfId="1" applyNumberFormat="1" applyFont="1" applyBorder="1" applyAlignment="1">
      <alignment horizontal="left" vertical="top"/>
      <protection locked="0" hidden="0"/>
    </xf>
    <xf numFmtId="165" fontId="7" fillId="0" borderId="30" xfId="1" applyNumberFormat="1" applyFont="1" applyBorder="1" applyAlignment="1">
      <alignment horizontal="left" vertical="top"/>
      <protection locked="0" hidden="0"/>
    </xf>
    <xf numFmtId="165" fontId="9" fillId="0" borderId="3" xfId="1" applyNumberFormat="1" applyFont="1" applyBorder="1" applyAlignment="1">
      <alignment horizontal="left" vertical="bottom"/>
      <protection locked="0" hidden="0"/>
    </xf>
    <xf numFmtId="165" fontId="9" fillId="0" borderId="7" xfId="1" applyNumberFormat="1" applyFont="1" applyBorder="1" applyAlignment="1">
      <alignment horizontal="left" vertical="bottom"/>
      <protection locked="0" hidden="0"/>
    </xf>
    <xf numFmtId="165" fontId="9" fillId="0" borderId="5" xfId="1" applyNumberFormat="1" applyFont="1" applyBorder="1" applyAlignment="1">
      <alignment horizontal="left" vertical="bottom"/>
      <protection locked="0" hidden="0"/>
    </xf>
    <xf numFmtId="165" fontId="7" fillId="0" borderId="31" xfId="1" applyNumberFormat="1" applyFont="1" applyBorder="1" applyAlignment="1">
      <alignment horizontal="center" vertical="bottom"/>
      <protection locked="0" hidden="0"/>
    </xf>
    <xf numFmtId="165" fontId="7" fillId="0" borderId="32" xfId="1" applyNumberFormat="1" applyFont="1" applyBorder="1" applyAlignment="1">
      <alignment horizontal="center" vertical="bottom"/>
      <protection locked="0" hidden="0"/>
    </xf>
    <xf numFmtId="165" fontId="9" fillId="0" borderId="21" xfId="1" applyNumberFormat="1" applyFont="1" applyBorder="1" applyAlignment="1">
      <alignment horizontal="left" vertical="bottom"/>
      <protection locked="0" hidden="0"/>
    </xf>
    <xf numFmtId="165" fontId="9" fillId="0" borderId="23" xfId="1" applyNumberFormat="1" applyFont="1" applyBorder="1" applyAlignment="1">
      <alignment horizontal="left" vertical="bottom"/>
      <protection locked="0" hidden="0"/>
    </xf>
    <xf numFmtId="165" fontId="9" fillId="0" borderId="30" xfId="1" applyNumberFormat="1" applyFont="1" applyBorder="1" applyAlignment="1">
      <alignment horizontal="left" vertical="bottom"/>
      <protection locked="0" hidden="0"/>
    </xf>
    <xf numFmtId="165" fontId="10" fillId="2" borderId="26" xfId="1" applyNumberFormat="1" applyFont="1" applyFill="1" applyBorder="1" applyAlignment="1">
      <alignment horizontal="center" vertical="bottom"/>
      <protection locked="0" hidden="0"/>
    </xf>
    <xf numFmtId="165" fontId="10" fillId="2" borderId="24" xfId="1" applyNumberFormat="1" applyFont="1" applyFill="1" applyBorder="1" applyAlignment="1">
      <alignment horizontal="center" vertical="bottom"/>
      <protection locked="0" hidden="0"/>
    </xf>
    <xf numFmtId="165" fontId="10" fillId="2" borderId="25" xfId="1" applyNumberFormat="1" applyFont="1" applyFill="1" applyBorder="1" applyAlignment="1">
      <alignment horizontal="center" vertical="bottom"/>
      <protection locked="0" hidden="0"/>
    </xf>
    <xf numFmtId="165" fontId="1" fillId="2" borderId="21" xfId="1" applyNumberFormat="1" applyFont="1" applyFill="1" applyBorder="1" applyAlignment="1">
      <alignment horizontal="center" vertical="bottom"/>
      <protection locked="0" hidden="0"/>
    </xf>
    <xf numFmtId="165" fontId="1" fillId="2" borderId="30" xfId="1" applyNumberFormat="1" applyFont="1" applyFill="1" applyBorder="1" applyAlignment="1">
      <alignment horizontal="center" vertical="bottom"/>
      <protection locked="0" hidden="0"/>
    </xf>
    <xf numFmtId="0" fontId="1" fillId="0" borderId="0" xfId="0" applyAlignment="1">
      <alignment vertical="bottom"/>
      <protection locked="0" hidden="0"/>
    </xf>
    <xf numFmtId="165" fontId="11" fillId="5" borderId="3" xfId="1" applyNumberFormat="1" applyFont="1" applyFill="1" applyBorder="1" applyAlignment="1">
      <alignment horizontal="center" vertical="bottom"/>
      <protection locked="0" hidden="0"/>
    </xf>
    <xf numFmtId="165" fontId="12" fillId="5" borderId="7" xfId="1" applyNumberFormat="1" applyFont="1" applyFill="1" applyBorder="1" applyAlignment="1">
      <alignment horizontal="center" vertical="bottom"/>
      <protection locked="0" hidden="0"/>
    </xf>
    <xf numFmtId="165" fontId="12" fillId="5" borderId="5" xfId="1" applyNumberFormat="1" applyFont="1" applyFill="1" applyBorder="1" applyAlignment="1">
      <alignment horizontal="center" vertical="bottom"/>
      <protection locked="0" hidden="0"/>
    </xf>
    <xf numFmtId="165" fontId="12" fillId="5" borderId="21" xfId="1" applyNumberFormat="1" applyFont="1" applyFill="1" applyBorder="1" applyAlignment="1">
      <alignment horizontal="center" vertical="bottom"/>
      <protection locked="0" hidden="0"/>
    </xf>
    <xf numFmtId="165" fontId="12" fillId="5" borderId="23" xfId="1" applyNumberFormat="1" applyFont="1" applyFill="1" applyBorder="1" applyAlignment="1">
      <alignment horizontal="center" vertical="bottom"/>
      <protection locked="0" hidden="0"/>
    </xf>
    <xf numFmtId="165" fontId="12" fillId="5" borderId="30" xfId="1" applyNumberFormat="1" applyFont="1" applyFill="1" applyBorder="1" applyAlignment="1">
      <alignment horizontal="center" vertical="bottom"/>
      <protection locked="0" hidden="0"/>
    </xf>
    <xf numFmtId="165" fontId="13" fillId="5" borderId="1" xfId="1" applyNumberFormat="1" applyFont="1" applyFill="1" applyBorder="1" applyAlignment="1">
      <alignment horizontal="center" vertical="bottom"/>
      <protection locked="0" hidden="0"/>
    </xf>
    <xf numFmtId="165" fontId="14" fillId="5" borderId="0" xfId="1" applyNumberFormat="1" applyFont="1" applyFill="1" applyAlignment="1">
      <alignment horizontal="center" vertical="bottom"/>
      <protection locked="0" hidden="0"/>
    </xf>
    <xf numFmtId="165" fontId="14" fillId="5" borderId="27" xfId="1" applyNumberFormat="1" applyFont="1" applyFill="1" applyBorder="1" applyAlignment="1">
      <alignment horizontal="center" vertical="bottom"/>
      <protection locked="0" hidden="0"/>
    </xf>
    <xf numFmtId="165" fontId="14" fillId="5" borderId="21" xfId="1" applyNumberFormat="1" applyFont="1" applyFill="1" applyBorder="1" applyAlignment="1">
      <alignment horizontal="center" vertical="bottom"/>
      <protection locked="0" hidden="0"/>
    </xf>
    <xf numFmtId="165" fontId="14" fillId="5" borderId="23" xfId="1" applyNumberFormat="1" applyFont="1" applyFill="1" applyBorder="1" applyAlignment="1">
      <alignment horizontal="center" vertical="bottom"/>
      <protection locked="0" hidden="0"/>
    </xf>
    <xf numFmtId="165" fontId="14" fillId="5" borderId="30" xfId="1" applyNumberFormat="1" applyFont="1" applyFill="1" applyBorder="1" applyAlignment="1">
      <alignment horizontal="center" vertical="bottom"/>
      <protection locked="0" hidden="0"/>
    </xf>
    <xf numFmtId="165" fontId="15" fillId="5" borderId="6" xfId="1" applyNumberFormat="1" applyFont="1" applyFill="1" applyBorder="1" applyAlignment="1">
      <alignment vertical="bottom"/>
      <protection locked="0" hidden="0"/>
    </xf>
    <xf numFmtId="165" fontId="15" fillId="4" borderId="6" xfId="1" applyNumberFormat="1" applyFont="1" applyFill="1" applyBorder="1" applyAlignment="1">
      <alignment vertical="bottom"/>
      <protection locked="0" hidden="0"/>
    </xf>
    <xf numFmtId="165" fontId="15" fillId="4" borderId="26" xfId="1" applyNumberFormat="1" applyFont="1" applyFill="1" applyBorder="1" applyAlignment="1">
      <alignment horizontal="center" vertical="bottom"/>
      <protection locked="0" hidden="0"/>
    </xf>
    <xf numFmtId="165" fontId="15" fillId="4" borderId="25" xfId="1" applyNumberFormat="1" applyFont="1" applyFill="1" applyBorder="1" applyAlignment="1">
      <alignment horizontal="center" vertical="bottom"/>
      <protection locked="0" hidden="0"/>
    </xf>
    <xf numFmtId="165" fontId="15" fillId="4" borderId="24" xfId="1" applyNumberFormat="1" applyFont="1" applyFill="1" applyBorder="1" applyAlignment="1">
      <alignment vertical="bottom"/>
      <protection locked="0" hidden="0"/>
    </xf>
    <xf numFmtId="165" fontId="15" fillId="4" borderId="25" xfId="1" applyNumberFormat="1" applyFont="1" applyFill="1" applyBorder="1" applyAlignment="1">
      <alignment vertical="bottom"/>
      <protection locked="0" hidden="0"/>
    </xf>
    <xf numFmtId="165" fontId="15" fillId="5" borderId="15" xfId="1" applyNumberFormat="1" applyFont="1" applyFill="1" applyBorder="1" applyAlignment="1">
      <alignment vertical="bottom"/>
      <protection locked="0" hidden="0"/>
    </xf>
    <xf numFmtId="165" fontId="16" fillId="0" borderId="33" xfId="1" applyNumberFormat="1" applyFont="1" applyBorder="1" applyAlignment="1">
      <alignment vertical="bottom"/>
      <protection locked="0" hidden="0"/>
    </xf>
    <xf numFmtId="165" fontId="16" fillId="0" borderId="34" xfId="1" applyNumberFormat="1" applyFont="1" applyBorder="1" applyAlignment="1">
      <alignment horizontal="center" vertical="bottom"/>
      <protection locked="0" hidden="0"/>
    </xf>
    <xf numFmtId="165" fontId="16" fillId="0" borderId="33" xfId="1" applyNumberFormat="1" applyFont="1" applyBorder="1" applyAlignment="1">
      <alignment horizontal="center" vertical="bottom"/>
      <protection locked="0" hidden="0"/>
    </xf>
    <xf numFmtId="165" fontId="15" fillId="0" borderId="35" xfId="1" applyNumberFormat="1" applyFont="1" applyBorder="1" applyAlignment="1">
      <alignment vertical="bottom"/>
      <protection locked="1" hidden="1"/>
    </xf>
    <xf numFmtId="165" fontId="15" fillId="0" borderId="36" xfId="1" applyNumberFormat="1" applyFont="1" applyBorder="1" applyAlignment="1">
      <alignment vertical="bottom"/>
      <protection locked="1" hidden="1"/>
    </xf>
    <xf numFmtId="165" fontId="15" fillId="5" borderId="12" xfId="1" applyNumberFormat="1" applyFont="1" applyFill="1" applyBorder="1" applyAlignment="1">
      <alignment vertical="bottom"/>
      <protection locked="0" hidden="0"/>
    </xf>
    <xf numFmtId="165" fontId="16" fillId="0" borderId="37" xfId="1" applyNumberFormat="1" applyFont="1" applyBorder="1" applyAlignment="1">
      <alignment vertical="bottom"/>
      <protection locked="0" hidden="0"/>
    </xf>
    <xf numFmtId="165" fontId="16" fillId="0" borderId="38" xfId="1" applyNumberFormat="1" applyFont="1" applyBorder="1" applyAlignment="1">
      <alignment horizontal="center" vertical="bottom"/>
      <protection locked="0" hidden="0"/>
    </xf>
    <xf numFmtId="165" fontId="16" fillId="0" borderId="37" xfId="1" applyNumberFormat="1" applyFont="1" applyBorder="1" applyAlignment="1">
      <alignment horizontal="center" vertical="bottom"/>
      <protection locked="0" hidden="0"/>
    </xf>
    <xf numFmtId="165" fontId="15" fillId="0" borderId="39" xfId="1" applyNumberFormat="1" applyFont="1" applyBorder="1" applyAlignment="1">
      <alignment vertical="bottom"/>
      <protection locked="1" hidden="1"/>
    </xf>
    <xf numFmtId="165" fontId="15" fillId="0" borderId="40" xfId="1" applyNumberFormat="1" applyFont="1" applyBorder="1" applyAlignment="1">
      <alignment vertical="bottom"/>
      <protection locked="1" hidden="1"/>
    </xf>
    <xf numFmtId="165" fontId="17" fillId="0" borderId="38" xfId="1" applyNumberFormat="1" applyFont="1" applyBorder="1" applyAlignment="1">
      <alignment horizontal="center" vertical="bottom"/>
      <protection locked="0" hidden="0"/>
    </xf>
    <xf numFmtId="165" fontId="18" fillId="5" borderId="12" xfId="1" applyNumberFormat="1" applyFont="1" applyFill="1" applyBorder="1" applyAlignment="1">
      <alignment vertical="bottom"/>
      <protection locked="0" hidden="0"/>
    </xf>
    <xf numFmtId="165" fontId="17" fillId="5" borderId="12" xfId="1" applyNumberFormat="1" applyFont="1" applyFill="1" applyBorder="1" applyAlignment="1">
      <alignment vertical="bottom"/>
      <protection locked="0" hidden="0"/>
    </xf>
    <xf numFmtId="165" fontId="19" fillId="4" borderId="26" xfId="1" applyNumberFormat="1" applyFont="1" applyFill="1" applyBorder="1" applyAlignment="1">
      <alignment horizontal="center" vertical="bottom"/>
      <protection locked="0" hidden="0"/>
    </xf>
    <xf numFmtId="165" fontId="20" fillId="4" borderId="24" xfId="1" applyNumberFormat="1" applyFont="1" applyFill="1" applyBorder="1" applyAlignment="1">
      <alignment horizontal="center" vertical="bottom"/>
      <protection locked="0" hidden="0"/>
    </xf>
    <xf numFmtId="165" fontId="20" fillId="4" borderId="25" xfId="1" applyNumberFormat="1" applyFont="1" applyFill="1" applyBorder="1" applyAlignment="1">
      <alignment horizontal="center" vertical="bottom"/>
      <protection locked="0" hidden="0"/>
    </xf>
    <xf numFmtId="165" fontId="15" fillId="2" borderId="6" xfId="1" applyNumberFormat="1" applyFont="1" applyFill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vertical="bottom"/>
      <protection locked="0" hidden="0"/>
    </xf>
    <xf numFmtId="165" fontId="15" fillId="0" borderId="25" xfId="1" applyNumberFormat="1" applyFont="1" applyBorder="1" applyAlignment="1">
      <alignment vertical="bottom"/>
      <protection locked="0" hidden="0"/>
    </xf>
    <xf numFmtId="165" fontId="18" fillId="2" borderId="8" xfId="1" applyNumberFormat="1" applyFont="1" applyFill="1" applyBorder="1" applyAlignment="1">
      <alignment horizontal="left" vertical="bottom"/>
      <protection locked="0" hidden="0"/>
    </xf>
    <xf numFmtId="165" fontId="16" fillId="0" borderId="9" xfId="1" applyNumberFormat="1" applyFont="1" applyBorder="1" applyAlignment="1">
      <alignment horizontal="center" vertical="bottom"/>
      <protection locked="0" hidden="0"/>
    </xf>
    <xf numFmtId="165" fontId="15" fillId="0" borderId="10" xfId="1" applyNumberFormat="1" applyFont="1" applyBorder="1" applyAlignment="1">
      <alignment vertical="bottom"/>
      <protection locked="1" hidden="1"/>
    </xf>
    <xf numFmtId="165" fontId="15" fillId="0" borderId="9" xfId="1" applyNumberFormat="1" applyFont="1" applyBorder="1" applyAlignment="1">
      <alignment vertical="bottom"/>
      <protection locked="1" hidden="1"/>
    </xf>
    <xf numFmtId="165" fontId="18" fillId="2" borderId="11" xfId="1" applyNumberFormat="1" applyFont="1" applyFill="1" applyBorder="1" applyAlignment="1">
      <alignment horizontal="left" vertical="bottom"/>
      <protection locked="0" hidden="0"/>
    </xf>
    <xf numFmtId="165" fontId="16" fillId="0" borderId="12" xfId="1" applyNumberFormat="1" applyFont="1" applyBorder="1" applyAlignment="1">
      <alignment horizontal="center" vertical="bottom"/>
      <protection locked="0" hidden="0"/>
    </xf>
    <xf numFmtId="165" fontId="15" fillId="0" borderId="13" xfId="1" applyNumberFormat="1" applyFont="1" applyBorder="1" applyAlignment="1">
      <alignment vertical="bottom"/>
      <protection locked="1" hidden="1"/>
    </xf>
    <xf numFmtId="165" fontId="15" fillId="0" borderId="12" xfId="1" applyNumberFormat="1" applyFont="1" applyBorder="1" applyAlignment="1">
      <alignment vertical="bottom"/>
      <protection locked="1" hidden="1"/>
    </xf>
    <xf numFmtId="165" fontId="18" fillId="2" borderId="11" xfId="1" applyNumberFormat="1" applyFont="1" applyFill="1" applyBorder="1" applyAlignment="1">
      <alignment vertical="bottom"/>
      <protection locked="0" hidden="0"/>
    </xf>
    <xf numFmtId="165" fontId="16" fillId="0" borderId="12" xfId="1" applyNumberFormat="1" applyFont="1" applyBorder="1" applyAlignment="1">
      <alignment vertical="bottom"/>
      <protection locked="0" hidden="0"/>
    </xf>
    <xf numFmtId="165" fontId="15" fillId="2" borderId="11" xfId="1" applyNumberFormat="1" applyFont="1" applyFill="1" applyBorder="1" applyAlignment="1">
      <alignment vertical="bottom"/>
      <protection locked="0" hidden="0"/>
    </xf>
    <xf numFmtId="165" fontId="16" fillId="0" borderId="15" xfId="1" applyNumberFormat="1" applyFont="1" applyBorder="1" applyAlignment="1">
      <alignment horizontal="center" vertical="bottom"/>
      <protection locked="0" hidden="0"/>
    </xf>
    <xf numFmtId="165" fontId="15" fillId="2" borderId="41" xfId="1" applyNumberFormat="1" applyFont="1" applyFill="1" applyBorder="1" applyAlignment="1">
      <alignment vertical="bottom"/>
      <protection locked="0" hidden="0"/>
    </xf>
    <xf numFmtId="165" fontId="16" fillId="0" borderId="14" xfId="1" applyNumberFormat="1" applyFont="1" applyBorder="1" applyAlignment="1">
      <alignment vertical="bottom"/>
      <protection locked="0" hidden="0"/>
    </xf>
    <xf numFmtId="165" fontId="15" fillId="0" borderId="42" xfId="1" applyNumberFormat="1" applyFont="1" applyBorder="1" applyAlignment="1">
      <alignment vertical="bottom"/>
      <protection locked="1" hidden="1"/>
    </xf>
    <xf numFmtId="165" fontId="15" fillId="0" borderId="43" xfId="1" applyNumberFormat="1" applyFont="1" applyBorder="1" applyAlignment="1">
      <alignment vertical="bottom"/>
      <protection locked="1" hidden="1"/>
    </xf>
    <xf numFmtId="165" fontId="15" fillId="0" borderId="14" xfId="1" applyNumberFormat="1" applyFont="1" applyBorder="1" applyAlignment="1">
      <alignment vertical="bottom"/>
      <protection locked="1" hidden="1"/>
    </xf>
    <xf numFmtId="165" fontId="15" fillId="2" borderId="28" xfId="1" applyNumberFormat="1" applyFont="1" applyFill="1" applyBorder="1">
      <alignment vertical="center"/>
      <protection locked="0" hidden="0"/>
    </xf>
    <xf numFmtId="165" fontId="16" fillId="2" borderId="44" xfId="1" applyNumberFormat="1" applyFont="1" applyFill="1" applyBorder="1" applyAlignment="1">
      <alignment vertical="bottom"/>
      <protection locked="0" hidden="0"/>
    </xf>
    <xf numFmtId="165" fontId="15" fillId="2" borderId="45" xfId="1" applyNumberFormat="1" applyFont="1" applyFill="1" applyBorder="1" applyAlignment="1">
      <alignment vertical="bottom"/>
      <protection locked="1" hidden="1"/>
    </xf>
    <xf numFmtId="165" fontId="15" fillId="2" borderId="6" xfId="1" applyNumberFormat="1" applyFont="1" applyFill="1" applyBorder="1" applyAlignment="1">
      <alignment vertical="bottom"/>
      <protection locked="1" hidden="1"/>
    </xf>
    <xf numFmtId="165" fontId="15" fillId="2" borderId="46" xfId="1" applyNumberFormat="1" applyFont="1" applyFill="1" applyBorder="1" applyAlignment="1">
      <alignment vertical="bottom"/>
      <protection locked="1" hidden="1"/>
    </xf>
    <xf numFmtId="165" fontId="15" fillId="2" borderId="32" xfId="1" applyNumberFormat="1" applyFont="1" applyFill="1" applyBorder="1" applyAlignment="1">
      <alignment vertical="bottom"/>
      <protection locked="1" hidden="1"/>
    </xf>
    <xf numFmtId="165" fontId="18" fillId="4" borderId="47" xfId="1" applyNumberFormat="1" applyFont="1" applyFill="1" applyBorder="1" applyAlignment="1">
      <alignment horizontal="center" vertical="center"/>
      <protection locked="0" hidden="0"/>
    </xf>
    <xf numFmtId="165" fontId="15" fillId="4" borderId="48" xfId="1" applyNumberFormat="1" applyFont="1" applyFill="1" applyBorder="1" applyAlignment="1">
      <alignment horizontal="center" vertical="center"/>
      <protection locked="0" hidden="0"/>
    </xf>
    <xf numFmtId="165" fontId="17" fillId="4" borderId="49" xfId="1" applyNumberFormat="1" applyFont="1" applyFill="1" applyBorder="1" applyAlignment="1">
      <alignment vertical="bottom"/>
      <protection locked="0" hidden="0"/>
    </xf>
    <xf numFmtId="165" fontId="16" fillId="2" borderId="7" xfId="1" applyNumberFormat="1" applyFont="1" applyFill="1" applyBorder="1" applyAlignment="1">
      <alignment vertical="bottom"/>
      <protection locked="0" hidden="0"/>
    </xf>
    <xf numFmtId="165" fontId="16" fillId="4" borderId="28" xfId="1" applyNumberFormat="1" applyFont="1" applyFill="1" applyBorder="1" applyAlignment="1">
      <alignment horizontal="center" vertical="bottom"/>
      <protection locked="0" hidden="0"/>
    </xf>
    <xf numFmtId="165" fontId="16" fillId="4" borderId="29" xfId="1" applyNumberFormat="1" applyFont="1" applyFill="1" applyBorder="1" applyAlignment="1">
      <alignment horizontal="center" vertical="bottom"/>
      <protection locked="0" hidden="0"/>
    </xf>
    <xf numFmtId="165" fontId="16" fillId="4" borderId="6" xfId="1" applyNumberFormat="1" applyFont="1" applyFill="1" applyBorder="1" applyAlignment="1">
      <alignment vertical="bottom"/>
      <protection locked="0" hidden="0"/>
    </xf>
    <xf numFmtId="165" fontId="17" fillId="4" borderId="25" xfId="1" applyNumberFormat="1" applyFont="1" applyFill="1" applyBorder="1" applyAlignment="1">
      <alignment vertical="bottom"/>
      <protection locked="0" hidden="0"/>
    </xf>
    <xf numFmtId="0" fontId="15" fillId="0" borderId="21" xfId="0" applyFont="1" applyBorder="1" applyAlignment="1">
      <alignment horizontal="left" vertical="bottom"/>
      <protection locked="0" hidden="0"/>
    </xf>
    <xf numFmtId="0" fontId="15" fillId="0" borderId="30" xfId="0" applyFont="1" applyBorder="1" applyAlignment="1">
      <alignment horizontal="left" vertical="bottom"/>
      <protection locked="0" hidden="0"/>
    </xf>
    <xf numFmtId="165" fontId="16" fillId="0" borderId="22" xfId="1" applyNumberFormat="1" applyFont="1" applyBorder="1" applyAlignment="1">
      <alignment vertical="bottom"/>
      <protection locked="0" hidden="0"/>
    </xf>
    <xf numFmtId="165" fontId="18" fillId="2" borderId="3" xfId="1" applyNumberFormat="1" applyFont="1" applyFill="1" applyBorder="1" applyAlignment="1">
      <alignment vertical="bottom"/>
      <protection locked="0" hidden="0"/>
    </xf>
    <xf numFmtId="165" fontId="16" fillId="0" borderId="35" xfId="1" applyNumberFormat="1" applyFont="1" applyBorder="1" applyAlignment="1">
      <alignment horizontal="center" vertical="bottom"/>
      <protection locked="0" hidden="0"/>
    </xf>
    <xf numFmtId="165" fontId="16" fillId="0" borderId="35" xfId="1" applyNumberFormat="1" applyFont="1" applyBorder="1" applyAlignment="1">
      <alignment vertical="bottom"/>
      <protection locked="0" hidden="0"/>
    </xf>
    <xf numFmtId="165" fontId="16" fillId="0" borderId="36" xfId="1" applyNumberFormat="1" applyFont="1" applyBorder="1" applyAlignment="1">
      <alignment vertical="bottom"/>
      <protection locked="0" hidden="0"/>
    </xf>
    <xf numFmtId="0" fontId="15" fillId="0" borderId="26" xfId="0" applyFont="1" applyBorder="1" applyAlignment="1">
      <alignment horizontal="left" vertical="bottom"/>
      <protection locked="0" hidden="0"/>
    </xf>
    <xf numFmtId="0" fontId="15" fillId="0" borderId="25" xfId="0" applyFont="1" applyBorder="1" applyAlignment="1">
      <alignment horizontal="left" vertical="bottom"/>
      <protection locked="0" hidden="0"/>
    </xf>
    <xf numFmtId="165" fontId="16" fillId="0" borderId="1" xfId="1" applyNumberFormat="1" applyFont="1" applyBorder="1" applyAlignment="1">
      <alignment vertical="bottom"/>
      <protection locked="0" hidden="0"/>
    </xf>
    <xf numFmtId="165" fontId="18" fillId="2" borderId="26" xfId="1" applyNumberFormat="1" applyFont="1" applyFill="1" applyBorder="1" applyAlignment="1">
      <alignment vertical="bottom"/>
      <protection locked="0" hidden="0"/>
    </xf>
    <xf numFmtId="165" fontId="16" fillId="0" borderId="39" xfId="1" applyNumberFormat="1" applyFont="1" applyBorder="1" applyAlignment="1">
      <alignment horizontal="center" vertical="bottom"/>
      <protection locked="0" hidden="0"/>
    </xf>
    <xf numFmtId="165" fontId="16" fillId="0" borderId="39" xfId="1" applyNumberFormat="1" applyFont="1" applyBorder="1" applyAlignment="1">
      <alignment vertical="bottom"/>
      <protection locked="0" hidden="0"/>
    </xf>
    <xf numFmtId="165" fontId="16" fillId="0" borderId="40" xfId="1" applyNumberFormat="1" applyFont="1" applyBorder="1" applyAlignment="1">
      <alignment vertical="bottom"/>
      <protection locked="0" hidden="0"/>
    </xf>
    <xf numFmtId="165" fontId="16" fillId="0" borderId="26" xfId="1" applyNumberFormat="1" applyFont="1" applyBorder="1" applyAlignment="1">
      <alignment vertical="bottom"/>
      <protection locked="0" hidden="0"/>
    </xf>
    <xf numFmtId="165" fontId="16" fillId="0" borderId="39" xfId="1" applyNumberFormat="1" applyFont="1" applyBorder="1" applyAlignment="1">
      <alignment horizontal="left" vertical="bottom"/>
      <protection locked="0" hidden="0"/>
    </xf>
    <xf numFmtId="0" fontId="15" fillId="0" borderId="3" xfId="0" applyFont="1" applyBorder="1" applyAlignment="1">
      <alignment horizontal="left" vertical="bottom"/>
      <protection locked="0" hidden="0"/>
    </xf>
    <xf numFmtId="0" fontId="15" fillId="0" borderId="5" xfId="0" applyFont="1" applyBorder="1" applyAlignment="1">
      <alignment horizontal="left" vertical="bottom"/>
      <protection locked="0" hidden="0"/>
    </xf>
    <xf numFmtId="165" fontId="16" fillId="0" borderId="3" xfId="1" applyNumberFormat="1" applyFont="1" applyBorder="1" applyAlignment="1">
      <alignment vertical="bottom"/>
      <protection locked="0" hidden="0"/>
    </xf>
    <xf numFmtId="165" fontId="18" fillId="2" borderId="6" xfId="1" applyNumberFormat="1" applyFont="1" applyFill="1" applyBorder="1" applyAlignment="1">
      <alignment vertical="bottom"/>
      <protection locked="0" hidden="0"/>
    </xf>
    <xf numFmtId="165" fontId="16" fillId="0" borderId="37" xfId="1" applyNumberFormat="1" applyFont="1" applyBorder="1" applyAlignment="1">
      <alignment horizontal="left" vertical="bottom"/>
      <protection locked="0" hidden="0"/>
    </xf>
    <xf numFmtId="0" fontId="15" fillId="0" borderId="28" xfId="0" applyFont="1" applyBorder="1" applyAlignment="1">
      <alignment horizontal="left" vertical="bottom"/>
      <protection locked="0" hidden="0"/>
    </xf>
    <xf numFmtId="0" fontId="15" fillId="0" borderId="29" xfId="0" applyFont="1" applyBorder="1" applyAlignment="1">
      <alignment horizontal="left" vertical="bottom"/>
      <protection locked="0" hidden="0"/>
    </xf>
    <xf numFmtId="3" fontId="16" fillId="0" borderId="25" xfId="0" applyNumberFormat="1" applyFont="1" applyBorder="1" applyAlignment="1">
      <alignment vertical="bottom"/>
      <protection locked="0" hidden="0"/>
    </xf>
    <xf numFmtId="0" fontId="16" fillId="0" borderId="37" xfId="0" applyFont="1" applyBorder="1" applyAlignment="1">
      <alignment horizontal="left" vertical="bottom"/>
      <protection locked="0" hidden="0"/>
    </xf>
    <xf numFmtId="0" fontId="16" fillId="0" borderId="39" xfId="0" applyFont="1" applyBorder="1" applyAlignment="1">
      <alignment horizontal="left" vertical="bottom"/>
      <protection locked="0" hidden="0"/>
    </xf>
    <xf numFmtId="0" fontId="16" fillId="0" borderId="25" xfId="0" applyFont="1" applyBorder="1" applyAlignment="1">
      <alignment vertical="bottom"/>
      <protection locked="0" hidden="0"/>
    </xf>
    <xf numFmtId="165" fontId="18" fillId="2" borderId="15" xfId="1" applyNumberFormat="1" applyFont="1" applyFill="1" applyBorder="1" applyAlignment="1">
      <alignment vertical="bottom"/>
      <protection locked="0" hidden="0"/>
    </xf>
    <xf numFmtId="165" fontId="16" fillId="0" borderId="30" xfId="0" applyNumberFormat="1" applyFont="1" applyBorder="1" applyAlignment="1">
      <alignment vertical="bottom"/>
      <protection locked="1" hidden="1"/>
    </xf>
    <xf numFmtId="0" fontId="18" fillId="2" borderId="14" xfId="0" applyFont="1" applyFill="1" applyBorder="1" applyAlignment="1">
      <alignment vertical="bottom"/>
      <protection locked="0" hidden="0"/>
    </xf>
    <xf numFmtId="0" fontId="16" fillId="0" borderId="50" xfId="0" applyFont="1" applyBorder="1" applyAlignment="1">
      <alignment horizontal="left" vertical="bottom"/>
      <protection locked="0" hidden="0"/>
    </xf>
    <xf numFmtId="0" fontId="16" fillId="0" borderId="51" xfId="0" applyFont="1" applyBorder="1" applyAlignment="1">
      <alignment horizontal="left" vertical="bottom"/>
      <protection locked="0" hidden="0"/>
    </xf>
    <xf numFmtId="0" fontId="16" fillId="0" borderId="50" xfId="0" applyFont="1" applyBorder="1" applyAlignment="1">
      <alignment vertical="bottom"/>
      <protection locked="0" hidden="0"/>
    </xf>
    <xf numFmtId="0" fontId="16" fillId="0" borderId="52" xfId="0" applyFont="1" applyBorder="1" applyAlignment="1">
      <alignment vertical="bottom"/>
      <protection locked="0" hidden="0"/>
    </xf>
    <xf numFmtId="165" fontId="21" fillId="0" borderId="3" xfId="1" applyNumberFormat="1" applyFont="1" applyBorder="1" applyAlignment="1">
      <alignment horizontal="center" vertical="bottom"/>
      <protection locked="0" hidden="0"/>
    </xf>
    <xf numFmtId="165" fontId="21" fillId="0" borderId="7" xfId="1" applyNumberFormat="1" applyFont="1" applyBorder="1" applyAlignment="1">
      <alignment horizontal="center" vertical="bottom"/>
      <protection locked="0" hidden="0"/>
    </xf>
    <xf numFmtId="165" fontId="21" fillId="0" borderId="5" xfId="1" applyNumberFormat="1" applyFont="1" applyBorder="1" applyAlignment="1">
      <alignment horizontal="center" vertical="bottom"/>
      <protection locked="0" hidden="0"/>
    </xf>
    <xf numFmtId="165" fontId="21" fillId="0" borderId="21" xfId="1" applyNumberFormat="1" applyFont="1" applyBorder="1" applyAlignment="1">
      <alignment horizontal="center" vertical="bottom"/>
      <protection locked="0" hidden="0"/>
    </xf>
    <xf numFmtId="165" fontId="21" fillId="0" borderId="23" xfId="1" applyNumberFormat="1" applyFont="1" applyBorder="1" applyAlignment="1">
      <alignment horizontal="center" vertical="bottom"/>
      <protection locked="0" hidden="0"/>
    </xf>
    <xf numFmtId="165" fontId="21" fillId="0" borderId="30" xfId="1" applyNumberFormat="1" applyFont="1" applyBorder="1" applyAlignment="1">
      <alignment horizontal="center" vertical="bottom"/>
      <protection locked="0" hidden="0"/>
    </xf>
    <xf numFmtId="0" fontId="15" fillId="0" borderId="0" xfId="0" applyFont="1" applyBorder="1" applyAlignment="1">
      <alignment vertical="bottom"/>
      <protection locked="0" hidden="0"/>
    </xf>
    <xf numFmtId="165" fontId="11" fillId="2" borderId="26" xfId="1" applyNumberFormat="1" applyFont="1" applyFill="1" applyBorder="1" applyAlignment="1">
      <alignment horizontal="center" vertical="bottom"/>
      <protection locked="0" hidden="0"/>
    </xf>
    <xf numFmtId="165" fontId="11" fillId="2" borderId="24" xfId="1" applyNumberFormat="1" applyFont="1" applyFill="1" applyBorder="1" applyAlignment="1">
      <alignment horizontal="center" vertical="bottom"/>
      <protection locked="0" hidden="0"/>
    </xf>
    <xf numFmtId="165" fontId="11" fillId="2" borderId="25" xfId="1" applyNumberFormat="1" applyFont="1" applyFill="1" applyBorder="1" applyAlignment="1">
      <alignment horizontal="center" vertical="bottom"/>
      <protection locked="0" hidden="0"/>
    </xf>
    <xf numFmtId="0" fontId="22" fillId="2" borderId="26" xfId="0" applyFont="1" applyFill="1" applyBorder="1" applyAlignment="1">
      <alignment horizontal="left" vertical="bottom"/>
      <protection locked="0" hidden="0"/>
    </xf>
    <xf numFmtId="0" fontId="22" fillId="2" borderId="24" xfId="0" applyFont="1" applyFill="1" applyBorder="1" applyAlignment="1">
      <alignment horizontal="left" vertical="bottom"/>
      <protection locked="0" hidden="0"/>
    </xf>
    <xf numFmtId="0" fontId="22" fillId="2" borderId="25" xfId="0" applyFont="1" applyFill="1" applyBorder="1" applyAlignment="1">
      <alignment horizontal="left" vertical="bottom"/>
      <protection locked="0" hidden="0"/>
    </xf>
    <xf numFmtId="165" fontId="16" fillId="0" borderId="26" xfId="0" applyNumberFormat="1" applyFont="1" applyBorder="1" applyAlignment="1">
      <alignment horizontal="center" vertical="bottom"/>
      <protection locked="1" hidden="1"/>
    </xf>
    <xf numFmtId="0" fontId="16" fillId="0" borderId="24" xfId="0" applyFont="1" applyBorder="1" applyAlignment="1">
      <alignment horizontal="center" vertical="bottom"/>
      <protection locked="1" hidden="1"/>
    </xf>
    <xf numFmtId="0" fontId="16" fillId="0" borderId="25" xfId="0" applyFont="1" applyBorder="1" applyAlignment="1">
      <alignment horizontal="center" vertical="bottom"/>
      <protection locked="1" hidden="1"/>
    </xf>
    <xf numFmtId="165" fontId="16" fillId="0" borderId="1" xfId="0" applyNumberFormat="1" applyFont="1" applyBorder="1" applyAlignment="1">
      <alignment horizontal="center" vertical="bottom"/>
      <protection locked="1" hidden="1"/>
    </xf>
    <xf numFmtId="0" fontId="16" fillId="0" borderId="0" xfId="0" applyFont="1" applyBorder="1" applyAlignment="1">
      <alignment horizontal="center" vertical="bottom"/>
      <protection locked="1" hidden="1"/>
    </xf>
    <xf numFmtId="0" fontId="16" fillId="0" borderId="27" xfId="0" applyFont="1" applyBorder="1" applyAlignment="1">
      <alignment horizontal="center" vertical="bottom"/>
      <protection locked="1" hidden="1"/>
    </xf>
    <xf numFmtId="0" fontId="1" fillId="0" borderId="0" xfId="0" applyBorder="1" applyAlignment="1">
      <alignment vertical="bottom"/>
      <protection locked="0" hidden="0"/>
    </xf>
    <xf numFmtId="0" fontId="2" fillId="2" borderId="26" xfId="0" applyFont="1" applyFill="1" applyBorder="1" applyAlignment="1">
      <alignment horizontal="left" vertical="bottom"/>
      <protection locked="0" hidden="0"/>
    </xf>
    <xf numFmtId="0" fontId="2" fillId="2" borderId="24" xfId="0" applyFont="1" applyFill="1" applyBorder="1" applyAlignment="1">
      <alignment horizontal="left" vertical="bottom"/>
      <protection locked="0" hidden="0"/>
    </xf>
    <xf numFmtId="0" fontId="2" fillId="2" borderId="25" xfId="0" applyFont="1" applyFill="1" applyBorder="1" applyAlignment="1">
      <alignment horizontal="left" vertical="bottom"/>
      <protection locked="0" hidden="0"/>
    </xf>
    <xf numFmtId="165" fontId="1" fillId="0" borderId="26" xfId="0" applyNumberFormat="1" applyBorder="1" applyAlignment="1">
      <alignment horizontal="center" vertical="bottom"/>
      <protection locked="1" hidden="1"/>
    </xf>
    <xf numFmtId="0" fontId="1" fillId="0" borderId="24" xfId="0" applyBorder="1" applyAlignment="1">
      <alignment horizontal="center" vertical="bottom"/>
      <protection locked="1" hidden="1"/>
    </xf>
    <xf numFmtId="0" fontId="1" fillId="0" borderId="25" xfId="0" applyBorder="1" applyAlignment="1">
      <alignment horizontal="center" vertical="bottom"/>
      <protection locked="1" hidden="1"/>
    </xf>
    <xf numFmtId="165" fontId="1" fillId="0" borderId="24" xfId="0" applyNumberFormat="1" applyBorder="1" applyAlignment="1">
      <alignment horizontal="center" vertical="bottom"/>
      <protection locked="1" hidden="1"/>
    </xf>
    <xf numFmtId="165" fontId="1" fillId="0" borderId="25" xfId="0" applyNumberFormat="1" applyBorder="1" applyAlignment="1">
      <alignment horizontal="center" vertical="bottom"/>
      <protection locked="1" hidden="1"/>
    </xf>
    <xf numFmtId="0" fontId="23" fillId="0" borderId="26" xfId="0" applyFont="1" applyBorder="1" applyAlignment="1">
      <alignment horizontal="center" vertical="bottom"/>
      <protection locked="1" hidden="1"/>
    </xf>
    <xf numFmtId="0" fontId="23" fillId="0" borderId="24" xfId="0" applyFont="1" applyBorder="1" applyAlignment="1">
      <alignment horizontal="center" vertical="bottom"/>
      <protection locked="1" hidden="1"/>
    </xf>
    <xf numFmtId="0" fontId="23" fillId="0" borderId="25" xfId="0" applyFont="1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  <protection locked="0" hidden="0"/>
    </xf>
    <xf numFmtId="0" fontId="1" fillId="0" borderId="24" xfId="0" applyBorder="1" applyAlignment="1">
      <alignment horizontal="center" vertical="bottom"/>
      <protection locked="0" hidden="0"/>
    </xf>
    <xf numFmtId="0" fontId="1" fillId="0" borderId="25" xfId="0" applyBorder="1" applyAlignment="1">
      <alignment horizontal="center" vertical="bottom"/>
      <protection locked="0" hidden="0"/>
    </xf>
    <xf numFmtId="165" fontId="11" fillId="6" borderId="3" xfId="1" applyNumberFormat="1" applyFont="1" applyFill="1" applyBorder="1" applyAlignment="1">
      <alignment horizontal="center" vertical="bottom"/>
      <protection locked="0" hidden="0"/>
    </xf>
    <xf numFmtId="165" fontId="12" fillId="6" borderId="7" xfId="1" applyNumberFormat="1" applyFont="1" applyFill="1" applyBorder="1" applyAlignment="1">
      <alignment horizontal="center" vertical="bottom"/>
      <protection locked="0" hidden="0"/>
    </xf>
    <xf numFmtId="165" fontId="12" fillId="6" borderId="5" xfId="1" applyNumberFormat="1" applyFont="1" applyFill="1" applyBorder="1" applyAlignment="1">
      <alignment horizontal="center" vertical="bottom"/>
      <protection locked="0" hidden="0"/>
    </xf>
    <xf numFmtId="165" fontId="12" fillId="6" borderId="21" xfId="1" applyNumberFormat="1" applyFont="1" applyFill="1" applyBorder="1" applyAlignment="1">
      <alignment horizontal="center" vertical="bottom"/>
      <protection locked="0" hidden="0"/>
    </xf>
    <xf numFmtId="165" fontId="12" fillId="6" borderId="23" xfId="1" applyNumberFormat="1" applyFont="1" applyFill="1" applyBorder="1" applyAlignment="1">
      <alignment horizontal="center" vertical="bottom"/>
      <protection locked="0" hidden="0"/>
    </xf>
    <xf numFmtId="165" fontId="12" fillId="6" borderId="30" xfId="1" applyNumberFormat="1" applyFont="1" applyFill="1" applyBorder="1" applyAlignment="1">
      <alignment horizontal="center" vertical="bottom"/>
      <protection locked="0" hidden="0"/>
    </xf>
    <xf numFmtId="165" fontId="13" fillId="6" borderId="1" xfId="1" applyNumberFormat="1" applyFont="1" applyFill="1" applyBorder="1" applyAlignment="1">
      <alignment horizontal="center" vertical="bottom"/>
      <protection locked="0" hidden="0"/>
    </xf>
    <xf numFmtId="165" fontId="14" fillId="6" borderId="0" xfId="1" applyNumberFormat="1" applyFont="1" applyFill="1" applyAlignment="1">
      <alignment horizontal="center" vertical="bottom"/>
      <protection locked="0" hidden="0"/>
    </xf>
    <xf numFmtId="165" fontId="14" fillId="6" borderId="27" xfId="1" applyNumberFormat="1" applyFont="1" applyFill="1" applyBorder="1" applyAlignment="1">
      <alignment horizontal="center" vertical="bottom"/>
      <protection locked="0" hidden="0"/>
    </xf>
    <xf numFmtId="165" fontId="14" fillId="6" borderId="21" xfId="1" applyNumberFormat="1" applyFont="1" applyFill="1" applyBorder="1" applyAlignment="1">
      <alignment horizontal="center" vertical="bottom"/>
      <protection locked="0" hidden="0"/>
    </xf>
    <xf numFmtId="165" fontId="14" fillId="6" borderId="23" xfId="1" applyNumberFormat="1" applyFont="1" applyFill="1" applyBorder="1" applyAlignment="1">
      <alignment horizontal="center" vertical="bottom"/>
      <protection locked="0" hidden="0"/>
    </xf>
    <xf numFmtId="165" fontId="14" fillId="6" borderId="30" xfId="1" applyNumberFormat="1" applyFont="1" applyFill="1" applyBorder="1" applyAlignment="1">
      <alignment horizontal="center" vertical="bottom"/>
      <protection locked="0" hidden="0"/>
    </xf>
    <xf numFmtId="165" fontId="18" fillId="4" borderId="6" xfId="1" applyNumberFormat="1" applyFont="1" applyFill="1" applyBorder="1" applyAlignment="1">
      <alignment vertical="bottom"/>
      <protection locked="0" hidden="0"/>
    </xf>
    <xf numFmtId="165" fontId="15" fillId="2" borderId="15" xfId="1" applyNumberFormat="1" applyFont="1" applyFill="1" applyBorder="1" applyAlignment="1">
      <alignment vertical="bottom"/>
      <protection locked="0" hidden="0"/>
    </xf>
    <xf numFmtId="165" fontId="15" fillId="2" borderId="12" xfId="1" applyNumberFormat="1" applyFont="1" applyFill="1" applyBorder="1" applyAlignment="1">
      <alignment vertical="bottom"/>
      <protection locked="0" hidden="0"/>
    </xf>
    <xf numFmtId="165" fontId="18" fillId="2" borderId="12" xfId="1" applyNumberFormat="1" applyFont="1" applyFill="1" applyBorder="1" applyAlignment="1">
      <alignment vertical="bottom"/>
      <protection locked="0" hidden="0"/>
    </xf>
    <xf numFmtId="165" fontId="17" fillId="2" borderId="12" xfId="1" applyNumberFormat="1" applyFont="1" applyFill="1" applyBorder="1" applyAlignment="1">
      <alignment vertical="bottom"/>
      <protection locked="0" hidden="0"/>
    </xf>
    <xf numFmtId="165" fontId="20" fillId="4" borderId="26" xfId="1" applyNumberFormat="1" applyFont="1" applyFill="1" applyBorder="1" applyAlignment="1">
      <alignment horizontal="center" vertical="bottom"/>
      <protection locked="0" hidden="0"/>
    </xf>
    <xf numFmtId="0" fontId="1" fillId="7" borderId="0" xfId="0" applyFill="1" applyAlignment="1">
      <alignment vertical="bottom"/>
      <protection locked="0" hidden="0"/>
    </xf>
    <xf numFmtId="165" fontId="11" fillId="2" borderId="21" xfId="1" applyNumberFormat="1" applyFont="1" applyFill="1" applyBorder="1" applyAlignment="1">
      <alignment horizontal="center" vertical="bottom"/>
      <protection locked="0" hidden="0"/>
    </xf>
    <xf numFmtId="165" fontId="11" fillId="2" borderId="23" xfId="1" applyNumberFormat="1" applyFont="1" applyFill="1" applyBorder="1" applyAlignment="1">
      <alignment horizontal="center" vertical="bottom"/>
      <protection locked="0" hidden="0"/>
    </xf>
    <xf numFmtId="165" fontId="11" fillId="2" borderId="30" xfId="1" applyNumberFormat="1" applyFont="1" applyFill="1" applyBorder="1" applyAlignment="1">
      <alignment horizontal="center" vertical="bottom"/>
      <protection locked="0" hidden="0"/>
    </xf>
    <xf numFmtId="0" fontId="2" fillId="2" borderId="26" xfId="0" applyFont="1" applyFill="1" applyBorder="1" applyAlignment="1">
      <alignment horizontal="center" vertical="bottom"/>
      <protection locked="0" hidden="0"/>
    </xf>
    <xf numFmtId="0" fontId="2" fillId="2" borderId="24" xfId="0" applyFont="1" applyFill="1" applyBorder="1" applyAlignment="1">
      <alignment horizontal="center" vertical="bottom"/>
      <protection locked="0" hidden="0"/>
    </xf>
    <xf numFmtId="0" fontId="2" fillId="2" borderId="25" xfId="0" applyFont="1" applyFill="1" applyBorder="1" applyAlignment="1">
      <alignment horizontal="center" vertical="bottom"/>
      <protection locked="0" hidden="0"/>
    </xf>
    <xf numFmtId="165" fontId="24" fillId="2" borderId="26" xfId="1" applyNumberFormat="1" applyFont="1" applyFill="1" applyBorder="1" applyAlignment="1">
      <alignment horizontal="center" vertical="bottom"/>
      <protection locked="1" hidden="1"/>
    </xf>
    <xf numFmtId="165" fontId="24" fillId="2" borderId="24" xfId="1" applyNumberFormat="1" applyFont="1" applyFill="1" applyBorder="1" applyAlignment="1">
      <alignment horizontal="center" vertical="bottom"/>
      <protection locked="1" hidden="1"/>
    </xf>
    <xf numFmtId="165" fontId="24" fillId="2" borderId="25" xfId="1" applyNumberFormat="1" applyFont="1" applyFill="1" applyBorder="1" applyAlignment="1">
      <alignment horizontal="center" vertical="bottom"/>
      <protection locked="1" hidden="1"/>
    </xf>
    <xf numFmtId="165" fontId="12" fillId="5" borderId="3" xfId="1" applyNumberFormat="1" applyFont="1" applyFill="1" applyBorder="1" applyAlignment="1">
      <alignment horizontal="center" vertical="bottom"/>
      <protection locked="0" hidden="0"/>
    </xf>
    <xf numFmtId="165" fontId="14" fillId="5" borderId="1" xfId="1" applyNumberFormat="1" applyFont="1" applyFill="1" applyBorder="1" applyAlignment="1">
      <alignment horizontal="center" vertical="bottom"/>
      <protection locked="0" hidden="0"/>
    </xf>
    <xf numFmtId="165" fontId="15" fillId="0" borderId="6" xfId="1" applyNumberFormat="1" applyFont="1" applyBorder="1" applyAlignment="1">
      <alignment vertical="bottom"/>
      <protection locked="1" hidden="1"/>
    </xf>
    <xf numFmtId="165" fontId="15" fillId="0" borderId="25" xfId="1" applyNumberFormat="1" applyFont="1" applyBorder="1" applyAlignment="1">
      <alignment vertical="bottom"/>
      <protection locked="1" hidden="1"/>
    </xf>
    <xf numFmtId="0" fontId="1" fillId="0" borderId="0" xfId="0" applyBorder="1" applyAlignment="1">
      <alignment vertical="bottom"/>
    </xf>
    <xf numFmtId="0" fontId="2" fillId="2" borderId="26" xfId="0" applyFont="1" applyFill="1" applyBorder="1" applyAlignment="1">
      <alignment horizontal="left" vertical="bottom"/>
    </xf>
    <xf numFmtId="0" fontId="2" fillId="2" borderId="24" xfId="0" applyFont="1" applyFill="1" applyBorder="1" applyAlignment="1">
      <alignment horizontal="left" vertical="bottom"/>
    </xf>
    <xf numFmtId="0" fontId="2" fillId="2" borderId="25" xfId="0" applyFont="1" applyFill="1" applyBorder="1" applyAlignment="1">
      <alignment horizontal="left" vertical="bottom"/>
    </xf>
    <xf numFmtId="0" fontId="1" fillId="0" borderId="26" xfId="0" applyBorder="1" applyAlignment="1">
      <alignment horizontal="center" vertical="bottom"/>
      <protection locked="1" hidden="1"/>
    </xf>
    <xf numFmtId="0" fontId="1" fillId="0" borderId="26" xfId="0" applyBorder="1" applyAlignment="1">
      <alignment horizontal="center" vertical="bottom"/>
    </xf>
    <xf numFmtId="0" fontId="1" fillId="0" borderId="24" xfId="0" applyBorder="1" applyAlignment="1">
      <alignment horizontal="center" vertical="bottom"/>
    </xf>
    <xf numFmtId="0" fontId="1" fillId="0" borderId="25" xfId="0" applyBorder="1" applyAlignment="1">
      <alignment horizontal="center" vertical="bottom"/>
    </xf>
    <xf numFmtId="165" fontId="17" fillId="0" borderId="37" xfId="1" applyNumberFormat="1" applyFont="1" applyBorder="1" applyAlignment="1">
      <alignment vertical="bottom"/>
      <protection locked="0" hidden="0"/>
    </xf>
    <xf numFmtId="165" fontId="25" fillId="0" borderId="26" xfId="1" applyNumberFormat="1" applyFont="1" applyBorder="1" applyAlignment="1">
      <alignment horizontal="center" vertical="bottom"/>
      <protection locked="1" hidden="1"/>
    </xf>
    <xf numFmtId="165" fontId="25" fillId="0" borderId="24" xfId="1" applyNumberFormat="1" applyFont="1" applyBorder="1" applyAlignment="1">
      <alignment horizontal="center" vertical="bottom"/>
      <protection locked="1" hidden="1"/>
    </xf>
    <xf numFmtId="165" fontId="25" fillId="0" borderId="25" xfId="1" applyNumberFormat="1" applyFont="1" applyBorder="1" applyAlignment="1">
      <alignment horizontal="center" vertical="bottom"/>
      <protection locked="1" hidden="1"/>
    </xf>
    <xf numFmtId="165" fontId="15" fillId="4" borderId="25" xfId="1" applyNumberFormat="1" applyFont="1" applyFill="1" applyBorder="1" applyAlignment="1">
      <alignment vertical="bottom"/>
      <protection locked="1" hidden="1"/>
    </xf>
    <xf numFmtId="165" fontId="17" fillId="0" borderId="33" xfId="1" applyNumberFormat="1" applyFont="1" applyBorder="1" applyAlignment="1">
      <alignment vertical="bottom"/>
      <protection locked="0" hidden="0"/>
    </xf>
    <xf numFmtId="165" fontId="17" fillId="0" borderId="12" xfId="1" applyNumberFormat="1" applyFont="1" applyBorder="1" applyAlignment="1">
      <alignment vertical="bottom"/>
      <protection locked="0" hidden="0"/>
    </xf>
    <xf numFmtId="165" fontId="18" fillId="4" borderId="48" xfId="1" applyNumberFormat="1" applyFont="1" applyFill="1" applyBorder="1" applyAlignment="1">
      <alignment horizontal="center" vertical="center"/>
      <protection locked="0" hidden="0"/>
    </xf>
    <xf numFmtId="165" fontId="16" fillId="4" borderId="26" xfId="1" applyNumberFormat="1" applyFont="1" applyFill="1" applyBorder="1" applyAlignment="1">
      <alignment horizontal="center" vertical="bottom"/>
      <protection locked="0" hidden="0"/>
    </xf>
    <xf numFmtId="165" fontId="16" fillId="4" borderId="25" xfId="1" applyNumberFormat="1" applyFont="1" applyFill="1" applyBorder="1" applyAlignment="1">
      <alignment horizontal="center" vertical="bottom"/>
      <protection locked="0" hidden="0"/>
    </xf>
    <xf numFmtId="0" fontId="15" fillId="0" borderId="53" xfId="0" applyFont="1" applyBorder="1" applyAlignment="1">
      <alignment horizontal="left" vertical="bottom"/>
      <protection locked="0" hidden="0"/>
    </xf>
    <xf numFmtId="0" fontId="15" fillId="0" borderId="54" xfId="0" applyFont="1" applyBorder="1" applyAlignment="1">
      <alignment horizontal="left" vertical="bottom"/>
      <protection locked="0" hidden="0"/>
    </xf>
    <xf numFmtId="165" fontId="16" fillId="0" borderId="55" xfId="1" applyNumberFormat="1" applyFont="1" applyBorder="1" applyAlignment="1">
      <alignment horizontal="center" vertical="bottom"/>
      <protection locked="0" hidden="0"/>
    </xf>
    <xf numFmtId="165" fontId="16" fillId="0" borderId="56" xfId="1" applyNumberFormat="1" applyFont="1" applyBorder="1" applyAlignment="1">
      <alignment horizontal="center" vertical="bottom"/>
      <protection locked="0" hidden="0"/>
    </xf>
    <xf numFmtId="165" fontId="16" fillId="0" borderId="38" xfId="1" applyNumberFormat="1" applyFont="1" applyBorder="1" applyAlignment="1">
      <alignment horizontal="left" vertical="bottom"/>
      <protection locked="0" hidden="0"/>
    </xf>
    <xf numFmtId="165" fontId="16" fillId="0" borderId="11" xfId="1" applyNumberFormat="1" applyFont="1" applyBorder="1" applyAlignment="1">
      <alignment horizontal="left" vertical="bottom"/>
      <protection locked="0" hidden="0"/>
    </xf>
    <xf numFmtId="0" fontId="16" fillId="0" borderId="11" xfId="0" applyFont="1" applyBorder="1" applyAlignment="1">
      <alignment horizontal="left" vertical="bottom"/>
      <protection locked="0" hidden="0"/>
    </xf>
    <xf numFmtId="0" fontId="16" fillId="0" borderId="18" xfId="0" applyFont="1" applyBorder="1" applyAlignment="1">
      <alignment horizontal="left" vertical="bottom"/>
      <protection locked="0" hidden="0"/>
    </xf>
    <xf numFmtId="165" fontId="16" fillId="0" borderId="24" xfId="0" applyNumberFormat="1" applyFont="1" applyBorder="1" applyAlignment="1">
      <alignment horizontal="center" vertical="bottom"/>
      <protection locked="1" hidden="1"/>
    </xf>
    <xf numFmtId="165" fontId="16" fillId="0" borderId="25" xfId="0" applyNumberFormat="1" applyFont="1" applyBorder="1" applyAlignment="1">
      <alignment horizontal="center" vertical="bottom"/>
      <protection locked="1" hidden="1"/>
    </xf>
    <xf numFmtId="165" fontId="16" fillId="0" borderId="26" xfId="0" applyNumberFormat="1" applyFont="1" applyBorder="1" applyAlignment="1">
      <alignment horizontal="center" vertical="bottom"/>
      <protection locked="0" hidden="0"/>
    </xf>
    <xf numFmtId="0" fontId="16" fillId="0" borderId="24" xfId="0" applyFont="1" applyBorder="1" applyAlignment="1">
      <alignment horizontal="center" vertical="bottom"/>
      <protection locked="0" hidden="0"/>
    </xf>
    <xf numFmtId="0" fontId="16" fillId="0" borderId="25" xfId="0" applyFont="1" applyBorder="1" applyAlignment="1">
      <alignment horizontal="center" vertical="bottom"/>
      <protection locked="0" hidden="0"/>
    </xf>
    <xf numFmtId="165" fontId="16" fillId="0" borderId="1" xfId="0" applyNumberFormat="1" applyFont="1" applyBorder="1" applyAlignment="1">
      <alignment horizontal="center" vertical="bottom"/>
      <protection locked="0" hidden="0"/>
    </xf>
    <xf numFmtId="0" fontId="16" fillId="0" borderId="0" xfId="0" applyFont="1" applyBorder="1" applyAlignment="1">
      <alignment horizontal="center" vertical="bottom"/>
      <protection locked="0" hidden="0"/>
    </xf>
    <xf numFmtId="0" fontId="16" fillId="0" borderId="27" xfId="0" applyFont="1" applyBorder="1" applyAlignment="1">
      <alignment horizontal="center" vertical="bottom"/>
      <protection locked="0" hidden="0"/>
    </xf>
    <xf numFmtId="165" fontId="1" fillId="0" borderId="26" xfId="0" applyNumberFormat="1" applyBorder="1" applyAlignment="1">
      <alignment horizontal="center" vertical="bottom"/>
    </xf>
    <xf numFmtId="165" fontId="1" fillId="0" borderId="24" xfId="0" applyNumberFormat="1" applyBorder="1" applyAlignment="1">
      <alignment horizontal="center" vertical="bottom"/>
    </xf>
    <xf numFmtId="165" fontId="1" fillId="0" borderId="25" xfId="0" applyNumberFormat="1" applyBorder="1" applyAlignment="1">
      <alignment horizontal="center" vertical="bottom"/>
    </xf>
    <xf numFmtId="165" fontId="26" fillId="2" borderId="26" xfId="1" applyNumberFormat="1" applyFont="1" applyFill="1" applyBorder="1" applyAlignment="1">
      <alignment horizontal="center" vertical="bottom"/>
      <protection locked="0" hidden="0"/>
    </xf>
    <xf numFmtId="165" fontId="26" fillId="2" borderId="24" xfId="1" applyNumberFormat="1" applyFont="1" applyFill="1" applyBorder="1" applyAlignment="1">
      <alignment horizontal="center" vertical="bottom"/>
      <protection locked="0" hidden="0"/>
    </xf>
    <xf numFmtId="165" fontId="26" fillId="2" borderId="25" xfId="1" applyNumberFormat="1" applyFont="1" applyFill="1" applyBorder="1" applyAlignment="1">
      <alignment horizontal="center" vertical="bottom"/>
      <protection locked="0" hidden="0"/>
    </xf>
    <xf numFmtId="0" fontId="27" fillId="2" borderId="26" xfId="0" applyFont="1" applyFill="1" applyBorder="1" applyAlignment="1">
      <alignment horizontal="left" vertical="bottom"/>
      <protection locked="0" hidden="0"/>
    </xf>
    <xf numFmtId="0" fontId="27" fillId="2" borderId="24" xfId="0" applyFont="1" applyFill="1" applyBorder="1" applyAlignment="1">
      <alignment horizontal="left" vertical="bottom"/>
      <protection locked="0" hidden="0"/>
    </xf>
    <xf numFmtId="0" fontId="27" fillId="2" borderId="25" xfId="0" applyFont="1" applyFill="1" applyBorder="1" applyAlignment="1">
      <alignment horizontal="left" vertical="bottom"/>
      <protection locked="0" hidden="0"/>
    </xf>
    <xf numFmtId="165" fontId="28" fillId="0" borderId="26" xfId="0" applyNumberFormat="1" applyFont="1" applyBorder="1" applyAlignment="1">
      <alignment horizontal="center" vertical="bottom"/>
      <protection locked="1" hidden="1"/>
    </xf>
    <xf numFmtId="0" fontId="28" fillId="0" borderId="24" xfId="0" applyFont="1" applyBorder="1" applyAlignment="1">
      <alignment horizontal="center" vertical="bottom"/>
      <protection locked="1" hidden="1"/>
    </xf>
    <xf numFmtId="0" fontId="28" fillId="0" borderId="25" xfId="0" applyFont="1" applyBorder="1" applyAlignment="1">
      <alignment horizontal="center" vertical="bottom"/>
      <protection locked="1" hidden="1"/>
    </xf>
    <xf numFmtId="0" fontId="24" fillId="2" borderId="26" xfId="0" applyFont="1" applyFill="1" applyBorder="1" applyAlignment="1">
      <alignment horizontal="left" vertical="bottom"/>
    </xf>
    <xf numFmtId="0" fontId="24" fillId="2" borderId="24" xfId="0" applyFont="1" applyFill="1" applyBorder="1" applyAlignment="1">
      <alignment horizontal="left" vertical="bottom"/>
    </xf>
    <xf numFmtId="0" fontId="24" fillId="2" borderId="25" xfId="0" applyFont="1" applyFill="1" applyBorder="1" applyAlignment="1">
      <alignment horizontal="left" vertical="bottom"/>
    </xf>
    <xf numFmtId="165" fontId="29" fillId="2" borderId="26" xfId="0" applyNumberFormat="1" applyFont="1" applyFill="1" applyBorder="1" applyAlignment="1">
      <alignment horizontal="center" vertical="bottom"/>
      <protection locked="1" hidden="1"/>
    </xf>
    <xf numFmtId="0" fontId="29" fillId="2" borderId="24" xfId="0" applyFont="1" applyFill="1" applyBorder="1" applyAlignment="1">
      <alignment horizontal="center" vertical="bottom"/>
      <protection locked="1" hidden="1"/>
    </xf>
    <xf numFmtId="0" fontId="29" fillId="2" borderId="25" xfId="0" applyFont="1" applyFill="1" applyBorder="1" applyAlignment="1">
      <alignment horizontal="center" vertical="bottom"/>
      <protection locked="1" hidden="1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065"/>
  <sheetViews>
    <sheetView workbookViewId="0" zoomScale="80">
      <selection activeCell="J29" sqref="J29"/>
    </sheetView>
  </sheetViews>
  <sheetFormatPr defaultRowHeight="18.5"/>
  <cols>
    <col min="1" max="1" customWidth="1" width="22.816406" style="1"/>
    <col min="2" max="2" customWidth="1" width="28.269531" style="2"/>
    <col min="3" max="3" customWidth="1" width="24.453125" style="3"/>
    <col min="4" max="4" customWidth="1" width="16.089844" style="1"/>
    <col min="5" max="5" customWidth="1" width="21.726562" style="1"/>
    <col min="6" max="6" customWidth="1" width="20.632812" style="4"/>
    <col min="7" max="7" customWidth="1" width="20.089844" style="4"/>
    <col min="8" max="8" customWidth="1" width="17.0" style="1"/>
    <col min="9" max="9" customWidth="1" width="16.816406" style="1"/>
    <col min="10" max="10" customWidth="1" width="14.6328125" style="1"/>
    <col min="11" max="11" customWidth="0" width="8.90625" style="1"/>
    <col min="12" max="12" customWidth="1" width="19.90625" style="1"/>
    <col min="13" max="16384" customWidth="0" width="8.90625" style="1"/>
  </cols>
  <sheetData>
    <row r="1" spans="8:8" ht="51.5">
      <c r="A1" s="5" t="s">
        <v>38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  <c r="N1" s="7"/>
    </row>
    <row r="2" spans="8:8" ht="31.0" customHeight="1">
      <c r="A2" s="8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7"/>
      <c r="M2" s="7"/>
      <c r="N2" s="7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7"/>
      <c r="M3" s="7"/>
      <c r="N3" s="7"/>
    </row>
    <row r="4" spans="8:8" ht="19.0">
      <c r="A4" s="10" t="s">
        <v>0</v>
      </c>
      <c r="B4" s="11" t="s">
        <v>1</v>
      </c>
      <c r="C4" s="12" t="s">
        <v>2</v>
      </c>
      <c r="D4" s="13" t="s">
        <v>3</v>
      </c>
      <c r="E4" s="12" t="s">
        <v>4</v>
      </c>
      <c r="F4" s="12" t="s">
        <v>8</v>
      </c>
      <c r="G4" s="14" t="s">
        <v>5</v>
      </c>
      <c r="H4" s="14" t="s">
        <v>6</v>
      </c>
      <c r="I4" s="15" t="s">
        <v>82</v>
      </c>
      <c r="J4" s="12" t="s">
        <v>7</v>
      </c>
      <c r="K4" s="16"/>
      <c r="L4" s="7"/>
      <c r="M4" s="17"/>
      <c r="N4" s="7"/>
      <c r="O4" s="7"/>
    </row>
    <row r="5" spans="8:8" ht="19.0">
      <c r="A5" s="18" t="s">
        <v>17</v>
      </c>
      <c r="B5" s="19">
        <f>GISOZI!F37</f>
        <v>0.0</v>
      </c>
      <c r="C5" s="20">
        <f>GISOZI!G37</f>
        <v>0.0</v>
      </c>
      <c r="D5" s="21"/>
      <c r="E5" s="22"/>
      <c r="F5" s="23">
        <f>SUM(B5:C5)</f>
        <v>0.0</v>
      </c>
      <c r="G5" s="20">
        <f>GISOZI!C41</f>
        <v>0.0</v>
      </c>
      <c r="H5" s="20">
        <f>GISOZI!C39</f>
        <v>0.0</v>
      </c>
      <c r="I5" s="20">
        <f>GISOZI!C42</f>
        <v>0.0</v>
      </c>
      <c r="J5" s="20">
        <f>GISOZI!C40</f>
        <v>0.0</v>
      </c>
      <c r="K5" s="16"/>
      <c r="L5" s="7"/>
      <c r="M5" s="24"/>
      <c r="N5" s="7"/>
      <c r="O5" s="7"/>
    </row>
    <row r="6" spans="8:8" ht="19.0">
      <c r="A6" s="25" t="s">
        <v>18</v>
      </c>
      <c r="B6" s="26">
        <f>GAHANGA!F29</f>
        <v>0.0</v>
      </c>
      <c r="C6" s="27">
        <f>GAHANGA!G29</f>
        <v>0.0</v>
      </c>
      <c r="D6" s="28"/>
      <c r="E6" s="29"/>
      <c r="F6" s="23">
        <f t="shared" si="0" ref="F6:F28">SUM(B6:C6)</f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6"/>
      <c r="L6" s="7"/>
      <c r="M6" s="24"/>
      <c r="N6" s="7"/>
      <c r="O6" s="7"/>
    </row>
    <row r="7" spans="8:8" ht="19.0">
      <c r="A7" s="25" t="s">
        <v>19</v>
      </c>
      <c r="B7" s="26">
        <f>KIMIRONKO!F37</f>
        <v>7667622.0</v>
      </c>
      <c r="C7" s="27">
        <f>KIMIRONKO!G37</f>
        <v>695700.0</v>
      </c>
      <c r="D7" s="28"/>
      <c r="E7" s="29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6"/>
      <c r="L7" s="7"/>
      <c r="M7" s="24"/>
      <c r="N7" s="7"/>
      <c r="O7" s="7"/>
    </row>
    <row r="8" spans="8:8" ht="19.0">
      <c r="A8" s="25" t="s">
        <v>20</v>
      </c>
      <c r="B8" s="26">
        <f>BISHENYI!F29</f>
        <v>0.0</v>
      </c>
      <c r="C8" s="27">
        <f>BISHENYI!G29</f>
        <v>0.0</v>
      </c>
      <c r="D8" s="28"/>
      <c r="E8" s="29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6"/>
      <c r="L8" s="7"/>
      <c r="M8" s="24"/>
      <c r="N8" s="7"/>
      <c r="O8" s="7"/>
    </row>
    <row r="9" spans="8:8" ht="19.0">
      <c r="A9" s="25" t="s">
        <v>21</v>
      </c>
      <c r="B9" s="26">
        <f>RWAMAGANA!F29</f>
        <v>0.0</v>
      </c>
      <c r="C9" s="27">
        <f>RWAMAGANA!G29</f>
        <v>0.0</v>
      </c>
      <c r="D9" s="28"/>
      <c r="E9" s="29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6"/>
      <c r="L9" s="7"/>
      <c r="M9" s="24"/>
      <c r="N9" s="7"/>
      <c r="O9" s="7"/>
    </row>
    <row r="10" spans="8:8" ht="19.0">
      <c r="A10" s="25" t="s">
        <v>22</v>
      </c>
      <c r="B10" s="26">
        <f>BUGESERA!F29</f>
        <v>0.0</v>
      </c>
      <c r="C10" s="27">
        <f>BUGESERA!G29</f>
        <v>0.0</v>
      </c>
      <c r="D10" s="28"/>
      <c r="E10" s="29"/>
      <c r="F10" s="23">
        <f t="shared" si="0"/>
        <v>0.0</v>
      </c>
      <c r="G10" s="26">
        <f>BUGESERA!C33</f>
        <v>0.0</v>
      </c>
      <c r="H10" s="27">
        <f>BUGESERA!C31</f>
        <v>0.0</v>
      </c>
      <c r="I10" s="27">
        <f>BUGESERA!C34</f>
        <v>0.0</v>
      </c>
      <c r="J10" s="27">
        <f>BUGESERA!C32</f>
        <v>0.0</v>
      </c>
      <c r="K10" s="16"/>
      <c r="L10" s="7"/>
      <c r="M10" s="24"/>
      <c r="N10" s="7"/>
      <c r="O10" s="7"/>
    </row>
    <row r="11" spans="8:8" ht="19.0">
      <c r="A11" s="25" t="s">
        <v>23</v>
      </c>
      <c r="B11" s="26">
        <f>MUHANGA!F37</f>
        <v>0.0</v>
      </c>
      <c r="C11" s="27">
        <f>MUHANGA!G37</f>
        <v>0.0</v>
      </c>
      <c r="D11" s="28"/>
      <c r="E11" s="29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6"/>
      <c r="L11" s="7"/>
      <c r="M11" s="24"/>
      <c r="N11" s="7"/>
      <c r="O11" s="7"/>
    </row>
    <row r="12" spans="8:8" ht="19.0">
      <c r="A12" s="25" t="s">
        <v>24</v>
      </c>
      <c r="B12" s="26">
        <f>RUHANGO!F37</f>
        <v>0.0</v>
      </c>
      <c r="C12" s="27">
        <f>RUHANGO!G37</f>
        <v>0.0</v>
      </c>
      <c r="D12" s="28"/>
      <c r="E12" s="29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6"/>
      <c r="L12" s="7"/>
      <c r="M12" s="24"/>
      <c r="N12" s="7"/>
      <c r="O12" s="7"/>
    </row>
    <row r="13" spans="8:8" ht="19.0">
      <c r="A13" s="25" t="s">
        <v>25</v>
      </c>
      <c r="B13" s="26">
        <f>HUYE!F37</f>
        <v>0.0</v>
      </c>
      <c r="C13" s="27">
        <f>HUYE!G37</f>
        <v>0.0</v>
      </c>
      <c r="D13" s="28"/>
      <c r="E13" s="29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6"/>
      <c r="L13" s="7"/>
      <c r="M13" s="24"/>
      <c r="N13" s="7"/>
      <c r="O13" s="7"/>
    </row>
    <row r="14" spans="8:8" ht="19.0">
      <c r="A14" s="25" t="s">
        <v>26</v>
      </c>
      <c r="B14" s="26">
        <f>RUSIZI!F37</f>
        <v>0.0</v>
      </c>
      <c r="C14" s="27">
        <f>RUSIZI!G37</f>
        <v>0.0</v>
      </c>
      <c r="D14" s="28"/>
      <c r="E14" s="29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6"/>
      <c r="L14" s="7"/>
      <c r="M14" s="24"/>
      <c r="N14" s="7"/>
      <c r="O14" s="7"/>
    </row>
    <row r="15" spans="8:8" ht="19.0">
      <c r="A15" s="25" t="s">
        <v>27</v>
      </c>
      <c r="B15" s="26">
        <f>NYAMASHEKE!F37</f>
        <v>0.0</v>
      </c>
      <c r="C15" s="27">
        <f>NYAMASHEKE!G37</f>
        <v>0.0</v>
      </c>
      <c r="D15" s="28"/>
      <c r="E15" s="29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6"/>
      <c r="L15" s="7"/>
      <c r="M15" s="24"/>
      <c r="N15" s="7"/>
      <c r="O15" s="7"/>
    </row>
    <row r="16" spans="8:8" ht="19.0">
      <c r="A16" s="25" t="s">
        <v>28</v>
      </c>
      <c r="B16" s="26">
        <f>KARONGI!F37</f>
        <v>0.0</v>
      </c>
      <c r="C16" s="27">
        <f>KARONGI!G37</f>
        <v>0.0</v>
      </c>
      <c r="D16" s="28"/>
      <c r="E16" s="29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6"/>
      <c r="L16" s="7"/>
      <c r="M16" s="24"/>
      <c r="N16" s="7"/>
      <c r="O16" s="7"/>
    </row>
    <row r="17" spans="8:8" ht="19.0">
      <c r="A17" s="25" t="s">
        <v>29</v>
      </c>
      <c r="B17" s="26">
        <f>RUBAVU!F29</f>
        <v>0.0</v>
      </c>
      <c r="C17" s="27">
        <f>RUBAVU!G29</f>
        <v>0.0</v>
      </c>
      <c r="D17" s="28"/>
      <c r="E17" s="29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6"/>
      <c r="L17" s="7"/>
      <c r="M17" s="24"/>
      <c r="N17" s="7"/>
      <c r="O17" s="7"/>
    </row>
    <row r="18" spans="8:8" ht="19.0">
      <c r="A18" s="25" t="s">
        <v>30</v>
      </c>
      <c r="B18" s="26">
        <f>MUSANZE!F29</f>
        <v>0.0</v>
      </c>
      <c r="C18" s="27">
        <f>MUSANZE!G29</f>
        <v>0.0</v>
      </c>
      <c r="D18" s="28"/>
      <c r="E18" s="29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6"/>
      <c r="L18" s="7"/>
      <c r="M18" s="24"/>
      <c r="N18" s="7"/>
      <c r="O18" s="7"/>
    </row>
    <row r="19" spans="8:8" ht="19.0">
      <c r="A19" s="25" t="s">
        <v>31</v>
      </c>
      <c r="B19" s="26">
        <f>KAYONZA!F29</f>
        <v>0.0</v>
      </c>
      <c r="C19" s="27">
        <f>KAYONZA!G29</f>
        <v>0.0</v>
      </c>
      <c r="D19" s="28"/>
      <c r="E19" s="29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6"/>
      <c r="L19" s="7"/>
      <c r="M19" s="24"/>
      <c r="N19" s="7"/>
      <c r="O19" s="7"/>
    </row>
    <row r="20" spans="8:8" ht="19.0">
      <c r="A20" s="25" t="s">
        <v>32</v>
      </c>
      <c r="B20" s="26">
        <f>NYAGATARE!F29</f>
        <v>0.0</v>
      </c>
      <c r="C20" s="27">
        <f>NYAGATARE!G29</f>
        <v>0.0</v>
      </c>
      <c r="D20" s="30"/>
      <c r="E20" s="31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6"/>
      <c r="L20" s="7"/>
      <c r="M20" s="24"/>
      <c r="N20" s="7"/>
      <c r="O20" s="7"/>
    </row>
    <row r="21" spans="8:8" ht="19.0">
      <c r="A21" s="25" t="s">
        <v>33</v>
      </c>
      <c r="B21" s="26">
        <f>KIREHE!F29</f>
        <v>0.0</v>
      </c>
      <c r="C21" s="27">
        <f>KIREHE!G29</f>
        <v>0.0</v>
      </c>
      <c r="D21" s="30"/>
      <c r="E21" s="31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6"/>
      <c r="L21" s="7"/>
      <c r="M21" s="24"/>
      <c r="N21" s="7"/>
      <c r="O21" s="7"/>
    </row>
    <row r="22" spans="8:8" ht="19.0">
      <c r="A22" s="25" t="s">
        <v>34</v>
      </c>
      <c r="B22" s="26">
        <f>NYANZA!F29</f>
        <v>0.0</v>
      </c>
      <c r="C22" s="27">
        <f>NYANZA!G29</f>
        <v>0.0</v>
      </c>
      <c r="D22" s="30"/>
      <c r="E22" s="31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6"/>
      <c r="L22" s="7"/>
      <c r="M22" s="24"/>
      <c r="N22" s="7"/>
      <c r="O22" s="7"/>
    </row>
    <row r="23" spans="8:8" ht="19.0">
      <c r="A23" s="25" t="s">
        <v>35</v>
      </c>
      <c r="B23" s="26">
        <f>NYARUGENGE!F29</f>
        <v>4361742.0</v>
      </c>
      <c r="C23" s="27">
        <f>NYARUGENGE!G29</f>
        <v>404490.0</v>
      </c>
      <c r="D23" s="30"/>
      <c r="E23" s="31"/>
      <c r="F23" s="23">
        <f t="shared" si="0"/>
        <v>4766232.0</v>
      </c>
      <c r="G23" s="26">
        <f>NYARUGENGE!C33</f>
        <v>0.0</v>
      </c>
      <c r="H23" s="27">
        <f>NYARUGENGE!C31</f>
        <v>4766232.0</v>
      </c>
      <c r="I23" s="27">
        <f>NYARUGENGE!C34</f>
        <v>0.0</v>
      </c>
      <c r="J23" s="27">
        <f>NYARUGENGE!C32</f>
        <v>0.0</v>
      </c>
      <c r="K23" s="16"/>
      <c r="L23" s="7"/>
      <c r="M23" s="24"/>
      <c r="N23" s="7"/>
      <c r="O23" s="7"/>
    </row>
    <row r="24" spans="8:8" ht="19.0">
      <c r="A24" s="25" t="s">
        <v>70</v>
      </c>
      <c r="B24" s="26">
        <f>GATSIBO!F29</f>
        <v>0.0</v>
      </c>
      <c r="C24" s="27">
        <f>GATSIBO!G29</f>
        <v>0.0</v>
      </c>
      <c r="D24" s="30"/>
      <c r="E24" s="31"/>
      <c r="F24" s="23">
        <f t="shared" si="0"/>
        <v>0.0</v>
      </c>
      <c r="G24" s="26">
        <f>GATSIBO!C33</f>
        <v>0.0</v>
      </c>
      <c r="H24" s="32">
        <f>GATSIBO!C31</f>
        <v>0.0</v>
      </c>
      <c r="I24" s="32">
        <f>GATSIBO!C34</f>
        <v>0.0</v>
      </c>
      <c r="J24" s="32">
        <f>GATSIBO!C32</f>
        <v>0.0</v>
      </c>
      <c r="K24" s="16"/>
      <c r="L24" s="7"/>
      <c r="M24" s="24"/>
      <c r="N24" s="7"/>
      <c r="O24" s="7"/>
    </row>
    <row r="25" spans="8:8" ht="19.0">
      <c r="A25" s="33"/>
      <c r="B25" s="34"/>
      <c r="C25" s="29"/>
      <c r="D25" s="30"/>
      <c r="E25" s="31"/>
      <c r="F25" s="23">
        <f t="shared" si="0"/>
        <v>0.0</v>
      </c>
      <c r="G25" s="29"/>
      <c r="H25" s="35"/>
      <c r="I25" s="36"/>
      <c r="J25" s="37"/>
      <c r="K25" s="16"/>
      <c r="L25" s="7"/>
      <c r="M25" s="24"/>
      <c r="N25" s="7"/>
      <c r="O25" s="7"/>
    </row>
    <row r="26" spans="8:8" s="4" ht="19.0" customFormat="1">
      <c r="A26" s="33"/>
      <c r="B26" s="34"/>
      <c r="C26" s="29"/>
      <c r="D26" s="30"/>
      <c r="E26" s="31"/>
      <c r="F26" s="23">
        <f t="shared" si="0"/>
        <v>0.0</v>
      </c>
      <c r="G26" s="29"/>
      <c r="H26" s="31"/>
      <c r="I26" s="37"/>
      <c r="J26" s="37"/>
      <c r="K26" s="16"/>
      <c r="L26" s="24"/>
      <c r="M26" s="24"/>
      <c r="N26" s="24"/>
      <c r="O26" s="24"/>
    </row>
    <row r="27" spans="8:8" ht="19.0">
      <c r="A27" s="33"/>
      <c r="B27" s="34"/>
      <c r="C27" s="29"/>
      <c r="D27" s="30"/>
      <c r="E27" s="31"/>
      <c r="F27" s="23">
        <f t="shared" si="0"/>
        <v>0.0</v>
      </c>
      <c r="G27" s="29"/>
      <c r="H27" s="31"/>
      <c r="I27" s="37"/>
      <c r="J27" s="37"/>
      <c r="K27" s="16"/>
      <c r="L27" s="7"/>
      <c r="M27" s="24"/>
      <c r="N27" s="7"/>
      <c r="O27" s="7"/>
    </row>
    <row r="28" spans="8:8" ht="19.0">
      <c r="A28" s="38"/>
      <c r="B28" s="39"/>
      <c r="C28" s="40"/>
      <c r="D28" s="41"/>
      <c r="E28" s="42"/>
      <c r="F28" s="23">
        <f t="shared" si="0"/>
        <v>0.0</v>
      </c>
      <c r="G28" s="40"/>
      <c r="H28" s="42"/>
      <c r="I28" s="43"/>
      <c r="J28" s="43"/>
      <c r="K28" s="16"/>
      <c r="L28" s="7"/>
      <c r="M28" s="24"/>
      <c r="N28" s="7"/>
      <c r="O28" s="7"/>
    </row>
    <row r="29" spans="8:8" ht="19.0">
      <c r="A29" s="44"/>
      <c r="B29" s="45">
        <f t="shared" si="1" ref="B29:E29">SUM(B5:B28)</f>
        <v>1.2029364E7</v>
      </c>
      <c r="C29" s="46">
        <f t="shared" si="1"/>
        <v>1100190.0</v>
      </c>
      <c r="D29" s="47">
        <f t="shared" si="1"/>
        <v>0.0</v>
      </c>
      <c r="E29" s="46">
        <f t="shared" si="1"/>
        <v>0.0</v>
      </c>
      <c r="F29" s="46">
        <f>SUM(F5:F28)</f>
        <v>1.3129554E7</v>
      </c>
      <c r="G29" s="47">
        <f>SUM(G5:G28)</f>
        <v>0.0</v>
      </c>
      <c r="H29" s="47">
        <f>SUM(H5:H28)</f>
        <v>1.3129554E7</v>
      </c>
      <c r="I29" s="47">
        <f>SUM(I5:I28)</f>
        <v>0.0</v>
      </c>
      <c r="J29" s="48">
        <f>SUM(J5:J28)</f>
        <v>0.0</v>
      </c>
      <c r="K29" s="16"/>
      <c r="M29" s="49"/>
    </row>
    <row r="30" spans="8:8" ht="15.0">
      <c r="A30" s="50"/>
      <c r="B30" s="50"/>
      <c r="C30" s="50"/>
      <c r="D30" s="51"/>
      <c r="E30" s="52" t="s">
        <v>12</v>
      </c>
      <c r="F30" s="53"/>
      <c r="G30" s="53"/>
      <c r="H30" s="53"/>
      <c r="I30" s="54"/>
      <c r="J30" s="55"/>
      <c r="K30" s="56"/>
      <c r="L30" s="7"/>
    </row>
    <row r="31" spans="8:8" ht="19.0">
      <c r="A31" s="57" t="s">
        <v>9</v>
      </c>
      <c r="B31" s="58"/>
      <c r="C31" s="58"/>
      <c r="D31" s="58"/>
      <c r="E31" s="59"/>
      <c r="F31" s="60"/>
      <c r="G31" s="60"/>
      <c r="H31" s="60"/>
      <c r="I31" s="61"/>
      <c r="J31" s="62"/>
      <c r="K31" s="63"/>
      <c r="L31" s="7"/>
    </row>
    <row r="32" spans="8:8" ht="15.0">
      <c r="A32" s="64" t="s">
        <v>13</v>
      </c>
      <c r="B32" s="65"/>
      <c r="C32" s="66">
        <f>SUM(B29:C29)</f>
        <v>1.3129554E7</v>
      </c>
      <c r="D32" s="67"/>
      <c r="E32" s="59"/>
      <c r="F32" s="60"/>
      <c r="G32" s="60"/>
      <c r="H32" s="60"/>
      <c r="I32" s="61"/>
      <c r="J32" s="62"/>
      <c r="K32" s="63"/>
      <c r="L32" s="7"/>
    </row>
    <row r="33" spans="8:8" ht="15.0">
      <c r="A33" s="64" t="s">
        <v>14</v>
      </c>
      <c r="B33" s="65"/>
      <c r="C33" s="68">
        <f>SUM(F29,G29)</f>
        <v>1.3129554E7</v>
      </c>
      <c r="D33" s="69"/>
      <c r="E33" s="59"/>
      <c r="F33" s="60"/>
      <c r="G33" s="60"/>
      <c r="H33" s="60"/>
      <c r="I33" s="61"/>
      <c r="J33" s="62"/>
      <c r="K33" s="63"/>
      <c r="L33" s="7"/>
    </row>
    <row r="34" spans="8:8" ht="15.0">
      <c r="A34" s="70" t="s">
        <v>83</v>
      </c>
      <c r="B34" s="71"/>
      <c r="C34" s="68">
        <f>SUM(H29,J29,I29)</f>
        <v>1.3129554E7</v>
      </c>
      <c r="D34" s="72"/>
      <c r="E34" s="59"/>
      <c r="F34" s="60"/>
      <c r="G34" s="60"/>
      <c r="H34" s="60"/>
      <c r="I34" s="61"/>
      <c r="J34" s="62"/>
      <c r="K34" s="63"/>
      <c r="L34" s="7"/>
    </row>
    <row r="35" spans="8:8" ht="15.0">
      <c r="A35" s="64" t="s">
        <v>11</v>
      </c>
      <c r="B35" s="65"/>
      <c r="C35" s="68">
        <f>SUM(D29:E29)</f>
        <v>0.0</v>
      </c>
      <c r="D35" s="72"/>
      <c r="E35" s="73"/>
      <c r="F35" s="74"/>
      <c r="G35" s="74"/>
      <c r="H35" s="74"/>
      <c r="I35" s="75"/>
      <c r="J35" s="62"/>
      <c r="K35" s="63"/>
      <c r="L35" s="7"/>
    </row>
    <row r="36" spans="8:8" ht="15.0">
      <c r="A36" s="64" t="s">
        <v>10</v>
      </c>
      <c r="B36" s="65"/>
      <c r="C36" s="68">
        <f t="shared" si="2" ref="C36">SUM(C33,C35)</f>
        <v>1.3129554E7</v>
      </c>
      <c r="D36" s="72"/>
      <c r="E36" s="76" t="s">
        <v>36</v>
      </c>
      <c r="F36" s="77"/>
      <c r="G36" s="77"/>
      <c r="H36" s="77"/>
      <c r="I36" s="78"/>
      <c r="J36" s="62"/>
      <c r="K36" s="63"/>
      <c r="L36" s="7"/>
    </row>
    <row r="37" spans="8:8" ht="15.0">
      <c r="A37" s="79" t="s">
        <v>15</v>
      </c>
      <c r="B37" s="80"/>
      <c r="C37" s="68">
        <f>SUM(C34:C35)</f>
        <v>1.3129554E7</v>
      </c>
      <c r="D37" s="72"/>
      <c r="E37" s="81"/>
      <c r="F37" s="82"/>
      <c r="G37" s="82"/>
      <c r="H37" s="82"/>
      <c r="I37" s="83"/>
      <c r="J37" s="62"/>
      <c r="K37" s="63"/>
      <c r="L37" s="7"/>
    </row>
    <row r="38" spans="8:8" ht="26.5">
      <c r="A38" s="84" t="s">
        <v>16</v>
      </c>
      <c r="B38" s="85"/>
      <c r="C38" s="85"/>
      <c r="D38" s="85"/>
      <c r="E38" s="85"/>
      <c r="F38" s="85"/>
      <c r="G38" s="85"/>
      <c r="H38" s="85"/>
      <c r="I38" s="86"/>
      <c r="J38" s="87"/>
      <c r="K38" s="88"/>
      <c r="L38" s="7"/>
    </row>
    <row r="39" spans="8:8">
      <c r="A39" s="7"/>
      <c r="B39" s="24"/>
      <c r="C39" s="24"/>
      <c r="D39" s="7"/>
      <c r="L39" s="7"/>
    </row>
    <row r="40" spans="8:8">
      <c r="A40" s="7"/>
      <c r="B40" s="24"/>
      <c r="C40" s="24"/>
      <c r="D40" s="7"/>
      <c r="L40" s="7"/>
    </row>
    <row r="41" spans="8:8">
      <c r="A41" s="7"/>
      <c r="B41" s="24"/>
      <c r="C41" s="24"/>
      <c r="D41" s="7"/>
      <c r="L41" s="7"/>
    </row>
    <row r="42" spans="8:8">
      <c r="A42" s="7"/>
      <c r="B42" s="24"/>
      <c r="C42" s="24"/>
      <c r="D42" s="7"/>
      <c r="L42" s="7"/>
    </row>
    <row r="43" spans="8:8">
      <c r="A43" s="7"/>
      <c r="B43" s="24"/>
      <c r="C43" s="24"/>
      <c r="D43" s="7"/>
      <c r="L43" s="7"/>
    </row>
    <row r="44" spans="8:8">
      <c r="A44" s="7"/>
      <c r="B44" s="24"/>
      <c r="C44" s="24"/>
      <c r="D44" s="7"/>
      <c r="L44" s="7"/>
    </row>
    <row r="45" spans="8:8">
      <c r="A45" s="7"/>
      <c r="B45" s="24"/>
      <c r="C45" s="24"/>
      <c r="D45" s="7"/>
      <c r="L45" s="7"/>
    </row>
    <row r="46" spans="8:8">
      <c r="A46" s="7"/>
      <c r="B46" s="24"/>
      <c r="C46" s="24"/>
      <c r="D46" s="7"/>
      <c r="L46" s="7"/>
    </row>
    <row r="47" spans="8:8">
      <c r="A47" s="7"/>
      <c r="B47" s="24"/>
      <c r="C47" s="24"/>
      <c r="D47" s="7"/>
      <c r="L47" s="7"/>
    </row>
    <row r="48" spans="8:8">
      <c r="A48" s="7"/>
      <c r="B48" s="24"/>
      <c r="C48" s="24"/>
      <c r="D48" s="7"/>
      <c r="L48" s="7"/>
    </row>
    <row r="49" spans="8:8">
      <c r="A49" s="7"/>
      <c r="B49" s="24"/>
      <c r="C49" s="24"/>
      <c r="D49" s="7"/>
      <c r="L49" s="7"/>
    </row>
    <row r="50" spans="8:8">
      <c r="A50" s="7"/>
      <c r="B50" s="24"/>
      <c r="C50" s="24"/>
      <c r="D50" s="7"/>
      <c r="L50" s="7"/>
    </row>
    <row r="51" spans="8:8">
      <c r="A51" s="7"/>
      <c r="B51" s="24"/>
      <c r="C51" s="24"/>
      <c r="D51" s="7"/>
      <c r="L51" s="7"/>
    </row>
    <row r="52" spans="8:8">
      <c r="A52" s="7"/>
      <c r="B52" s="24"/>
      <c r="C52" s="24"/>
      <c r="D52" s="7"/>
    </row>
    <row r="53" spans="8:8">
      <c r="A53" s="7"/>
      <c r="B53" s="24"/>
      <c r="C53" s="24"/>
      <c r="D53" s="7"/>
    </row>
    <row r="54" spans="8:8">
      <c r="A54" s="7"/>
      <c r="B54" s="24"/>
      <c r="C54" s="24"/>
      <c r="D54" s="7"/>
    </row>
    <row r="55" spans="8:8">
      <c r="A55" s="7"/>
      <c r="B55" s="24"/>
      <c r="C55" s="24"/>
      <c r="D55" s="7"/>
    </row>
    <row r="56" spans="8:8">
      <c r="A56" s="7"/>
      <c r="B56" s="24"/>
      <c r="C56" s="24"/>
      <c r="D56" s="7"/>
    </row>
    <row r="57" spans="8:8">
      <c r="A57" s="7"/>
      <c r="B57" s="24"/>
      <c r="C57" s="24"/>
      <c r="D57" s="7"/>
    </row>
    <row r="58" spans="8:8">
      <c r="A58" s="7"/>
      <c r="B58" s="24"/>
      <c r="C58" s="24"/>
      <c r="D58" s="7"/>
    </row>
    <row r="59" spans="8:8">
      <c r="A59" s="7"/>
      <c r="B59" s="24"/>
      <c r="C59" s="24"/>
      <c r="D59" s="7"/>
    </row>
    <row r="60" spans="8:8">
      <c r="A60" s="7"/>
      <c r="B60" s="24"/>
      <c r="C60" s="24"/>
      <c r="D60" s="7"/>
    </row>
    <row r="61" spans="8:8">
      <c r="A61" s="7"/>
      <c r="B61" s="24"/>
      <c r="C61" s="24"/>
      <c r="D61" s="7"/>
    </row>
    <row r="62" spans="8:8">
      <c r="A62" s="7"/>
      <c r="B62" s="24"/>
      <c r="C62" s="24"/>
      <c r="D62" s="7"/>
    </row>
    <row r="63" spans="8:8">
      <c r="A63" s="7"/>
      <c r="B63" s="24"/>
      <c r="C63" s="24"/>
      <c r="D63" s="7"/>
    </row>
    <row r="64" spans="8:8">
      <c r="A64" s="7"/>
      <c r="B64" s="24"/>
      <c r="C64" s="24"/>
      <c r="D64" s="7"/>
    </row>
    <row r="65" spans="8:8">
      <c r="A65" s="7"/>
      <c r="B65" s="24"/>
      <c r="C65" s="24"/>
      <c r="D65" s="7"/>
    </row>
    <row r="66" spans="8:8">
      <c r="A66" s="7"/>
      <c r="B66" s="24"/>
      <c r="C66" s="24"/>
      <c r="D66" s="7"/>
    </row>
    <row r="67" spans="8:8">
      <c r="A67" s="7"/>
      <c r="B67" s="24"/>
      <c r="C67" s="24"/>
      <c r="D67" s="7"/>
    </row>
    <row r="68" spans="8:8">
      <c r="A68" s="7"/>
      <c r="B68" s="24"/>
      <c r="C68" s="24"/>
      <c r="D68" s="7"/>
    </row>
    <row r="69" spans="8:8">
      <c r="A69" s="7"/>
      <c r="B69" s="24"/>
      <c r="C69" s="24"/>
      <c r="D69" s="7"/>
    </row>
    <row r="70" spans="8:8">
      <c r="A70" s="7"/>
      <c r="B70" s="24"/>
      <c r="C70" s="24"/>
      <c r="D70" s="7"/>
    </row>
    <row r="71" spans="8:8">
      <c r="A71" s="7"/>
      <c r="B71" s="24"/>
      <c r="C71" s="24"/>
      <c r="D71" s="7"/>
    </row>
    <row r="72" spans="8:8">
      <c r="A72" s="7"/>
      <c r="B72" s="24"/>
      <c r="C72" s="24"/>
      <c r="D72" s="7"/>
    </row>
    <row r="73" spans="8:8">
      <c r="A73" s="7"/>
      <c r="B73" s="24"/>
      <c r="C73" s="24"/>
      <c r="D73" s="7"/>
    </row>
    <row r="74" spans="8:8">
      <c r="A74" s="7"/>
      <c r="B74" s="24"/>
      <c r="C74" s="24"/>
      <c r="D74" s="7"/>
    </row>
    <row r="75" spans="8:8">
      <c r="A75" s="7"/>
      <c r="B75" s="24"/>
      <c r="C75" s="24"/>
      <c r="D75" s="7"/>
    </row>
    <row r="76" spans="8:8">
      <c r="A76" s="7"/>
      <c r="B76" s="24"/>
      <c r="C76" s="24"/>
      <c r="D76" s="7"/>
    </row>
    <row r="77" spans="8:8">
      <c r="A77" s="7"/>
      <c r="B77" s="24"/>
      <c r="C77" s="24"/>
      <c r="D77" s="7"/>
    </row>
    <row r="78" spans="8:8">
      <c r="A78" s="7"/>
      <c r="B78" s="24"/>
      <c r="C78" s="24"/>
      <c r="D78" s="7"/>
    </row>
    <row r="79" spans="8:8">
      <c r="A79" s="7"/>
      <c r="B79" s="24"/>
      <c r="C79" s="24"/>
      <c r="D79" s="7"/>
    </row>
    <row r="80" spans="8:8">
      <c r="A80" s="7"/>
      <c r="B80" s="24"/>
      <c r="C80" s="24"/>
      <c r="D80" s="7"/>
    </row>
    <row r="81" spans="8:8">
      <c r="A81" s="7"/>
      <c r="B81" s="24"/>
      <c r="C81" s="24"/>
      <c r="D81" s="7"/>
    </row>
    <row r="82" spans="8:8">
      <c r="A82" s="7"/>
      <c r="B82" s="24"/>
      <c r="C82" s="24"/>
      <c r="D82" s="7"/>
    </row>
    <row r="83" spans="8:8">
      <c r="A83" s="7"/>
      <c r="B83" s="24"/>
      <c r="C83" s="24"/>
      <c r="D83" s="7"/>
    </row>
    <row r="84" spans="8:8">
      <c r="A84" s="7"/>
      <c r="B84" s="24"/>
      <c r="C84" s="24"/>
      <c r="D84" s="7"/>
    </row>
    <row r="85" spans="8:8">
      <c r="A85" s="7"/>
      <c r="B85" s="24"/>
      <c r="C85" s="24"/>
      <c r="D85" s="7"/>
    </row>
    <row r="86" spans="8:8">
      <c r="A86" s="7"/>
      <c r="B86" s="24"/>
      <c r="C86" s="24"/>
      <c r="D86" s="7"/>
    </row>
    <row r="87" spans="8:8">
      <c r="A87" s="7"/>
      <c r="B87" s="24"/>
      <c r="C87" s="24"/>
      <c r="D87" s="7"/>
    </row>
    <row r="88" spans="8:8">
      <c r="A88" s="7"/>
      <c r="B88" s="24"/>
      <c r="C88" s="24"/>
      <c r="D88" s="7"/>
    </row>
    <row r="89" spans="8:8">
      <c r="A89" s="7"/>
      <c r="B89" s="24"/>
      <c r="C89" s="24"/>
      <c r="D89" s="7"/>
    </row>
    <row r="90" spans="8:8">
      <c r="A90" s="7"/>
      <c r="B90" s="24"/>
      <c r="C90" s="24"/>
      <c r="D90" s="7"/>
    </row>
    <row r="91" spans="8:8">
      <c r="A91" s="7"/>
      <c r="B91" s="24"/>
      <c r="C91" s="24"/>
      <c r="D91" s="7"/>
    </row>
    <row r="92" spans="8:8">
      <c r="A92" s="7"/>
      <c r="B92" s="24"/>
      <c r="C92" s="24"/>
      <c r="D92" s="7"/>
    </row>
    <row r="93" spans="8:8">
      <c r="A93" s="7"/>
      <c r="B93" s="24"/>
      <c r="C93" s="24"/>
      <c r="D93" s="7"/>
    </row>
    <row r="94" spans="8:8">
      <c r="A94" s="7"/>
      <c r="B94" s="24"/>
      <c r="C94" s="24"/>
      <c r="D94" s="7"/>
    </row>
    <row r="95" spans="8:8">
      <c r="A95" s="7"/>
      <c r="B95" s="24"/>
      <c r="C95" s="24"/>
      <c r="D95" s="7"/>
    </row>
    <row r="96" spans="8:8">
      <c r="A96" s="7"/>
      <c r="B96" s="24"/>
      <c r="C96" s="24"/>
      <c r="D96" s="7"/>
    </row>
    <row r="97" spans="8:8">
      <c r="A97" s="7"/>
      <c r="B97" s="24"/>
      <c r="C97" s="24"/>
      <c r="D97" s="7"/>
    </row>
    <row r="98" spans="8:8">
      <c r="A98" s="7"/>
      <c r="B98" s="24"/>
      <c r="C98" s="24"/>
      <c r="D98" s="7"/>
    </row>
    <row r="99" spans="8:8">
      <c r="A99" s="7"/>
      <c r="B99" s="24"/>
      <c r="C99" s="24"/>
      <c r="D99" s="7"/>
    </row>
    <row r="100" spans="8:8">
      <c r="A100" s="7"/>
      <c r="B100" s="24"/>
      <c r="C100" s="24"/>
      <c r="D100" s="7"/>
    </row>
    <row r="101" spans="8:8">
      <c r="A101" s="7"/>
      <c r="B101" s="24"/>
      <c r="C101" s="24"/>
      <c r="D101" s="7"/>
    </row>
    <row r="102" spans="8:8">
      <c r="A102" s="7"/>
      <c r="B102" s="24"/>
      <c r="C102" s="24"/>
      <c r="D102" s="7"/>
    </row>
    <row r="103" spans="8:8">
      <c r="A103" s="7"/>
      <c r="B103" s="24"/>
      <c r="C103" s="24"/>
      <c r="D103" s="7"/>
    </row>
    <row r="104" spans="8:8">
      <c r="A104" s="7"/>
      <c r="B104" s="24"/>
      <c r="C104" s="24"/>
      <c r="D104" s="7"/>
    </row>
    <row r="105" spans="8:8">
      <c r="A105" s="7"/>
      <c r="B105" s="24"/>
      <c r="C105" s="24"/>
      <c r="D105" s="7"/>
    </row>
    <row r="106" spans="8:8">
      <c r="A106" s="7"/>
      <c r="B106" s="24"/>
      <c r="C106" s="24"/>
      <c r="D106" s="7"/>
    </row>
    <row r="107" spans="8:8">
      <c r="A107" s="7"/>
      <c r="B107" s="24"/>
      <c r="C107" s="24"/>
      <c r="D107" s="7"/>
    </row>
    <row r="108" spans="8:8">
      <c r="A108" s="7"/>
      <c r="B108" s="24"/>
      <c r="C108" s="24"/>
      <c r="D108" s="7"/>
    </row>
    <row r="109" spans="8:8">
      <c r="A109" s="7"/>
      <c r="B109" s="24"/>
      <c r="C109" s="24"/>
      <c r="D109" s="7"/>
    </row>
    <row r="110" spans="8:8">
      <c r="A110" s="7"/>
      <c r="B110" s="24"/>
      <c r="C110" s="24"/>
      <c r="D110" s="7"/>
    </row>
    <row r="111" spans="8:8">
      <c r="A111" s="7"/>
      <c r="B111" s="24"/>
      <c r="C111" s="24"/>
      <c r="D111" s="7"/>
    </row>
    <row r="112" spans="8:8">
      <c r="A112" s="7"/>
      <c r="B112" s="24"/>
      <c r="C112" s="24"/>
      <c r="D112" s="7"/>
    </row>
    <row r="113" spans="8:8">
      <c r="A113" s="7"/>
      <c r="B113" s="24"/>
      <c r="C113" s="24"/>
      <c r="D113" s="7"/>
    </row>
    <row r="114" spans="8:8">
      <c r="A114" s="7"/>
      <c r="B114" s="24"/>
      <c r="C114" s="24"/>
      <c r="D114" s="7"/>
    </row>
    <row r="115" spans="8:8">
      <c r="A115" s="7"/>
      <c r="B115" s="24"/>
      <c r="C115" s="24"/>
      <c r="D115" s="7"/>
    </row>
    <row r="116" spans="8:8">
      <c r="A116" s="7"/>
      <c r="B116" s="24"/>
      <c r="C116" s="24"/>
      <c r="D116" s="7"/>
    </row>
    <row r="117" spans="8:8">
      <c r="A117" s="7"/>
      <c r="B117" s="24"/>
      <c r="C117" s="24"/>
      <c r="D117" s="7"/>
    </row>
    <row r="118" spans="8:8">
      <c r="A118" s="7"/>
      <c r="B118" s="24"/>
      <c r="C118" s="24"/>
      <c r="D118" s="7"/>
    </row>
    <row r="119" spans="8:8">
      <c r="A119" s="7"/>
      <c r="B119" s="24"/>
      <c r="C119" s="24"/>
      <c r="D119" s="7"/>
    </row>
    <row r="120" spans="8:8">
      <c r="A120" s="7"/>
      <c r="B120" s="24"/>
      <c r="C120" s="24"/>
      <c r="D120" s="7"/>
    </row>
    <row r="121" spans="8:8">
      <c r="A121" s="7"/>
      <c r="B121" s="24"/>
      <c r="C121" s="24"/>
      <c r="D121" s="7"/>
    </row>
    <row r="122" spans="8:8">
      <c r="A122" s="7"/>
      <c r="B122" s="24"/>
      <c r="C122" s="24"/>
      <c r="D122" s="7"/>
    </row>
    <row r="123" spans="8:8">
      <c r="A123" s="7"/>
      <c r="B123" s="24"/>
      <c r="C123" s="24"/>
      <c r="D123" s="7"/>
    </row>
    <row r="124" spans="8:8">
      <c r="A124" s="7"/>
      <c r="B124" s="24"/>
      <c r="C124" s="24"/>
      <c r="D124" s="7"/>
    </row>
    <row r="125" spans="8:8">
      <c r="A125" s="7"/>
      <c r="B125" s="24"/>
      <c r="C125" s="24"/>
      <c r="D125" s="7"/>
    </row>
    <row r="126" spans="8:8">
      <c r="A126" s="7"/>
      <c r="B126" s="24"/>
      <c r="C126" s="24"/>
      <c r="D126" s="7"/>
    </row>
    <row r="127" spans="8:8">
      <c r="A127" s="7"/>
      <c r="B127" s="24"/>
      <c r="C127" s="24"/>
      <c r="D127" s="7"/>
    </row>
    <row r="128" spans="8:8">
      <c r="A128" s="7"/>
      <c r="B128" s="24"/>
      <c r="C128" s="24"/>
      <c r="D128" s="7"/>
    </row>
    <row r="129" spans="8:8">
      <c r="A129" s="7"/>
      <c r="B129" s="24"/>
      <c r="C129" s="24"/>
      <c r="D129" s="7"/>
    </row>
    <row r="130" spans="8:8">
      <c r="A130" s="7"/>
      <c r="B130" s="24"/>
      <c r="C130" s="24"/>
      <c r="D130" s="7"/>
    </row>
    <row r="131" spans="8:8">
      <c r="A131" s="7"/>
      <c r="B131" s="24"/>
      <c r="C131" s="24"/>
      <c r="D131" s="7"/>
    </row>
    <row r="132" spans="8:8">
      <c r="A132" s="7"/>
      <c r="B132" s="24"/>
      <c r="C132" s="24"/>
      <c r="D132" s="7"/>
    </row>
    <row r="133" spans="8:8">
      <c r="A133" s="7"/>
      <c r="B133" s="24"/>
      <c r="C133" s="24"/>
      <c r="D133" s="7"/>
    </row>
    <row r="134" spans="8:8">
      <c r="A134" s="7"/>
      <c r="B134" s="24"/>
      <c r="C134" s="24"/>
      <c r="D134" s="7"/>
    </row>
    <row r="135" spans="8:8">
      <c r="A135" s="7"/>
      <c r="B135" s="24"/>
      <c r="C135" s="24"/>
      <c r="D135" s="7"/>
    </row>
    <row r="136" spans="8:8">
      <c r="A136" s="7"/>
      <c r="B136" s="24"/>
      <c r="C136" s="24"/>
      <c r="D136" s="7"/>
    </row>
    <row r="137" spans="8:8">
      <c r="A137" s="7"/>
      <c r="B137" s="24"/>
      <c r="C137" s="24"/>
      <c r="D137" s="7"/>
    </row>
    <row r="138" spans="8:8">
      <c r="A138" s="7"/>
      <c r="B138" s="24"/>
      <c r="C138" s="24"/>
      <c r="D138" s="7"/>
    </row>
    <row r="139" spans="8:8">
      <c r="A139" s="7"/>
      <c r="B139" s="24"/>
      <c r="C139" s="24"/>
      <c r="D139" s="7"/>
    </row>
    <row r="140" spans="8:8">
      <c r="A140" s="7"/>
      <c r="B140" s="24"/>
      <c r="C140" s="24"/>
      <c r="D140" s="7"/>
    </row>
    <row r="141" spans="8:8">
      <c r="A141" s="7"/>
      <c r="B141" s="24"/>
      <c r="C141" s="24"/>
      <c r="D141" s="7"/>
    </row>
    <row r="142" spans="8:8">
      <c r="A142" s="7"/>
      <c r="B142" s="24"/>
      <c r="C142" s="24"/>
      <c r="D142" s="7"/>
    </row>
    <row r="143" spans="8:8">
      <c r="A143" s="7"/>
      <c r="B143" s="24"/>
      <c r="C143" s="24"/>
      <c r="D143" s="7"/>
    </row>
    <row r="144" spans="8:8">
      <c r="A144" s="7"/>
      <c r="B144" s="24"/>
      <c r="C144" s="24"/>
      <c r="D144" s="7"/>
    </row>
    <row r="145" spans="8:8">
      <c r="A145" s="7"/>
      <c r="B145" s="24"/>
      <c r="C145" s="24"/>
      <c r="D145" s="7"/>
    </row>
    <row r="146" spans="8:8">
      <c r="A146" s="7"/>
      <c r="B146" s="24"/>
      <c r="C146" s="24"/>
      <c r="D146" s="7"/>
    </row>
    <row r="147" spans="8:8">
      <c r="A147" s="7"/>
      <c r="B147" s="24"/>
      <c r="C147" s="24"/>
      <c r="D147" s="7"/>
    </row>
    <row r="148" spans="8:8">
      <c r="A148" s="7"/>
      <c r="B148" s="24"/>
      <c r="C148" s="24"/>
      <c r="D148" s="7"/>
    </row>
    <row r="149" spans="8:8">
      <c r="A149" s="7"/>
      <c r="B149" s="24"/>
      <c r="C149" s="24"/>
      <c r="D149" s="7"/>
    </row>
    <row r="150" spans="8:8">
      <c r="A150" s="7"/>
      <c r="B150" s="24"/>
      <c r="C150" s="24"/>
      <c r="D150" s="7"/>
    </row>
    <row r="151" spans="8:8">
      <c r="A151" s="7"/>
      <c r="B151" s="24"/>
      <c r="C151" s="24"/>
      <c r="D151" s="7"/>
    </row>
    <row r="152" spans="8:8">
      <c r="A152" s="7"/>
      <c r="B152" s="24"/>
      <c r="C152" s="24"/>
      <c r="D152" s="7"/>
    </row>
    <row r="153" spans="8:8">
      <c r="A153" s="7"/>
      <c r="B153" s="24"/>
      <c r="C153" s="24"/>
      <c r="D153" s="7"/>
    </row>
    <row r="154" spans="8:8">
      <c r="A154" s="7"/>
      <c r="B154" s="24"/>
      <c r="C154" s="24"/>
      <c r="D154" s="7"/>
    </row>
    <row r="155" spans="8:8">
      <c r="A155" s="7"/>
      <c r="B155" s="24"/>
      <c r="C155" s="24"/>
      <c r="D155" s="7"/>
    </row>
    <row r="156" spans="8:8">
      <c r="A156" s="7"/>
      <c r="B156" s="24"/>
      <c r="C156" s="24"/>
      <c r="D156" s="7"/>
    </row>
    <row r="157" spans="8:8">
      <c r="A157" s="7"/>
      <c r="B157" s="24"/>
      <c r="C157" s="24"/>
      <c r="D157" s="7"/>
    </row>
    <row r="158" spans="8:8">
      <c r="A158" s="7"/>
      <c r="B158" s="24"/>
      <c r="C158" s="24"/>
      <c r="D158" s="7"/>
    </row>
    <row r="159" spans="8:8">
      <c r="A159" s="7"/>
      <c r="B159" s="24"/>
      <c r="C159" s="24"/>
      <c r="D159" s="7"/>
    </row>
    <row r="160" spans="8:8">
      <c r="A160" s="7"/>
      <c r="B160" s="24"/>
      <c r="C160" s="24"/>
      <c r="D160" s="7"/>
    </row>
    <row r="161" spans="8:8">
      <c r="A161" s="7"/>
      <c r="B161" s="24"/>
      <c r="C161" s="24"/>
      <c r="D161" s="7"/>
    </row>
    <row r="162" spans="8:8">
      <c r="A162" s="7"/>
      <c r="B162" s="24"/>
      <c r="C162" s="24"/>
      <c r="D162" s="7"/>
    </row>
    <row r="163" spans="8:8">
      <c r="A163" s="7"/>
      <c r="B163" s="24"/>
      <c r="C163" s="24"/>
      <c r="D163" s="7"/>
    </row>
    <row r="164" spans="8:8">
      <c r="A164" s="7"/>
      <c r="B164" s="24"/>
      <c r="C164" s="24"/>
      <c r="D164" s="7"/>
    </row>
    <row r="165" spans="8:8">
      <c r="A165" s="7"/>
      <c r="B165" s="24"/>
      <c r="C165" s="24"/>
      <c r="D165" s="7"/>
    </row>
    <row r="166" spans="8:8">
      <c r="A166" s="7"/>
      <c r="B166" s="24"/>
      <c r="C166" s="24"/>
      <c r="D166" s="7"/>
    </row>
    <row r="167" spans="8:8">
      <c r="A167" s="7"/>
      <c r="B167" s="24"/>
      <c r="C167" s="24"/>
      <c r="D167" s="7"/>
    </row>
    <row r="168" spans="8:8">
      <c r="A168" s="7"/>
      <c r="B168" s="24"/>
      <c r="C168" s="24"/>
      <c r="D168" s="7"/>
    </row>
    <row r="169" spans="8:8">
      <c r="A169" s="7"/>
      <c r="B169" s="24"/>
      <c r="C169" s="24"/>
      <c r="D169" s="7"/>
    </row>
    <row r="170" spans="8:8">
      <c r="A170" s="7"/>
      <c r="B170" s="24"/>
      <c r="C170" s="24"/>
      <c r="D170" s="7"/>
    </row>
    <row r="171" spans="8:8">
      <c r="A171" s="7"/>
      <c r="B171" s="24"/>
      <c r="C171" s="24"/>
      <c r="D171" s="7"/>
    </row>
    <row r="172" spans="8:8">
      <c r="A172" s="7"/>
      <c r="B172" s="24"/>
      <c r="C172" s="24"/>
      <c r="D172" s="7"/>
    </row>
    <row r="173" spans="8:8">
      <c r="A173" s="7"/>
      <c r="B173" s="24"/>
      <c r="C173" s="24"/>
      <c r="D173" s="7"/>
    </row>
    <row r="174" spans="8:8">
      <c r="A174" s="7"/>
      <c r="B174" s="24"/>
      <c r="C174" s="24"/>
      <c r="D174" s="7"/>
    </row>
    <row r="175" spans="8:8">
      <c r="A175" s="7"/>
      <c r="B175" s="24"/>
      <c r="C175" s="24"/>
      <c r="D175" s="7"/>
    </row>
    <row r="176" spans="8:8">
      <c r="A176" s="7"/>
      <c r="B176" s="24"/>
      <c r="C176" s="24"/>
      <c r="D176" s="7"/>
    </row>
    <row r="177" spans="8:8">
      <c r="A177" s="7"/>
      <c r="B177" s="24"/>
      <c r="C177" s="24"/>
      <c r="D177" s="7"/>
    </row>
    <row r="178" spans="8:8">
      <c r="A178" s="7"/>
      <c r="B178" s="24"/>
      <c r="C178" s="24"/>
      <c r="D178" s="7"/>
    </row>
    <row r="179" spans="8:8">
      <c r="A179" s="7"/>
      <c r="B179" s="24"/>
      <c r="C179" s="24"/>
      <c r="D179" s="7"/>
    </row>
    <row r="180" spans="8:8">
      <c r="A180" s="7"/>
      <c r="B180" s="24"/>
      <c r="C180" s="24"/>
      <c r="D180" s="7"/>
    </row>
    <row r="181" spans="8:8">
      <c r="A181" s="7"/>
      <c r="B181" s="24"/>
      <c r="C181" s="24"/>
      <c r="D181" s="7"/>
    </row>
    <row r="182" spans="8:8">
      <c r="A182" s="7"/>
      <c r="B182" s="24"/>
      <c r="C182" s="24"/>
      <c r="D182" s="7"/>
    </row>
    <row r="183" spans="8:8">
      <c r="A183" s="7"/>
      <c r="B183" s="24"/>
      <c r="C183" s="24"/>
      <c r="D183" s="7"/>
    </row>
    <row r="184" spans="8:8">
      <c r="A184" s="7"/>
      <c r="B184" s="24"/>
      <c r="C184" s="24"/>
      <c r="D184" s="7"/>
    </row>
    <row r="185" spans="8:8">
      <c r="A185" s="7"/>
      <c r="B185" s="24"/>
      <c r="C185" s="24"/>
      <c r="D185" s="7"/>
    </row>
    <row r="186" spans="8:8">
      <c r="A186" s="7"/>
      <c r="B186" s="24"/>
      <c r="C186" s="24"/>
      <c r="D186" s="7"/>
    </row>
    <row r="187" spans="8:8">
      <c r="A187" s="7"/>
      <c r="B187" s="24"/>
      <c r="C187" s="24"/>
      <c r="D187" s="7"/>
    </row>
    <row r="188" spans="8:8">
      <c r="A188" s="7"/>
      <c r="B188" s="24"/>
      <c r="C188" s="24"/>
      <c r="D188" s="7"/>
    </row>
    <row r="189" spans="8:8">
      <c r="A189" s="7"/>
      <c r="B189" s="24"/>
      <c r="C189" s="24"/>
      <c r="D189" s="7"/>
    </row>
    <row r="190" spans="8:8">
      <c r="A190" s="7"/>
      <c r="B190" s="24"/>
      <c r="C190" s="24"/>
      <c r="D190" s="7"/>
    </row>
    <row r="191" spans="8:8">
      <c r="A191" s="7"/>
      <c r="B191" s="24"/>
      <c r="C191" s="24"/>
      <c r="D191" s="7"/>
    </row>
    <row r="192" spans="8:8">
      <c r="A192" s="7"/>
      <c r="B192" s="24"/>
      <c r="C192" s="24"/>
      <c r="D192" s="7"/>
    </row>
    <row r="193" spans="8:8">
      <c r="A193" s="7"/>
      <c r="B193" s="24"/>
      <c r="C193" s="24"/>
      <c r="D193" s="7"/>
    </row>
    <row r="194" spans="8:8">
      <c r="A194" s="7"/>
      <c r="B194" s="24"/>
      <c r="C194" s="24"/>
      <c r="D194" s="7"/>
    </row>
    <row r="195" spans="8:8">
      <c r="A195" s="7"/>
      <c r="B195" s="24"/>
      <c r="C195" s="24"/>
      <c r="D195" s="7"/>
    </row>
    <row r="196" spans="8:8">
      <c r="A196" s="7"/>
      <c r="B196" s="24"/>
      <c r="C196" s="24"/>
      <c r="D196" s="7"/>
    </row>
    <row r="197" spans="8:8">
      <c r="A197" s="7"/>
      <c r="B197" s="24"/>
      <c r="C197" s="24"/>
      <c r="D197" s="7"/>
    </row>
    <row r="198" spans="8:8">
      <c r="A198" s="7"/>
      <c r="B198" s="24"/>
      <c r="C198" s="24"/>
      <c r="D198" s="7"/>
    </row>
    <row r="199" spans="8:8">
      <c r="A199" s="7"/>
      <c r="B199" s="24"/>
      <c r="C199" s="24"/>
      <c r="D199" s="7"/>
    </row>
    <row r="200" spans="8:8">
      <c r="A200" s="7"/>
      <c r="B200" s="24"/>
      <c r="C200" s="24"/>
      <c r="D200" s="7"/>
    </row>
    <row r="201" spans="8:8">
      <c r="A201" s="7"/>
      <c r="B201" s="24"/>
      <c r="C201" s="24"/>
      <c r="D201" s="7"/>
    </row>
    <row r="202" spans="8:8">
      <c r="A202" s="7"/>
      <c r="B202" s="24"/>
      <c r="C202" s="24"/>
      <c r="D202" s="7"/>
    </row>
    <row r="203" spans="8:8">
      <c r="A203" s="7"/>
      <c r="B203" s="24"/>
      <c r="C203" s="24"/>
      <c r="D203" s="7"/>
    </row>
    <row r="204" spans="8:8">
      <c r="A204" s="7"/>
      <c r="B204" s="24"/>
      <c r="C204" s="24"/>
      <c r="D204" s="7"/>
    </row>
    <row r="205" spans="8:8">
      <c r="A205" s="7"/>
      <c r="B205" s="24"/>
      <c r="C205" s="24"/>
      <c r="D205" s="7"/>
    </row>
    <row r="206" spans="8:8">
      <c r="A206" s="7"/>
      <c r="B206" s="24"/>
      <c r="C206" s="24"/>
      <c r="D206" s="7"/>
    </row>
    <row r="207" spans="8:8">
      <c r="A207" s="7"/>
      <c r="B207" s="24"/>
      <c r="C207" s="24"/>
      <c r="D207" s="7"/>
    </row>
    <row r="208" spans="8:8">
      <c r="A208" s="7"/>
      <c r="B208" s="24"/>
      <c r="C208" s="24"/>
      <c r="D208" s="7"/>
    </row>
    <row r="209" spans="8:8">
      <c r="A209" s="7"/>
      <c r="B209" s="24"/>
      <c r="C209" s="24"/>
      <c r="D209" s="7"/>
    </row>
    <row r="210" spans="8:8">
      <c r="A210" s="7"/>
      <c r="B210" s="24"/>
      <c r="C210" s="24"/>
      <c r="D210" s="7"/>
    </row>
    <row r="211" spans="8:8">
      <c r="A211" s="7"/>
      <c r="B211" s="24"/>
      <c r="C211" s="24"/>
      <c r="D211" s="7"/>
    </row>
    <row r="212" spans="8:8">
      <c r="A212" s="7"/>
      <c r="B212" s="24"/>
      <c r="C212" s="24"/>
      <c r="D212" s="7"/>
    </row>
    <row r="213" spans="8:8">
      <c r="A213" s="7"/>
      <c r="B213" s="24"/>
      <c r="C213" s="24"/>
      <c r="D213" s="7"/>
    </row>
    <row r="214" spans="8:8">
      <c r="A214" s="7"/>
      <c r="B214" s="24"/>
      <c r="C214" s="24"/>
      <c r="D214" s="7"/>
    </row>
    <row r="215" spans="8:8">
      <c r="A215" s="7"/>
      <c r="B215" s="24"/>
      <c r="C215" s="24"/>
      <c r="D215" s="7"/>
    </row>
    <row r="216" spans="8:8">
      <c r="A216" s="7"/>
      <c r="B216" s="24"/>
      <c r="C216" s="24"/>
      <c r="D216" s="7"/>
    </row>
    <row r="217" spans="8:8">
      <c r="A217" s="7"/>
      <c r="B217" s="24"/>
      <c r="C217" s="24"/>
      <c r="D217" s="7"/>
    </row>
    <row r="218" spans="8:8">
      <c r="A218" s="7"/>
      <c r="B218" s="24"/>
      <c r="C218" s="24"/>
      <c r="D218" s="7"/>
    </row>
    <row r="219" spans="8:8">
      <c r="A219" s="7"/>
      <c r="B219" s="24"/>
      <c r="C219" s="24"/>
      <c r="D219" s="7"/>
    </row>
    <row r="220" spans="8:8">
      <c r="A220" s="7"/>
      <c r="B220" s="24"/>
      <c r="C220" s="24"/>
      <c r="D220" s="7"/>
    </row>
    <row r="221" spans="8:8">
      <c r="A221" s="7"/>
      <c r="B221" s="24"/>
      <c r="C221" s="24"/>
      <c r="D221" s="7"/>
    </row>
    <row r="222" spans="8:8">
      <c r="A222" s="7"/>
      <c r="B222" s="24"/>
      <c r="C222" s="24"/>
      <c r="D222" s="7"/>
    </row>
    <row r="223" spans="8:8">
      <c r="A223" s="7"/>
      <c r="B223" s="24"/>
      <c r="C223" s="24"/>
      <c r="D223" s="7"/>
    </row>
    <row r="224" spans="8:8">
      <c r="A224" s="7"/>
      <c r="B224" s="24"/>
      <c r="C224" s="24"/>
      <c r="D224" s="7"/>
    </row>
    <row r="225" spans="8:8">
      <c r="A225" s="7"/>
      <c r="B225" s="24"/>
      <c r="C225" s="24"/>
      <c r="D225" s="7"/>
    </row>
    <row r="226" spans="8:8">
      <c r="A226" s="7"/>
      <c r="B226" s="24"/>
      <c r="C226" s="24"/>
      <c r="D226" s="7"/>
    </row>
    <row r="227" spans="8:8">
      <c r="A227" s="7"/>
      <c r="B227" s="24"/>
      <c r="C227" s="24"/>
      <c r="D227" s="7"/>
    </row>
    <row r="228" spans="8:8">
      <c r="A228" s="7"/>
      <c r="B228" s="24"/>
      <c r="C228" s="24"/>
      <c r="D228" s="7"/>
    </row>
    <row r="229" spans="8:8">
      <c r="A229" s="7"/>
      <c r="B229" s="24"/>
      <c r="C229" s="24"/>
      <c r="D229" s="7"/>
    </row>
    <row r="230" spans="8:8">
      <c r="A230" s="7"/>
      <c r="B230" s="24"/>
      <c r="C230" s="24"/>
      <c r="D230" s="7"/>
    </row>
    <row r="231" spans="8:8">
      <c r="A231" s="7"/>
      <c r="B231" s="24"/>
      <c r="C231" s="24"/>
      <c r="D231" s="7"/>
    </row>
    <row r="232" spans="8:8">
      <c r="A232" s="7"/>
      <c r="B232" s="24"/>
      <c r="C232" s="24"/>
      <c r="D232" s="7"/>
    </row>
    <row r="233" spans="8:8">
      <c r="A233" s="7"/>
      <c r="B233" s="24"/>
      <c r="C233" s="24"/>
      <c r="D233" s="7"/>
    </row>
    <row r="234" spans="8:8">
      <c r="A234" s="7"/>
      <c r="B234" s="24"/>
      <c r="C234" s="24"/>
      <c r="D234" s="7"/>
    </row>
    <row r="235" spans="8:8">
      <c r="A235" s="7"/>
      <c r="B235" s="24"/>
      <c r="C235" s="24"/>
      <c r="D235" s="7"/>
    </row>
    <row r="236" spans="8:8">
      <c r="A236" s="7"/>
      <c r="B236" s="24"/>
      <c r="C236" s="24"/>
      <c r="D236" s="7"/>
    </row>
    <row r="237" spans="8:8">
      <c r="A237" s="7"/>
      <c r="B237" s="24"/>
      <c r="C237" s="24"/>
      <c r="D237" s="7"/>
    </row>
    <row r="238" spans="8:8">
      <c r="A238" s="7"/>
      <c r="B238" s="24"/>
      <c r="C238" s="24"/>
      <c r="D238" s="7"/>
    </row>
    <row r="239" spans="8:8">
      <c r="A239" s="7"/>
      <c r="B239" s="24"/>
      <c r="C239" s="24"/>
      <c r="D239" s="7"/>
    </row>
    <row r="240" spans="8:8">
      <c r="A240" s="7"/>
      <c r="B240" s="24"/>
      <c r="C240" s="24"/>
      <c r="D240" s="7"/>
    </row>
    <row r="241" spans="8:8">
      <c r="A241" s="7"/>
      <c r="B241" s="24"/>
      <c r="C241" s="24"/>
      <c r="D241" s="7"/>
    </row>
    <row r="242" spans="8:8">
      <c r="A242" s="7"/>
      <c r="B242" s="24"/>
      <c r="C242" s="24"/>
      <c r="D242" s="7"/>
    </row>
    <row r="243" spans="8:8">
      <c r="A243" s="7"/>
      <c r="B243" s="24"/>
      <c r="C243" s="24"/>
      <c r="D243" s="7"/>
    </row>
    <row r="244" spans="8:8">
      <c r="A244" s="7"/>
      <c r="B244" s="24"/>
      <c r="C244" s="24"/>
      <c r="D244" s="7"/>
    </row>
    <row r="245" spans="8:8">
      <c r="A245" s="7"/>
      <c r="B245" s="24"/>
      <c r="C245" s="24"/>
      <c r="D245" s="7"/>
    </row>
    <row r="246" spans="8:8">
      <c r="A246" s="7"/>
      <c r="B246" s="24"/>
      <c r="C246" s="24"/>
      <c r="D246" s="7"/>
    </row>
    <row r="247" spans="8:8">
      <c r="A247" s="7"/>
      <c r="B247" s="24"/>
      <c r="C247" s="24"/>
      <c r="D247" s="7"/>
    </row>
    <row r="248" spans="8:8">
      <c r="A248" s="7"/>
      <c r="B248" s="24"/>
      <c r="C248" s="24"/>
      <c r="D248" s="7"/>
    </row>
    <row r="249" spans="8:8">
      <c r="A249" s="7"/>
      <c r="B249" s="24"/>
      <c r="C249" s="24"/>
      <c r="D249" s="7"/>
    </row>
    <row r="250" spans="8:8">
      <c r="A250" s="7"/>
      <c r="B250" s="24"/>
      <c r="C250" s="24"/>
      <c r="D250" s="7"/>
    </row>
    <row r="251" spans="8:8">
      <c r="A251" s="7"/>
      <c r="B251" s="24"/>
      <c r="C251" s="24"/>
      <c r="D251" s="7"/>
    </row>
    <row r="252" spans="8:8">
      <c r="A252" s="7"/>
      <c r="B252" s="24"/>
      <c r="C252" s="24"/>
      <c r="D252" s="7"/>
    </row>
    <row r="253" spans="8:8">
      <c r="A253" s="7"/>
      <c r="B253" s="24"/>
      <c r="C253" s="24"/>
      <c r="D253" s="7"/>
    </row>
    <row r="254" spans="8:8">
      <c r="A254" s="7"/>
      <c r="B254" s="24"/>
      <c r="C254" s="24"/>
      <c r="D254" s="7"/>
    </row>
    <row r="255" spans="8:8">
      <c r="A255" s="7"/>
      <c r="B255" s="24"/>
      <c r="C255" s="24"/>
      <c r="D255" s="7"/>
    </row>
    <row r="256" spans="8:8">
      <c r="A256" s="7"/>
      <c r="B256" s="24"/>
      <c r="C256" s="24"/>
      <c r="D256" s="7"/>
    </row>
    <row r="257" spans="8:8">
      <c r="A257" s="7"/>
      <c r="B257" s="24"/>
      <c r="C257" s="24"/>
      <c r="D257" s="7"/>
    </row>
    <row r="258" spans="8:8">
      <c r="A258" s="7"/>
      <c r="B258" s="24"/>
      <c r="C258" s="24"/>
      <c r="D258" s="7"/>
    </row>
    <row r="259" spans="8:8">
      <c r="A259" s="7"/>
      <c r="B259" s="24"/>
      <c r="C259" s="24"/>
      <c r="D259" s="7"/>
    </row>
    <row r="260" spans="8:8">
      <c r="A260" s="7"/>
      <c r="B260" s="24"/>
      <c r="C260" s="24"/>
      <c r="D260" s="7"/>
    </row>
    <row r="261" spans="8:8">
      <c r="A261" s="7"/>
      <c r="B261" s="24"/>
      <c r="C261" s="24"/>
      <c r="D261" s="7"/>
    </row>
    <row r="262" spans="8:8">
      <c r="A262" s="7"/>
      <c r="B262" s="24"/>
      <c r="C262" s="24"/>
      <c r="D262" s="7"/>
    </row>
    <row r="263" spans="8:8">
      <c r="A263" s="7"/>
      <c r="B263" s="24"/>
      <c r="C263" s="24"/>
      <c r="D263" s="7"/>
    </row>
    <row r="264" spans="8:8">
      <c r="A264" s="7"/>
      <c r="B264" s="24"/>
      <c r="C264" s="24"/>
      <c r="D264" s="7"/>
    </row>
    <row r="265" spans="8:8">
      <c r="A265" s="7"/>
      <c r="B265" s="24"/>
      <c r="C265" s="24"/>
      <c r="D265" s="7"/>
    </row>
    <row r="266" spans="8:8">
      <c r="A266" s="7"/>
      <c r="B266" s="24"/>
      <c r="C266" s="24"/>
      <c r="D266" s="7"/>
    </row>
    <row r="267" spans="8:8">
      <c r="A267" s="7"/>
      <c r="B267" s="24"/>
      <c r="C267" s="24"/>
      <c r="D267" s="7"/>
    </row>
    <row r="268" spans="8:8">
      <c r="A268" s="7"/>
      <c r="B268" s="24"/>
      <c r="C268" s="24"/>
      <c r="D268" s="7"/>
    </row>
    <row r="269" spans="8:8">
      <c r="A269" s="7"/>
      <c r="B269" s="24"/>
      <c r="C269" s="24"/>
      <c r="D269" s="7"/>
    </row>
    <row r="270" spans="8:8">
      <c r="A270" s="7"/>
      <c r="B270" s="24"/>
      <c r="C270" s="24"/>
      <c r="D270" s="7"/>
    </row>
    <row r="271" spans="8:8">
      <c r="A271" s="7"/>
      <c r="B271" s="24"/>
      <c r="C271" s="24"/>
      <c r="D271" s="7"/>
    </row>
    <row r="272" spans="8:8">
      <c r="A272" s="7"/>
      <c r="B272" s="24"/>
      <c r="C272" s="24"/>
      <c r="D272" s="7"/>
    </row>
    <row r="273" spans="8:8">
      <c r="A273" s="7"/>
      <c r="B273" s="24"/>
      <c r="C273" s="24"/>
      <c r="D273" s="7"/>
    </row>
    <row r="274" spans="8:8">
      <c r="A274" s="7"/>
      <c r="B274" s="24"/>
      <c r="C274" s="24"/>
      <c r="D274" s="7"/>
    </row>
    <row r="275" spans="8:8">
      <c r="A275" s="7"/>
      <c r="B275" s="24"/>
      <c r="C275" s="24"/>
      <c r="D275" s="7"/>
    </row>
    <row r="276" spans="8:8">
      <c r="A276" s="7"/>
      <c r="B276" s="24"/>
      <c r="C276" s="24"/>
      <c r="D276" s="7"/>
    </row>
    <row r="277" spans="8:8">
      <c r="A277" s="7"/>
      <c r="B277" s="24"/>
      <c r="C277" s="24"/>
      <c r="D277" s="7"/>
    </row>
    <row r="278" spans="8:8">
      <c r="A278" s="7"/>
      <c r="B278" s="24"/>
      <c r="C278" s="24"/>
      <c r="D278" s="7"/>
    </row>
    <row r="279" spans="8:8">
      <c r="A279" s="7"/>
      <c r="B279" s="24"/>
      <c r="C279" s="24"/>
      <c r="D279" s="7"/>
    </row>
    <row r="280" spans="8:8">
      <c r="A280" s="7"/>
      <c r="B280" s="24"/>
      <c r="C280" s="24"/>
      <c r="D280" s="7"/>
    </row>
    <row r="281" spans="8:8">
      <c r="A281" s="7"/>
      <c r="B281" s="24"/>
      <c r="C281" s="24"/>
      <c r="D281" s="7"/>
    </row>
    <row r="282" spans="8:8">
      <c r="A282" s="7"/>
      <c r="B282" s="24"/>
      <c r="C282" s="24"/>
      <c r="D282" s="7"/>
    </row>
    <row r="283" spans="8:8">
      <c r="A283" s="7"/>
      <c r="B283" s="24"/>
      <c r="C283" s="24"/>
      <c r="D283" s="7"/>
    </row>
    <row r="284" spans="8:8">
      <c r="A284" s="7"/>
      <c r="B284" s="24"/>
      <c r="C284" s="24"/>
      <c r="D284" s="7"/>
    </row>
    <row r="285" spans="8:8">
      <c r="A285" s="7"/>
      <c r="B285" s="24"/>
      <c r="C285" s="24"/>
      <c r="D285" s="7"/>
    </row>
    <row r="286" spans="8:8">
      <c r="A286" s="7"/>
      <c r="B286" s="24"/>
      <c r="C286" s="24"/>
      <c r="D286" s="7"/>
    </row>
    <row r="287" spans="8:8">
      <c r="A287" s="7"/>
      <c r="B287" s="24"/>
      <c r="C287" s="24"/>
      <c r="D287" s="7"/>
    </row>
    <row r="288" spans="8:8">
      <c r="A288" s="7"/>
      <c r="B288" s="24"/>
      <c r="C288" s="24"/>
      <c r="D288" s="7"/>
    </row>
    <row r="289" spans="8:8">
      <c r="A289" s="7"/>
      <c r="B289" s="24"/>
      <c r="C289" s="24"/>
      <c r="D289" s="7"/>
    </row>
    <row r="290" spans="8:8">
      <c r="A290" s="7"/>
      <c r="B290" s="24"/>
      <c r="C290" s="24"/>
      <c r="D290" s="7"/>
    </row>
    <row r="291" spans="8:8">
      <c r="A291" s="7"/>
      <c r="B291" s="24"/>
      <c r="C291" s="24"/>
      <c r="D291" s="7"/>
    </row>
    <row r="292" spans="8:8">
      <c r="A292" s="7"/>
      <c r="B292" s="24"/>
      <c r="C292" s="24"/>
      <c r="D292" s="7"/>
    </row>
    <row r="293" spans="8:8">
      <c r="A293" s="7"/>
      <c r="B293" s="24"/>
      <c r="C293" s="24"/>
      <c r="D293" s="7"/>
    </row>
    <row r="294" spans="8:8">
      <c r="A294" s="7"/>
      <c r="B294" s="24"/>
      <c r="C294" s="24"/>
      <c r="D294" s="7"/>
    </row>
    <row r="295" spans="8:8">
      <c r="A295" s="7"/>
      <c r="B295" s="24"/>
      <c r="C295" s="24"/>
      <c r="D295" s="7"/>
    </row>
    <row r="296" spans="8:8">
      <c r="A296" s="7"/>
      <c r="B296" s="24"/>
      <c r="C296" s="24"/>
      <c r="D296" s="7"/>
    </row>
    <row r="297" spans="8:8">
      <c r="A297" s="7"/>
      <c r="B297" s="24"/>
      <c r="C297" s="24"/>
      <c r="D297" s="7"/>
    </row>
    <row r="298" spans="8:8">
      <c r="A298" s="7"/>
      <c r="B298" s="24"/>
      <c r="C298" s="24"/>
      <c r="D298" s="7"/>
    </row>
    <row r="299" spans="8:8">
      <c r="A299" s="7"/>
      <c r="B299" s="24"/>
      <c r="C299" s="24"/>
      <c r="D299" s="7"/>
    </row>
    <row r="300" spans="8:8">
      <c r="A300" s="7"/>
      <c r="B300" s="24"/>
      <c r="C300" s="24"/>
      <c r="D300" s="7"/>
    </row>
    <row r="301" spans="8:8">
      <c r="A301" s="7"/>
      <c r="B301" s="24"/>
      <c r="C301" s="24"/>
      <c r="D301" s="7"/>
    </row>
    <row r="302" spans="8:8">
      <c r="A302" s="7"/>
      <c r="B302" s="24"/>
      <c r="C302" s="24"/>
      <c r="D302" s="7"/>
    </row>
    <row r="303" spans="8:8">
      <c r="A303" s="7"/>
      <c r="B303" s="24"/>
      <c r="C303" s="24"/>
      <c r="D303" s="7"/>
    </row>
    <row r="304" spans="8:8">
      <c r="A304" s="7"/>
      <c r="B304" s="24"/>
      <c r="C304" s="24"/>
      <c r="D304" s="7"/>
    </row>
    <row r="305" spans="8:8">
      <c r="A305" s="7"/>
      <c r="B305" s="24"/>
      <c r="C305" s="24"/>
      <c r="D305" s="7"/>
    </row>
    <row r="306" spans="8:8">
      <c r="A306" s="7"/>
      <c r="B306" s="24"/>
      <c r="C306" s="24"/>
      <c r="D306" s="7"/>
    </row>
    <row r="307" spans="8:8">
      <c r="A307" s="7"/>
      <c r="B307" s="24"/>
      <c r="C307" s="24"/>
      <c r="D307" s="7"/>
    </row>
    <row r="308" spans="8:8">
      <c r="A308" s="7"/>
      <c r="B308" s="24"/>
      <c r="C308" s="24"/>
      <c r="D308" s="7"/>
    </row>
    <row r="309" spans="8:8">
      <c r="A309" s="7"/>
      <c r="B309" s="24"/>
      <c r="C309" s="24"/>
      <c r="D309" s="7"/>
    </row>
    <row r="310" spans="8:8">
      <c r="A310" s="7"/>
      <c r="B310" s="24"/>
      <c r="C310" s="24"/>
      <c r="D310" s="7"/>
    </row>
    <row r="311" spans="8:8">
      <c r="A311" s="7"/>
      <c r="B311" s="24"/>
      <c r="C311" s="24"/>
      <c r="D311" s="7"/>
    </row>
    <row r="312" spans="8:8">
      <c r="A312" s="7"/>
      <c r="B312" s="24"/>
      <c r="C312" s="24"/>
      <c r="D312" s="7"/>
    </row>
    <row r="313" spans="8:8">
      <c r="A313" s="7"/>
      <c r="B313" s="24"/>
      <c r="C313" s="24"/>
      <c r="D313" s="7"/>
    </row>
    <row r="314" spans="8:8">
      <c r="A314" s="7"/>
      <c r="B314" s="24"/>
      <c r="C314" s="24"/>
      <c r="D314" s="7"/>
    </row>
    <row r="315" spans="8:8">
      <c r="A315" s="7"/>
      <c r="B315" s="24"/>
      <c r="C315" s="24"/>
      <c r="D315" s="7"/>
    </row>
    <row r="316" spans="8:8">
      <c r="A316" s="7"/>
      <c r="B316" s="24"/>
      <c r="C316" s="24"/>
      <c r="D316" s="7"/>
    </row>
    <row r="317" spans="8:8">
      <c r="A317" s="7"/>
      <c r="B317" s="24"/>
      <c r="C317" s="24"/>
      <c r="D317" s="7"/>
    </row>
    <row r="318" spans="8:8">
      <c r="A318" s="7"/>
      <c r="B318" s="24"/>
      <c r="C318" s="24"/>
      <c r="D318" s="7"/>
    </row>
    <row r="319" spans="8:8">
      <c r="A319" s="7"/>
      <c r="B319" s="24"/>
      <c r="C319" s="24"/>
      <c r="D319" s="7"/>
    </row>
    <row r="320" spans="8:8">
      <c r="A320" s="7"/>
      <c r="B320" s="24"/>
      <c r="C320" s="24"/>
      <c r="D320" s="7"/>
    </row>
    <row r="321" spans="8:8">
      <c r="A321" s="7"/>
      <c r="B321" s="24"/>
      <c r="C321" s="24"/>
      <c r="D321" s="7"/>
    </row>
    <row r="322" spans="8:8">
      <c r="A322" s="7"/>
      <c r="B322" s="24"/>
      <c r="C322" s="24"/>
      <c r="D322" s="7"/>
    </row>
    <row r="323" spans="8:8">
      <c r="A323" s="7"/>
      <c r="B323" s="24"/>
      <c r="C323" s="24"/>
      <c r="D323" s="7"/>
    </row>
    <row r="324" spans="8:8">
      <c r="A324" s="7"/>
      <c r="B324" s="24"/>
      <c r="C324" s="24"/>
      <c r="D324" s="7"/>
    </row>
    <row r="325" spans="8:8">
      <c r="A325" s="7"/>
      <c r="B325" s="24"/>
      <c r="C325" s="24"/>
      <c r="D325" s="7"/>
    </row>
    <row r="326" spans="8:8">
      <c r="A326" s="7"/>
      <c r="B326" s="24"/>
      <c r="C326" s="24"/>
      <c r="D326" s="7"/>
    </row>
    <row r="327" spans="8:8">
      <c r="A327" s="7"/>
      <c r="B327" s="24"/>
      <c r="C327" s="24"/>
      <c r="D327" s="7"/>
    </row>
    <row r="328" spans="8:8">
      <c r="A328" s="7"/>
      <c r="B328" s="24"/>
      <c r="C328" s="24"/>
      <c r="D328" s="7"/>
    </row>
    <row r="329" spans="8:8">
      <c r="A329" s="7"/>
      <c r="B329" s="24"/>
      <c r="C329" s="24"/>
      <c r="D329" s="7"/>
    </row>
    <row r="330" spans="8:8">
      <c r="A330" s="7"/>
      <c r="B330" s="24"/>
      <c r="C330" s="24"/>
      <c r="D330" s="7"/>
    </row>
    <row r="331" spans="8:8">
      <c r="A331" s="7"/>
      <c r="B331" s="24"/>
      <c r="C331" s="24"/>
      <c r="D331" s="7"/>
    </row>
    <row r="332" spans="8:8">
      <c r="A332" s="7"/>
      <c r="B332" s="24"/>
      <c r="C332" s="24"/>
      <c r="D332" s="7"/>
    </row>
    <row r="333" spans="8:8">
      <c r="A333" s="7"/>
      <c r="B333" s="24"/>
      <c r="C333" s="24"/>
      <c r="D333" s="7"/>
    </row>
    <row r="334" spans="8:8">
      <c r="A334" s="7"/>
      <c r="B334" s="24"/>
      <c r="C334" s="24"/>
      <c r="D334" s="7"/>
    </row>
    <row r="335" spans="8:8">
      <c r="A335" s="7"/>
      <c r="B335" s="24"/>
      <c r="C335" s="24"/>
      <c r="D335" s="7"/>
    </row>
    <row r="336" spans="8:8">
      <c r="A336" s="7"/>
      <c r="B336" s="24"/>
      <c r="C336" s="24"/>
      <c r="D336" s="7"/>
    </row>
    <row r="337" spans="8:8">
      <c r="A337" s="7"/>
      <c r="B337" s="24"/>
      <c r="C337" s="24"/>
      <c r="D337" s="7"/>
    </row>
    <row r="338" spans="8:8">
      <c r="A338" s="7"/>
      <c r="B338" s="24"/>
      <c r="C338" s="24"/>
      <c r="D338" s="7"/>
    </row>
    <row r="339" spans="8:8">
      <c r="A339" s="7"/>
      <c r="B339" s="24"/>
      <c r="C339" s="24"/>
      <c r="D339" s="7"/>
    </row>
    <row r="340" spans="8:8">
      <c r="A340" s="7"/>
      <c r="B340" s="24"/>
      <c r="C340" s="24"/>
      <c r="D340" s="7"/>
    </row>
    <row r="341" spans="8:8">
      <c r="A341" s="7"/>
      <c r="B341" s="24"/>
      <c r="C341" s="24"/>
      <c r="D341" s="7"/>
    </row>
    <row r="342" spans="8:8">
      <c r="A342" s="7"/>
      <c r="B342" s="24"/>
      <c r="C342" s="24"/>
      <c r="D342" s="7"/>
    </row>
    <row r="343" spans="8:8">
      <c r="A343" s="7"/>
      <c r="B343" s="24"/>
      <c r="C343" s="24"/>
      <c r="D343" s="7"/>
    </row>
    <row r="344" spans="8:8">
      <c r="A344" s="7"/>
      <c r="B344" s="24"/>
      <c r="C344" s="24"/>
      <c r="D344" s="7"/>
    </row>
    <row r="345" spans="8:8">
      <c r="A345" s="7"/>
      <c r="B345" s="24"/>
      <c r="C345" s="24"/>
      <c r="D345" s="7"/>
    </row>
    <row r="346" spans="8:8">
      <c r="A346" s="7"/>
      <c r="B346" s="24"/>
      <c r="C346" s="24"/>
      <c r="D346" s="7"/>
    </row>
    <row r="347" spans="8:8">
      <c r="A347" s="7"/>
      <c r="B347" s="24"/>
      <c r="C347" s="24"/>
      <c r="D347" s="7"/>
    </row>
    <row r="348" spans="8:8">
      <c r="A348" s="7"/>
      <c r="B348" s="24"/>
      <c r="C348" s="24"/>
      <c r="D348" s="7"/>
    </row>
    <row r="349" spans="8:8">
      <c r="A349" s="7"/>
      <c r="B349" s="24"/>
      <c r="C349" s="24"/>
      <c r="D349" s="7"/>
    </row>
    <row r="350" spans="8:8">
      <c r="A350" s="7"/>
      <c r="B350" s="24"/>
      <c r="C350" s="24"/>
      <c r="D350" s="7"/>
    </row>
    <row r="351" spans="8:8">
      <c r="A351" s="7"/>
      <c r="B351" s="24"/>
      <c r="C351" s="24"/>
      <c r="D351" s="7"/>
    </row>
    <row r="352" spans="8:8">
      <c r="A352" s="7"/>
      <c r="B352" s="24"/>
      <c r="C352" s="24"/>
      <c r="D352" s="7"/>
    </row>
    <row r="353" spans="8:8">
      <c r="A353" s="7"/>
      <c r="B353" s="24"/>
      <c r="C353" s="24"/>
      <c r="D353" s="7"/>
    </row>
    <row r="354" spans="8:8">
      <c r="A354" s="7"/>
      <c r="B354" s="24"/>
      <c r="C354" s="24"/>
      <c r="D354" s="7"/>
    </row>
    <row r="355" spans="8:8">
      <c r="A355" s="7"/>
      <c r="B355" s="24"/>
      <c r="C355" s="24"/>
      <c r="D355" s="7"/>
    </row>
    <row r="356" spans="8:8">
      <c r="A356" s="7"/>
      <c r="B356" s="24"/>
      <c r="C356" s="24"/>
      <c r="D356" s="7"/>
    </row>
    <row r="357" spans="8:8">
      <c r="A357" s="7"/>
      <c r="B357" s="24"/>
      <c r="C357" s="24"/>
      <c r="D357" s="7"/>
    </row>
    <row r="358" spans="8:8">
      <c r="A358" s="7"/>
      <c r="B358" s="24"/>
      <c r="C358" s="24"/>
      <c r="D358" s="7"/>
    </row>
    <row r="359" spans="8:8">
      <c r="A359" s="7"/>
      <c r="B359" s="24"/>
      <c r="C359" s="24"/>
      <c r="D359" s="7"/>
    </row>
    <row r="360" spans="8:8">
      <c r="A360" s="7"/>
      <c r="B360" s="24"/>
      <c r="C360" s="24"/>
      <c r="D360" s="7"/>
    </row>
    <row r="361" spans="8:8">
      <c r="A361" s="7"/>
      <c r="B361" s="24"/>
      <c r="C361" s="24"/>
      <c r="D361" s="7"/>
    </row>
    <row r="362" spans="8:8">
      <c r="A362" s="7"/>
      <c r="B362" s="24"/>
      <c r="C362" s="24"/>
      <c r="D362" s="7"/>
    </row>
    <row r="363" spans="8:8">
      <c r="A363" s="7"/>
      <c r="B363" s="24"/>
      <c r="C363" s="24"/>
      <c r="D363" s="7"/>
    </row>
    <row r="364" spans="8:8">
      <c r="A364" s="7"/>
      <c r="B364" s="24"/>
      <c r="C364" s="24"/>
      <c r="D364" s="7"/>
    </row>
    <row r="365" spans="8:8">
      <c r="A365" s="7"/>
      <c r="B365" s="24"/>
      <c r="C365" s="24"/>
      <c r="D365" s="7"/>
    </row>
    <row r="366" spans="8:8">
      <c r="A366" s="7"/>
      <c r="B366" s="24"/>
      <c r="C366" s="24"/>
      <c r="D366" s="7"/>
    </row>
    <row r="367" spans="8:8">
      <c r="A367" s="7"/>
      <c r="B367" s="24"/>
      <c r="C367" s="24"/>
      <c r="D367" s="7"/>
    </row>
    <row r="368" spans="8:8">
      <c r="A368" s="7"/>
      <c r="B368" s="24"/>
      <c r="C368" s="24"/>
      <c r="D368" s="7"/>
    </row>
    <row r="369" spans="8:8">
      <c r="A369" s="7"/>
      <c r="B369" s="24"/>
      <c r="C369" s="24"/>
      <c r="D369" s="7"/>
    </row>
    <row r="370" spans="8:8">
      <c r="A370" s="7"/>
      <c r="B370" s="24"/>
      <c r="C370" s="24"/>
      <c r="D370" s="7"/>
    </row>
    <row r="371" spans="8:8">
      <c r="A371" s="7"/>
      <c r="B371" s="24"/>
      <c r="C371" s="24"/>
      <c r="D371" s="7"/>
    </row>
    <row r="372" spans="8:8">
      <c r="A372" s="7"/>
      <c r="B372" s="24"/>
      <c r="C372" s="24"/>
      <c r="D372" s="7"/>
    </row>
    <row r="373" spans="8:8">
      <c r="A373" s="7"/>
      <c r="B373" s="24"/>
      <c r="C373" s="24"/>
      <c r="D373" s="7"/>
    </row>
    <row r="374" spans="8:8">
      <c r="A374" s="7"/>
      <c r="B374" s="24"/>
      <c r="C374" s="24"/>
      <c r="D374" s="7"/>
    </row>
    <row r="375" spans="8:8">
      <c r="A375" s="7"/>
      <c r="B375" s="24"/>
      <c r="C375" s="24"/>
      <c r="D375" s="7"/>
    </row>
    <row r="376" spans="8:8">
      <c r="A376" s="7"/>
      <c r="B376" s="24"/>
      <c r="C376" s="24"/>
      <c r="D376" s="7"/>
    </row>
    <row r="377" spans="8:8">
      <c r="A377" s="7"/>
      <c r="B377" s="24"/>
      <c r="C377" s="24"/>
      <c r="D377" s="7"/>
    </row>
    <row r="378" spans="8:8">
      <c r="A378" s="7"/>
      <c r="B378" s="24"/>
      <c r="C378" s="24"/>
      <c r="D378" s="7"/>
    </row>
    <row r="379" spans="8:8">
      <c r="A379" s="7"/>
      <c r="B379" s="24"/>
      <c r="C379" s="24"/>
      <c r="D379" s="7"/>
    </row>
    <row r="380" spans="8:8">
      <c r="A380" s="7"/>
      <c r="B380" s="24"/>
      <c r="C380" s="24"/>
      <c r="D380" s="7"/>
    </row>
    <row r="381" spans="8:8">
      <c r="A381" s="7"/>
      <c r="B381" s="24"/>
      <c r="C381" s="24"/>
      <c r="D381" s="7"/>
    </row>
    <row r="382" spans="8:8">
      <c r="A382" s="7"/>
      <c r="B382" s="24"/>
      <c r="C382" s="24"/>
      <c r="D382" s="7"/>
    </row>
    <row r="383" spans="8:8">
      <c r="A383" s="7"/>
      <c r="B383" s="24"/>
      <c r="C383" s="24"/>
      <c r="D383" s="7"/>
    </row>
    <row r="384" spans="8:8">
      <c r="A384" s="7"/>
      <c r="B384" s="24"/>
      <c r="C384" s="24"/>
      <c r="D384" s="7"/>
    </row>
    <row r="385" spans="8:8">
      <c r="A385" s="7"/>
      <c r="B385" s="24"/>
      <c r="C385" s="24"/>
      <c r="D385" s="7"/>
    </row>
    <row r="386" spans="8:8">
      <c r="A386" s="7"/>
      <c r="B386" s="24"/>
      <c r="C386" s="24"/>
      <c r="D386" s="7"/>
    </row>
    <row r="387" spans="8:8">
      <c r="A387" s="7"/>
      <c r="B387" s="24"/>
      <c r="C387" s="24"/>
      <c r="D387" s="7"/>
    </row>
    <row r="388" spans="8:8">
      <c r="A388" s="7"/>
      <c r="B388" s="24"/>
      <c r="C388" s="24"/>
      <c r="D388" s="7"/>
    </row>
    <row r="389" spans="8:8">
      <c r="A389" s="7"/>
      <c r="B389" s="24"/>
      <c r="C389" s="24"/>
      <c r="D389" s="7"/>
    </row>
    <row r="390" spans="8:8">
      <c r="A390" s="7"/>
      <c r="B390" s="24"/>
      <c r="C390" s="24"/>
      <c r="D390" s="7"/>
    </row>
    <row r="391" spans="8:8">
      <c r="A391" s="7"/>
      <c r="B391" s="24"/>
      <c r="C391" s="24"/>
      <c r="D391" s="7"/>
    </row>
    <row r="392" spans="8:8">
      <c r="A392" s="7"/>
      <c r="B392" s="24"/>
      <c r="C392" s="24"/>
      <c r="D392" s="7"/>
    </row>
    <row r="393" spans="8:8">
      <c r="A393" s="7"/>
      <c r="B393" s="24"/>
      <c r="C393" s="24"/>
      <c r="D393" s="7"/>
    </row>
    <row r="394" spans="8:8">
      <c r="A394" s="7"/>
      <c r="B394" s="24"/>
      <c r="C394" s="24"/>
      <c r="D394" s="7"/>
    </row>
    <row r="395" spans="8:8">
      <c r="A395" s="7"/>
      <c r="B395" s="24"/>
      <c r="C395" s="24"/>
      <c r="D395" s="7"/>
    </row>
    <row r="396" spans="8:8">
      <c r="A396" s="7"/>
      <c r="B396" s="24"/>
      <c r="C396" s="24"/>
      <c r="D396" s="7"/>
    </row>
    <row r="397" spans="8:8">
      <c r="A397" s="7"/>
      <c r="B397" s="24"/>
      <c r="C397" s="24"/>
      <c r="D397" s="7"/>
    </row>
    <row r="398" spans="8:8">
      <c r="A398" s="7"/>
      <c r="B398" s="24"/>
      <c r="C398" s="24"/>
      <c r="D398" s="7"/>
    </row>
    <row r="399" spans="8:8">
      <c r="A399" s="7"/>
      <c r="B399" s="24"/>
      <c r="C399" s="24"/>
      <c r="D399" s="7"/>
    </row>
    <row r="400" spans="8:8">
      <c r="A400" s="7"/>
      <c r="B400" s="24"/>
      <c r="C400" s="24"/>
      <c r="D400" s="7"/>
    </row>
    <row r="401" spans="8:8">
      <c r="A401" s="7"/>
      <c r="B401" s="24"/>
      <c r="C401" s="24"/>
      <c r="D401" s="7"/>
    </row>
    <row r="402" spans="8:8">
      <c r="A402" s="7"/>
      <c r="B402" s="24"/>
      <c r="C402" s="24"/>
      <c r="D402" s="7"/>
    </row>
    <row r="403" spans="8:8">
      <c r="A403" s="7"/>
      <c r="B403" s="24"/>
      <c r="C403" s="24"/>
      <c r="D403" s="7"/>
    </row>
    <row r="404" spans="8:8">
      <c r="A404" s="7"/>
      <c r="B404" s="24"/>
      <c r="C404" s="24"/>
      <c r="D404" s="7"/>
    </row>
    <row r="405" spans="8:8">
      <c r="A405" s="7"/>
      <c r="B405" s="24"/>
      <c r="C405" s="24"/>
      <c r="D405" s="7"/>
    </row>
    <row r="406" spans="8:8">
      <c r="A406" s="7"/>
      <c r="B406" s="24"/>
      <c r="C406" s="24"/>
      <c r="D406" s="7"/>
    </row>
    <row r="407" spans="8:8">
      <c r="A407" s="7"/>
      <c r="B407" s="24"/>
      <c r="C407" s="24"/>
      <c r="D407" s="7"/>
    </row>
    <row r="408" spans="8:8">
      <c r="A408" s="7"/>
      <c r="B408" s="24"/>
      <c r="C408" s="24"/>
      <c r="D408" s="7"/>
    </row>
    <row r="409" spans="8:8">
      <c r="A409" s="7"/>
      <c r="B409" s="24"/>
      <c r="C409" s="24"/>
      <c r="D409" s="7"/>
    </row>
    <row r="410" spans="8:8">
      <c r="A410" s="7"/>
      <c r="B410" s="24"/>
      <c r="C410" s="24"/>
      <c r="D410" s="7"/>
    </row>
    <row r="411" spans="8:8">
      <c r="A411" s="7"/>
      <c r="B411" s="24"/>
      <c r="C411" s="24"/>
      <c r="D411" s="7"/>
    </row>
    <row r="412" spans="8:8">
      <c r="A412" s="7"/>
      <c r="B412" s="24"/>
      <c r="C412" s="24"/>
      <c r="D412" s="7"/>
    </row>
    <row r="413" spans="8:8">
      <c r="A413" s="7"/>
      <c r="B413" s="24"/>
      <c r="C413" s="24"/>
      <c r="D413" s="7"/>
    </row>
    <row r="414" spans="8:8">
      <c r="A414" s="7"/>
      <c r="B414" s="24"/>
      <c r="C414" s="24"/>
      <c r="D414" s="7"/>
    </row>
    <row r="415" spans="8:8">
      <c r="A415" s="7"/>
      <c r="B415" s="24"/>
      <c r="C415" s="24"/>
      <c r="D415" s="7"/>
    </row>
    <row r="416" spans="8:8">
      <c r="A416" s="7"/>
      <c r="B416" s="24"/>
      <c r="C416" s="24"/>
      <c r="D416" s="7"/>
    </row>
    <row r="417" spans="8:8">
      <c r="A417" s="7"/>
      <c r="B417" s="24"/>
      <c r="C417" s="24"/>
      <c r="D417" s="7"/>
    </row>
    <row r="418" spans="8:8">
      <c r="A418" s="7"/>
      <c r="B418" s="24"/>
      <c r="C418" s="24"/>
      <c r="D418" s="7"/>
    </row>
    <row r="419" spans="8:8">
      <c r="A419" s="7"/>
      <c r="B419" s="24"/>
      <c r="C419" s="24"/>
      <c r="D419" s="7"/>
    </row>
    <row r="420" spans="8:8">
      <c r="A420" s="7"/>
      <c r="B420" s="24"/>
      <c r="C420" s="24"/>
      <c r="D420" s="7"/>
    </row>
    <row r="421" spans="8:8">
      <c r="A421" s="7"/>
      <c r="B421" s="24"/>
      <c r="C421" s="24"/>
      <c r="D421" s="7"/>
    </row>
    <row r="422" spans="8:8">
      <c r="A422" s="7"/>
      <c r="B422" s="24"/>
      <c r="C422" s="24"/>
      <c r="D422" s="7"/>
    </row>
    <row r="423" spans="8:8">
      <c r="A423" s="7"/>
      <c r="B423" s="24"/>
      <c r="C423" s="24"/>
      <c r="D423" s="7"/>
    </row>
    <row r="424" spans="8:8">
      <c r="A424" s="7"/>
      <c r="B424" s="24"/>
      <c r="C424" s="24"/>
      <c r="D424" s="7"/>
    </row>
    <row r="425" spans="8:8">
      <c r="A425" s="7"/>
      <c r="B425" s="24"/>
      <c r="C425" s="24"/>
      <c r="D425" s="7"/>
    </row>
    <row r="426" spans="8:8">
      <c r="A426" s="7"/>
      <c r="B426" s="24"/>
      <c r="C426" s="24"/>
      <c r="D426" s="7"/>
    </row>
    <row r="427" spans="8:8">
      <c r="A427" s="7"/>
      <c r="B427" s="24"/>
      <c r="C427" s="24"/>
      <c r="D427" s="7"/>
    </row>
    <row r="428" spans="8:8">
      <c r="A428" s="7"/>
      <c r="B428" s="24"/>
      <c r="C428" s="24"/>
      <c r="D428" s="7"/>
    </row>
    <row r="429" spans="8:8">
      <c r="A429" s="7"/>
      <c r="B429" s="24"/>
      <c r="C429" s="24"/>
      <c r="D429" s="7"/>
    </row>
    <row r="430" spans="8:8">
      <c r="A430" s="7"/>
      <c r="B430" s="24"/>
      <c r="C430" s="24"/>
      <c r="D430" s="7"/>
    </row>
    <row r="431" spans="8:8">
      <c r="A431" s="7"/>
      <c r="B431" s="24"/>
      <c r="C431" s="24"/>
      <c r="D431" s="7"/>
    </row>
    <row r="432" spans="8:8">
      <c r="A432" s="7"/>
      <c r="B432" s="24"/>
      <c r="C432" s="24"/>
      <c r="D432" s="7"/>
    </row>
    <row r="433" spans="8:8">
      <c r="A433" s="7"/>
      <c r="B433" s="24"/>
      <c r="C433" s="24"/>
      <c r="D433" s="7"/>
    </row>
    <row r="434" spans="8:8">
      <c r="A434" s="7"/>
      <c r="B434" s="24"/>
      <c r="C434" s="24"/>
      <c r="D434" s="7"/>
    </row>
    <row r="435" spans="8:8">
      <c r="A435" s="7"/>
      <c r="B435" s="24"/>
      <c r="C435" s="24"/>
      <c r="D435" s="7"/>
    </row>
    <row r="436" spans="8:8">
      <c r="A436" s="7"/>
      <c r="B436" s="24"/>
      <c r="C436" s="24"/>
      <c r="D436" s="7"/>
    </row>
    <row r="437" spans="8:8">
      <c r="A437" s="7"/>
      <c r="B437" s="24"/>
      <c r="C437" s="24"/>
      <c r="D437" s="7"/>
    </row>
    <row r="438" spans="8:8">
      <c r="A438" s="7"/>
      <c r="B438" s="24"/>
      <c r="C438" s="24"/>
      <c r="D438" s="7"/>
    </row>
    <row r="439" spans="8:8">
      <c r="A439" s="7"/>
      <c r="B439" s="24"/>
      <c r="C439" s="24"/>
      <c r="D439" s="7"/>
    </row>
    <row r="440" spans="8:8">
      <c r="A440" s="7"/>
      <c r="B440" s="24"/>
      <c r="C440" s="24"/>
      <c r="D440" s="7"/>
    </row>
    <row r="441" spans="8:8">
      <c r="A441" s="7"/>
      <c r="B441" s="24"/>
      <c r="C441" s="24"/>
      <c r="D441" s="7"/>
    </row>
    <row r="442" spans="8:8">
      <c r="A442" s="7"/>
      <c r="B442" s="24"/>
      <c r="C442" s="24"/>
      <c r="D442" s="7"/>
    </row>
    <row r="443" spans="8:8">
      <c r="A443" s="7"/>
      <c r="B443" s="24"/>
      <c r="C443" s="24"/>
      <c r="D443" s="7"/>
    </row>
    <row r="444" spans="8:8">
      <c r="A444" s="7"/>
      <c r="B444" s="24"/>
      <c r="C444" s="24"/>
      <c r="D444" s="7"/>
    </row>
    <row r="445" spans="8:8">
      <c r="A445" s="7"/>
      <c r="B445" s="24"/>
      <c r="C445" s="24"/>
      <c r="D445" s="7"/>
    </row>
    <row r="446" spans="8:8">
      <c r="A446" s="7"/>
      <c r="B446" s="24"/>
      <c r="C446" s="24"/>
      <c r="D446" s="7"/>
    </row>
    <row r="447" spans="8:8">
      <c r="A447" s="7"/>
      <c r="B447" s="24"/>
      <c r="C447" s="24"/>
      <c r="D447" s="7"/>
    </row>
    <row r="448" spans="8:8">
      <c r="A448" s="7"/>
      <c r="B448" s="24"/>
      <c r="C448" s="24"/>
      <c r="D448" s="7"/>
    </row>
    <row r="449" spans="8:8">
      <c r="A449" s="7"/>
      <c r="B449" s="24"/>
      <c r="C449" s="24"/>
      <c r="D449" s="7"/>
    </row>
    <row r="450" spans="8:8">
      <c r="A450" s="7"/>
      <c r="B450" s="24"/>
      <c r="C450" s="24"/>
      <c r="D450" s="7"/>
    </row>
    <row r="451" spans="8:8">
      <c r="A451" s="7"/>
      <c r="B451" s="24"/>
      <c r="C451" s="24"/>
      <c r="D451" s="7"/>
    </row>
    <row r="452" spans="8:8">
      <c r="A452" s="7"/>
      <c r="B452" s="24"/>
      <c r="C452" s="24"/>
      <c r="D452" s="7"/>
    </row>
    <row r="453" spans="8:8">
      <c r="A453" s="7"/>
      <c r="B453" s="24"/>
      <c r="C453" s="24"/>
      <c r="D453" s="7"/>
    </row>
    <row r="454" spans="8:8">
      <c r="A454" s="7"/>
      <c r="B454" s="24"/>
      <c r="C454" s="24"/>
      <c r="D454" s="7"/>
    </row>
    <row r="455" spans="8:8">
      <c r="A455" s="7"/>
      <c r="B455" s="24"/>
      <c r="C455" s="24"/>
      <c r="D455" s="7"/>
    </row>
    <row r="456" spans="8:8">
      <c r="A456" s="7"/>
      <c r="B456" s="24"/>
      <c r="C456" s="24"/>
      <c r="D456" s="7"/>
    </row>
    <row r="457" spans="8:8">
      <c r="A457" s="7"/>
      <c r="B457" s="24"/>
      <c r="C457" s="24"/>
      <c r="D457" s="7"/>
    </row>
    <row r="458" spans="8:8">
      <c r="A458" s="7"/>
      <c r="B458" s="24"/>
      <c r="C458" s="24"/>
      <c r="D458" s="7"/>
    </row>
    <row r="459" spans="8:8">
      <c r="A459" s="7"/>
      <c r="B459" s="24"/>
      <c r="C459" s="24"/>
      <c r="D459" s="7"/>
    </row>
    <row r="460" spans="8:8">
      <c r="A460" s="7"/>
      <c r="B460" s="24"/>
      <c r="C460" s="24"/>
      <c r="D460" s="7"/>
    </row>
    <row r="461" spans="8:8">
      <c r="A461" s="7"/>
      <c r="B461" s="24"/>
      <c r="C461" s="24"/>
      <c r="D461" s="7"/>
    </row>
    <row r="462" spans="8:8">
      <c r="A462" s="7"/>
      <c r="B462" s="24"/>
      <c r="C462" s="24"/>
      <c r="D462" s="7"/>
    </row>
    <row r="463" spans="8:8">
      <c r="A463" s="7"/>
      <c r="B463" s="24"/>
      <c r="C463" s="24"/>
      <c r="D463" s="7"/>
    </row>
    <row r="464" spans="8:8">
      <c r="A464" s="7"/>
      <c r="B464" s="24"/>
      <c r="C464" s="24"/>
      <c r="D464" s="7"/>
    </row>
    <row r="465" spans="8:8">
      <c r="A465" s="7"/>
      <c r="B465" s="24"/>
      <c r="C465" s="24"/>
      <c r="D465" s="7"/>
    </row>
    <row r="466" spans="8:8">
      <c r="A466" s="7"/>
      <c r="B466" s="24"/>
      <c r="C466" s="24"/>
      <c r="D466" s="7"/>
    </row>
    <row r="467" spans="8:8">
      <c r="A467" s="7"/>
      <c r="B467" s="24"/>
      <c r="C467" s="24"/>
      <c r="D467" s="7"/>
    </row>
    <row r="468" spans="8:8">
      <c r="A468" s="7"/>
      <c r="B468" s="24"/>
      <c r="C468" s="24"/>
      <c r="D468" s="7"/>
    </row>
    <row r="469" spans="8:8">
      <c r="A469" s="7"/>
      <c r="B469" s="24"/>
      <c r="C469" s="24"/>
      <c r="D469" s="7"/>
    </row>
    <row r="470" spans="8:8">
      <c r="A470" s="7"/>
      <c r="B470" s="24"/>
      <c r="C470" s="24"/>
      <c r="D470" s="7"/>
    </row>
    <row r="471" spans="8:8">
      <c r="A471" s="7"/>
      <c r="B471" s="24"/>
      <c r="C471" s="24"/>
      <c r="D471" s="7"/>
    </row>
    <row r="472" spans="8:8">
      <c r="A472" s="7"/>
      <c r="B472" s="24"/>
      <c r="C472" s="24"/>
      <c r="D472" s="7"/>
    </row>
    <row r="473" spans="8:8">
      <c r="A473" s="7"/>
      <c r="B473" s="24"/>
      <c r="C473" s="24"/>
      <c r="D473" s="7"/>
    </row>
    <row r="474" spans="8:8">
      <c r="A474" s="7"/>
      <c r="B474" s="24"/>
      <c r="C474" s="24"/>
      <c r="D474" s="7"/>
    </row>
    <row r="475" spans="8:8">
      <c r="A475" s="7"/>
      <c r="B475" s="24"/>
      <c r="C475" s="24"/>
      <c r="D475" s="7"/>
    </row>
    <row r="476" spans="8:8">
      <c r="A476" s="7"/>
      <c r="B476" s="24"/>
      <c r="C476" s="24"/>
      <c r="D476" s="7"/>
    </row>
    <row r="477" spans="8:8">
      <c r="A477" s="7"/>
      <c r="B477" s="24"/>
      <c r="C477" s="24"/>
      <c r="D477" s="7"/>
    </row>
    <row r="478" spans="8:8">
      <c r="A478" s="7"/>
      <c r="B478" s="24"/>
      <c r="C478" s="24"/>
      <c r="D478" s="7"/>
    </row>
    <row r="479" spans="8:8">
      <c r="A479" s="7"/>
      <c r="B479" s="24"/>
      <c r="C479" s="24"/>
      <c r="D479" s="7"/>
    </row>
    <row r="480" spans="8:8">
      <c r="A480" s="7"/>
      <c r="B480" s="24"/>
      <c r="C480" s="24"/>
      <c r="D480" s="7"/>
    </row>
    <row r="481" spans="8:8">
      <c r="A481" s="7"/>
      <c r="B481" s="24"/>
      <c r="C481" s="24"/>
      <c r="D481" s="7"/>
    </row>
    <row r="482" spans="8:8">
      <c r="A482" s="7"/>
      <c r="B482" s="24"/>
      <c r="C482" s="24"/>
      <c r="D482" s="7"/>
    </row>
    <row r="483" spans="8:8">
      <c r="A483" s="7"/>
      <c r="B483" s="24"/>
      <c r="C483" s="24"/>
      <c r="D483" s="7"/>
    </row>
    <row r="484" spans="8:8">
      <c r="A484" s="7"/>
      <c r="B484" s="24"/>
      <c r="C484" s="24"/>
      <c r="D484" s="7"/>
    </row>
    <row r="485" spans="8:8">
      <c r="A485" s="7"/>
      <c r="B485" s="24"/>
      <c r="C485" s="24"/>
      <c r="D485" s="7"/>
    </row>
    <row r="486" spans="8:8">
      <c r="A486" s="7"/>
      <c r="B486" s="24"/>
      <c r="C486" s="24"/>
      <c r="D486" s="7"/>
    </row>
    <row r="487" spans="8:8">
      <c r="A487" s="7"/>
      <c r="B487" s="24"/>
      <c r="C487" s="24"/>
      <c r="D487" s="7"/>
    </row>
    <row r="488" spans="8:8">
      <c r="A488" s="7"/>
      <c r="B488" s="24"/>
      <c r="C488" s="24"/>
      <c r="D488" s="7"/>
    </row>
    <row r="489" spans="8:8">
      <c r="A489" s="7"/>
      <c r="B489" s="24"/>
      <c r="C489" s="24"/>
      <c r="D489" s="7"/>
    </row>
    <row r="490" spans="8:8">
      <c r="A490" s="7"/>
      <c r="B490" s="24"/>
      <c r="C490" s="24"/>
      <c r="D490" s="7"/>
    </row>
    <row r="491" spans="8:8">
      <c r="A491" s="7"/>
      <c r="B491" s="24"/>
      <c r="C491" s="24"/>
      <c r="D491" s="7"/>
    </row>
    <row r="492" spans="8:8">
      <c r="A492" s="7"/>
      <c r="B492" s="24"/>
      <c r="C492" s="24"/>
      <c r="D492" s="7"/>
    </row>
    <row r="493" spans="8:8">
      <c r="A493" s="7"/>
      <c r="B493" s="24"/>
      <c r="C493" s="24"/>
      <c r="D493" s="7"/>
    </row>
    <row r="494" spans="8:8">
      <c r="A494" s="7"/>
      <c r="B494" s="24"/>
      <c r="C494" s="24"/>
      <c r="D494" s="7"/>
    </row>
    <row r="495" spans="8:8">
      <c r="A495" s="7"/>
      <c r="B495" s="24"/>
      <c r="C495" s="24"/>
      <c r="D495" s="7"/>
    </row>
    <row r="496" spans="8:8">
      <c r="A496" s="7"/>
      <c r="B496" s="24"/>
      <c r="C496" s="24"/>
      <c r="D496" s="7"/>
    </row>
    <row r="497" spans="8:8">
      <c r="A497" s="7"/>
      <c r="B497" s="24"/>
      <c r="C497" s="24"/>
      <c r="D497" s="7"/>
    </row>
    <row r="498" spans="8:8">
      <c r="A498" s="7"/>
      <c r="B498" s="24"/>
      <c r="C498" s="24"/>
      <c r="D498" s="7"/>
    </row>
    <row r="499" spans="8:8">
      <c r="A499" s="7"/>
      <c r="B499" s="24"/>
      <c r="C499" s="24"/>
      <c r="D499" s="7"/>
    </row>
    <row r="500" spans="8:8">
      <c r="A500" s="7"/>
      <c r="B500" s="24"/>
      <c r="C500" s="24"/>
      <c r="D500" s="7"/>
    </row>
    <row r="501" spans="8:8">
      <c r="A501" s="7"/>
      <c r="B501" s="24"/>
      <c r="C501" s="24"/>
      <c r="D501" s="7"/>
    </row>
    <row r="502" spans="8:8">
      <c r="A502" s="7"/>
      <c r="B502" s="24"/>
      <c r="C502" s="24"/>
      <c r="D502" s="7"/>
    </row>
    <row r="503" spans="8:8">
      <c r="A503" s="7"/>
      <c r="B503" s="24"/>
      <c r="C503" s="24"/>
      <c r="D503" s="7"/>
    </row>
    <row r="504" spans="8:8">
      <c r="A504" s="7"/>
      <c r="B504" s="24"/>
      <c r="C504" s="24"/>
      <c r="D504" s="7"/>
    </row>
    <row r="505" spans="8:8">
      <c r="A505" s="7"/>
      <c r="B505" s="24"/>
      <c r="C505" s="24"/>
      <c r="D505" s="7"/>
    </row>
    <row r="506" spans="8:8">
      <c r="A506" s="7"/>
      <c r="B506" s="24"/>
      <c r="C506" s="24"/>
      <c r="D506" s="7"/>
    </row>
    <row r="507" spans="8:8">
      <c r="A507" s="7"/>
      <c r="B507" s="24"/>
      <c r="C507" s="24"/>
      <c r="D507" s="7"/>
    </row>
    <row r="508" spans="8:8">
      <c r="A508" s="7"/>
      <c r="B508" s="24"/>
      <c r="C508" s="24"/>
      <c r="D508" s="7"/>
    </row>
    <row r="509" spans="8:8">
      <c r="A509" s="7"/>
      <c r="B509" s="24"/>
      <c r="C509" s="24"/>
      <c r="D509" s="7"/>
    </row>
    <row r="510" spans="8:8">
      <c r="A510" s="7"/>
      <c r="B510" s="24"/>
      <c r="C510" s="24"/>
      <c r="D510" s="7"/>
    </row>
    <row r="511" spans="8:8">
      <c r="A511" s="7"/>
      <c r="B511" s="24"/>
      <c r="C511" s="24"/>
      <c r="D511" s="7"/>
    </row>
    <row r="512" spans="8:8">
      <c r="A512" s="7"/>
      <c r="B512" s="24"/>
      <c r="C512" s="24"/>
      <c r="D512" s="7"/>
    </row>
    <row r="513" spans="8:8">
      <c r="A513" s="7"/>
      <c r="B513" s="24"/>
      <c r="C513" s="24"/>
      <c r="D513" s="7"/>
    </row>
    <row r="514" spans="8:8">
      <c r="A514" s="7"/>
      <c r="B514" s="24"/>
      <c r="C514" s="24"/>
      <c r="D514" s="7"/>
    </row>
    <row r="515" spans="8:8">
      <c r="A515" s="7"/>
      <c r="B515" s="24"/>
      <c r="C515" s="24"/>
      <c r="D515" s="7"/>
    </row>
    <row r="516" spans="8:8">
      <c r="A516" s="7"/>
      <c r="B516" s="24"/>
      <c r="C516" s="24"/>
      <c r="D516" s="7"/>
    </row>
    <row r="517" spans="8:8">
      <c r="A517" s="7"/>
      <c r="B517" s="24"/>
      <c r="C517" s="24"/>
      <c r="D517" s="7"/>
    </row>
    <row r="518" spans="8:8">
      <c r="A518" s="7"/>
      <c r="B518" s="24"/>
      <c r="C518" s="24"/>
      <c r="D518" s="7"/>
    </row>
    <row r="519" spans="8:8">
      <c r="A519" s="7"/>
      <c r="B519" s="24"/>
      <c r="C519" s="24"/>
      <c r="D519" s="7"/>
    </row>
    <row r="520" spans="8:8">
      <c r="A520" s="7"/>
      <c r="B520" s="24"/>
      <c r="C520" s="24"/>
      <c r="D520" s="7"/>
    </row>
    <row r="521" spans="8:8">
      <c r="A521" s="7"/>
      <c r="B521" s="24"/>
      <c r="C521" s="24"/>
      <c r="D521" s="7"/>
    </row>
    <row r="522" spans="8:8">
      <c r="A522" s="7"/>
      <c r="B522" s="24"/>
      <c r="C522" s="24"/>
      <c r="D522" s="7"/>
    </row>
    <row r="523" spans="8:8">
      <c r="A523" s="7"/>
      <c r="B523" s="24"/>
      <c r="C523" s="24"/>
      <c r="D523" s="7"/>
    </row>
    <row r="524" spans="8:8">
      <c r="A524" s="7"/>
      <c r="B524" s="24"/>
      <c r="C524" s="24"/>
      <c r="D524" s="7"/>
    </row>
    <row r="525" spans="8:8">
      <c r="A525" s="7"/>
      <c r="B525" s="24"/>
      <c r="C525" s="24"/>
      <c r="D525" s="7"/>
    </row>
    <row r="526" spans="8:8">
      <c r="A526" s="7"/>
      <c r="B526" s="24"/>
      <c r="C526" s="24"/>
      <c r="D526" s="7"/>
    </row>
    <row r="527" spans="8:8">
      <c r="A527" s="7"/>
      <c r="B527" s="24"/>
      <c r="C527" s="24"/>
      <c r="D527" s="7"/>
    </row>
    <row r="528" spans="8:8">
      <c r="A528" s="7"/>
      <c r="B528" s="24"/>
      <c r="C528" s="24"/>
      <c r="D528" s="7"/>
    </row>
    <row r="529" spans="8:8">
      <c r="A529" s="7"/>
      <c r="B529" s="24"/>
      <c r="C529" s="24"/>
      <c r="D529" s="7"/>
    </row>
    <row r="530" spans="8:8">
      <c r="A530" s="7"/>
      <c r="B530" s="24"/>
      <c r="C530" s="24"/>
      <c r="D530" s="7"/>
    </row>
    <row r="531" spans="8:8">
      <c r="A531" s="7"/>
      <c r="B531" s="24"/>
      <c r="C531" s="24"/>
      <c r="D531" s="7"/>
    </row>
    <row r="532" spans="8:8">
      <c r="A532" s="7"/>
      <c r="B532" s="24"/>
      <c r="C532" s="24"/>
      <c r="D532" s="7"/>
    </row>
    <row r="533" spans="8:8">
      <c r="A533" s="7"/>
      <c r="B533" s="24"/>
      <c r="C533" s="24"/>
      <c r="D533" s="7"/>
    </row>
    <row r="534" spans="8:8">
      <c r="A534" s="7"/>
      <c r="B534" s="24"/>
      <c r="C534" s="24"/>
      <c r="D534" s="7"/>
    </row>
    <row r="535" spans="8:8">
      <c r="A535" s="7"/>
      <c r="B535" s="24"/>
      <c r="C535" s="24"/>
      <c r="D535" s="7"/>
    </row>
    <row r="536" spans="8:8">
      <c r="A536" s="7"/>
      <c r="B536" s="24"/>
      <c r="C536" s="24"/>
      <c r="D536" s="7"/>
    </row>
    <row r="537" spans="8:8">
      <c r="A537" s="7"/>
      <c r="B537" s="24"/>
      <c r="C537" s="24"/>
      <c r="D537" s="7"/>
    </row>
    <row r="538" spans="8:8">
      <c r="A538" s="7"/>
      <c r="B538" s="24"/>
      <c r="C538" s="24"/>
      <c r="D538" s="7"/>
    </row>
    <row r="539" spans="8:8">
      <c r="A539" s="7"/>
      <c r="B539" s="24"/>
      <c r="C539" s="24"/>
      <c r="D539" s="7"/>
    </row>
    <row r="540" spans="8:8">
      <c r="A540" s="7"/>
      <c r="B540" s="24"/>
      <c r="C540" s="24"/>
      <c r="D540" s="7"/>
    </row>
    <row r="541" spans="8:8">
      <c r="A541" s="7"/>
      <c r="B541" s="24"/>
      <c r="C541" s="24"/>
      <c r="D541" s="7"/>
    </row>
    <row r="542" spans="8:8">
      <c r="A542" s="7"/>
      <c r="B542" s="24"/>
      <c r="C542" s="24"/>
      <c r="D542" s="7"/>
    </row>
    <row r="543" spans="8:8">
      <c r="A543" s="7"/>
      <c r="B543" s="24"/>
      <c r="C543" s="24"/>
      <c r="D543" s="7"/>
    </row>
    <row r="544" spans="8:8">
      <c r="A544" s="7"/>
      <c r="B544" s="24"/>
      <c r="C544" s="24"/>
      <c r="D544" s="7"/>
    </row>
    <row r="545" spans="8:8">
      <c r="A545" s="7"/>
      <c r="B545" s="24"/>
      <c r="C545" s="24"/>
      <c r="D545" s="7"/>
    </row>
    <row r="546" spans="8:8">
      <c r="A546" s="7"/>
      <c r="B546" s="24"/>
      <c r="C546" s="24"/>
      <c r="D546" s="7"/>
    </row>
    <row r="547" spans="8:8">
      <c r="A547" s="7"/>
      <c r="B547" s="24"/>
      <c r="C547" s="24"/>
      <c r="D547" s="7"/>
    </row>
    <row r="548" spans="8:8">
      <c r="A548" s="7"/>
      <c r="B548" s="24"/>
      <c r="C548" s="24"/>
      <c r="D548" s="7"/>
    </row>
    <row r="549" spans="8:8">
      <c r="A549" s="7"/>
      <c r="B549" s="24"/>
      <c r="C549" s="24"/>
      <c r="D549" s="7"/>
    </row>
    <row r="550" spans="8:8">
      <c r="A550" s="7"/>
      <c r="B550" s="24"/>
      <c r="C550" s="24"/>
      <c r="D550" s="7"/>
    </row>
    <row r="551" spans="8:8">
      <c r="A551" s="7"/>
      <c r="B551" s="24"/>
      <c r="C551" s="24"/>
      <c r="D551" s="7"/>
    </row>
    <row r="552" spans="8:8">
      <c r="A552" s="7"/>
      <c r="B552" s="24"/>
      <c r="C552" s="24"/>
      <c r="D552" s="7"/>
    </row>
    <row r="553" spans="8:8">
      <c r="A553" s="7"/>
      <c r="B553" s="24"/>
      <c r="C553" s="24"/>
      <c r="D553" s="7"/>
    </row>
    <row r="554" spans="8:8">
      <c r="A554" s="7"/>
      <c r="B554" s="24"/>
      <c r="C554" s="24"/>
      <c r="D554" s="7"/>
    </row>
    <row r="555" spans="8:8">
      <c r="A555" s="7"/>
      <c r="B555" s="24"/>
      <c r="C555" s="24"/>
      <c r="D555" s="7"/>
    </row>
    <row r="556" spans="8:8">
      <c r="A556" s="7"/>
      <c r="B556" s="24"/>
      <c r="C556" s="24"/>
      <c r="D556" s="7"/>
    </row>
    <row r="557" spans="8:8">
      <c r="A557" s="7"/>
      <c r="B557" s="24"/>
      <c r="C557" s="24"/>
      <c r="D557" s="7"/>
    </row>
    <row r="558" spans="8:8">
      <c r="A558" s="7"/>
      <c r="B558" s="24"/>
      <c r="C558" s="24"/>
      <c r="D558" s="7"/>
    </row>
    <row r="559" spans="8:8">
      <c r="A559" s="7"/>
      <c r="B559" s="24"/>
      <c r="C559" s="24"/>
      <c r="D559" s="7"/>
    </row>
    <row r="560" spans="8:8">
      <c r="A560" s="7"/>
      <c r="B560" s="24"/>
      <c r="C560" s="24"/>
      <c r="D560" s="7"/>
    </row>
    <row r="561" spans="8:8">
      <c r="A561" s="7"/>
      <c r="B561" s="24"/>
      <c r="C561" s="24"/>
      <c r="D561" s="7"/>
    </row>
    <row r="562" spans="8:8">
      <c r="A562" s="7"/>
      <c r="B562" s="24"/>
      <c r="C562" s="24"/>
      <c r="D562" s="7"/>
    </row>
    <row r="563" spans="8:8">
      <c r="A563" s="7"/>
      <c r="B563" s="24"/>
      <c r="C563" s="24"/>
      <c r="D563" s="7"/>
    </row>
    <row r="564" spans="8:8">
      <c r="A564" s="7"/>
      <c r="B564" s="24"/>
      <c r="C564" s="24"/>
      <c r="D564" s="7"/>
    </row>
    <row r="565" spans="8:8">
      <c r="A565" s="7"/>
      <c r="B565" s="24"/>
      <c r="C565" s="24"/>
      <c r="D565" s="7"/>
    </row>
    <row r="566" spans="8:8">
      <c r="A566" s="7"/>
      <c r="B566" s="24"/>
      <c r="C566" s="24"/>
      <c r="D566" s="7"/>
    </row>
    <row r="567" spans="8:8">
      <c r="A567" s="7"/>
      <c r="B567" s="24"/>
      <c r="C567" s="24"/>
      <c r="D567" s="7"/>
    </row>
    <row r="568" spans="8:8">
      <c r="A568" s="7"/>
      <c r="B568" s="24"/>
      <c r="C568" s="24"/>
      <c r="D568" s="7"/>
    </row>
    <row r="569" spans="8:8">
      <c r="A569" s="7"/>
      <c r="B569" s="24"/>
      <c r="C569" s="24"/>
      <c r="D569" s="7"/>
    </row>
    <row r="570" spans="8:8">
      <c r="A570" s="7"/>
      <c r="B570" s="24"/>
      <c r="C570" s="24"/>
      <c r="D570" s="7"/>
    </row>
    <row r="571" spans="8:8">
      <c r="A571" s="7"/>
      <c r="B571" s="24"/>
      <c r="C571" s="24"/>
      <c r="D571" s="7"/>
    </row>
    <row r="572" spans="8:8">
      <c r="A572" s="7"/>
      <c r="B572" s="24"/>
      <c r="C572" s="24"/>
      <c r="D572" s="7"/>
    </row>
    <row r="573" spans="8:8">
      <c r="A573" s="7"/>
      <c r="B573" s="24"/>
      <c r="C573" s="24"/>
      <c r="D573" s="7"/>
    </row>
    <row r="574" spans="8:8">
      <c r="A574" s="7"/>
      <c r="B574" s="24"/>
      <c r="C574" s="24"/>
      <c r="D574" s="7"/>
    </row>
    <row r="575" spans="8:8">
      <c r="A575" s="7"/>
      <c r="B575" s="24"/>
      <c r="C575" s="24"/>
      <c r="D575" s="7"/>
    </row>
    <row r="576" spans="8:8">
      <c r="A576" s="7"/>
      <c r="B576" s="24"/>
      <c r="C576" s="24"/>
      <c r="D576" s="7"/>
    </row>
    <row r="577" spans="8:8">
      <c r="A577" s="7"/>
      <c r="B577" s="24"/>
      <c r="C577" s="24"/>
      <c r="D577" s="7"/>
    </row>
    <row r="578" spans="8:8">
      <c r="A578" s="7"/>
      <c r="B578" s="24"/>
      <c r="C578" s="24"/>
      <c r="D578" s="7"/>
    </row>
    <row r="579" spans="8:8">
      <c r="A579" s="7"/>
      <c r="B579" s="24"/>
      <c r="C579" s="24"/>
      <c r="D579" s="7"/>
    </row>
    <row r="580" spans="8:8">
      <c r="A580" s="7"/>
      <c r="B580" s="24"/>
      <c r="C580" s="24"/>
      <c r="D580" s="7"/>
    </row>
    <row r="581" spans="8:8">
      <c r="A581" s="7"/>
      <c r="B581" s="24"/>
      <c r="C581" s="24"/>
      <c r="D581" s="7"/>
    </row>
    <row r="582" spans="8:8">
      <c r="A582" s="7"/>
      <c r="B582" s="24"/>
      <c r="C582" s="24"/>
      <c r="D582" s="7"/>
    </row>
    <row r="583" spans="8:8">
      <c r="A583" s="7"/>
      <c r="B583" s="24"/>
      <c r="C583" s="24"/>
      <c r="D583" s="7"/>
    </row>
    <row r="584" spans="8:8">
      <c r="A584" s="7"/>
      <c r="B584" s="24"/>
      <c r="C584" s="24"/>
      <c r="D584" s="7"/>
    </row>
    <row r="585" spans="8:8">
      <c r="A585" s="7"/>
      <c r="B585" s="24"/>
      <c r="C585" s="24"/>
      <c r="D585" s="7"/>
    </row>
    <row r="586" spans="8:8">
      <c r="A586" s="7"/>
      <c r="B586" s="24"/>
      <c r="C586" s="24"/>
      <c r="D586" s="7"/>
    </row>
    <row r="587" spans="8:8">
      <c r="A587" s="7"/>
      <c r="B587" s="24"/>
      <c r="C587" s="24"/>
      <c r="D587" s="7"/>
    </row>
    <row r="588" spans="8:8">
      <c r="A588" s="7"/>
      <c r="B588" s="24"/>
      <c r="C588" s="24"/>
      <c r="D588" s="7"/>
    </row>
    <row r="589" spans="8:8">
      <c r="A589" s="7"/>
      <c r="B589" s="24"/>
      <c r="C589" s="24"/>
      <c r="D589" s="7"/>
    </row>
    <row r="590" spans="8:8">
      <c r="A590" s="7"/>
      <c r="B590" s="24"/>
      <c r="C590" s="24"/>
      <c r="D590" s="7"/>
    </row>
    <row r="591" spans="8:8">
      <c r="A591" s="7"/>
      <c r="B591" s="24"/>
      <c r="C591" s="24"/>
      <c r="D591" s="7"/>
    </row>
    <row r="592" spans="8:8">
      <c r="A592" s="7"/>
      <c r="B592" s="24"/>
      <c r="C592" s="24"/>
      <c r="D592" s="7"/>
    </row>
    <row r="593" spans="8:8">
      <c r="A593" s="7"/>
      <c r="B593" s="24"/>
      <c r="C593" s="24"/>
      <c r="D593" s="7"/>
    </row>
    <row r="594" spans="8:8">
      <c r="A594" s="7"/>
      <c r="B594" s="24"/>
      <c r="C594" s="24"/>
      <c r="D594" s="7"/>
    </row>
    <row r="595" spans="8:8">
      <c r="A595" s="7"/>
      <c r="B595" s="24"/>
      <c r="C595" s="24"/>
      <c r="D595" s="7"/>
    </row>
    <row r="596" spans="8:8">
      <c r="A596" s="7"/>
      <c r="B596" s="24"/>
      <c r="C596" s="24"/>
      <c r="D596" s="7"/>
    </row>
    <row r="597" spans="8:8">
      <c r="A597" s="7"/>
      <c r="B597" s="24"/>
      <c r="C597" s="24"/>
      <c r="D597" s="7"/>
    </row>
    <row r="598" spans="8:8">
      <c r="A598" s="7"/>
      <c r="B598" s="24"/>
      <c r="C598" s="24"/>
      <c r="D598" s="7"/>
    </row>
    <row r="599" spans="8:8">
      <c r="A599" s="7"/>
      <c r="B599" s="24"/>
      <c r="C599" s="24"/>
      <c r="D599" s="7"/>
    </row>
    <row r="600" spans="8:8">
      <c r="A600" s="7"/>
      <c r="B600" s="24"/>
      <c r="C600" s="24"/>
      <c r="D600" s="7"/>
    </row>
    <row r="601" spans="8:8">
      <c r="A601" s="7"/>
      <c r="B601" s="24"/>
      <c r="C601" s="24"/>
      <c r="D601" s="7"/>
    </row>
    <row r="602" spans="8:8">
      <c r="A602" s="7"/>
      <c r="B602" s="24"/>
      <c r="C602" s="24"/>
      <c r="D602" s="7"/>
    </row>
    <row r="603" spans="8:8">
      <c r="A603" s="7"/>
      <c r="B603" s="24"/>
      <c r="C603" s="24"/>
      <c r="D603" s="7"/>
    </row>
    <row r="604" spans="8:8">
      <c r="A604" s="7"/>
      <c r="B604" s="24"/>
      <c r="C604" s="24"/>
      <c r="D604" s="7"/>
    </row>
    <row r="605" spans="8:8">
      <c r="A605" s="7"/>
      <c r="B605" s="24"/>
      <c r="C605" s="24"/>
      <c r="D605" s="7"/>
    </row>
    <row r="606" spans="8:8">
      <c r="A606" s="7"/>
      <c r="B606" s="24"/>
      <c r="C606" s="24"/>
      <c r="D606" s="7"/>
    </row>
    <row r="607" spans="8:8">
      <c r="A607" s="7"/>
      <c r="B607" s="24"/>
      <c r="C607" s="24"/>
      <c r="D607" s="7"/>
    </row>
    <row r="608" spans="8:8">
      <c r="A608" s="7"/>
      <c r="B608" s="24"/>
      <c r="C608" s="24"/>
      <c r="D608" s="7"/>
    </row>
    <row r="609" spans="8:8">
      <c r="A609" s="7"/>
      <c r="B609" s="24"/>
      <c r="C609" s="24"/>
      <c r="D609" s="7"/>
    </row>
    <row r="610" spans="8:8">
      <c r="A610" s="7"/>
      <c r="B610" s="24"/>
      <c r="C610" s="24"/>
      <c r="D610" s="7"/>
    </row>
    <row r="611" spans="8:8">
      <c r="A611" s="7"/>
      <c r="B611" s="24"/>
      <c r="C611" s="24"/>
      <c r="D611" s="7"/>
    </row>
    <row r="612" spans="8:8">
      <c r="A612" s="7"/>
      <c r="B612" s="24"/>
      <c r="C612" s="24"/>
      <c r="D612" s="7"/>
    </row>
    <row r="613" spans="8:8">
      <c r="A613" s="7"/>
      <c r="B613" s="24"/>
      <c r="C613" s="24"/>
      <c r="D613" s="7"/>
    </row>
    <row r="614" spans="8:8">
      <c r="A614" s="7"/>
      <c r="B614" s="24"/>
      <c r="C614" s="24"/>
      <c r="D614" s="7"/>
    </row>
    <row r="615" spans="8:8">
      <c r="A615" s="7"/>
      <c r="B615" s="24"/>
      <c r="C615" s="24"/>
      <c r="D615" s="7"/>
    </row>
    <row r="616" spans="8:8">
      <c r="A616" s="7"/>
      <c r="B616" s="24"/>
      <c r="C616" s="24"/>
      <c r="D616" s="7"/>
    </row>
    <row r="617" spans="8:8">
      <c r="A617" s="7"/>
      <c r="B617" s="24"/>
      <c r="C617" s="24"/>
      <c r="D617" s="7"/>
    </row>
    <row r="618" spans="8:8">
      <c r="A618" s="7"/>
      <c r="B618" s="24"/>
      <c r="C618" s="24"/>
      <c r="D618" s="7"/>
    </row>
    <row r="619" spans="8:8">
      <c r="A619" s="7"/>
      <c r="B619" s="24"/>
      <c r="C619" s="24"/>
      <c r="D619" s="7"/>
    </row>
    <row r="620" spans="8:8">
      <c r="A620" s="7"/>
      <c r="B620" s="24"/>
      <c r="C620" s="24"/>
      <c r="D620" s="7"/>
    </row>
    <row r="621" spans="8:8">
      <c r="A621" s="7"/>
      <c r="B621" s="24"/>
      <c r="C621" s="24"/>
      <c r="D621" s="7"/>
    </row>
    <row r="622" spans="8:8">
      <c r="A622" s="7"/>
      <c r="B622" s="24"/>
      <c r="C622" s="24"/>
      <c r="D622" s="7"/>
    </row>
    <row r="623" spans="8:8">
      <c r="A623" s="7"/>
      <c r="B623" s="24"/>
      <c r="C623" s="24"/>
      <c r="D623" s="7"/>
    </row>
    <row r="624" spans="8:8">
      <c r="A624" s="7"/>
      <c r="B624" s="24"/>
      <c r="C624" s="24"/>
      <c r="D624" s="7"/>
    </row>
    <row r="625" spans="8:8">
      <c r="A625" s="7"/>
      <c r="B625" s="24"/>
      <c r="C625" s="24"/>
      <c r="D625" s="7"/>
    </row>
    <row r="626" spans="8:8">
      <c r="A626" s="7"/>
      <c r="B626" s="24"/>
      <c r="C626" s="24"/>
      <c r="D626" s="7"/>
    </row>
    <row r="627" spans="8:8">
      <c r="A627" s="7"/>
      <c r="B627" s="24"/>
      <c r="C627" s="24"/>
      <c r="D627" s="7"/>
    </row>
    <row r="628" spans="8:8">
      <c r="A628" s="7"/>
      <c r="B628" s="24"/>
      <c r="C628" s="24"/>
      <c r="D628" s="7"/>
    </row>
    <row r="629" spans="8:8">
      <c r="A629" s="7"/>
      <c r="B629" s="24"/>
      <c r="C629" s="24"/>
      <c r="D629" s="7"/>
    </row>
    <row r="630" spans="8:8">
      <c r="A630" s="7"/>
      <c r="B630" s="24"/>
      <c r="C630" s="24"/>
      <c r="D630" s="7"/>
    </row>
    <row r="631" spans="8:8">
      <c r="A631" s="7"/>
      <c r="B631" s="24"/>
      <c r="C631" s="24"/>
      <c r="D631" s="7"/>
    </row>
    <row r="632" spans="8:8">
      <c r="A632" s="7"/>
      <c r="B632" s="24"/>
      <c r="C632" s="24"/>
      <c r="D632" s="7"/>
    </row>
    <row r="633" spans="8:8">
      <c r="A633" s="7"/>
      <c r="B633" s="24"/>
      <c r="C633" s="24"/>
      <c r="D633" s="7"/>
    </row>
    <row r="634" spans="8:8">
      <c r="A634" s="7"/>
      <c r="B634" s="24"/>
      <c r="C634" s="24"/>
      <c r="D634" s="7"/>
    </row>
    <row r="635" spans="8:8">
      <c r="A635" s="7"/>
      <c r="B635" s="24"/>
      <c r="C635" s="24"/>
      <c r="D635" s="7"/>
    </row>
    <row r="636" spans="8:8">
      <c r="A636" s="7"/>
      <c r="B636" s="24"/>
      <c r="C636" s="24"/>
      <c r="D636" s="7"/>
    </row>
    <row r="637" spans="8:8">
      <c r="A637" s="7"/>
      <c r="B637" s="24"/>
      <c r="C637" s="24"/>
      <c r="D637" s="7"/>
    </row>
    <row r="638" spans="8:8">
      <c r="A638" s="7"/>
      <c r="B638" s="24"/>
      <c r="C638" s="24"/>
      <c r="D638" s="7"/>
    </row>
    <row r="639" spans="8:8">
      <c r="A639" s="7"/>
      <c r="B639" s="24"/>
      <c r="C639" s="24"/>
      <c r="D639" s="7"/>
    </row>
    <row r="640" spans="8:8">
      <c r="A640" s="7"/>
      <c r="B640" s="24"/>
      <c r="C640" s="24"/>
      <c r="D640" s="7"/>
    </row>
    <row r="641" spans="8:8">
      <c r="A641" s="7"/>
      <c r="B641" s="24"/>
      <c r="C641" s="24"/>
      <c r="D641" s="7"/>
    </row>
    <row r="642" spans="8:8">
      <c r="A642" s="7"/>
      <c r="B642" s="24"/>
      <c r="C642" s="24"/>
      <c r="D642" s="7"/>
    </row>
    <row r="643" spans="8:8">
      <c r="A643" s="7"/>
      <c r="B643" s="24"/>
      <c r="C643" s="24"/>
      <c r="D643" s="7"/>
    </row>
    <row r="644" spans="8:8">
      <c r="A644" s="7"/>
      <c r="B644" s="24"/>
      <c r="C644" s="24"/>
      <c r="D644" s="7"/>
    </row>
    <row r="645" spans="8:8">
      <c r="A645" s="7"/>
      <c r="B645" s="24"/>
      <c r="C645" s="24"/>
      <c r="D645" s="7"/>
    </row>
    <row r="646" spans="8:8">
      <c r="A646" s="7"/>
      <c r="B646" s="24"/>
      <c r="C646" s="24"/>
      <c r="D646" s="7"/>
    </row>
    <row r="647" spans="8:8">
      <c r="A647" s="7"/>
      <c r="B647" s="24"/>
      <c r="C647" s="24"/>
      <c r="D647" s="7"/>
    </row>
    <row r="648" spans="8:8">
      <c r="A648" s="7"/>
      <c r="B648" s="24"/>
      <c r="C648" s="24"/>
      <c r="D648" s="7"/>
    </row>
    <row r="649" spans="8:8">
      <c r="A649" s="7"/>
      <c r="B649" s="24"/>
      <c r="C649" s="24"/>
      <c r="D649" s="7"/>
    </row>
    <row r="650" spans="8:8">
      <c r="A650" s="7"/>
      <c r="B650" s="24"/>
      <c r="C650" s="24"/>
      <c r="D650" s="7"/>
    </row>
    <row r="651" spans="8:8">
      <c r="A651" s="7"/>
      <c r="B651" s="24"/>
      <c r="C651" s="24"/>
      <c r="D651" s="7"/>
    </row>
    <row r="652" spans="8:8">
      <c r="A652" s="7"/>
      <c r="B652" s="24"/>
      <c r="C652" s="24"/>
      <c r="D652" s="7"/>
    </row>
    <row r="653" spans="8:8">
      <c r="A653" s="7"/>
      <c r="B653" s="24"/>
      <c r="C653" s="24"/>
      <c r="D653" s="7"/>
    </row>
    <row r="654" spans="8:8">
      <c r="A654" s="7"/>
      <c r="B654" s="24"/>
      <c r="C654" s="24"/>
      <c r="D654" s="7"/>
    </row>
    <row r="655" spans="8:8">
      <c r="A655" s="7"/>
      <c r="B655" s="24"/>
      <c r="C655" s="24"/>
      <c r="D655" s="7"/>
    </row>
    <row r="656" spans="8:8">
      <c r="A656" s="7"/>
      <c r="B656" s="24"/>
      <c r="C656" s="24"/>
      <c r="D656" s="7"/>
    </row>
    <row r="657" spans="8:8">
      <c r="A657" s="7"/>
      <c r="B657" s="24"/>
      <c r="C657" s="24"/>
      <c r="D657" s="7"/>
    </row>
    <row r="658" spans="8:8">
      <c r="A658" s="7"/>
      <c r="B658" s="24"/>
      <c r="C658" s="24"/>
      <c r="D658" s="7"/>
    </row>
    <row r="659" spans="8:8">
      <c r="A659" s="7"/>
      <c r="B659" s="24"/>
      <c r="C659" s="24"/>
      <c r="D659" s="7"/>
    </row>
    <row r="660" spans="8:8">
      <c r="A660" s="7"/>
      <c r="B660" s="24"/>
      <c r="C660" s="24"/>
      <c r="D660" s="7"/>
    </row>
    <row r="661" spans="8:8">
      <c r="A661" s="7"/>
      <c r="B661" s="24"/>
      <c r="C661" s="24"/>
      <c r="D661" s="7"/>
    </row>
    <row r="662" spans="8:8">
      <c r="A662" s="7"/>
      <c r="B662" s="24"/>
      <c r="C662" s="24"/>
      <c r="D662" s="7"/>
    </row>
    <row r="663" spans="8:8">
      <c r="A663" s="7"/>
      <c r="B663" s="24"/>
      <c r="C663" s="24"/>
      <c r="D663" s="7"/>
    </row>
    <row r="664" spans="8:8">
      <c r="A664" s="7"/>
      <c r="B664" s="24"/>
      <c r="C664" s="24"/>
      <c r="D664" s="7"/>
    </row>
    <row r="665" spans="8:8">
      <c r="A665" s="7"/>
      <c r="B665" s="24"/>
      <c r="C665" s="24"/>
      <c r="D665" s="7"/>
    </row>
    <row r="666" spans="8:8">
      <c r="A666" s="7"/>
      <c r="B666" s="24"/>
      <c r="C666" s="24"/>
      <c r="D666" s="7"/>
    </row>
    <row r="667" spans="8:8">
      <c r="A667" s="7"/>
      <c r="B667" s="24"/>
      <c r="C667" s="24"/>
      <c r="D667" s="7"/>
    </row>
    <row r="668" spans="8:8">
      <c r="A668" s="7"/>
      <c r="B668" s="24"/>
      <c r="C668" s="24"/>
      <c r="D668" s="7"/>
    </row>
    <row r="669" spans="8:8">
      <c r="A669" s="7"/>
      <c r="B669" s="24"/>
      <c r="C669" s="24"/>
      <c r="D669" s="7"/>
    </row>
    <row r="670" spans="8:8">
      <c r="A670" s="7"/>
      <c r="B670" s="24"/>
      <c r="C670" s="24"/>
      <c r="D670" s="7"/>
    </row>
    <row r="671" spans="8:8">
      <c r="A671" s="7"/>
      <c r="B671" s="24"/>
      <c r="C671" s="24"/>
      <c r="D671" s="7"/>
    </row>
    <row r="672" spans="8:8">
      <c r="A672" s="7"/>
      <c r="B672" s="24"/>
      <c r="C672" s="24"/>
      <c r="D672" s="7"/>
    </row>
    <row r="673" spans="8:8">
      <c r="A673" s="7"/>
      <c r="B673" s="24"/>
      <c r="C673" s="24"/>
      <c r="D673" s="7"/>
    </row>
    <row r="674" spans="8:8">
      <c r="A674" s="7"/>
      <c r="B674" s="24"/>
      <c r="C674" s="24"/>
      <c r="D674" s="7"/>
    </row>
    <row r="675" spans="8:8">
      <c r="A675" s="7"/>
      <c r="B675" s="24"/>
      <c r="C675" s="24"/>
      <c r="D675" s="7"/>
    </row>
    <row r="676" spans="8:8">
      <c r="A676" s="7"/>
      <c r="B676" s="24"/>
      <c r="C676" s="24"/>
      <c r="D676" s="7"/>
    </row>
    <row r="677" spans="8:8">
      <c r="A677" s="7"/>
      <c r="B677" s="24"/>
      <c r="C677" s="24"/>
      <c r="D677" s="7"/>
    </row>
    <row r="678" spans="8:8">
      <c r="A678" s="7"/>
      <c r="B678" s="24"/>
      <c r="C678" s="24"/>
      <c r="D678" s="7"/>
    </row>
    <row r="679" spans="8:8">
      <c r="A679" s="7"/>
      <c r="B679" s="24"/>
      <c r="C679" s="24"/>
      <c r="D679" s="7"/>
    </row>
    <row r="680" spans="8:8">
      <c r="A680" s="7"/>
      <c r="B680" s="24"/>
      <c r="C680" s="24"/>
      <c r="D680" s="7"/>
    </row>
    <row r="681" spans="8:8">
      <c r="A681" s="7"/>
      <c r="B681" s="24"/>
      <c r="C681" s="24"/>
      <c r="D681" s="7"/>
    </row>
    <row r="682" spans="8:8">
      <c r="A682" s="7"/>
      <c r="B682" s="24"/>
      <c r="C682" s="24"/>
      <c r="D682" s="7"/>
    </row>
    <row r="683" spans="8:8">
      <c r="A683" s="7"/>
      <c r="B683" s="24"/>
      <c r="C683" s="24"/>
      <c r="D683" s="7"/>
    </row>
    <row r="684" spans="8:8">
      <c r="A684" s="7"/>
      <c r="B684" s="24"/>
      <c r="C684" s="24"/>
      <c r="D684" s="7"/>
    </row>
    <row r="685" spans="8:8">
      <c r="A685" s="7"/>
      <c r="B685" s="24"/>
      <c r="C685" s="24"/>
      <c r="D685" s="7"/>
    </row>
    <row r="686" spans="8:8">
      <c r="A686" s="7"/>
      <c r="B686" s="24"/>
      <c r="C686" s="24"/>
      <c r="D686" s="7"/>
    </row>
    <row r="687" spans="8:8">
      <c r="A687" s="7"/>
      <c r="B687" s="24"/>
      <c r="C687" s="24"/>
      <c r="D687" s="7"/>
    </row>
    <row r="688" spans="8:8">
      <c r="A688" s="7"/>
      <c r="B688" s="24"/>
      <c r="C688" s="24"/>
      <c r="D688" s="7"/>
    </row>
    <row r="689" spans="8:8">
      <c r="A689" s="7"/>
      <c r="B689" s="24"/>
      <c r="C689" s="24"/>
      <c r="D689" s="7"/>
    </row>
    <row r="690" spans="8:8">
      <c r="A690" s="7"/>
      <c r="B690" s="24"/>
      <c r="C690" s="24"/>
      <c r="D690" s="7"/>
    </row>
    <row r="691" spans="8:8">
      <c r="A691" s="7"/>
      <c r="B691" s="24"/>
      <c r="C691" s="24"/>
      <c r="D691" s="7"/>
    </row>
    <row r="692" spans="8:8">
      <c r="A692" s="7"/>
      <c r="B692" s="24"/>
      <c r="C692" s="24"/>
      <c r="D692" s="7"/>
    </row>
    <row r="693" spans="8:8">
      <c r="A693" s="7"/>
      <c r="B693" s="24"/>
      <c r="C693" s="24"/>
      <c r="D693" s="7"/>
    </row>
    <row r="694" spans="8:8">
      <c r="A694" s="7"/>
      <c r="B694" s="24"/>
      <c r="C694" s="24"/>
      <c r="D694" s="7"/>
    </row>
    <row r="695" spans="8:8">
      <c r="A695" s="7"/>
      <c r="B695" s="24"/>
      <c r="C695" s="24"/>
      <c r="D695" s="7"/>
    </row>
    <row r="696" spans="8:8">
      <c r="A696" s="7"/>
      <c r="B696" s="24"/>
      <c r="C696" s="24"/>
      <c r="D696" s="7"/>
    </row>
    <row r="697" spans="8:8">
      <c r="A697" s="7"/>
      <c r="B697" s="24"/>
      <c r="C697" s="24"/>
      <c r="D697" s="7"/>
    </row>
    <row r="698" spans="8:8">
      <c r="A698" s="7"/>
      <c r="B698" s="24"/>
      <c r="C698" s="24"/>
      <c r="D698" s="7"/>
    </row>
    <row r="699" spans="8:8">
      <c r="A699" s="7"/>
      <c r="B699" s="24"/>
      <c r="C699" s="24"/>
      <c r="D699" s="7"/>
    </row>
    <row r="700" spans="8:8">
      <c r="A700" s="7"/>
      <c r="B700" s="24"/>
      <c r="C700" s="24"/>
      <c r="D700" s="7"/>
    </row>
    <row r="701" spans="8:8">
      <c r="A701" s="7"/>
      <c r="B701" s="24"/>
      <c r="C701" s="24"/>
      <c r="D701" s="7"/>
    </row>
    <row r="702" spans="8:8">
      <c r="A702" s="7"/>
      <c r="B702" s="24"/>
      <c r="C702" s="24"/>
      <c r="D702" s="7"/>
    </row>
    <row r="703" spans="8:8">
      <c r="A703" s="7"/>
      <c r="B703" s="24"/>
      <c r="C703" s="24"/>
      <c r="D703" s="7"/>
    </row>
    <row r="704" spans="8:8">
      <c r="A704" s="7"/>
      <c r="B704" s="24"/>
      <c r="C704" s="24"/>
      <c r="D704" s="7"/>
    </row>
    <row r="705" spans="8:8">
      <c r="A705" s="7"/>
      <c r="B705" s="24"/>
      <c r="C705" s="24"/>
      <c r="D705" s="7"/>
    </row>
    <row r="706" spans="8:8">
      <c r="A706" s="7"/>
      <c r="B706" s="24"/>
      <c r="C706" s="24"/>
      <c r="D706" s="7"/>
    </row>
    <row r="707" spans="8:8">
      <c r="A707" s="7"/>
      <c r="B707" s="24"/>
      <c r="C707" s="24"/>
      <c r="D707" s="7"/>
    </row>
    <row r="708" spans="8:8">
      <c r="A708" s="7"/>
      <c r="B708" s="24"/>
      <c r="C708" s="24"/>
      <c r="D708" s="7"/>
    </row>
    <row r="709" spans="8:8">
      <c r="A709" s="7"/>
      <c r="B709" s="24"/>
      <c r="C709" s="24"/>
      <c r="D709" s="7"/>
    </row>
    <row r="710" spans="8:8">
      <c r="A710" s="7"/>
      <c r="B710" s="24"/>
      <c r="C710" s="24"/>
      <c r="D710" s="7"/>
    </row>
    <row r="711" spans="8:8">
      <c r="A711" s="7"/>
      <c r="B711" s="24"/>
      <c r="C711" s="24"/>
      <c r="D711" s="7"/>
    </row>
    <row r="712" spans="8:8">
      <c r="A712" s="7"/>
      <c r="B712" s="24"/>
      <c r="C712" s="24"/>
      <c r="D712" s="7"/>
    </row>
    <row r="713" spans="8:8">
      <c r="A713" s="7"/>
      <c r="B713" s="24"/>
      <c r="C713" s="24"/>
      <c r="D713" s="7"/>
    </row>
    <row r="714" spans="8:8">
      <c r="A714" s="7"/>
      <c r="B714" s="24"/>
      <c r="C714" s="24"/>
      <c r="D714" s="7"/>
    </row>
    <row r="715" spans="8:8">
      <c r="A715" s="7"/>
      <c r="B715" s="24"/>
      <c r="C715" s="24"/>
      <c r="D715" s="7"/>
    </row>
    <row r="716" spans="8:8">
      <c r="A716" s="7"/>
      <c r="B716" s="24"/>
      <c r="C716" s="24"/>
      <c r="D716" s="7"/>
    </row>
    <row r="717" spans="8:8">
      <c r="A717" s="7"/>
      <c r="B717" s="24"/>
      <c r="C717" s="24"/>
      <c r="D717" s="7"/>
    </row>
    <row r="718" spans="8:8">
      <c r="A718" s="7"/>
      <c r="B718" s="24"/>
      <c r="C718" s="24"/>
      <c r="D718" s="7"/>
    </row>
    <row r="719" spans="8:8">
      <c r="A719" s="7"/>
      <c r="B719" s="24"/>
      <c r="C719" s="24"/>
      <c r="D719" s="7"/>
    </row>
    <row r="720" spans="8:8">
      <c r="A720" s="7"/>
      <c r="B720" s="24"/>
      <c r="C720" s="24"/>
      <c r="D720" s="7"/>
    </row>
    <row r="721" spans="8:8">
      <c r="A721" s="7"/>
      <c r="B721" s="24"/>
      <c r="C721" s="24"/>
      <c r="D721" s="7"/>
    </row>
    <row r="722" spans="8:8">
      <c r="A722" s="7"/>
      <c r="B722" s="24"/>
      <c r="C722" s="24"/>
      <c r="D722" s="7"/>
    </row>
    <row r="723" spans="8:8">
      <c r="A723" s="7"/>
      <c r="B723" s="24"/>
      <c r="C723" s="24"/>
      <c r="D723" s="7"/>
    </row>
    <row r="724" spans="8:8">
      <c r="A724" s="7"/>
      <c r="B724" s="24"/>
      <c r="C724" s="24"/>
      <c r="D724" s="7"/>
    </row>
    <row r="725" spans="8:8">
      <c r="A725" s="7"/>
      <c r="B725" s="24"/>
      <c r="C725" s="24"/>
      <c r="D725" s="7"/>
    </row>
    <row r="726" spans="8:8">
      <c r="A726" s="7"/>
      <c r="B726" s="24"/>
      <c r="C726" s="24"/>
      <c r="D726" s="7"/>
    </row>
    <row r="727" spans="8:8">
      <c r="A727" s="7"/>
      <c r="B727" s="24"/>
      <c r="C727" s="24"/>
      <c r="D727" s="7"/>
    </row>
    <row r="728" spans="8:8">
      <c r="A728" s="7"/>
      <c r="B728" s="24"/>
      <c r="C728" s="24"/>
      <c r="D728" s="7"/>
    </row>
    <row r="729" spans="8:8">
      <c r="A729" s="7"/>
      <c r="B729" s="24"/>
      <c r="C729" s="24"/>
      <c r="D729" s="7"/>
    </row>
    <row r="730" spans="8:8">
      <c r="A730" s="7"/>
      <c r="B730" s="24"/>
      <c r="C730" s="24"/>
      <c r="D730" s="7"/>
    </row>
    <row r="731" spans="8:8">
      <c r="A731" s="7"/>
      <c r="B731" s="24"/>
      <c r="C731" s="24"/>
      <c r="D731" s="7"/>
    </row>
    <row r="732" spans="8:8">
      <c r="A732" s="7"/>
      <c r="B732" s="24"/>
      <c r="C732" s="24"/>
      <c r="D732" s="7"/>
    </row>
    <row r="733" spans="8:8">
      <c r="A733" s="7"/>
      <c r="B733" s="24"/>
      <c r="C733" s="24"/>
      <c r="D733" s="7"/>
    </row>
    <row r="734" spans="8:8">
      <c r="A734" s="7"/>
      <c r="B734" s="24"/>
      <c r="C734" s="24"/>
      <c r="D734" s="7"/>
    </row>
    <row r="735" spans="8:8">
      <c r="A735" s="7"/>
      <c r="B735" s="24"/>
      <c r="C735" s="24"/>
      <c r="D735" s="7"/>
    </row>
    <row r="736" spans="8:8">
      <c r="A736" s="7"/>
      <c r="B736" s="24"/>
      <c r="C736" s="24"/>
      <c r="D736" s="7"/>
    </row>
    <row r="737" spans="8:8">
      <c r="A737" s="7"/>
      <c r="B737" s="24"/>
      <c r="C737" s="24"/>
      <c r="D737" s="7"/>
    </row>
    <row r="738" spans="8:8">
      <c r="A738" s="7"/>
      <c r="B738" s="24"/>
      <c r="C738" s="24"/>
      <c r="D738" s="7"/>
    </row>
    <row r="739" spans="8:8">
      <c r="A739" s="7"/>
      <c r="B739" s="24"/>
      <c r="C739" s="24"/>
      <c r="D739" s="7"/>
    </row>
    <row r="740" spans="8:8">
      <c r="A740" s="7"/>
      <c r="B740" s="24"/>
      <c r="C740" s="24"/>
      <c r="D740" s="7"/>
    </row>
    <row r="741" spans="8:8">
      <c r="A741" s="7"/>
      <c r="B741" s="24"/>
      <c r="C741" s="24"/>
      <c r="D741" s="7"/>
    </row>
    <row r="742" spans="8:8">
      <c r="A742" s="7"/>
      <c r="B742" s="24"/>
      <c r="C742" s="24"/>
      <c r="D742" s="7"/>
    </row>
    <row r="743" spans="8:8">
      <c r="A743" s="7"/>
      <c r="B743" s="24"/>
      <c r="C743" s="24"/>
      <c r="D743" s="7"/>
    </row>
    <row r="744" spans="8:8">
      <c r="A744" s="7"/>
      <c r="B744" s="24"/>
      <c r="C744" s="24"/>
      <c r="D744" s="7"/>
    </row>
    <row r="745" spans="8:8">
      <c r="A745" s="7"/>
      <c r="B745" s="24"/>
      <c r="C745" s="24"/>
      <c r="D745" s="7"/>
    </row>
    <row r="746" spans="8:8">
      <c r="A746" s="7"/>
      <c r="B746" s="24"/>
      <c r="C746" s="24"/>
      <c r="D746" s="7"/>
    </row>
    <row r="747" spans="8:8">
      <c r="A747" s="7"/>
      <c r="B747" s="24"/>
      <c r="C747" s="24"/>
      <c r="D747" s="7"/>
    </row>
    <row r="748" spans="8:8">
      <c r="A748" s="7"/>
      <c r="B748" s="24"/>
      <c r="C748" s="24"/>
      <c r="D748" s="7"/>
    </row>
    <row r="749" spans="8:8">
      <c r="A749" s="7"/>
      <c r="B749" s="24"/>
      <c r="C749" s="24"/>
      <c r="D749" s="7"/>
    </row>
    <row r="750" spans="8:8">
      <c r="A750" s="7"/>
      <c r="B750" s="24"/>
      <c r="C750" s="24"/>
      <c r="D750" s="7"/>
    </row>
    <row r="751" spans="8:8">
      <c r="A751" s="7"/>
      <c r="B751" s="24"/>
      <c r="C751" s="24"/>
      <c r="D751" s="7"/>
    </row>
    <row r="752" spans="8:8">
      <c r="A752" s="7"/>
      <c r="B752" s="24"/>
      <c r="C752" s="24"/>
      <c r="D752" s="7"/>
    </row>
    <row r="753" spans="8:8">
      <c r="A753" s="7"/>
      <c r="B753" s="24"/>
      <c r="C753" s="24"/>
      <c r="D753" s="7"/>
    </row>
    <row r="754" spans="8:8">
      <c r="A754" s="7"/>
      <c r="B754" s="24"/>
      <c r="C754" s="24"/>
      <c r="D754" s="7"/>
    </row>
    <row r="755" spans="8:8">
      <c r="A755" s="7"/>
      <c r="B755" s="24"/>
      <c r="C755" s="24"/>
      <c r="D755" s="7"/>
    </row>
    <row r="756" spans="8:8">
      <c r="A756" s="7"/>
      <c r="B756" s="24"/>
      <c r="C756" s="24"/>
      <c r="D756" s="7"/>
    </row>
    <row r="757" spans="8:8">
      <c r="A757" s="7"/>
      <c r="B757" s="24"/>
      <c r="C757" s="24"/>
      <c r="D757" s="7"/>
    </row>
    <row r="758" spans="8:8">
      <c r="A758" s="7"/>
      <c r="B758" s="24"/>
      <c r="C758" s="24"/>
      <c r="D758" s="7"/>
    </row>
    <row r="759" spans="8:8">
      <c r="A759" s="7"/>
      <c r="B759" s="24"/>
      <c r="C759" s="24"/>
      <c r="D759" s="7"/>
    </row>
    <row r="760" spans="8:8">
      <c r="A760" s="7"/>
      <c r="B760" s="24"/>
      <c r="C760" s="24"/>
      <c r="D760" s="7"/>
    </row>
    <row r="761" spans="8:8">
      <c r="A761" s="7"/>
      <c r="B761" s="24"/>
      <c r="C761" s="24"/>
      <c r="D761" s="7"/>
    </row>
    <row r="762" spans="8:8">
      <c r="A762" s="7"/>
      <c r="B762" s="24"/>
      <c r="C762" s="24"/>
      <c r="D762" s="7"/>
    </row>
    <row r="763" spans="8:8">
      <c r="A763" s="7"/>
      <c r="B763" s="24"/>
      <c r="C763" s="24"/>
      <c r="D763" s="7"/>
    </row>
    <row r="764" spans="8:8">
      <c r="A764" s="7"/>
      <c r="B764" s="24"/>
      <c r="C764" s="24"/>
      <c r="D764" s="7"/>
    </row>
    <row r="765" spans="8:8">
      <c r="A765" s="7"/>
      <c r="B765" s="24"/>
      <c r="C765" s="24"/>
      <c r="D765" s="7"/>
    </row>
    <row r="766" spans="8:8">
      <c r="A766" s="7"/>
      <c r="B766" s="24"/>
      <c r="C766" s="24"/>
      <c r="D766" s="7"/>
    </row>
    <row r="767" spans="8:8">
      <c r="A767" s="7"/>
      <c r="B767" s="24"/>
      <c r="C767" s="24"/>
      <c r="D767" s="7"/>
    </row>
    <row r="768" spans="8:8">
      <c r="A768" s="7"/>
      <c r="B768" s="24"/>
      <c r="C768" s="24"/>
      <c r="D768" s="7"/>
    </row>
    <row r="769" spans="8:8">
      <c r="A769" s="7"/>
      <c r="B769" s="24"/>
      <c r="C769" s="24"/>
      <c r="D769" s="7"/>
    </row>
    <row r="770" spans="8:8">
      <c r="A770" s="7"/>
      <c r="B770" s="24"/>
      <c r="C770" s="24"/>
      <c r="D770" s="7"/>
    </row>
    <row r="771" spans="8:8">
      <c r="A771" s="7"/>
      <c r="B771" s="24"/>
      <c r="C771" s="24"/>
      <c r="D771" s="7"/>
    </row>
    <row r="772" spans="8:8">
      <c r="A772" s="7"/>
      <c r="B772" s="24"/>
      <c r="C772" s="24"/>
      <c r="D772" s="7"/>
    </row>
    <row r="773" spans="8:8">
      <c r="A773" s="7"/>
      <c r="B773" s="24"/>
      <c r="C773" s="24"/>
      <c r="D773" s="7"/>
    </row>
    <row r="774" spans="8:8">
      <c r="A774" s="7"/>
      <c r="B774" s="24"/>
      <c r="C774" s="24"/>
      <c r="D774" s="7"/>
    </row>
    <row r="775" spans="8:8">
      <c r="A775" s="7"/>
      <c r="B775" s="24"/>
      <c r="C775" s="24"/>
      <c r="D775" s="7"/>
    </row>
    <row r="776" spans="8:8">
      <c r="A776" s="7"/>
      <c r="B776" s="24"/>
      <c r="C776" s="24"/>
      <c r="D776" s="7"/>
    </row>
    <row r="777" spans="8:8">
      <c r="A777" s="7"/>
      <c r="B777" s="24"/>
      <c r="C777" s="24"/>
      <c r="D777" s="7"/>
    </row>
    <row r="778" spans="8:8">
      <c r="A778" s="7"/>
      <c r="B778" s="24"/>
      <c r="C778" s="24"/>
      <c r="D778" s="7"/>
    </row>
    <row r="779" spans="8:8">
      <c r="A779" s="7"/>
      <c r="B779" s="24"/>
      <c r="C779" s="24"/>
      <c r="D779" s="7"/>
    </row>
    <row r="780" spans="8:8">
      <c r="A780" s="7"/>
      <c r="B780" s="24"/>
      <c r="C780" s="24"/>
      <c r="D780" s="7"/>
    </row>
    <row r="781" spans="8:8">
      <c r="A781" s="7"/>
      <c r="B781" s="24"/>
      <c r="C781" s="24"/>
      <c r="D781" s="7"/>
    </row>
    <row r="782" spans="8:8">
      <c r="A782" s="7"/>
      <c r="B782" s="24"/>
      <c r="C782" s="24"/>
      <c r="D782" s="7"/>
    </row>
    <row r="783" spans="8:8">
      <c r="A783" s="7"/>
      <c r="B783" s="24"/>
      <c r="C783" s="24"/>
      <c r="D783" s="7"/>
    </row>
    <row r="784" spans="8:8">
      <c r="A784" s="7"/>
      <c r="B784" s="24"/>
      <c r="C784" s="24"/>
      <c r="D784" s="7"/>
    </row>
    <row r="785" spans="8:8">
      <c r="A785" s="7"/>
      <c r="B785" s="24"/>
      <c r="C785" s="24"/>
      <c r="D785" s="7"/>
    </row>
    <row r="786" spans="8:8">
      <c r="A786" s="7"/>
      <c r="B786" s="24"/>
      <c r="C786" s="24"/>
      <c r="D786" s="7"/>
    </row>
    <row r="787" spans="8:8">
      <c r="A787" s="7"/>
      <c r="B787" s="24"/>
      <c r="C787" s="24"/>
      <c r="D787" s="7"/>
    </row>
    <row r="788" spans="8:8">
      <c r="A788" s="7"/>
      <c r="B788" s="24"/>
      <c r="C788" s="24"/>
      <c r="D788" s="7"/>
    </row>
    <row r="789" spans="8:8">
      <c r="A789" s="7"/>
      <c r="B789" s="24"/>
      <c r="C789" s="24"/>
      <c r="D789" s="7"/>
    </row>
    <row r="790" spans="8:8">
      <c r="A790" s="7"/>
      <c r="B790" s="24"/>
      <c r="C790" s="24"/>
      <c r="D790" s="7"/>
    </row>
    <row r="791" spans="8:8">
      <c r="A791" s="7"/>
      <c r="B791" s="24"/>
      <c r="C791" s="24"/>
      <c r="D791" s="7"/>
    </row>
    <row r="792" spans="8:8">
      <c r="A792" s="7"/>
      <c r="B792" s="24"/>
      <c r="C792" s="24"/>
      <c r="D792" s="7"/>
    </row>
    <row r="793" spans="8:8">
      <c r="A793" s="7"/>
      <c r="B793" s="24"/>
      <c r="C793" s="24"/>
      <c r="D793" s="7"/>
    </row>
    <row r="794" spans="8:8">
      <c r="A794" s="7"/>
      <c r="B794" s="24"/>
      <c r="C794" s="24"/>
      <c r="D794" s="7"/>
    </row>
    <row r="795" spans="8:8">
      <c r="A795" s="7"/>
      <c r="B795" s="24"/>
      <c r="C795" s="24"/>
      <c r="D795" s="7"/>
    </row>
    <row r="796" spans="8:8">
      <c r="A796" s="7"/>
      <c r="B796" s="24"/>
      <c r="C796" s="24"/>
      <c r="D796" s="7"/>
    </row>
    <row r="797" spans="8:8">
      <c r="A797" s="7"/>
      <c r="B797" s="24"/>
      <c r="C797" s="24"/>
      <c r="D797" s="7"/>
    </row>
    <row r="798" spans="8:8">
      <c r="A798" s="7"/>
      <c r="B798" s="24"/>
      <c r="C798" s="24"/>
      <c r="D798" s="7"/>
    </row>
    <row r="799" spans="8:8">
      <c r="A799" s="7"/>
      <c r="B799" s="24"/>
      <c r="C799" s="24"/>
      <c r="D799" s="7"/>
    </row>
    <row r="800" spans="8:8">
      <c r="A800" s="7"/>
      <c r="B800" s="24"/>
      <c r="C800" s="24"/>
      <c r="D800" s="7"/>
    </row>
    <row r="801" spans="8:8">
      <c r="A801" s="7"/>
      <c r="B801" s="24"/>
      <c r="C801" s="24"/>
      <c r="D801" s="7"/>
    </row>
    <row r="802" spans="8:8">
      <c r="A802" s="7"/>
      <c r="B802" s="24"/>
      <c r="C802" s="24"/>
      <c r="D802" s="7"/>
    </row>
    <row r="803" spans="8:8">
      <c r="A803" s="7"/>
      <c r="B803" s="24"/>
      <c r="C803" s="24"/>
      <c r="D803" s="7"/>
    </row>
    <row r="804" spans="8:8">
      <c r="A804" s="7"/>
      <c r="B804" s="24"/>
      <c r="C804" s="24"/>
      <c r="D804" s="7"/>
    </row>
    <row r="805" spans="8:8">
      <c r="A805" s="7"/>
      <c r="B805" s="24"/>
      <c r="C805" s="24"/>
      <c r="D805" s="7"/>
    </row>
    <row r="806" spans="8:8">
      <c r="A806" s="7"/>
      <c r="B806" s="24"/>
      <c r="C806" s="24"/>
      <c r="D806" s="7"/>
    </row>
    <row r="807" spans="8:8">
      <c r="A807" s="7"/>
      <c r="B807" s="24"/>
      <c r="C807" s="24"/>
      <c r="D807" s="7"/>
    </row>
    <row r="808" spans="8:8">
      <c r="A808" s="7"/>
      <c r="B808" s="24"/>
      <c r="C808" s="24"/>
      <c r="D808" s="7"/>
    </row>
    <row r="809" spans="8:8">
      <c r="A809" s="7"/>
      <c r="B809" s="24"/>
      <c r="C809" s="24"/>
      <c r="D809" s="7"/>
    </row>
    <row r="810" spans="8:8">
      <c r="A810" s="7"/>
      <c r="B810" s="24"/>
      <c r="C810" s="24"/>
      <c r="D810" s="7"/>
    </row>
    <row r="811" spans="8:8">
      <c r="A811" s="7"/>
      <c r="B811" s="24"/>
      <c r="C811" s="24"/>
      <c r="D811" s="7"/>
    </row>
    <row r="812" spans="8:8">
      <c r="A812" s="7"/>
      <c r="B812" s="24"/>
      <c r="C812" s="24"/>
      <c r="D812" s="7"/>
    </row>
    <row r="813" spans="8:8">
      <c r="A813" s="7"/>
      <c r="B813" s="24"/>
      <c r="C813" s="24"/>
      <c r="D813" s="7"/>
    </row>
    <row r="814" spans="8:8">
      <c r="A814" s="7"/>
      <c r="B814" s="24"/>
      <c r="C814" s="24"/>
      <c r="D814" s="7"/>
    </row>
    <row r="815" spans="8:8">
      <c r="A815" s="7"/>
      <c r="B815" s="24"/>
      <c r="C815" s="24"/>
      <c r="D815" s="7"/>
    </row>
    <row r="816" spans="8:8">
      <c r="A816" s="7"/>
      <c r="B816" s="24"/>
      <c r="C816" s="24"/>
      <c r="D816" s="7"/>
    </row>
    <row r="817" spans="8:8">
      <c r="A817" s="7"/>
      <c r="B817" s="24"/>
      <c r="C817" s="24"/>
      <c r="D817" s="7"/>
    </row>
    <row r="818" spans="8:8">
      <c r="A818" s="7"/>
      <c r="B818" s="24"/>
      <c r="C818" s="24"/>
      <c r="D818" s="7"/>
    </row>
    <row r="819" spans="8:8">
      <c r="A819" s="7"/>
      <c r="B819" s="24"/>
      <c r="C819" s="24"/>
      <c r="D819" s="7"/>
    </row>
    <row r="820" spans="8:8">
      <c r="A820" s="7"/>
      <c r="B820" s="24"/>
      <c r="C820" s="24"/>
      <c r="D820" s="7"/>
    </row>
    <row r="821" spans="8:8">
      <c r="A821" s="7"/>
      <c r="B821" s="24"/>
      <c r="C821" s="24"/>
      <c r="D821" s="7"/>
    </row>
    <row r="822" spans="8:8">
      <c r="A822" s="7"/>
      <c r="B822" s="24"/>
      <c r="C822" s="24"/>
      <c r="D822" s="7"/>
    </row>
    <row r="823" spans="8:8">
      <c r="A823" s="7"/>
      <c r="B823" s="24"/>
      <c r="C823" s="24"/>
      <c r="D823" s="7"/>
    </row>
    <row r="824" spans="8:8">
      <c r="A824" s="7"/>
      <c r="B824" s="24"/>
      <c r="C824" s="24"/>
      <c r="D824" s="7"/>
    </row>
    <row r="825" spans="8:8">
      <c r="A825" s="7"/>
      <c r="B825" s="24"/>
      <c r="C825" s="24"/>
      <c r="D825" s="7"/>
    </row>
    <row r="826" spans="8:8">
      <c r="A826" s="7"/>
      <c r="B826" s="24"/>
      <c r="C826" s="24"/>
      <c r="D826" s="7"/>
    </row>
    <row r="827" spans="8:8">
      <c r="A827" s="7"/>
      <c r="B827" s="24"/>
      <c r="C827" s="24"/>
      <c r="D827" s="7"/>
    </row>
    <row r="828" spans="8:8">
      <c r="A828" s="7"/>
      <c r="B828" s="24"/>
      <c r="C828" s="24"/>
      <c r="D828" s="7"/>
    </row>
    <row r="829" spans="8:8">
      <c r="A829" s="7"/>
      <c r="B829" s="24"/>
      <c r="C829" s="24"/>
      <c r="D829" s="7"/>
    </row>
    <row r="830" spans="8:8">
      <c r="A830" s="7"/>
      <c r="B830" s="24"/>
      <c r="C830" s="24"/>
      <c r="D830" s="7"/>
    </row>
    <row r="831" spans="8:8">
      <c r="A831" s="7"/>
      <c r="B831" s="24"/>
      <c r="C831" s="24"/>
      <c r="D831" s="7"/>
    </row>
    <row r="832" spans="8:8">
      <c r="A832" s="7"/>
      <c r="B832" s="24"/>
      <c r="C832" s="24"/>
      <c r="D832" s="7"/>
    </row>
    <row r="833" spans="8:8">
      <c r="A833" s="7"/>
      <c r="B833" s="24"/>
      <c r="C833" s="24"/>
      <c r="D833" s="7"/>
    </row>
    <row r="834" spans="8:8">
      <c r="A834" s="7"/>
      <c r="B834" s="24"/>
      <c r="C834" s="24"/>
      <c r="D834" s="7"/>
    </row>
    <row r="835" spans="8:8">
      <c r="A835" s="7"/>
      <c r="B835" s="24"/>
      <c r="C835" s="24"/>
      <c r="D835" s="7"/>
    </row>
    <row r="836" spans="8:8">
      <c r="A836" s="7"/>
      <c r="B836" s="24"/>
      <c r="C836" s="24"/>
      <c r="D836" s="7"/>
    </row>
    <row r="837" spans="8:8">
      <c r="A837" s="7"/>
      <c r="B837" s="24"/>
      <c r="C837" s="24"/>
      <c r="D837" s="7"/>
    </row>
    <row r="838" spans="8:8">
      <c r="A838" s="7"/>
      <c r="B838" s="24"/>
      <c r="C838" s="24"/>
      <c r="D838" s="7"/>
    </row>
    <row r="839" spans="8:8">
      <c r="A839" s="7"/>
      <c r="B839" s="24"/>
      <c r="C839" s="24"/>
      <c r="D839" s="7"/>
    </row>
    <row r="840" spans="8:8">
      <c r="A840" s="7"/>
      <c r="B840" s="24"/>
      <c r="C840" s="24"/>
      <c r="D840" s="7"/>
    </row>
    <row r="841" spans="8:8">
      <c r="A841" s="7"/>
      <c r="B841" s="24"/>
      <c r="C841" s="24"/>
      <c r="D841" s="7"/>
    </row>
    <row r="842" spans="8:8">
      <c r="A842" s="7"/>
      <c r="B842" s="24"/>
      <c r="C842" s="24"/>
      <c r="D842" s="7"/>
    </row>
    <row r="843" spans="8:8">
      <c r="A843" s="7"/>
      <c r="B843" s="24"/>
      <c r="C843" s="24"/>
      <c r="D843" s="7"/>
    </row>
    <row r="844" spans="8:8">
      <c r="A844" s="7"/>
      <c r="B844" s="24"/>
      <c r="C844" s="24"/>
      <c r="D844" s="7"/>
    </row>
    <row r="845" spans="8:8">
      <c r="A845" s="7"/>
      <c r="B845" s="24"/>
      <c r="C845" s="24"/>
      <c r="D845" s="7"/>
    </row>
    <row r="846" spans="8:8">
      <c r="A846" s="7"/>
      <c r="B846" s="24"/>
      <c r="C846" s="24"/>
      <c r="D846" s="7"/>
    </row>
    <row r="847" spans="8:8">
      <c r="A847" s="7"/>
      <c r="B847" s="24"/>
      <c r="C847" s="24"/>
      <c r="D847" s="7"/>
    </row>
    <row r="848" spans="8:8">
      <c r="A848" s="7"/>
      <c r="B848" s="24"/>
      <c r="C848" s="24"/>
      <c r="D848" s="7"/>
    </row>
    <row r="849" spans="8:8">
      <c r="A849" s="7"/>
      <c r="B849" s="24"/>
      <c r="C849" s="24"/>
      <c r="D849" s="7"/>
    </row>
    <row r="850" spans="8:8">
      <c r="A850" s="7"/>
      <c r="B850" s="24"/>
      <c r="C850" s="24"/>
      <c r="D850" s="7"/>
    </row>
    <row r="851" spans="8:8">
      <c r="A851" s="7"/>
      <c r="B851" s="24"/>
      <c r="C851" s="24"/>
      <c r="D851" s="7"/>
    </row>
    <row r="852" spans="8:8">
      <c r="A852" s="7"/>
      <c r="B852" s="24"/>
      <c r="C852" s="24"/>
      <c r="D852" s="7"/>
    </row>
    <row r="853" spans="8:8">
      <c r="A853" s="7"/>
      <c r="B853" s="24"/>
      <c r="C853" s="24"/>
      <c r="D853" s="7"/>
    </row>
    <row r="854" spans="8:8">
      <c r="A854" s="7"/>
      <c r="B854" s="24"/>
      <c r="C854" s="24"/>
      <c r="D854" s="7"/>
    </row>
    <row r="855" spans="8:8">
      <c r="A855" s="7"/>
      <c r="B855" s="24"/>
      <c r="C855" s="24"/>
      <c r="D855" s="7"/>
    </row>
    <row r="856" spans="8:8">
      <c r="A856" s="7"/>
      <c r="B856" s="24"/>
      <c r="C856" s="24"/>
      <c r="D856" s="7"/>
    </row>
    <row r="857" spans="8:8">
      <c r="A857" s="7"/>
      <c r="B857" s="24"/>
      <c r="C857" s="24"/>
      <c r="D857" s="7"/>
    </row>
    <row r="858" spans="8:8">
      <c r="A858" s="7"/>
      <c r="B858" s="24"/>
      <c r="C858" s="24"/>
      <c r="D858" s="7"/>
    </row>
    <row r="859" spans="8:8">
      <c r="A859" s="7"/>
      <c r="B859" s="24"/>
      <c r="C859" s="24"/>
      <c r="D859" s="7"/>
    </row>
    <row r="860" spans="8:8">
      <c r="A860" s="7"/>
      <c r="B860" s="24"/>
      <c r="C860" s="24"/>
      <c r="D860" s="7"/>
    </row>
    <row r="861" spans="8:8">
      <c r="A861" s="7"/>
      <c r="B861" s="24"/>
      <c r="C861" s="24"/>
      <c r="D861" s="7"/>
    </row>
    <row r="862" spans="8:8">
      <c r="A862" s="7"/>
      <c r="B862" s="24"/>
      <c r="C862" s="24"/>
      <c r="D862" s="7"/>
    </row>
    <row r="863" spans="8:8">
      <c r="A863" s="7"/>
      <c r="B863" s="24"/>
      <c r="C863" s="24"/>
      <c r="D863" s="7"/>
    </row>
    <row r="864" spans="8:8">
      <c r="A864" s="7"/>
      <c r="B864" s="24"/>
      <c r="C864" s="24"/>
      <c r="D864" s="7"/>
    </row>
    <row r="865" spans="8:8">
      <c r="A865" s="7"/>
      <c r="B865" s="24"/>
      <c r="C865" s="24"/>
      <c r="D865" s="7"/>
    </row>
    <row r="866" spans="8:8">
      <c r="A866" s="7"/>
      <c r="B866" s="24"/>
      <c r="C866" s="24"/>
      <c r="D866" s="7"/>
    </row>
    <row r="867" spans="8:8">
      <c r="A867" s="7"/>
      <c r="B867" s="24"/>
      <c r="C867" s="24"/>
      <c r="D867" s="7"/>
    </row>
    <row r="868" spans="8:8">
      <c r="A868" s="7"/>
      <c r="B868" s="24"/>
      <c r="C868" s="24"/>
      <c r="D868" s="7"/>
    </row>
    <row r="869" spans="8:8">
      <c r="A869" s="7"/>
      <c r="B869" s="24"/>
      <c r="C869" s="24"/>
      <c r="D869" s="7"/>
    </row>
    <row r="870" spans="8:8">
      <c r="A870" s="7"/>
      <c r="B870" s="24"/>
      <c r="C870" s="24"/>
      <c r="D870" s="7"/>
    </row>
    <row r="871" spans="8:8">
      <c r="A871" s="7"/>
      <c r="B871" s="24"/>
      <c r="C871" s="24"/>
      <c r="D871" s="7"/>
    </row>
    <row r="872" spans="8:8">
      <c r="A872" s="7"/>
      <c r="B872" s="24"/>
      <c r="C872" s="24"/>
      <c r="D872" s="7"/>
    </row>
    <row r="873" spans="8:8">
      <c r="A873" s="7"/>
      <c r="B873" s="24"/>
      <c r="C873" s="24"/>
      <c r="D873" s="7"/>
    </row>
    <row r="874" spans="8:8">
      <c r="A874" s="7"/>
      <c r="B874" s="24"/>
      <c r="C874" s="24"/>
      <c r="D874" s="7"/>
    </row>
    <row r="875" spans="8:8">
      <c r="A875" s="7"/>
      <c r="B875" s="24"/>
      <c r="C875" s="24"/>
      <c r="D875" s="7"/>
    </row>
    <row r="876" spans="8:8">
      <c r="A876" s="7"/>
      <c r="B876" s="24"/>
      <c r="C876" s="24"/>
      <c r="D876" s="7"/>
    </row>
    <row r="877" spans="8:8">
      <c r="A877" s="7"/>
      <c r="B877" s="24"/>
      <c r="C877" s="24"/>
      <c r="D877" s="7"/>
    </row>
    <row r="878" spans="8:8">
      <c r="A878" s="7"/>
      <c r="B878" s="24"/>
      <c r="C878" s="24"/>
      <c r="D878" s="7"/>
    </row>
    <row r="879" spans="8:8">
      <c r="A879" s="7"/>
      <c r="B879" s="24"/>
      <c r="C879" s="24"/>
      <c r="D879" s="7"/>
    </row>
    <row r="880" spans="8:8">
      <c r="A880" s="7"/>
      <c r="B880" s="24"/>
      <c r="C880" s="24"/>
      <c r="D880" s="7"/>
    </row>
    <row r="881" spans="8:8">
      <c r="A881" s="7"/>
      <c r="B881" s="24"/>
      <c r="C881" s="24"/>
      <c r="D881" s="7"/>
    </row>
    <row r="882" spans="8:8">
      <c r="A882" s="7"/>
      <c r="B882" s="24"/>
      <c r="C882" s="24"/>
      <c r="D882" s="7"/>
    </row>
    <row r="883" spans="8:8">
      <c r="A883" s="7"/>
      <c r="B883" s="24"/>
      <c r="C883" s="24"/>
      <c r="D883" s="7"/>
    </row>
    <row r="884" spans="8:8">
      <c r="A884" s="7"/>
      <c r="B884" s="24"/>
      <c r="C884" s="24"/>
      <c r="D884" s="7"/>
    </row>
    <row r="885" spans="8:8">
      <c r="A885" s="7"/>
      <c r="B885" s="24"/>
      <c r="C885" s="24"/>
      <c r="D885" s="7"/>
    </row>
    <row r="886" spans="8:8">
      <c r="A886" s="7"/>
      <c r="B886" s="24"/>
      <c r="C886" s="24"/>
      <c r="D886" s="7"/>
    </row>
    <row r="887" spans="8:8">
      <c r="A887" s="7"/>
      <c r="B887" s="24"/>
      <c r="C887" s="24"/>
      <c r="D887" s="7"/>
    </row>
    <row r="888" spans="8:8">
      <c r="A888" s="7"/>
      <c r="B888" s="24"/>
      <c r="C888" s="24"/>
      <c r="D888" s="7"/>
    </row>
    <row r="889" spans="8:8">
      <c r="A889" s="7"/>
      <c r="B889" s="24"/>
      <c r="C889" s="24"/>
      <c r="D889" s="7"/>
    </row>
    <row r="890" spans="8:8">
      <c r="A890" s="7"/>
      <c r="B890" s="24"/>
      <c r="C890" s="24"/>
      <c r="D890" s="7"/>
    </row>
    <row r="891" spans="8:8">
      <c r="A891" s="7"/>
      <c r="B891" s="24"/>
      <c r="C891" s="24"/>
      <c r="D891" s="7"/>
    </row>
    <row r="892" spans="8:8">
      <c r="A892" s="7"/>
      <c r="B892" s="24"/>
      <c r="C892" s="24"/>
      <c r="D892" s="7"/>
    </row>
    <row r="893" spans="8:8">
      <c r="A893" s="7"/>
      <c r="B893" s="24"/>
      <c r="C893" s="24"/>
      <c r="D893" s="7"/>
    </row>
    <row r="894" spans="8:8">
      <c r="A894" s="7"/>
      <c r="B894" s="24"/>
      <c r="C894" s="24"/>
      <c r="D894" s="7"/>
    </row>
    <row r="895" spans="8:8">
      <c r="A895" s="7"/>
      <c r="B895" s="24"/>
      <c r="C895" s="24"/>
      <c r="D895" s="7"/>
    </row>
    <row r="896" spans="8:8">
      <c r="A896" s="7"/>
      <c r="B896" s="24"/>
      <c r="C896" s="24"/>
      <c r="D896" s="7"/>
    </row>
    <row r="897" spans="8:8">
      <c r="A897" s="7"/>
      <c r="B897" s="24"/>
      <c r="C897" s="24"/>
      <c r="D897" s="7"/>
    </row>
    <row r="898" spans="8:8">
      <c r="A898" s="7"/>
      <c r="B898" s="24"/>
      <c r="C898" s="24"/>
      <c r="D898" s="7"/>
    </row>
    <row r="899" spans="8:8">
      <c r="A899" s="7"/>
      <c r="B899" s="24"/>
      <c r="C899" s="24"/>
      <c r="D899" s="7"/>
    </row>
    <row r="900" spans="8:8">
      <c r="A900" s="7"/>
      <c r="B900" s="24"/>
      <c r="C900" s="24"/>
      <c r="D900" s="7"/>
    </row>
    <row r="901" spans="8:8">
      <c r="A901" s="7"/>
      <c r="B901" s="24"/>
      <c r="C901" s="24"/>
      <c r="D901" s="7"/>
    </row>
    <row r="902" spans="8:8">
      <c r="A902" s="7"/>
      <c r="B902" s="24"/>
      <c r="C902" s="24"/>
      <c r="D902" s="7"/>
    </row>
    <row r="903" spans="8:8">
      <c r="A903" s="7"/>
      <c r="B903" s="24"/>
      <c r="C903" s="24"/>
      <c r="D903" s="7"/>
    </row>
    <row r="904" spans="8:8">
      <c r="A904" s="7"/>
      <c r="B904" s="24"/>
      <c r="C904" s="24"/>
      <c r="D904" s="7"/>
    </row>
    <row r="905" spans="8:8">
      <c r="A905" s="7"/>
      <c r="B905" s="24"/>
      <c r="C905" s="24"/>
      <c r="D905" s="7"/>
    </row>
    <row r="906" spans="8:8">
      <c r="A906" s="7"/>
      <c r="B906" s="24"/>
      <c r="C906" s="24"/>
      <c r="D906" s="7"/>
    </row>
    <row r="907" spans="8:8">
      <c r="A907" s="7"/>
      <c r="B907" s="24"/>
      <c r="C907" s="24"/>
      <c r="D907" s="7"/>
    </row>
    <row r="908" spans="8:8">
      <c r="A908" s="7"/>
      <c r="B908" s="24"/>
      <c r="C908" s="24"/>
      <c r="D908" s="7"/>
    </row>
    <row r="909" spans="8:8">
      <c r="A909" s="7"/>
      <c r="B909" s="24"/>
      <c r="C909" s="24"/>
      <c r="D909" s="7"/>
    </row>
    <row r="910" spans="8:8">
      <c r="A910" s="7"/>
      <c r="B910" s="24"/>
      <c r="C910" s="24"/>
      <c r="D910" s="7"/>
    </row>
    <row r="911" spans="8:8">
      <c r="A911" s="7"/>
      <c r="B911" s="24"/>
      <c r="C911" s="24"/>
      <c r="D911" s="7"/>
    </row>
    <row r="912" spans="8:8">
      <c r="A912" s="7"/>
      <c r="B912" s="24"/>
      <c r="C912" s="24"/>
      <c r="D912" s="7"/>
    </row>
    <row r="913" spans="8:8">
      <c r="A913" s="7"/>
      <c r="B913" s="24"/>
      <c r="C913" s="24"/>
      <c r="D913" s="7"/>
    </row>
    <row r="914" spans="8:8">
      <c r="A914" s="7"/>
      <c r="B914" s="24"/>
      <c r="C914" s="24"/>
      <c r="D914" s="7"/>
    </row>
    <row r="915" spans="8:8">
      <c r="A915" s="7"/>
      <c r="B915" s="24"/>
      <c r="C915" s="24"/>
      <c r="D915" s="7"/>
    </row>
    <row r="916" spans="8:8">
      <c r="A916" s="7"/>
      <c r="B916" s="24"/>
      <c r="C916" s="24"/>
      <c r="D916" s="7"/>
    </row>
    <row r="917" spans="8:8">
      <c r="A917" s="7"/>
      <c r="B917" s="24"/>
      <c r="C917" s="24"/>
      <c r="D917" s="7"/>
    </row>
    <row r="918" spans="8:8">
      <c r="A918" s="7"/>
      <c r="B918" s="24"/>
      <c r="C918" s="24"/>
      <c r="D918" s="7"/>
    </row>
    <row r="919" spans="8:8">
      <c r="A919" s="7"/>
      <c r="B919" s="24"/>
      <c r="C919" s="24"/>
      <c r="D919" s="7"/>
    </row>
    <row r="920" spans="8:8">
      <c r="A920" s="7"/>
      <c r="B920" s="24"/>
      <c r="C920" s="24"/>
      <c r="D920" s="7"/>
    </row>
    <row r="921" spans="8:8">
      <c r="A921" s="7"/>
      <c r="B921" s="24"/>
      <c r="C921" s="24"/>
      <c r="D921" s="7"/>
    </row>
    <row r="922" spans="8:8">
      <c r="A922" s="7"/>
      <c r="B922" s="24"/>
      <c r="C922" s="24"/>
      <c r="D922" s="7"/>
    </row>
    <row r="923" spans="8:8">
      <c r="A923" s="7"/>
      <c r="B923" s="24"/>
      <c r="C923" s="24"/>
      <c r="D923" s="7"/>
    </row>
    <row r="924" spans="8:8">
      <c r="A924" s="7"/>
      <c r="B924" s="24"/>
      <c r="C924" s="24"/>
      <c r="D924" s="7"/>
    </row>
    <row r="925" spans="8:8">
      <c r="A925" s="7"/>
      <c r="B925" s="24"/>
      <c r="C925" s="24"/>
      <c r="D925" s="7"/>
    </row>
    <row r="926" spans="8:8">
      <c r="A926" s="7"/>
      <c r="B926" s="24"/>
      <c r="C926" s="24"/>
      <c r="D926" s="7"/>
    </row>
    <row r="927" spans="8:8">
      <c r="A927" s="7"/>
      <c r="B927" s="24"/>
      <c r="C927" s="24"/>
      <c r="D927" s="7"/>
    </row>
    <row r="928" spans="8:8">
      <c r="A928" s="7"/>
      <c r="B928" s="24"/>
      <c r="C928" s="24"/>
      <c r="D928" s="7"/>
    </row>
    <row r="929" spans="8:8">
      <c r="A929" s="7"/>
      <c r="B929" s="24"/>
      <c r="C929" s="24"/>
      <c r="D929" s="7"/>
    </row>
    <row r="930" spans="8:8">
      <c r="A930" s="7"/>
      <c r="B930" s="24"/>
      <c r="C930" s="24"/>
      <c r="D930" s="7"/>
    </row>
    <row r="931" spans="8:8">
      <c r="A931" s="7"/>
      <c r="B931" s="24"/>
      <c r="C931" s="24"/>
      <c r="D931" s="7"/>
    </row>
    <row r="932" spans="8:8">
      <c r="A932" s="7"/>
      <c r="B932" s="24"/>
      <c r="C932" s="24"/>
      <c r="D932" s="7"/>
    </row>
    <row r="933" spans="8:8">
      <c r="A933" s="7"/>
      <c r="B933" s="24"/>
      <c r="C933" s="24"/>
      <c r="D933" s="7"/>
    </row>
    <row r="934" spans="8:8">
      <c r="A934" s="7"/>
      <c r="B934" s="24"/>
      <c r="C934" s="24"/>
      <c r="D934" s="7"/>
    </row>
    <row r="935" spans="8:8">
      <c r="A935" s="7"/>
      <c r="B935" s="24"/>
      <c r="C935" s="24"/>
      <c r="D935" s="7"/>
    </row>
    <row r="936" spans="8:8">
      <c r="A936" s="7"/>
      <c r="B936" s="24"/>
      <c r="C936" s="24"/>
      <c r="D936" s="7"/>
    </row>
    <row r="937" spans="8:8">
      <c r="A937" s="7"/>
      <c r="B937" s="24"/>
      <c r="C937" s="24"/>
      <c r="D937" s="7"/>
    </row>
    <row r="938" spans="8:8">
      <c r="A938" s="7"/>
      <c r="B938" s="24"/>
      <c r="C938" s="24"/>
      <c r="D938" s="7"/>
    </row>
    <row r="939" spans="8:8">
      <c r="A939" s="7"/>
      <c r="B939" s="24"/>
      <c r="C939" s="24"/>
      <c r="D939" s="7"/>
    </row>
    <row r="940" spans="8:8">
      <c r="A940" s="7"/>
      <c r="B940" s="24"/>
      <c r="C940" s="24"/>
      <c r="D940" s="7"/>
    </row>
    <row r="941" spans="8:8">
      <c r="A941" s="7"/>
      <c r="B941" s="24"/>
      <c r="C941" s="24"/>
      <c r="D941" s="7"/>
    </row>
    <row r="942" spans="8:8">
      <c r="A942" s="7"/>
      <c r="B942" s="24"/>
      <c r="C942" s="24"/>
      <c r="D942" s="7"/>
    </row>
    <row r="943" spans="8:8">
      <c r="A943" s="7"/>
      <c r="B943" s="24"/>
      <c r="C943" s="24"/>
      <c r="D943" s="7"/>
    </row>
    <row r="944" spans="8:8">
      <c r="A944" s="7"/>
      <c r="B944" s="24"/>
      <c r="C944" s="24"/>
      <c r="D944" s="7"/>
    </row>
    <row r="945" spans="8:8">
      <c r="A945" s="7"/>
      <c r="B945" s="24"/>
      <c r="C945" s="24"/>
      <c r="D945" s="7"/>
    </row>
    <row r="946" spans="8:8">
      <c r="A946" s="7"/>
      <c r="B946" s="24"/>
      <c r="C946" s="24"/>
      <c r="D946" s="7"/>
    </row>
    <row r="947" spans="8:8">
      <c r="A947" s="7"/>
      <c r="B947" s="24"/>
      <c r="C947" s="24"/>
      <c r="D947" s="7"/>
    </row>
    <row r="948" spans="8:8">
      <c r="A948" s="7"/>
      <c r="B948" s="24"/>
      <c r="C948" s="24"/>
      <c r="D948" s="7"/>
    </row>
    <row r="949" spans="8:8">
      <c r="A949" s="7"/>
      <c r="B949" s="24"/>
      <c r="C949" s="24"/>
      <c r="D949" s="7"/>
    </row>
    <row r="950" spans="8:8">
      <c r="A950" s="7"/>
      <c r="B950" s="24"/>
      <c r="C950" s="24"/>
      <c r="D950" s="7"/>
    </row>
    <row r="951" spans="8:8">
      <c r="A951" s="7"/>
      <c r="B951" s="24"/>
      <c r="C951" s="24"/>
      <c r="D951" s="7"/>
    </row>
    <row r="952" spans="8:8">
      <c r="A952" s="7"/>
      <c r="B952" s="24"/>
      <c r="C952" s="24"/>
      <c r="D952" s="7"/>
    </row>
    <row r="953" spans="8:8">
      <c r="A953" s="7"/>
      <c r="B953" s="24"/>
      <c r="C953" s="24"/>
      <c r="D953" s="7"/>
    </row>
    <row r="954" spans="8:8">
      <c r="A954" s="7"/>
      <c r="B954" s="24"/>
      <c r="C954" s="24"/>
      <c r="D954" s="7"/>
    </row>
    <row r="955" spans="8:8">
      <c r="A955" s="7"/>
      <c r="B955" s="24"/>
      <c r="C955" s="24"/>
      <c r="D955" s="7"/>
    </row>
    <row r="956" spans="8:8">
      <c r="A956" s="7"/>
      <c r="B956" s="24"/>
      <c r="C956" s="24"/>
      <c r="D956" s="7"/>
    </row>
    <row r="957" spans="8:8">
      <c r="A957" s="7"/>
      <c r="B957" s="24"/>
      <c r="C957" s="24"/>
      <c r="D957" s="7"/>
    </row>
    <row r="958" spans="8:8">
      <c r="A958" s="7"/>
      <c r="B958" s="24"/>
      <c r="C958" s="24"/>
      <c r="D958" s="7"/>
    </row>
    <row r="959" spans="8:8">
      <c r="A959" s="7"/>
      <c r="B959" s="24"/>
      <c r="C959" s="24"/>
      <c r="D959" s="7"/>
    </row>
    <row r="960" spans="8:8">
      <c r="A960" s="7"/>
      <c r="B960" s="24"/>
      <c r="C960" s="24"/>
      <c r="D960" s="7"/>
    </row>
    <row r="961" spans="8:8">
      <c r="A961" s="7"/>
      <c r="B961" s="24"/>
      <c r="C961" s="24"/>
      <c r="D961" s="7"/>
    </row>
    <row r="962" spans="8:8">
      <c r="A962" s="7"/>
      <c r="B962" s="24"/>
      <c r="C962" s="24"/>
      <c r="D962" s="7"/>
    </row>
    <row r="963" spans="8:8">
      <c r="A963" s="7"/>
      <c r="B963" s="24"/>
      <c r="C963" s="24"/>
      <c r="D963" s="7"/>
    </row>
    <row r="964" spans="8:8">
      <c r="A964" s="7"/>
      <c r="B964" s="24"/>
      <c r="C964" s="24"/>
      <c r="D964" s="7"/>
    </row>
    <row r="965" spans="8:8">
      <c r="A965" s="7"/>
      <c r="B965" s="24"/>
      <c r="C965" s="24"/>
      <c r="D965" s="7"/>
    </row>
    <row r="966" spans="8:8">
      <c r="A966" s="7"/>
      <c r="B966" s="24"/>
      <c r="C966" s="24"/>
      <c r="D966" s="7"/>
    </row>
    <row r="967" spans="8:8">
      <c r="A967" s="7"/>
      <c r="B967" s="24"/>
      <c r="C967" s="24"/>
      <c r="D967" s="7"/>
    </row>
    <row r="968" spans="8:8">
      <c r="A968" s="7"/>
      <c r="B968" s="24"/>
      <c r="C968" s="24"/>
      <c r="D968" s="7"/>
    </row>
    <row r="969" spans="8:8">
      <c r="A969" s="7"/>
      <c r="B969" s="24"/>
      <c r="C969" s="24"/>
      <c r="D969" s="7"/>
    </row>
    <row r="970" spans="8:8">
      <c r="A970" s="7"/>
      <c r="B970" s="24"/>
      <c r="C970" s="24"/>
      <c r="D970" s="7"/>
    </row>
    <row r="971" spans="8:8">
      <c r="A971" s="7"/>
      <c r="B971" s="24"/>
      <c r="C971" s="24"/>
      <c r="D971" s="7"/>
    </row>
    <row r="972" spans="8:8">
      <c r="A972" s="7"/>
      <c r="B972" s="24"/>
      <c r="C972" s="24"/>
      <c r="D972" s="7"/>
    </row>
    <row r="973" spans="8:8">
      <c r="A973" s="7"/>
      <c r="B973" s="24"/>
      <c r="C973" s="24"/>
      <c r="D973" s="7"/>
    </row>
    <row r="974" spans="8:8">
      <c r="A974" s="7"/>
      <c r="B974" s="24"/>
      <c r="C974" s="24"/>
      <c r="D974" s="7"/>
    </row>
    <row r="975" spans="8:8">
      <c r="A975" s="7"/>
      <c r="B975" s="24"/>
      <c r="C975" s="24"/>
      <c r="D975" s="7"/>
    </row>
    <row r="976" spans="8:8">
      <c r="A976" s="7"/>
      <c r="B976" s="24"/>
      <c r="C976" s="24"/>
      <c r="D976" s="7"/>
    </row>
    <row r="977" spans="8:8">
      <c r="A977" s="7"/>
      <c r="B977" s="24"/>
      <c r="C977" s="24"/>
      <c r="D977" s="7"/>
    </row>
    <row r="978" spans="8:8">
      <c r="A978" s="7"/>
      <c r="B978" s="24"/>
      <c r="C978" s="24"/>
      <c r="D978" s="7"/>
    </row>
    <row r="979" spans="8:8">
      <c r="A979" s="7"/>
      <c r="B979" s="24"/>
      <c r="C979" s="24"/>
      <c r="D979" s="7"/>
    </row>
    <row r="980" spans="8:8">
      <c r="A980" s="7"/>
      <c r="B980" s="24"/>
      <c r="C980" s="24"/>
      <c r="D980" s="7"/>
    </row>
    <row r="981" spans="8:8">
      <c r="A981" s="7"/>
      <c r="B981" s="24"/>
      <c r="C981" s="24"/>
      <c r="D981" s="7"/>
    </row>
    <row r="982" spans="8:8">
      <c r="A982" s="7"/>
      <c r="B982" s="24"/>
      <c r="C982" s="24"/>
      <c r="D982" s="7"/>
    </row>
    <row r="983" spans="8:8">
      <c r="A983" s="7"/>
      <c r="B983" s="24"/>
      <c r="C983" s="24"/>
      <c r="D983" s="7"/>
    </row>
    <row r="984" spans="8:8">
      <c r="A984" s="7"/>
      <c r="B984" s="24"/>
      <c r="C984" s="24"/>
      <c r="D984" s="7"/>
    </row>
    <row r="985" spans="8:8">
      <c r="A985" s="7"/>
      <c r="B985" s="24"/>
      <c r="C985" s="24"/>
      <c r="D985" s="7"/>
    </row>
    <row r="986" spans="8:8">
      <c r="A986" s="7"/>
      <c r="B986" s="24"/>
      <c r="C986" s="24"/>
      <c r="D986" s="7"/>
    </row>
    <row r="987" spans="8:8">
      <c r="A987" s="7"/>
      <c r="B987" s="24"/>
      <c r="C987" s="24"/>
      <c r="D987" s="7"/>
    </row>
    <row r="988" spans="8:8">
      <c r="A988" s="7"/>
      <c r="B988" s="24"/>
      <c r="C988" s="24"/>
      <c r="D988" s="7"/>
    </row>
    <row r="989" spans="8:8">
      <c r="A989" s="7"/>
      <c r="B989" s="24"/>
      <c r="C989" s="24"/>
      <c r="D989" s="7"/>
    </row>
    <row r="990" spans="8:8">
      <c r="A990" s="7"/>
      <c r="B990" s="24"/>
      <c r="C990" s="24"/>
      <c r="D990" s="7"/>
    </row>
    <row r="991" spans="8:8">
      <c r="A991" s="7"/>
      <c r="B991" s="24"/>
      <c r="C991" s="24"/>
      <c r="D991" s="7"/>
    </row>
    <row r="992" spans="8:8">
      <c r="A992" s="7"/>
      <c r="B992" s="24"/>
      <c r="C992" s="24"/>
      <c r="D992" s="7"/>
    </row>
    <row r="993" spans="8:8">
      <c r="A993" s="7"/>
      <c r="B993" s="24"/>
      <c r="C993" s="24"/>
      <c r="D993" s="7"/>
    </row>
    <row r="994" spans="8:8">
      <c r="A994" s="7"/>
      <c r="B994" s="24"/>
      <c r="C994" s="24"/>
      <c r="D994" s="7"/>
    </row>
    <row r="995" spans="8:8">
      <c r="A995" s="7"/>
      <c r="B995" s="24"/>
      <c r="C995" s="24"/>
      <c r="D995" s="7"/>
    </row>
    <row r="996" spans="8:8">
      <c r="A996" s="7"/>
      <c r="B996" s="24"/>
      <c r="C996" s="24"/>
      <c r="D996" s="7"/>
    </row>
    <row r="997" spans="8:8">
      <c r="A997" s="7"/>
      <c r="B997" s="24"/>
      <c r="C997" s="24"/>
      <c r="D997" s="7"/>
    </row>
    <row r="998" spans="8:8">
      <c r="A998" s="7"/>
      <c r="B998" s="24"/>
      <c r="C998" s="24"/>
      <c r="D998" s="7"/>
    </row>
    <row r="999" spans="8:8">
      <c r="A999" s="7"/>
      <c r="B999" s="24"/>
      <c r="C999" s="24"/>
      <c r="D999" s="7"/>
    </row>
    <row r="1000" spans="8:8">
      <c r="A1000" s="7"/>
      <c r="B1000" s="24"/>
      <c r="C1000" s="24"/>
      <c r="D1000" s="7"/>
    </row>
    <row r="1001" spans="8:8">
      <c r="A1001" s="7"/>
      <c r="B1001" s="24"/>
      <c r="C1001" s="24"/>
      <c r="D1001" s="7"/>
    </row>
    <row r="1002" spans="8:8">
      <c r="A1002" s="7"/>
      <c r="B1002" s="24"/>
      <c r="C1002" s="24"/>
      <c r="D1002" s="7"/>
    </row>
    <row r="1003" spans="8:8">
      <c r="A1003" s="7"/>
      <c r="B1003" s="24"/>
      <c r="C1003" s="24"/>
      <c r="D1003" s="7"/>
    </row>
    <row r="1004" spans="8:8">
      <c r="A1004" s="7"/>
      <c r="B1004" s="24"/>
      <c r="C1004" s="24"/>
      <c r="D1004" s="7"/>
    </row>
    <row r="1005" spans="8:8">
      <c r="A1005" s="7"/>
      <c r="B1005" s="24"/>
      <c r="C1005" s="24"/>
      <c r="D1005" s="7"/>
    </row>
    <row r="1006" spans="8:8">
      <c r="A1006" s="7"/>
      <c r="B1006" s="24"/>
      <c r="C1006" s="24"/>
      <c r="D1006" s="7"/>
    </row>
    <row r="1007" spans="8:8">
      <c r="A1007" s="7"/>
      <c r="B1007" s="24"/>
      <c r="C1007" s="24"/>
      <c r="D1007" s="7"/>
    </row>
    <row r="1008" spans="8:8">
      <c r="A1008" s="7"/>
      <c r="B1008" s="24"/>
      <c r="C1008" s="24"/>
      <c r="D1008" s="7"/>
    </row>
    <row r="1009" spans="8:8">
      <c r="A1009" s="7"/>
      <c r="B1009" s="24"/>
      <c r="C1009" s="24"/>
      <c r="D1009" s="7"/>
    </row>
    <row r="1010" spans="8:8">
      <c r="A1010" s="7"/>
      <c r="B1010" s="24"/>
      <c r="C1010" s="24"/>
      <c r="D1010" s="7"/>
    </row>
    <row r="1011" spans="8:8">
      <c r="A1011" s="7"/>
      <c r="B1011" s="24"/>
      <c r="C1011" s="24"/>
      <c r="D1011" s="7"/>
    </row>
    <row r="1012" spans="8:8">
      <c r="A1012" s="7"/>
      <c r="B1012" s="24"/>
      <c r="C1012" s="24"/>
      <c r="D1012" s="7"/>
    </row>
    <row r="1013" spans="8:8">
      <c r="A1013" s="7"/>
      <c r="B1013" s="24"/>
      <c r="C1013" s="24"/>
      <c r="D1013" s="7"/>
    </row>
    <row r="1014" spans="8:8">
      <c r="A1014" s="7"/>
      <c r="B1014" s="24"/>
      <c r="C1014" s="24"/>
      <c r="D1014" s="7"/>
    </row>
    <row r="1015" spans="8:8">
      <c r="A1015" s="7"/>
      <c r="B1015" s="24"/>
      <c r="C1015" s="24"/>
      <c r="D1015" s="7"/>
    </row>
    <row r="1016" spans="8:8">
      <c r="A1016" s="7"/>
      <c r="B1016" s="24"/>
      <c r="C1016" s="24"/>
      <c r="D1016" s="7"/>
    </row>
    <row r="1017" spans="8:8">
      <c r="A1017" s="7"/>
      <c r="B1017" s="24"/>
      <c r="C1017" s="24"/>
      <c r="D1017" s="7"/>
    </row>
    <row r="1018" spans="8:8">
      <c r="A1018" s="7"/>
      <c r="B1018" s="24"/>
      <c r="C1018" s="24"/>
      <c r="D1018" s="7"/>
    </row>
    <row r="1019" spans="8:8">
      <c r="A1019" s="7"/>
      <c r="B1019" s="24"/>
      <c r="C1019" s="24"/>
      <c r="D1019" s="7"/>
    </row>
    <row r="1020" spans="8:8">
      <c r="A1020" s="7"/>
      <c r="B1020" s="24"/>
      <c r="C1020" s="24"/>
      <c r="D1020" s="7"/>
    </row>
    <row r="1021" spans="8:8">
      <c r="A1021" s="7"/>
      <c r="B1021" s="24"/>
      <c r="C1021" s="24"/>
      <c r="D1021" s="7"/>
    </row>
    <row r="1022" spans="8:8">
      <c r="A1022" s="7"/>
      <c r="B1022" s="24"/>
      <c r="C1022" s="24"/>
      <c r="D1022" s="7"/>
    </row>
    <row r="1023" spans="8:8">
      <c r="A1023" s="7"/>
      <c r="B1023" s="24"/>
      <c r="C1023" s="24"/>
      <c r="D1023" s="7"/>
    </row>
    <row r="1024" spans="8:8">
      <c r="A1024" s="7"/>
      <c r="B1024" s="24"/>
      <c r="C1024" s="24"/>
      <c r="D1024" s="7"/>
    </row>
    <row r="1025" spans="8:8">
      <c r="A1025" s="7"/>
      <c r="B1025" s="24"/>
      <c r="C1025" s="24"/>
      <c r="D1025" s="7"/>
    </row>
    <row r="1026" spans="8:8">
      <c r="A1026" s="7"/>
      <c r="B1026" s="24"/>
      <c r="C1026" s="24"/>
      <c r="D1026" s="7"/>
    </row>
    <row r="1027" spans="8:8">
      <c r="A1027" s="7"/>
      <c r="B1027" s="24"/>
      <c r="C1027" s="24"/>
      <c r="D1027" s="7"/>
    </row>
    <row r="1028" spans="8:8">
      <c r="A1028" s="7"/>
      <c r="B1028" s="24"/>
      <c r="C1028" s="24"/>
      <c r="D1028" s="7"/>
    </row>
    <row r="1029" spans="8:8">
      <c r="A1029" s="7"/>
      <c r="B1029" s="24"/>
      <c r="C1029" s="24"/>
      <c r="D1029" s="7"/>
    </row>
    <row r="1030" spans="8:8">
      <c r="A1030" s="7"/>
      <c r="B1030" s="24"/>
      <c r="C1030" s="24"/>
      <c r="D1030" s="7"/>
    </row>
    <row r="1031" spans="8:8">
      <c r="A1031" s="7"/>
      <c r="B1031" s="24"/>
      <c r="C1031" s="24"/>
      <c r="D1031" s="7"/>
    </row>
    <row r="1032" spans="8:8">
      <c r="A1032" s="7"/>
      <c r="B1032" s="24"/>
      <c r="C1032" s="24"/>
      <c r="D1032" s="7"/>
    </row>
    <row r="1033" spans="8:8">
      <c r="A1033" s="7"/>
      <c r="B1033" s="24"/>
      <c r="C1033" s="24"/>
      <c r="D1033" s="7"/>
    </row>
    <row r="1034" spans="8:8">
      <c r="A1034" s="7"/>
      <c r="B1034" s="24"/>
      <c r="C1034" s="24"/>
      <c r="D1034" s="7"/>
    </row>
    <row r="1035" spans="8:8">
      <c r="A1035" s="7"/>
      <c r="B1035" s="24"/>
      <c r="C1035" s="24"/>
      <c r="D1035" s="7"/>
    </row>
    <row r="1036" spans="8:8">
      <c r="A1036" s="7"/>
      <c r="B1036" s="24"/>
      <c r="C1036" s="24"/>
      <c r="D1036" s="7"/>
    </row>
    <row r="1037" spans="8:8">
      <c r="A1037" s="7"/>
      <c r="B1037" s="24"/>
      <c r="C1037" s="24"/>
      <c r="D1037" s="7"/>
    </row>
    <row r="1038" spans="8:8">
      <c r="A1038" s="7"/>
      <c r="B1038" s="24"/>
      <c r="C1038" s="24"/>
      <c r="D1038" s="7"/>
    </row>
    <row r="1039" spans="8:8">
      <c r="A1039" s="7"/>
      <c r="B1039" s="24"/>
      <c r="C1039" s="24"/>
      <c r="D1039" s="7"/>
    </row>
    <row r="1040" spans="8:8">
      <c r="A1040" s="7"/>
      <c r="B1040" s="24"/>
      <c r="C1040" s="24"/>
      <c r="D1040" s="7"/>
    </row>
    <row r="1041" spans="8:8">
      <c r="A1041" s="7"/>
      <c r="B1041" s="24"/>
      <c r="C1041" s="24"/>
      <c r="D1041" s="7"/>
    </row>
    <row r="1042" spans="8:8">
      <c r="A1042" s="7"/>
      <c r="B1042" s="24"/>
      <c r="C1042" s="24"/>
      <c r="D1042" s="7"/>
    </row>
    <row r="1043" spans="8:8">
      <c r="A1043" s="7"/>
      <c r="B1043" s="24"/>
      <c r="C1043" s="24"/>
      <c r="D1043" s="7"/>
    </row>
    <row r="1044" spans="8:8">
      <c r="A1044" s="7"/>
      <c r="B1044" s="24"/>
      <c r="C1044" s="24"/>
      <c r="D1044" s="7"/>
    </row>
    <row r="1045" spans="8:8">
      <c r="A1045" s="7"/>
      <c r="B1045" s="24"/>
      <c r="C1045" s="24"/>
      <c r="D1045" s="7"/>
    </row>
    <row r="1046" spans="8:8">
      <c r="A1046" s="7"/>
      <c r="B1046" s="24"/>
      <c r="C1046" s="24"/>
      <c r="D1046" s="7"/>
    </row>
    <row r="1047" spans="8:8">
      <c r="A1047" s="7"/>
      <c r="B1047" s="24"/>
      <c r="C1047" s="24"/>
      <c r="D1047" s="7"/>
    </row>
    <row r="1048" spans="8:8">
      <c r="A1048" s="7"/>
      <c r="B1048" s="24"/>
      <c r="C1048" s="24"/>
      <c r="D1048" s="7"/>
    </row>
    <row r="1049" spans="8:8">
      <c r="A1049" s="7"/>
      <c r="B1049" s="24"/>
      <c r="C1049" s="24"/>
      <c r="D1049" s="7"/>
    </row>
    <row r="1050" spans="8:8">
      <c r="A1050" s="7"/>
      <c r="B1050" s="24"/>
      <c r="C1050" s="24"/>
      <c r="D1050" s="7"/>
    </row>
    <row r="1051" spans="8:8">
      <c r="A1051" s="7"/>
      <c r="B1051" s="24"/>
      <c r="C1051" s="24"/>
      <c r="D1051" s="7"/>
    </row>
    <row r="1052" spans="8:8">
      <c r="A1052" s="7"/>
      <c r="B1052" s="24"/>
      <c r="C1052" s="24"/>
      <c r="D1052" s="7"/>
    </row>
    <row r="1053" spans="8:8">
      <c r="A1053" s="7"/>
      <c r="B1053" s="24"/>
      <c r="C1053" s="24"/>
      <c r="D1053" s="7"/>
    </row>
    <row r="1054" spans="8:8">
      <c r="A1054" s="7"/>
      <c r="B1054" s="24"/>
      <c r="C1054" s="24"/>
      <c r="D1054" s="7"/>
    </row>
    <row r="1055" spans="8:8">
      <c r="A1055" s="7"/>
      <c r="B1055" s="24"/>
      <c r="C1055" s="24"/>
      <c r="D1055" s="7"/>
    </row>
    <row r="1056" spans="8:8">
      <c r="A1056" s="7"/>
      <c r="B1056" s="24"/>
      <c r="C1056" s="24"/>
      <c r="D1056" s="7"/>
    </row>
    <row r="1057" spans="8:8">
      <c r="A1057" s="7"/>
      <c r="B1057" s="24"/>
      <c r="C1057" s="24"/>
      <c r="D1057" s="7"/>
    </row>
    <row r="1058" spans="8:8">
      <c r="A1058" s="7"/>
      <c r="B1058" s="24"/>
      <c r="C1058" s="24"/>
      <c r="D1058" s="7"/>
    </row>
    <row r="1059" spans="8:8">
      <c r="A1059" s="7"/>
      <c r="B1059" s="24"/>
      <c r="C1059" s="24"/>
      <c r="D1059" s="7"/>
    </row>
    <row r="1060" spans="8:8">
      <c r="A1060" s="7"/>
      <c r="B1060" s="24"/>
      <c r="C1060" s="24"/>
      <c r="D1060" s="7"/>
    </row>
    <row r="1061" spans="8:8">
      <c r="A1061" s="7"/>
      <c r="B1061" s="24"/>
      <c r="C1061" s="24"/>
      <c r="D1061" s="7"/>
    </row>
    <row r="1062" spans="8:8">
      <c r="A1062" s="7"/>
      <c r="B1062" s="24"/>
      <c r="C1062" s="24"/>
      <c r="D1062" s="7"/>
    </row>
    <row r="1063" spans="8:8">
      <c r="A1063" s="7"/>
      <c r="B1063" s="24"/>
      <c r="C1063" s="24"/>
      <c r="D1063" s="7"/>
    </row>
    <row r="1064" spans="8:8">
      <c r="A1064" s="7"/>
      <c r="B1064" s="24"/>
      <c r="C1064" s="24"/>
      <c r="D1064" s="7"/>
    </row>
    <row r="1065" spans="8:8">
      <c r="A1065" s="7"/>
      <c r="B1065" s="24"/>
      <c r="C1065" s="24"/>
      <c r="D1065" s="7"/>
    </row>
  </sheetData>
  <sheetProtection password="c8cd" sheet="1" objects="1" scenarios="1" sort="0"/>
  <mergeCells count="20">
    <mergeCell ref="A1:K1"/>
    <mergeCell ref="A2:K3"/>
    <mergeCell ref="J30:K38"/>
    <mergeCell ref="A38:I38"/>
    <mergeCell ref="A34:B34"/>
    <mergeCell ref="E36:I37"/>
    <mergeCell ref="C34:D34"/>
    <mergeCell ref="A37:B37"/>
    <mergeCell ref="E30:I35"/>
    <mergeCell ref="C37:D37"/>
    <mergeCell ref="A31:D31"/>
    <mergeCell ref="C33:D33"/>
    <mergeCell ref="A35:B35"/>
    <mergeCell ref="A33:B33"/>
    <mergeCell ref="C32:D32"/>
    <mergeCell ref="A30:D30"/>
    <mergeCell ref="C36:D36"/>
    <mergeCell ref="A32:B32"/>
    <mergeCell ref="A36:B36"/>
    <mergeCell ref="C35:D35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E42" sqref="E42:H42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36" sqref="C36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E55:H55"/>
    <mergeCell ref="B49:D49"/>
    <mergeCell ref="E48:H48"/>
    <mergeCell ref="A33:B33"/>
    <mergeCell ref="A38:H39"/>
    <mergeCell ref="B40:D40"/>
    <mergeCell ref="E37:F37"/>
    <mergeCell ref="E36:F36"/>
    <mergeCell ref="A30:B30"/>
    <mergeCell ref="E30:F30"/>
    <mergeCell ref="A36:B36"/>
    <mergeCell ref="E32:F32"/>
    <mergeCell ref="A31:B31"/>
    <mergeCell ref="A32:B32"/>
    <mergeCell ref="E33:F33"/>
    <mergeCell ref="E34:F34"/>
    <mergeCell ref="C10:D10"/>
    <mergeCell ref="A3:H4"/>
    <mergeCell ref="E40:H40"/>
    <mergeCell ref="A34:B34"/>
    <mergeCell ref="E31:F31"/>
    <mergeCell ref="E54:H54"/>
    <mergeCell ref="B44:D44"/>
    <mergeCell ref="E42:H42"/>
    <mergeCell ref="B41:D41"/>
    <mergeCell ref="E53:H53"/>
    <mergeCell ref="E41:H41"/>
    <mergeCell ref="B42:D42"/>
    <mergeCell ref="E52:H52"/>
    <mergeCell ref="E47:H47"/>
    <mergeCell ref="B52:D52"/>
    <mergeCell ref="B50:D50"/>
    <mergeCell ref="E44:H44"/>
    <mergeCell ref="B43:D43"/>
    <mergeCell ref="E43:H43"/>
    <mergeCell ref="A15:H15"/>
    <mergeCell ref="C5:D5"/>
    <mergeCell ref="C7:D7"/>
    <mergeCell ref="C13:D13"/>
    <mergeCell ref="C12:D12"/>
    <mergeCell ref="C11:D11"/>
    <mergeCell ref="C8:D8"/>
    <mergeCell ref="B55:D55"/>
    <mergeCell ref="E51:H51"/>
    <mergeCell ref="B47:D47"/>
    <mergeCell ref="B46:D46"/>
    <mergeCell ref="E46:H46"/>
    <mergeCell ref="A37:B37"/>
    <mergeCell ref="C14:D14"/>
    <mergeCell ref="C6:D6"/>
    <mergeCell ref="C9:D9"/>
    <mergeCell ref="A35:B35"/>
    <mergeCell ref="E35:F35"/>
    <mergeCell ref="A1:H2"/>
    <mergeCell ref="B48:D48"/>
    <mergeCell ref="B54:D54"/>
    <mergeCell ref="E49:H49"/>
    <mergeCell ref="B53:D53"/>
    <mergeCell ref="B51:D51"/>
    <mergeCell ref="E50:H50"/>
    <mergeCell ref="B45:D45"/>
    <mergeCell ref="E45:H45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J63"/>
  <sheetViews>
    <sheetView workbookViewId="0" zoomScale="90">
      <selection activeCell="C11" sqref="C11:D11"/>
    </sheetView>
  </sheetViews>
  <sheetFormatPr defaultRowHeight="14.5" defaultColWidth="10"/>
  <cols>
    <col min="1" max="1" customWidth="1" width="18.90625" style="89"/>
    <col min="2" max="2" customWidth="1" width="15.542969" style="89"/>
    <col min="3" max="3" customWidth="1" width="25.0" style="89"/>
    <col min="4" max="4" customWidth="1" width="15.363281" style="89"/>
    <col min="5" max="5" customWidth="1" width="25.363281" style="89"/>
    <col min="6" max="6" customWidth="1" width="25.453125" style="89"/>
    <col min="7" max="7" customWidth="1" width="16.542969" style="89"/>
    <col min="8" max="8" customWidth="1" width="34.179688" style="89"/>
    <col min="9" max="16384" customWidth="0" width="8.7265625" style="89"/>
  </cols>
  <sheetData>
    <row r="1" spans="8:8">
      <c r="A1" s="229" t="s">
        <v>57</v>
      </c>
      <c r="B1" s="230"/>
      <c r="C1" s="230"/>
      <c r="D1" s="230"/>
      <c r="E1" s="230"/>
      <c r="F1" s="230"/>
      <c r="G1" s="230"/>
      <c r="H1" s="231"/>
    </row>
    <row r="2" spans="8:8" ht="15.0">
      <c r="A2" s="232"/>
      <c r="B2" s="233"/>
      <c r="C2" s="233"/>
      <c r="D2" s="233"/>
      <c r="E2" s="233"/>
      <c r="F2" s="233"/>
      <c r="G2" s="233"/>
      <c r="H2" s="234"/>
    </row>
    <row r="3" spans="8:8">
      <c r="A3" s="235" t="s">
        <v>39</v>
      </c>
      <c r="B3" s="236"/>
      <c r="C3" s="236"/>
      <c r="D3" s="236"/>
      <c r="E3" s="236"/>
      <c r="F3" s="236"/>
      <c r="G3" s="236"/>
      <c r="H3" s="237"/>
    </row>
    <row r="4" spans="8:8" ht="15.0">
      <c r="A4" s="238"/>
      <c r="B4" s="239"/>
      <c r="C4" s="239"/>
      <c r="D4" s="239"/>
      <c r="E4" s="239"/>
      <c r="F4" s="239"/>
      <c r="G4" s="239"/>
      <c r="H4" s="240"/>
    </row>
    <row r="5" spans="8:8" ht="15.0">
      <c r="A5" s="241" t="s">
        <v>40</v>
      </c>
      <c r="B5" s="241" t="s">
        <v>41</v>
      </c>
      <c r="C5" s="104" t="s">
        <v>42</v>
      </c>
      <c r="D5" s="105"/>
      <c r="E5" s="241" t="s">
        <v>43</v>
      </c>
      <c r="F5" s="106" t="s">
        <v>44</v>
      </c>
      <c r="G5" s="103" t="s">
        <v>45</v>
      </c>
      <c r="H5" s="107" t="s">
        <v>8</v>
      </c>
    </row>
    <row r="6" spans="8:8">
      <c r="A6" s="242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242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243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243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243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244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244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244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245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s="247" ht="15.0" customFormat="1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0.0</v>
      </c>
      <c r="D45" s="190"/>
      <c r="E45" s="191"/>
      <c r="F45" s="192"/>
      <c r="G45" s="193"/>
      <c r="H45" s="194"/>
      <c r="I45" s="21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  <c r="I46" s="214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  <c r="I47" s="214"/>
    </row>
    <row r="48" spans="8:8" ht="23.0" customHeight="1">
      <c r="A48" s="201"/>
      <c r="B48" s="248" t="s">
        <v>60</v>
      </c>
      <c r="C48" s="249"/>
      <c r="D48" s="250"/>
      <c r="E48" s="248" t="s">
        <v>61</v>
      </c>
      <c r="F48" s="249"/>
      <c r="G48" s="249"/>
      <c r="H48" s="250"/>
      <c r="I48" s="214"/>
    </row>
    <row r="49" spans="8:8" ht="22.0" customHeight="1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  <c r="I49" s="214"/>
    </row>
    <row r="50" spans="8:8" ht="22.5" customHeight="1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  <c r="I50" s="214"/>
    </row>
    <row r="51" spans="8:8" ht="24.5" customHeight="1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  <c r="I51" s="214"/>
    </row>
    <row r="52" spans="8:8" ht="22.0" customHeight="1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  <c r="I52" s="214"/>
    </row>
    <row r="53" spans="8:8" ht="22.0" customHeight="1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22.0" customHeight="1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22.0" customHeight="1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22.0" customHeight="1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22.0" customHeight="1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24.5" customHeight="1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25.0" customHeight="1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29.0">
      <c r="B62" s="251" t="s">
        <v>67</v>
      </c>
      <c r="C62" s="252"/>
      <c r="D62" s="253"/>
      <c r="E62" s="254">
        <f>SUM(E49:H61)</f>
        <v>0.0</v>
      </c>
      <c r="F62" s="255"/>
      <c r="G62" s="255"/>
      <c r="H62" s="256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E40:F40"/>
    <mergeCell ref="B52:D52"/>
    <mergeCell ref="A45:B45"/>
    <mergeCell ref="B50:D50"/>
    <mergeCell ref="B49:D49"/>
    <mergeCell ref="B48:D48"/>
    <mergeCell ref="A1:H2"/>
    <mergeCell ref="C14:D14"/>
    <mergeCell ref="E59:H59"/>
    <mergeCell ref="A43:B43"/>
    <mergeCell ref="E50:H50"/>
    <mergeCell ref="E45:F45"/>
    <mergeCell ref="E43:F43"/>
    <mergeCell ref="A46:H47"/>
    <mergeCell ref="E48:H48"/>
    <mergeCell ref="A3:H4"/>
    <mergeCell ref="C13:D13"/>
    <mergeCell ref="C9:D9"/>
    <mergeCell ref="C11:D11"/>
    <mergeCell ref="C8:D8"/>
    <mergeCell ref="A44:B44"/>
    <mergeCell ref="E55:H55"/>
    <mergeCell ref="B57:D57"/>
    <mergeCell ref="E42:F42"/>
    <mergeCell ref="E60:H60"/>
    <mergeCell ref="E61:H61"/>
    <mergeCell ref="B53:D53"/>
    <mergeCell ref="E41:F41"/>
    <mergeCell ref="A38:B38"/>
    <mergeCell ref="B58:D58"/>
    <mergeCell ref="B59:D59"/>
    <mergeCell ref="B60:D60"/>
    <mergeCell ref="B61:D61"/>
    <mergeCell ref="E44:F44"/>
    <mergeCell ref="B55:D55"/>
    <mergeCell ref="E57:H57"/>
    <mergeCell ref="A15:H15"/>
    <mergeCell ref="C5:D5"/>
    <mergeCell ref="C10:D10"/>
    <mergeCell ref="C12:D12"/>
    <mergeCell ref="C6:D6"/>
    <mergeCell ref="C7:D7"/>
    <mergeCell ref="E54:H54"/>
    <mergeCell ref="A41:B41"/>
    <mergeCell ref="E39:F39"/>
    <mergeCell ref="A40:B40"/>
    <mergeCell ref="E56:H56"/>
    <mergeCell ref="E49:H49"/>
    <mergeCell ref="A42:B42"/>
    <mergeCell ref="E38:F38"/>
    <mergeCell ref="A39:B39"/>
    <mergeCell ref="E58:H58"/>
    <mergeCell ref="E51:H51"/>
    <mergeCell ref="B62:D62"/>
    <mergeCell ref="E63:H63"/>
    <mergeCell ref="E53:H53"/>
    <mergeCell ref="E62:H62"/>
    <mergeCell ref="B63:D63"/>
    <mergeCell ref="E52:H52"/>
    <mergeCell ref="B51:D51"/>
    <mergeCell ref="B54:D54"/>
    <mergeCell ref="B56:D56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6">
      <selection activeCell="C31" sqref="C31:C34"/>
    </sheetView>
  </sheetViews>
  <sheetFormatPr defaultRowHeight="14.5" defaultColWidth="10"/>
  <cols>
    <col min="1" max="1" customWidth="1" width="27.269531" style="0"/>
    <col min="2" max="2" customWidth="1" width="19.363281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632812" style="0"/>
    <col min="8" max="8" customWidth="1" width="21.816406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7670.0</v>
      </c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f>SUM(C31:C36)</f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33:F33"/>
    <mergeCell ref="B52:D52"/>
    <mergeCell ref="E51:H51"/>
    <mergeCell ref="B53:D53"/>
    <mergeCell ref="B41:D41"/>
    <mergeCell ref="E52:H52"/>
    <mergeCell ref="E50:H50"/>
    <mergeCell ref="E46:H46"/>
    <mergeCell ref="E45:H45"/>
    <mergeCell ref="E53:H53"/>
    <mergeCell ref="E40:H40"/>
    <mergeCell ref="E54:H54"/>
    <mergeCell ref="E44:H44"/>
    <mergeCell ref="E43:H43"/>
    <mergeCell ref="E42:H42"/>
    <mergeCell ref="E47:H47"/>
    <mergeCell ref="E49:H49"/>
    <mergeCell ref="E55:H55"/>
    <mergeCell ref="C14:D14"/>
    <mergeCell ref="A3:H4"/>
    <mergeCell ref="C12:D12"/>
    <mergeCell ref="C13:D13"/>
    <mergeCell ref="A15:H15"/>
    <mergeCell ref="B45:D45"/>
    <mergeCell ref="E32:F32"/>
    <mergeCell ref="A31:B31"/>
    <mergeCell ref="B43:D43"/>
    <mergeCell ref="B40:D40"/>
    <mergeCell ref="B46:D46"/>
    <mergeCell ref="B50:D50"/>
    <mergeCell ref="B51:D51"/>
    <mergeCell ref="B42:D42"/>
    <mergeCell ref="E31:F31"/>
    <mergeCell ref="A30:B30"/>
    <mergeCell ref="A33:B33"/>
    <mergeCell ref="E36:F36"/>
    <mergeCell ref="A37:B37"/>
    <mergeCell ref="E35:F35"/>
    <mergeCell ref="A36:B36"/>
    <mergeCell ref="A35:B35"/>
    <mergeCell ref="E34:F34"/>
    <mergeCell ref="A38:H39"/>
    <mergeCell ref="E30:F30"/>
    <mergeCell ref="B44:D44"/>
    <mergeCell ref="A32:B32"/>
    <mergeCell ref="E37:F37"/>
    <mergeCell ref="B47:D47"/>
    <mergeCell ref="B48:D48"/>
    <mergeCell ref="B49:D49"/>
    <mergeCell ref="A34:B34"/>
    <mergeCell ref="E48:H48"/>
    <mergeCell ref="B54:D54"/>
    <mergeCell ref="E41:H41"/>
    <mergeCell ref="B55:D55"/>
  </mergeCells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I63"/>
  <sheetViews>
    <sheetView workbookViewId="0">
      <selection activeCell="A3" sqref="A3:H4"/>
    </sheetView>
  </sheetViews>
  <sheetFormatPr defaultRowHeight="14.5" defaultColWidth="10"/>
  <cols>
    <col min="1" max="1" customWidth="1" width="21.089844" style="0"/>
    <col min="2" max="2" customWidth="1" width="17.453125" style="0"/>
    <col min="3" max="3" customWidth="1" width="20.269531" style="0"/>
    <col min="4" max="4" customWidth="1" width="14.90625" style="0"/>
    <col min="5" max="5" customWidth="1" width="28.363281" style="0"/>
    <col min="6" max="6" customWidth="1" width="22.089844" style="0"/>
    <col min="7" max="7" customWidth="1" width="16.632812" style="0"/>
    <col min="8" max="8" customWidth="1" width="26.542969" style="0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69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>
        <v>15000.0</v>
      </c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>
        <v>9000.0</v>
      </c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269">
        <v>250.0</v>
      </c>
      <c r="C8" s="116">
        <v>7670.0</v>
      </c>
      <c r="D8" s="117"/>
      <c r="E8" s="118">
        <f t="shared" si="0"/>
        <v>1917500.0</v>
      </c>
      <c r="F8" s="118">
        <f t="shared" si="1"/>
        <v>292500.0</v>
      </c>
      <c r="G8" s="118">
        <f>PRODUCT(B8*50)</f>
        <v>12500.0</v>
      </c>
      <c r="H8" s="119">
        <f t="shared" si="2"/>
        <v>305000.0</v>
      </c>
    </row>
    <row r="9" spans="8:8">
      <c r="A9" s="114" t="s">
        <v>49</v>
      </c>
      <c r="B9" s="269">
        <v>100.0</v>
      </c>
      <c r="C9" s="116">
        <v>4130.0</v>
      </c>
      <c r="D9" s="117"/>
      <c r="E9" s="118">
        <f t="shared" si="0"/>
        <v>413000.0</v>
      </c>
      <c r="F9" s="118">
        <f t="shared" si="1"/>
        <v>63000.0</v>
      </c>
      <c r="G9" s="118">
        <f>PRODUCT(B9*30)</f>
        <v>3000.0</v>
      </c>
      <c r="H9" s="119">
        <f t="shared" si="2"/>
        <v>66000.0</v>
      </c>
    </row>
    <row r="10" spans="8:8">
      <c r="A10" s="114" t="s">
        <v>50</v>
      </c>
      <c r="B10" s="269">
        <v>20152.0</v>
      </c>
      <c r="C10" s="116">
        <v>2124.0</v>
      </c>
      <c r="D10" s="117"/>
      <c r="E10" s="118">
        <f t="shared" si="0"/>
        <v>4.2802848E7</v>
      </c>
      <c r="F10" s="118">
        <f t="shared" si="1"/>
        <v>6529248.0</v>
      </c>
      <c r="G10" s="118">
        <f>PRODUCT(B10*30)</f>
        <v>604560.0</v>
      </c>
      <c r="H10" s="119">
        <f t="shared" si="2"/>
        <v>7133808.0</v>
      </c>
    </row>
    <row r="11" spans="8:8">
      <c r="A11" s="121" t="s">
        <v>68</v>
      </c>
      <c r="B11" s="115"/>
      <c r="C11" s="116">
        <v>3540.0</v>
      </c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2006.0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>
        <v>3782.0</v>
      </c>
      <c r="C13" s="116">
        <v>1357.0</v>
      </c>
      <c r="D13" s="117"/>
      <c r="E13" s="118">
        <f t="shared" si="0"/>
        <v>5132174.0</v>
      </c>
      <c r="F13" s="118">
        <f t="shared" si="1"/>
        <v>782874.0</v>
      </c>
      <c r="G13" s="118">
        <f>PRODUCT(B13*20)</f>
        <v>75640.0</v>
      </c>
      <c r="H13" s="119">
        <f t="shared" si="2"/>
        <v>858514.0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5.0265522E7</v>
      </c>
      <c r="F37" s="150">
        <f>SUM(F5:F36)</f>
        <v>7667622.0</v>
      </c>
      <c r="G37" s="151">
        <f>SUM(G5:G36)</f>
        <v>695700.0</v>
      </c>
      <c r="H37" s="152">
        <f>SUM(H5:H36)</f>
        <v>8363322.0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>
        <v>8363322.0</v>
      </c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f>SUM(C39:C44)</f>
        <v>8363322.0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20252.0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250.0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3782.0</v>
      </c>
      <c r="F51" s="212"/>
      <c r="G51" s="212"/>
      <c r="H51" s="213"/>
    </row>
    <row r="52" spans="8:8" ht="19.0">
      <c r="A52" s="261"/>
      <c r="B52" s="262" t="s">
        <v>65</v>
      </c>
      <c r="C52" s="263"/>
      <c r="D52" s="264"/>
      <c r="E52" s="218">
        <f>SUM(B17:B18)</f>
        <v>0.0</v>
      </c>
      <c r="F52" s="219"/>
      <c r="G52" s="219"/>
      <c r="H52" s="220"/>
    </row>
    <row r="53" spans="8:8" ht="19.0">
      <c r="A53" s="261"/>
      <c r="B53" s="262" t="s">
        <v>66</v>
      </c>
      <c r="C53" s="263"/>
      <c r="D53" s="264"/>
      <c r="E53" s="218">
        <f>SUM(B19:B20)</f>
        <v>0.0</v>
      </c>
      <c r="F53" s="219"/>
      <c r="G53" s="219"/>
      <c r="H53" s="220"/>
    </row>
    <row r="54" spans="8:8" ht="19.0">
      <c r="A54" s="261"/>
      <c r="B54" s="262" t="s">
        <v>58</v>
      </c>
      <c r="C54" s="263"/>
      <c r="D54" s="264"/>
      <c r="E54" s="218">
        <f>B29</f>
        <v>0.0</v>
      </c>
      <c r="F54" s="221"/>
      <c r="G54" s="221"/>
      <c r="H54" s="222"/>
    </row>
    <row r="55" spans="8:8" ht="19.0">
      <c r="A55" s="261"/>
      <c r="B55" s="262" t="s">
        <v>58</v>
      </c>
      <c r="C55" s="263"/>
      <c r="D55" s="264"/>
      <c r="E55" s="218">
        <f t="shared" si="3" ref="E55:E61">B30</f>
        <v>0.0</v>
      </c>
      <c r="F55" s="221"/>
      <c r="G55" s="221"/>
      <c r="H55" s="222"/>
    </row>
    <row r="56" spans="8:8" ht="19.0">
      <c r="A56" s="261"/>
      <c r="B56" s="262" t="s">
        <v>58</v>
      </c>
      <c r="C56" s="263"/>
      <c r="D56" s="264"/>
      <c r="E56" s="218">
        <f t="shared" si="3"/>
        <v>0.0</v>
      </c>
      <c r="F56" s="221"/>
      <c r="G56" s="221"/>
      <c r="H56" s="222"/>
    </row>
    <row r="57" spans="8:8" ht="19.0">
      <c r="A57" s="261"/>
      <c r="B57" s="262" t="s">
        <v>58</v>
      </c>
      <c r="C57" s="263"/>
      <c r="D57" s="264"/>
      <c r="E57" s="218">
        <f t="shared" si="3"/>
        <v>0.0</v>
      </c>
      <c r="F57" s="221"/>
      <c r="G57" s="221"/>
      <c r="H57" s="222"/>
    </row>
    <row r="58" spans="8:8" ht="19.0">
      <c r="A58" s="261"/>
      <c r="B58" s="262" t="s">
        <v>58</v>
      </c>
      <c r="C58" s="263"/>
      <c r="D58" s="264"/>
      <c r="E58" s="218">
        <f t="shared" si="3"/>
        <v>0.0</v>
      </c>
      <c r="F58" s="221"/>
      <c r="G58" s="221"/>
      <c r="H58" s="222"/>
    </row>
    <row r="59" spans="8:8" ht="19.0">
      <c r="A59" s="261"/>
      <c r="B59" s="262" t="s">
        <v>58</v>
      </c>
      <c r="C59" s="263"/>
      <c r="D59" s="264"/>
      <c r="E59" s="218">
        <f t="shared" si="3"/>
        <v>0.0</v>
      </c>
      <c r="F59" s="221"/>
      <c r="G59" s="221"/>
      <c r="H59" s="222"/>
    </row>
    <row r="60" spans="8:8" ht="19.0">
      <c r="B60" s="262" t="s">
        <v>58</v>
      </c>
      <c r="C60" s="263"/>
      <c r="D60" s="264"/>
      <c r="E60" s="218">
        <f t="shared" si="3"/>
        <v>0.0</v>
      </c>
      <c r="F60" s="221"/>
      <c r="G60" s="221"/>
      <c r="H60" s="222"/>
    </row>
    <row r="61" spans="8:8" ht="19.0">
      <c r="B61" s="262" t="s">
        <v>58</v>
      </c>
      <c r="C61" s="263"/>
      <c r="D61" s="264"/>
      <c r="E61" s="218">
        <f t="shared" si="3"/>
        <v>0.0</v>
      </c>
      <c r="F61" s="221"/>
      <c r="G61" s="221"/>
      <c r="H61" s="222"/>
    </row>
    <row r="62" spans="8:8" ht="24.0">
      <c r="B62" s="262" t="s">
        <v>67</v>
      </c>
      <c r="C62" s="263"/>
      <c r="D62" s="264"/>
      <c r="E62" s="270">
        <f>SUM(E49:H61)</f>
        <v>24284.0</v>
      </c>
      <c r="F62" s="271"/>
      <c r="G62" s="271"/>
      <c r="H62" s="272"/>
    </row>
    <row r="63" spans="8:8" ht="19.0">
      <c r="B63" s="262"/>
      <c r="C63" s="263"/>
      <c r="D63" s="264"/>
      <c r="E63" s="266"/>
      <c r="F63" s="267"/>
      <c r="G63" s="267"/>
      <c r="H63" s="268"/>
    </row>
  </sheetData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C1">
      <selection activeCell="A3" sqref="A3:H4"/>
    </sheetView>
  </sheetViews>
  <sheetFormatPr defaultRowHeight="14.5" defaultColWidth="10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179688" style="0"/>
    <col min="6" max="6" customWidth="1" width="23.542969" style="0"/>
    <col min="7" max="7" customWidth="1" width="17.269531" style="0"/>
    <col min="8" max="8" customWidth="1" width="22.63281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84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273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7">
      <selection activeCell="A30" sqref="A30:H39"/>
    </sheetView>
  </sheetViews>
  <sheetFormatPr defaultRowHeight="14.5" defaultColWidth="10"/>
  <cols>
    <col min="1" max="1" customWidth="1" width="20.726562" style="0"/>
    <col min="2" max="2" customWidth="1" width="17.90625" style="0"/>
    <col min="3" max="3" customWidth="1" width="12.6328125" style="0"/>
    <col min="4" max="4" customWidth="1" width="14.453125" style="0"/>
    <col min="5" max="5" customWidth="1" width="21.632812" style="0"/>
    <col min="6" max="6" customWidth="1" width="19.632812" style="0"/>
    <col min="7" max="7" customWidth="1" width="15.6328125" style="0"/>
    <col min="8" max="8" customWidth="1" width="20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274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275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55"/>
  <sheetViews>
    <sheetView tabSelected="1" workbookViewId="0" topLeftCell="A25">
      <selection activeCell="A35" sqref="A35:B35"/>
    </sheetView>
  </sheetViews>
  <sheetFormatPr defaultRowHeight="14.5" defaultColWidth="10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90625" style="0"/>
    <col min="6" max="6" customWidth="1" width="22.363281" style="0"/>
    <col min="7" max="7" customWidth="1" width="17.542969" style="0"/>
    <col min="8" max="8" customWidth="1" width="16.726562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84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 ht="17.2">
      <c r="A10" s="114" t="s">
        <v>50</v>
      </c>
      <c r="B10" s="115">
        <v>12983.0</v>
      </c>
      <c r="C10" s="116">
        <v>2124.0</v>
      </c>
      <c r="D10" s="117"/>
      <c r="E10" s="118">
        <f t="shared" si="0"/>
        <v>2.7575892E7</v>
      </c>
      <c r="F10" s="118">
        <f t="shared" si="1"/>
        <v>4206492.0</v>
      </c>
      <c r="G10" s="118">
        <f>PRODUCT(B10*30)</f>
        <v>389490.0</v>
      </c>
      <c r="H10" s="119">
        <f t="shared" si="2"/>
        <v>4595982.0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 ht="17.2">
      <c r="A13" s="121" t="s">
        <v>62</v>
      </c>
      <c r="B13" s="115">
        <v>750.0</v>
      </c>
      <c r="C13" s="116">
        <v>1357.0</v>
      </c>
      <c r="D13" s="117"/>
      <c r="E13" s="118">
        <f t="shared" si="0"/>
        <v>1017750.0</v>
      </c>
      <c r="F13" s="118">
        <f t="shared" si="1"/>
        <v>155250.0</v>
      </c>
      <c r="G13" s="118">
        <f>PRODUCT(B13*20)</f>
        <v>15000.0</v>
      </c>
      <c r="H13" s="119">
        <f t="shared" si="2"/>
        <v>170250.0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2.8593642E7</v>
      </c>
      <c r="F29" s="150">
        <f>SUM(F6:F28)</f>
        <v>4361742.0</v>
      </c>
      <c r="G29" s="151">
        <f>SUM(G6:G28)</f>
        <v>404490.0</v>
      </c>
      <c r="H29" s="152">
        <f>SUM(F29:G29)</f>
        <v>4766232.0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7.2">
      <c r="A31" s="161" t="s">
        <v>71</v>
      </c>
      <c r="B31" s="162"/>
      <c r="C31" s="163">
        <v>4766232.0</v>
      </c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7.2">
      <c r="A35" s="182" t="s">
        <v>78</v>
      </c>
      <c r="B35" s="183"/>
      <c r="C35" s="184">
        <v>50000.0</v>
      </c>
      <c r="D35" s="180"/>
      <c r="E35" s="185" t="s">
        <v>85</v>
      </c>
      <c r="F35" s="186"/>
      <c r="G35" s="115">
        <v>7.84694185E8</v>
      </c>
      <c r="H35" s="174"/>
    </row>
    <row r="36" spans="8:8" ht="17.2">
      <c r="A36" s="182" t="s">
        <v>79</v>
      </c>
      <c r="B36" s="183"/>
      <c r="C36" s="187">
        <v>100000.0</v>
      </c>
      <c r="D36" s="188"/>
      <c r="E36" s="185" t="s">
        <v>85</v>
      </c>
      <c r="F36" s="186"/>
      <c r="G36" s="115">
        <v>7.84694185E8</v>
      </c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12983.0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750.0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13733.0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55"/>
  <sheetViews>
    <sheetView workbookViewId="0">
      <selection activeCell="C32" sqref="C32"/>
    </sheetView>
  </sheetViews>
  <sheetFormatPr defaultRowHeight="14.5" defaultColWidth="10"/>
  <cols>
    <col min="1" max="1" customWidth="1" width="22.632812" style="0"/>
    <col min="2" max="2" customWidth="1" width="26.363281" style="0"/>
    <col min="3" max="3" customWidth="1" width="18.90625" style="0"/>
    <col min="4" max="4" customWidth="1" width="12.816406" style="0"/>
    <col min="5" max="5" customWidth="1" width="20.453125" style="0"/>
    <col min="6" max="6" customWidth="1" width="21.542969" style="0"/>
    <col min="7" max="7" customWidth="1" width="14.363281" style="0"/>
    <col min="8" max="8" customWidth="1" width="24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>
        <v>2124.0</v>
      </c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I63"/>
  <sheetViews>
    <sheetView workbookViewId="0">
      <selection activeCell="B12" sqref="B12"/>
    </sheetView>
  </sheetViews>
  <sheetFormatPr defaultRowHeight="14.5" defaultColWidth="10"/>
  <cols>
    <col min="1" max="1" customWidth="1" width="24.0" style="89"/>
    <col min="2" max="2" customWidth="1" width="15.90625" style="89"/>
    <col min="3" max="3" customWidth="1" width="18.542969" style="89"/>
    <col min="4" max="4" customWidth="1" width="11.7265625" style="89"/>
    <col min="5" max="5" customWidth="1" width="24.089844" style="89"/>
    <col min="6" max="6" customWidth="1" width="18.453125" style="89"/>
    <col min="7" max="7" customWidth="1" width="15.816406" style="89"/>
    <col min="8" max="8" customWidth="1" width="15.7265625" style="89"/>
    <col min="9" max="16384" customWidth="0" width="8.7265625" style="89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>
        <v>2124.0</v>
      </c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50">
        <f>SUM(F5:F36)</f>
        <v>0.0</v>
      </c>
      <c r="G37" s="151">
        <f>SUM(G5:G36)</f>
        <v>0.0</v>
      </c>
      <c r="H37" s="152">
        <f>SUM(H5:H36)</f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3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3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3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3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3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3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3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A42:B42"/>
    <mergeCell ref="E51:H51"/>
    <mergeCell ref="E43:F43"/>
    <mergeCell ref="B50:D50"/>
    <mergeCell ref="C14:D14"/>
    <mergeCell ref="A3:H4"/>
    <mergeCell ref="C12:D12"/>
    <mergeCell ref="C13:D13"/>
    <mergeCell ref="A15:H15"/>
    <mergeCell ref="E40:F40"/>
    <mergeCell ref="B57:D57"/>
    <mergeCell ref="E48:H48"/>
    <mergeCell ref="A39:B39"/>
    <mergeCell ref="E58:H58"/>
    <mergeCell ref="B51:D51"/>
    <mergeCell ref="B59:D59"/>
    <mergeCell ref="E59:H59"/>
    <mergeCell ref="E60:H60"/>
    <mergeCell ref="E61:H61"/>
    <mergeCell ref="E62:H62"/>
    <mergeCell ref="E63:H63"/>
    <mergeCell ref="B48:D48"/>
    <mergeCell ref="E39:F39"/>
    <mergeCell ref="A38:B38"/>
    <mergeCell ref="A41:B41"/>
    <mergeCell ref="E52:H52"/>
    <mergeCell ref="E50:H50"/>
    <mergeCell ref="E42:F42"/>
    <mergeCell ref="E54:H54"/>
    <mergeCell ref="B55:D55"/>
    <mergeCell ref="E44:F44"/>
    <mergeCell ref="A43:B43"/>
    <mergeCell ref="E55:H55"/>
    <mergeCell ref="E56:H56"/>
    <mergeCell ref="E57:H57"/>
    <mergeCell ref="B49:D49"/>
    <mergeCell ref="B61:D61"/>
    <mergeCell ref="B63:D63"/>
    <mergeCell ref="B62:D62"/>
    <mergeCell ref="B52:D52"/>
    <mergeCell ref="B60:D60"/>
    <mergeCell ref="B56:D56"/>
    <mergeCell ref="B53:D53"/>
    <mergeCell ref="B54:D54"/>
    <mergeCell ref="B58:D58"/>
    <mergeCell ref="A45:B45"/>
    <mergeCell ref="E41:F41"/>
    <mergeCell ref="A40:B40"/>
    <mergeCell ref="A46:H47"/>
    <mergeCell ref="E49:H49"/>
    <mergeCell ref="E38:F38"/>
    <mergeCell ref="A44:B44"/>
    <mergeCell ref="E45:F45"/>
  </mergeCells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5">
      <selection activeCell="E37" sqref="E37"/>
    </sheetView>
  </sheetViews>
  <sheetFormatPr defaultRowHeight="14.5" defaultColWidth="10"/>
  <cols>
    <col min="1" max="1" customWidth="1" width="23.179688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363281" style="0"/>
    <col min="7" max="7" customWidth="1" width="22.816406" style="0"/>
    <col min="8" max="8" customWidth="1" width="19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>
        <v>1357.0</v>
      </c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">SUM(F5:F36)</f>
        <v>0.0</v>
      </c>
      <c r="G37" s="149">
        <f>SUM(G5:G36)</f>
        <v>0.0</v>
      </c>
      <c r="H37" s="149">
        <f>SUM(H5:H36)</f>
        <v>0.0</v>
      </c>
    </row>
    <row r="38" spans="8:8" ht="15.0">
      <c r="A38" s="153" t="s">
        <v>81</v>
      </c>
      <c r="B38" s="276"/>
      <c r="C38" s="155" t="s">
        <v>75</v>
      </c>
      <c r="D38" s="156"/>
      <c r="E38" s="277" t="s">
        <v>73</v>
      </c>
      <c r="F38" s="278"/>
      <c r="G38" s="159" t="s">
        <v>74</v>
      </c>
      <c r="H38" s="160" t="s">
        <v>75</v>
      </c>
    </row>
    <row r="39" spans="8:8" ht="15.0">
      <c r="A39" s="279" t="s">
        <v>71</v>
      </c>
      <c r="B39" s="280"/>
      <c r="C39" s="163"/>
      <c r="D39" s="164"/>
      <c r="E39" s="281"/>
      <c r="F39" s="282"/>
      <c r="G39" s="166"/>
      <c r="H39" s="167"/>
    </row>
    <row r="40" spans="8:8" ht="15.0">
      <c r="A40" s="168" t="s">
        <v>72</v>
      </c>
      <c r="B40" s="169"/>
      <c r="C40" s="170"/>
      <c r="D40" s="171"/>
      <c r="E40" s="116"/>
      <c r="F40" s="117"/>
      <c r="G40" s="173"/>
      <c r="H40" s="174"/>
    </row>
    <row r="41" spans="8:8" ht="15.0">
      <c r="A41" s="168" t="s">
        <v>76</v>
      </c>
      <c r="B41" s="169"/>
      <c r="C41" s="175"/>
      <c r="D41" s="164"/>
      <c r="E41" s="283"/>
      <c r="F41" s="181"/>
      <c r="G41" s="173"/>
      <c r="H41" s="174"/>
    </row>
    <row r="42" spans="8:8" ht="15.0">
      <c r="A42" s="168" t="s">
        <v>77</v>
      </c>
      <c r="B42" s="169"/>
      <c r="C42" s="179"/>
      <c r="D42" s="180"/>
      <c r="E42" s="284"/>
      <c r="F42" s="181"/>
      <c r="G42" s="115"/>
      <c r="H42" s="174"/>
    </row>
    <row r="43" spans="8:8" ht="15.0">
      <c r="A43" s="168" t="s">
        <v>78</v>
      </c>
      <c r="B43" s="169"/>
      <c r="C43" s="184"/>
      <c r="D43" s="180"/>
      <c r="E43" s="285"/>
      <c r="F43" s="185"/>
      <c r="G43" s="115"/>
      <c r="H43" s="174"/>
    </row>
    <row r="44" spans="8:8" ht="15.0">
      <c r="A44" s="168" t="s">
        <v>79</v>
      </c>
      <c r="B44" s="169"/>
      <c r="C44" s="187"/>
      <c r="D44" s="188"/>
      <c r="E44" s="285"/>
      <c r="F44" s="185"/>
      <c r="G44" s="115"/>
      <c r="H44" s="174"/>
    </row>
    <row r="45" spans="8:8" ht="15.0">
      <c r="A45" s="168" t="s">
        <v>80</v>
      </c>
      <c r="B45" s="169"/>
      <c r="C45" s="189">
        <v>0.0</v>
      </c>
      <c r="D45" s="190"/>
      <c r="E45" s="286"/>
      <c r="F45" s="191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87"/>
      <c r="G49" s="287"/>
      <c r="H49" s="288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87"/>
      <c r="G50" s="287"/>
      <c r="H50" s="288"/>
    </row>
    <row r="51" spans="8:8" ht="19.0">
      <c r="A51" s="201"/>
      <c r="B51" s="205" t="s">
        <v>64</v>
      </c>
      <c r="C51" s="206"/>
      <c r="D51" s="207"/>
      <c r="E51" s="208">
        <f>SUM(B13:B14)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19">
      <selection activeCell="D28" sqref="D28"/>
    </sheetView>
  </sheetViews>
  <sheetFormatPr defaultRowHeight="14.5" defaultColWidth="10"/>
  <cols>
    <col min="1" max="1" customWidth="1" width="24.542969" style="0"/>
    <col min="2" max="2" customWidth="1" width="16.363281" style="0"/>
    <col min="3" max="3" customWidth="1" width="21.453125" style="0"/>
    <col min="4" max="4" customWidth="1" width="12.0" style="0"/>
    <col min="5" max="5" customWidth="1" width="21.90625" style="0"/>
    <col min="6" max="6" customWidth="1" width="17.453125" style="0"/>
    <col min="7" max="7" customWidth="1" width="15.1796875" style="0"/>
    <col min="8" max="8" customWidth="1" width="21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5.0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8">
      <selection activeCell="H37" sqref="H37"/>
    </sheetView>
  </sheetViews>
  <sheetFormatPr defaultRowHeight="14.5" defaultColWidth="10"/>
  <cols>
    <col min="1" max="1" customWidth="1" width="19.816406" style="89"/>
    <col min="2" max="2" customWidth="1" width="14.363281" style="89"/>
    <col min="3" max="3" customWidth="1" width="20.0" style="89"/>
    <col min="4" max="4" customWidth="1" width="14.1796875" style="89"/>
    <col min="5" max="5" customWidth="1" width="20.089844" style="89"/>
    <col min="6" max="6" customWidth="1" width="15.269531" style="89"/>
    <col min="7" max="7" customWidth="1" width="16.179688" style="89"/>
    <col min="8" max="8" customWidth="1" width="19.90625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ht="15.0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ht="15.0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15"/>
      <c r="C63" s="216"/>
      <c r="D63" s="217"/>
      <c r="E63" s="226"/>
      <c r="F63" s="227"/>
      <c r="G63" s="227"/>
      <c r="H63" s="22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5">
      <selection activeCell="E38" sqref="E38:F38"/>
    </sheetView>
  </sheetViews>
  <sheetFormatPr defaultRowHeight="14.5" defaultColWidth="10"/>
  <cols>
    <col min="1" max="1" customWidth="1" width="18.90625" style="0"/>
    <col min="2" max="2" customWidth="1" width="16.089844" style="0"/>
    <col min="3" max="3" customWidth="1" width="20.90625" style="0"/>
    <col min="4" max="4" customWidth="1" width="14.1796875" style="0"/>
    <col min="5" max="5" customWidth="1" width="18.179688" style="0"/>
    <col min="6" max="6" customWidth="1" width="17.726562" style="0"/>
    <col min="7" max="7" customWidth="1" width="13.269531" style="0"/>
    <col min="8" max="8" customWidth="1" width="20.0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 t="shared" si="3" ref="F37:H37">SUM(F5:F36)</f>
        <v>0.0</v>
      </c>
      <c r="G37" s="149">
        <f t="shared" si="3"/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SUM(B11:B14)</f>
        <v>0.0</v>
      </c>
      <c r="F49" s="287"/>
      <c r="G49" s="287"/>
      <c r="H49" s="288"/>
    </row>
    <row r="50" spans="8:8" ht="19.0">
      <c r="A50" s="214"/>
      <c r="B50" s="205" t="s">
        <v>48</v>
      </c>
      <c r="C50" s="206"/>
      <c r="D50" s="207"/>
      <c r="E50" s="208">
        <f>SUM(B8:B10)</f>
        <v>0.0</v>
      </c>
      <c r="F50" s="287"/>
      <c r="G50" s="287"/>
      <c r="H50" s="288"/>
    </row>
    <row r="51" spans="8:8" ht="19.0">
      <c r="A51" s="214"/>
      <c r="B51" s="205" t="s">
        <v>64</v>
      </c>
      <c r="C51" s="206"/>
      <c r="D51" s="207"/>
      <c r="E51" s="208">
        <f>SUM(B15:B16)</f>
        <v>0.0</v>
      </c>
      <c r="F51" s="287"/>
      <c r="G51" s="287"/>
      <c r="H51" s="288"/>
    </row>
    <row r="52" spans="8:8" ht="19.0">
      <c r="A52" s="214"/>
      <c r="B52" s="215" t="s">
        <v>65</v>
      </c>
      <c r="C52" s="216"/>
      <c r="D52" s="217"/>
      <c r="E52" s="218">
        <f>SUM(B19:B20)</f>
        <v>0.0</v>
      </c>
      <c r="F52" s="221"/>
      <c r="G52" s="221"/>
      <c r="H52" s="222"/>
    </row>
    <row r="53" spans="8:8" ht="19.0">
      <c r="A53" s="214"/>
      <c r="B53" s="215" t="s">
        <v>66</v>
      </c>
      <c r="C53" s="216"/>
      <c r="D53" s="217"/>
      <c r="E53" s="218">
        <f>SUM(B29:B30)</f>
        <v>0.0</v>
      </c>
      <c r="F53" s="221"/>
      <c r="G53" s="221"/>
      <c r="H53" s="222"/>
    </row>
    <row r="54" spans="8:8" ht="19.0">
      <c r="A54" s="214"/>
      <c r="B54" s="215" t="s">
        <v>58</v>
      </c>
      <c r="C54" s="216"/>
      <c r="D54" s="217"/>
      <c r="E54" s="218">
        <f t="shared" si="4" ref="E54:E60">B31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/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89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89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5" ref="E61">B45</f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A43:B43"/>
    <mergeCell ref="E51:H51"/>
    <mergeCell ref="B54:D54"/>
    <mergeCell ref="C14:D14"/>
    <mergeCell ref="A3:H4"/>
    <mergeCell ref="C12:D12"/>
    <mergeCell ref="C13:D13"/>
    <mergeCell ref="A15:H15"/>
    <mergeCell ref="E50:H50"/>
    <mergeCell ref="B56:D56"/>
    <mergeCell ref="E56:H56"/>
    <mergeCell ref="E54:H54"/>
    <mergeCell ref="B49:D49"/>
    <mergeCell ref="A45:B45"/>
    <mergeCell ref="E40:F40"/>
    <mergeCell ref="A38:B38"/>
    <mergeCell ref="E53:H53"/>
    <mergeCell ref="E63:H63"/>
    <mergeCell ref="B59:D59"/>
    <mergeCell ref="E59:H59"/>
    <mergeCell ref="B60:D60"/>
    <mergeCell ref="E60:H60"/>
    <mergeCell ref="B61:D61"/>
    <mergeCell ref="E61:H61"/>
    <mergeCell ref="E52:H52"/>
    <mergeCell ref="A46:H47"/>
    <mergeCell ref="E42:F42"/>
    <mergeCell ref="B48:D48"/>
    <mergeCell ref="A39:B39"/>
    <mergeCell ref="E44:F44"/>
    <mergeCell ref="B51:D51"/>
    <mergeCell ref="B52:D52"/>
    <mergeCell ref="B63:D63"/>
    <mergeCell ref="E57:H57"/>
    <mergeCell ref="B55:D55"/>
    <mergeCell ref="B57:D57"/>
    <mergeCell ref="B58:D58"/>
    <mergeCell ref="E62:H62"/>
    <mergeCell ref="E49:H49"/>
    <mergeCell ref="A42:B42"/>
    <mergeCell ref="E38:F38"/>
    <mergeCell ref="E48:H48"/>
    <mergeCell ref="B53:D53"/>
    <mergeCell ref="E55:H55"/>
    <mergeCell ref="E39:F39"/>
    <mergeCell ref="A44:B44"/>
    <mergeCell ref="E41:F41"/>
    <mergeCell ref="A41:B41"/>
    <mergeCell ref="E43:F43"/>
    <mergeCell ref="A40:B40"/>
    <mergeCell ref="E45:F45"/>
    <mergeCell ref="B50:D50"/>
    <mergeCell ref="E58:H58"/>
    <mergeCell ref="B62:D62"/>
  </mergeCells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6">
      <selection activeCell="C32" sqref="C32"/>
    </sheetView>
  </sheetViews>
  <sheetFormatPr defaultRowHeight="14.5" defaultColWidth="10"/>
  <cols>
    <col min="1" max="1" customWidth="1" width="19.632812" style="0"/>
    <col min="2" max="2" customWidth="1" width="19.269531" style="0"/>
    <col min="3" max="3" customWidth="1" width="21.0" style="0"/>
    <col min="4" max="4" customWidth="1" width="15.0" style="0"/>
    <col min="5" max="5" customWidth="1" width="19.179688" style="0"/>
    <col min="6" max="6" customWidth="1" width="15.816406" style="0"/>
    <col min="7" max="7" customWidth="1" width="17.363281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9.0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9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9:H49"/>
    <mergeCell ref="B42:D42"/>
    <mergeCell ref="E35:F35"/>
    <mergeCell ref="C14:D14"/>
    <mergeCell ref="A3:H4"/>
    <mergeCell ref="C12:D12"/>
    <mergeCell ref="C13:D13"/>
    <mergeCell ref="A15:H15"/>
    <mergeCell ref="B44:D44"/>
    <mergeCell ref="E51:H51"/>
    <mergeCell ref="B52:D52"/>
    <mergeCell ref="A30:B30"/>
    <mergeCell ref="E34:F34"/>
    <mergeCell ref="A36:B36"/>
    <mergeCell ref="E46:H46"/>
    <mergeCell ref="B53:D53"/>
    <mergeCell ref="E55:H55"/>
    <mergeCell ref="B54:D54"/>
    <mergeCell ref="E47:H47"/>
    <mergeCell ref="B46:D46"/>
    <mergeCell ref="A31:B31"/>
    <mergeCell ref="B45:D45"/>
    <mergeCell ref="B43:D43"/>
    <mergeCell ref="B41:D41"/>
    <mergeCell ref="B47:D47"/>
    <mergeCell ref="B48:D48"/>
    <mergeCell ref="B49:D49"/>
    <mergeCell ref="B55:D55"/>
    <mergeCell ref="E50:H50"/>
    <mergeCell ref="E54:H54"/>
    <mergeCell ref="E52:H52"/>
    <mergeCell ref="B50:D50"/>
    <mergeCell ref="E53:H53"/>
    <mergeCell ref="E31:F31"/>
    <mergeCell ref="A37:B37"/>
    <mergeCell ref="E37:F37"/>
    <mergeCell ref="A33:B33"/>
    <mergeCell ref="E33:F33"/>
    <mergeCell ref="A32:B32"/>
    <mergeCell ref="E36:F36"/>
    <mergeCell ref="A34:B34"/>
    <mergeCell ref="E40:H40"/>
    <mergeCell ref="A35:B35"/>
    <mergeCell ref="E30:F30"/>
    <mergeCell ref="B40:D40"/>
    <mergeCell ref="E48:H48"/>
    <mergeCell ref="B51:D51"/>
    <mergeCell ref="A38:H39"/>
    <mergeCell ref="E32:F32"/>
    <mergeCell ref="E41:H41"/>
    <mergeCell ref="E42:H42"/>
    <mergeCell ref="E43:H43"/>
    <mergeCell ref="E44:H44"/>
    <mergeCell ref="E45:H45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I63"/>
  <sheetViews>
    <sheetView workbookViewId="0" topLeftCell="A28">
      <selection activeCell="D33" sqref="D33"/>
    </sheetView>
  </sheetViews>
  <sheetFormatPr defaultRowHeight="14.5" defaultColWidth="10"/>
  <cols>
    <col min="1" max="1" customWidth="1" width="24.632812" style="0"/>
    <col min="2" max="2" customWidth="1" width="15.816406" style="0"/>
    <col min="3" max="3" customWidth="1" width="21.089844" style="0"/>
    <col min="4" max="4" customWidth="1" width="18.179688" style="0"/>
    <col min="5" max="5" customWidth="1" width="21.089844" style="0"/>
    <col min="6" max="6" customWidth="1" width="18.632812" style="0"/>
    <col min="7" max="7" customWidth="1" width="20.179688" style="0"/>
    <col min="8" max="8" customWidth="1" width="17.4531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14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s="89" ht="26.5" customFormat="1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s="89" ht="15.0" customFormat="1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 s="89" ht="14.5" customFormat="1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 s="89" ht="14.5" customFormat="1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 s="89" ht="14.5" customFormat="1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 s="89" ht="14.5" customFormat="1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 s="89" ht="14.5" customFormat="1">
      <c r="A21" s="138" t="s">
        <v>58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 s="89" ht="14.5" customFormat="1">
      <c r="A22" s="138" t="s">
        <v>58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 s="89" ht="14.5" customFormat="1">
      <c r="A23" s="138" t="s">
        <v>58</v>
      </c>
      <c r="B23" s="139"/>
      <c r="C23" s="139"/>
      <c r="D23" s="139"/>
      <c r="E23" s="136">
        <v>0.0</v>
      </c>
      <c r="F23" s="137">
        <v>0.0</v>
      </c>
      <c r="G23" s="137">
        <v>0.0</v>
      </c>
      <c r="H23" s="137">
        <v>0.0</v>
      </c>
    </row>
    <row r="24" spans="8:8" s="89" ht="14.5" customFormat="1">
      <c r="A24" s="138" t="s">
        <v>58</v>
      </c>
      <c r="B24" s="139"/>
      <c r="C24" s="139"/>
      <c r="D24" s="139"/>
      <c r="E24" s="136">
        <v>0.0</v>
      </c>
      <c r="F24" s="137">
        <v>0.0</v>
      </c>
      <c r="G24" s="137">
        <v>0.0</v>
      </c>
      <c r="H24" s="137">
        <v>0.0</v>
      </c>
    </row>
    <row r="25" spans="8:8" s="89" ht="14.5" customFormat="1">
      <c r="A25" s="138" t="s">
        <v>58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 s="89" ht="14.5" customFormat="1">
      <c r="A26" s="138" t="s">
        <v>58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 s="89" ht="14.5" customFormat="1">
      <c r="A27" s="138" t="s">
        <v>58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s="89" ht="14.5" customFormat="1">
      <c r="A28" s="138" t="s">
        <v>58</v>
      </c>
      <c r="B28" s="139"/>
      <c r="C28" s="139"/>
      <c r="D28" s="139"/>
      <c r="E28" s="136">
        <v>0.0</v>
      </c>
      <c r="F28" s="137">
        <v>0.0</v>
      </c>
      <c r="G28" s="137">
        <v>0.0</v>
      </c>
      <c r="H28" s="137">
        <v>0.0</v>
      </c>
    </row>
    <row r="29" spans="8:8" s="89" ht="14.5" customFormat="1">
      <c r="A29" s="140" t="s">
        <v>55</v>
      </c>
      <c r="B29" s="139"/>
      <c r="C29" s="139"/>
      <c r="D29" s="139"/>
      <c r="E29" s="136">
        <v>0.0</v>
      </c>
      <c r="F29" s="137">
        <v>0.0</v>
      </c>
      <c r="G29" s="137">
        <v>0.0</v>
      </c>
      <c r="H29" s="137">
        <v>0.0</v>
      </c>
    </row>
    <row r="30" spans="8:8" s="89" ht="14.5" customFormat="1">
      <c r="A30" s="140" t="s">
        <v>55</v>
      </c>
      <c r="B30" s="139"/>
      <c r="C30" s="139"/>
      <c r="D30" s="139"/>
      <c r="E30" s="136">
        <v>0.0</v>
      </c>
      <c r="F30" s="137">
        <v>0.0</v>
      </c>
      <c r="G30" s="137">
        <v>0.0</v>
      </c>
      <c r="H30" s="137">
        <v>0.0</v>
      </c>
    </row>
    <row r="31" spans="8:8" s="89" ht="14.5" customFormat="1">
      <c r="A31" s="140" t="s">
        <v>55</v>
      </c>
      <c r="B31" s="141"/>
      <c r="C31" s="141"/>
      <c r="D31" s="141"/>
      <c r="E31" s="136">
        <v>0.0</v>
      </c>
      <c r="F31" s="137">
        <v>0.0</v>
      </c>
      <c r="G31" s="137">
        <v>0.0</v>
      </c>
      <c r="H31" s="137">
        <v>0.0</v>
      </c>
    </row>
    <row r="32" spans="8:8" s="89" ht="14.5" customFormat="1">
      <c r="A32" s="140" t="s">
        <v>55</v>
      </c>
      <c r="B32" s="135"/>
      <c r="C32" s="135"/>
      <c r="D32" s="135"/>
      <c r="E32" s="136">
        <v>0.0</v>
      </c>
      <c r="F32" s="137">
        <v>0.0</v>
      </c>
      <c r="G32" s="137">
        <v>0.0</v>
      </c>
      <c r="H32" s="137">
        <v>0.0</v>
      </c>
    </row>
    <row r="33" spans="8:8" s="89" ht="14.5" customFormat="1">
      <c r="A33" s="140" t="s">
        <v>55</v>
      </c>
      <c r="B33" s="139"/>
      <c r="C33" s="139"/>
      <c r="D33" s="139"/>
      <c r="E33" s="136">
        <v>0.0</v>
      </c>
      <c r="F33" s="137">
        <v>0.0</v>
      </c>
      <c r="G33" s="137">
        <v>0.0</v>
      </c>
      <c r="H33" s="137">
        <v>0.0</v>
      </c>
    </row>
    <row r="34" spans="8:8" s="89" ht="14.5" customFormat="1">
      <c r="A34" s="140" t="s">
        <v>55</v>
      </c>
      <c r="B34" s="139"/>
      <c r="C34" s="139"/>
      <c r="D34" s="139"/>
      <c r="E34" s="136">
        <v>0.0</v>
      </c>
      <c r="F34" s="137">
        <v>0.0</v>
      </c>
      <c r="G34" s="137">
        <v>0.0</v>
      </c>
      <c r="H34" s="137">
        <v>0.0</v>
      </c>
    </row>
    <row r="35" spans="8:8" s="89" ht="14.5" customFormat="1">
      <c r="A35" s="140" t="s">
        <v>55</v>
      </c>
      <c r="B35" s="139"/>
      <c r="C35" s="139"/>
      <c r="D35" s="139"/>
      <c r="E35" s="136">
        <v>0.0</v>
      </c>
      <c r="F35" s="137">
        <v>0.0</v>
      </c>
      <c r="G35" s="137">
        <v>0.0</v>
      </c>
      <c r="H35" s="137">
        <v>0.0</v>
      </c>
    </row>
    <row r="36" spans="8:8" s="89" ht="15.0" customFormat="1">
      <c r="A36" s="142" t="s">
        <v>55</v>
      </c>
      <c r="B36" s="143"/>
      <c r="C36" s="143"/>
      <c r="D36" s="143"/>
      <c r="E36" s="144">
        <v>0.0</v>
      </c>
      <c r="F36" s="145">
        <v>0.0</v>
      </c>
      <c r="G36" s="146">
        <v>0.0</v>
      </c>
      <c r="H36" s="146">
        <v>0.0</v>
      </c>
    </row>
    <row r="37" spans="8:8" s="89" ht="15.0" customFormat="1">
      <c r="A37" s="147" t="s">
        <v>56</v>
      </c>
      <c r="B37" s="148"/>
      <c r="C37" s="148"/>
      <c r="D37" s="148"/>
      <c r="E37" s="149">
        <f>SUM(E5:E36)</f>
        <v>0.0</v>
      </c>
      <c r="F37" s="149">
        <f>SUM(F5:F36)</f>
        <v>0.0</v>
      </c>
      <c r="G37" s="149">
        <f t="shared" si="3" ref="G37:H37">SUM(G5:G36)</f>
        <v>0.0</v>
      </c>
      <c r="H37" s="149">
        <f t="shared" si="3"/>
        <v>0.0</v>
      </c>
    </row>
    <row r="38" spans="8:8" ht="15.0">
      <c r="A38" s="153" t="s">
        <v>81</v>
      </c>
      <c r="B38" s="154"/>
      <c r="C38" s="155" t="s">
        <v>75</v>
      </c>
      <c r="D38" s="156"/>
      <c r="E38" s="157" t="s">
        <v>73</v>
      </c>
      <c r="F38" s="158"/>
      <c r="G38" s="159" t="s">
        <v>74</v>
      </c>
      <c r="H38" s="160" t="s">
        <v>75</v>
      </c>
    </row>
    <row r="39" spans="8:8" ht="14.5" customHeight="1">
      <c r="A39" s="161" t="s">
        <v>71</v>
      </c>
      <c r="B39" s="162"/>
      <c r="C39" s="163"/>
      <c r="D39" s="164"/>
      <c r="E39" s="165"/>
      <c r="F39" s="165"/>
      <c r="G39" s="166"/>
      <c r="H39" s="167"/>
    </row>
    <row r="40" spans="8:8" ht="15.0" customHeight="1">
      <c r="A40" s="168" t="s">
        <v>72</v>
      </c>
      <c r="B40" s="169"/>
      <c r="C40" s="170"/>
      <c r="D40" s="171"/>
      <c r="E40" s="172"/>
      <c r="F40" s="172"/>
      <c r="G40" s="173"/>
      <c r="H40" s="174"/>
    </row>
    <row r="41" spans="8:8" ht="15.0">
      <c r="A41" s="168" t="s">
        <v>76</v>
      </c>
      <c r="B41" s="169"/>
      <c r="C41" s="175"/>
      <c r="D41" s="164"/>
      <c r="E41" s="176"/>
      <c r="F41" s="176"/>
      <c r="G41" s="173"/>
      <c r="H41" s="174"/>
    </row>
    <row r="42" spans="8:8" ht="15.0">
      <c r="A42" s="177" t="s">
        <v>77</v>
      </c>
      <c r="B42" s="178"/>
      <c r="C42" s="179"/>
      <c r="D42" s="180"/>
      <c r="E42" s="181"/>
      <c r="F42" s="176"/>
      <c r="G42" s="115"/>
      <c r="H42" s="174"/>
    </row>
    <row r="43" spans="8:8" ht="15.0">
      <c r="A43" s="182" t="s">
        <v>78</v>
      </c>
      <c r="B43" s="183"/>
      <c r="C43" s="184"/>
      <c r="D43" s="180"/>
      <c r="E43" s="185"/>
      <c r="F43" s="186"/>
      <c r="G43" s="115"/>
      <c r="H43" s="174"/>
    </row>
    <row r="44" spans="8:8" ht="15.0">
      <c r="A44" s="182" t="s">
        <v>79</v>
      </c>
      <c r="B44" s="183"/>
      <c r="C44" s="187"/>
      <c r="D44" s="188"/>
      <c r="E44" s="185"/>
      <c r="F44" s="186"/>
      <c r="G44" s="115"/>
      <c r="H44" s="174"/>
    </row>
    <row r="45" spans="8:8" ht="15.0">
      <c r="A45" s="182" t="s">
        <v>80</v>
      </c>
      <c r="B45" s="183"/>
      <c r="C45" s="189">
        <v>0.0</v>
      </c>
      <c r="D45" s="190"/>
      <c r="E45" s="191"/>
      <c r="F45" s="192"/>
      <c r="G45" s="193"/>
      <c r="H45" s="194"/>
    </row>
    <row r="46" spans="8:8" ht="14.5" customHeight="1">
      <c r="A46" s="195" t="s">
        <v>59</v>
      </c>
      <c r="B46" s="196"/>
      <c r="C46" s="196"/>
      <c r="D46" s="196"/>
      <c r="E46" s="196"/>
      <c r="F46" s="196"/>
      <c r="G46" s="196"/>
      <c r="H46" s="197"/>
    </row>
    <row r="47" spans="8:8" ht="15.0" customHeight="1">
      <c r="A47" s="198"/>
      <c r="B47" s="199"/>
      <c r="C47" s="199"/>
      <c r="D47" s="199"/>
      <c r="E47" s="199"/>
      <c r="F47" s="199"/>
      <c r="G47" s="199"/>
      <c r="H47" s="200"/>
    </row>
    <row r="48" spans="8:8" ht="24.0">
      <c r="A48" s="201"/>
      <c r="B48" s="202" t="s">
        <v>60</v>
      </c>
      <c r="C48" s="203"/>
      <c r="D48" s="204"/>
      <c r="E48" s="202" t="s">
        <v>61</v>
      </c>
      <c r="F48" s="203"/>
      <c r="G48" s="203"/>
      <c r="H48" s="204"/>
    </row>
    <row r="49" spans="8:8" ht="19.0">
      <c r="A49" s="201"/>
      <c r="B49" s="205" t="s">
        <v>63</v>
      </c>
      <c r="C49" s="206"/>
      <c r="D49" s="207"/>
      <c r="E49" s="208">
        <f>SUM(B9:B12)</f>
        <v>0.0</v>
      </c>
      <c r="F49" s="209"/>
      <c r="G49" s="209"/>
      <c r="H49" s="210"/>
    </row>
    <row r="50" spans="8:8" ht="19.0">
      <c r="A50" s="201"/>
      <c r="B50" s="205" t="s">
        <v>48</v>
      </c>
      <c r="C50" s="206"/>
      <c r="D50" s="207"/>
      <c r="E50" s="208">
        <f>SUM(B6:B8)</f>
        <v>0.0</v>
      </c>
      <c r="F50" s="209"/>
      <c r="G50" s="209"/>
      <c r="H50" s="210"/>
    </row>
    <row r="51" spans="8:8" ht="19.0">
      <c r="A51" s="201"/>
      <c r="B51" s="205" t="s">
        <v>64</v>
      </c>
      <c r="C51" s="206"/>
      <c r="D51" s="207"/>
      <c r="E51" s="211">
        <f>SUM(B13:B14)</f>
        <v>0.0</v>
      </c>
      <c r="F51" s="212"/>
      <c r="G51" s="212"/>
      <c r="H51" s="213"/>
    </row>
    <row r="52" spans="8:8" ht="19.0">
      <c r="A52" s="214"/>
      <c r="B52" s="215" t="s">
        <v>65</v>
      </c>
      <c r="C52" s="216"/>
      <c r="D52" s="217"/>
      <c r="E52" s="218">
        <f>SUM(B17:B18)</f>
        <v>0.0</v>
      </c>
      <c r="F52" s="219"/>
      <c r="G52" s="219"/>
      <c r="H52" s="220"/>
    </row>
    <row r="53" spans="8:8" ht="19.0">
      <c r="A53" s="214"/>
      <c r="B53" s="215" t="s">
        <v>66</v>
      </c>
      <c r="C53" s="216"/>
      <c r="D53" s="217"/>
      <c r="E53" s="218">
        <f>SUM(B19:B20)</f>
        <v>0.0</v>
      </c>
      <c r="F53" s="219"/>
      <c r="G53" s="219"/>
      <c r="H53" s="220"/>
    </row>
    <row r="54" spans="8:8" ht="19.0">
      <c r="A54" s="214"/>
      <c r="B54" s="215" t="s">
        <v>58</v>
      </c>
      <c r="C54" s="216"/>
      <c r="D54" s="217"/>
      <c r="E54" s="218">
        <f>B29</f>
        <v>0.0</v>
      </c>
      <c r="F54" s="221"/>
      <c r="G54" s="221"/>
      <c r="H54" s="222"/>
    </row>
    <row r="55" spans="8:8" ht="19.0">
      <c r="A55" s="214"/>
      <c r="B55" s="215" t="s">
        <v>58</v>
      </c>
      <c r="C55" s="216"/>
      <c r="D55" s="217"/>
      <c r="E55" s="218">
        <f t="shared" si="4" ref="E55:E61">B30</f>
        <v>0.0</v>
      </c>
      <c r="F55" s="221"/>
      <c r="G55" s="221"/>
      <c r="H55" s="222"/>
    </row>
    <row r="56" spans="8:8" ht="19.0">
      <c r="A56" s="214"/>
      <c r="B56" s="215" t="s">
        <v>58</v>
      </c>
      <c r="C56" s="216"/>
      <c r="D56" s="217"/>
      <c r="E56" s="218">
        <f t="shared" si="4"/>
        <v>0.0</v>
      </c>
      <c r="F56" s="221"/>
      <c r="G56" s="221"/>
      <c r="H56" s="222"/>
    </row>
    <row r="57" spans="8:8" ht="19.0">
      <c r="A57" s="214"/>
      <c r="B57" s="215" t="s">
        <v>58</v>
      </c>
      <c r="C57" s="216"/>
      <c r="D57" s="217"/>
      <c r="E57" s="218">
        <f t="shared" si="4"/>
        <v>0.0</v>
      </c>
      <c r="F57" s="221"/>
      <c r="G57" s="221"/>
      <c r="H57" s="222"/>
    </row>
    <row r="58" spans="8:8" ht="19.0">
      <c r="A58" s="214"/>
      <c r="B58" s="215" t="s">
        <v>58</v>
      </c>
      <c r="C58" s="216"/>
      <c r="D58" s="217"/>
      <c r="E58" s="218">
        <f t="shared" si="4"/>
        <v>0.0</v>
      </c>
      <c r="F58" s="221"/>
      <c r="G58" s="221"/>
      <c r="H58" s="222"/>
    </row>
    <row r="59" spans="8:8" ht="19.0">
      <c r="A59" s="214"/>
      <c r="B59" s="215" t="s">
        <v>58</v>
      </c>
      <c r="C59" s="216"/>
      <c r="D59" s="217"/>
      <c r="E59" s="218">
        <f t="shared" si="4"/>
        <v>0.0</v>
      </c>
      <c r="F59" s="221"/>
      <c r="G59" s="221"/>
      <c r="H59" s="222"/>
    </row>
    <row r="60" spans="8:8" ht="19.0">
      <c r="A60" s="89"/>
      <c r="B60" s="215" t="s">
        <v>58</v>
      </c>
      <c r="C60" s="216"/>
      <c r="D60" s="217"/>
      <c r="E60" s="218">
        <f t="shared" si="4"/>
        <v>0.0</v>
      </c>
      <c r="F60" s="221"/>
      <c r="G60" s="221"/>
      <c r="H60" s="222"/>
    </row>
    <row r="61" spans="8:8" ht="19.0">
      <c r="A61" s="89"/>
      <c r="B61" s="215" t="s">
        <v>58</v>
      </c>
      <c r="C61" s="216"/>
      <c r="D61" s="217"/>
      <c r="E61" s="218">
        <f t="shared" si="4"/>
        <v>0.0</v>
      </c>
      <c r="F61" s="221"/>
      <c r="G61" s="221"/>
      <c r="H61" s="222"/>
    </row>
    <row r="62" spans="8:8" ht="19.0">
      <c r="A62" s="89"/>
      <c r="B62" s="215" t="s">
        <v>67</v>
      </c>
      <c r="C62" s="216"/>
      <c r="D62" s="217"/>
      <c r="E62" s="265">
        <f>SUM(E49:H61)</f>
        <v>0.0</v>
      </c>
      <c r="F62" s="219"/>
      <c r="G62" s="219"/>
      <c r="H62" s="220"/>
    </row>
    <row r="63" spans="8:8" ht="19.0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53:H53"/>
    <mergeCell ref="E41:F41"/>
    <mergeCell ref="B49:D49"/>
    <mergeCell ref="E54:H54"/>
    <mergeCell ref="E55:H55"/>
    <mergeCell ref="E56:H56"/>
    <mergeCell ref="C14:D14"/>
    <mergeCell ref="A3:H4"/>
    <mergeCell ref="C12:D12"/>
    <mergeCell ref="C13:D13"/>
    <mergeCell ref="A15:H15"/>
    <mergeCell ref="B48:D48"/>
    <mergeCell ref="E59:H59"/>
    <mergeCell ref="A39:B39"/>
    <mergeCell ref="B58:D58"/>
    <mergeCell ref="B60:D60"/>
    <mergeCell ref="B51:D51"/>
    <mergeCell ref="E60:H60"/>
    <mergeCell ref="B61:D61"/>
    <mergeCell ref="E38:F38"/>
    <mergeCell ref="B52:D52"/>
    <mergeCell ref="A40:B40"/>
    <mergeCell ref="E45:F45"/>
    <mergeCell ref="A42:B42"/>
    <mergeCell ref="E52:H52"/>
    <mergeCell ref="E51:H51"/>
    <mergeCell ref="E50:H50"/>
    <mergeCell ref="E49:H49"/>
    <mergeCell ref="E48:H48"/>
    <mergeCell ref="A41:B41"/>
    <mergeCell ref="E44:F44"/>
    <mergeCell ref="A45:B45"/>
    <mergeCell ref="E43:F43"/>
    <mergeCell ref="A44:B44"/>
    <mergeCell ref="A43:B43"/>
    <mergeCell ref="E42:F42"/>
    <mergeCell ref="A46:H47"/>
    <mergeCell ref="B50:D50"/>
    <mergeCell ref="E39:F39"/>
    <mergeCell ref="A38:B38"/>
    <mergeCell ref="E40:F40"/>
    <mergeCell ref="B56:D56"/>
    <mergeCell ref="E57:H57"/>
    <mergeCell ref="E58:H58"/>
    <mergeCell ref="B53:D53"/>
    <mergeCell ref="E61:H61"/>
    <mergeCell ref="B63:D63"/>
    <mergeCell ref="E62:H62"/>
    <mergeCell ref="B54:D54"/>
    <mergeCell ref="B62:D62"/>
    <mergeCell ref="B57:D57"/>
    <mergeCell ref="B55:D55"/>
    <mergeCell ref="B59:D59"/>
    <mergeCell ref="E63:H63"/>
  </mergeCells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8">
      <selection activeCell="C20" sqref="C20"/>
    </sheetView>
  </sheetViews>
  <sheetFormatPr defaultRowHeight="14.5" defaultColWidth="10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632812" style="0"/>
    <col min="6" max="6" customWidth="1" width="22.90625" style="0"/>
    <col min="7" max="7" customWidth="1" width="21.179688" style="0"/>
    <col min="8" max="8" customWidth="1" width="19.90625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19">
      <selection activeCell="C35" sqref="C35"/>
    </sheetView>
  </sheetViews>
  <sheetFormatPr defaultRowHeight="14.5" defaultColWidth="10"/>
  <cols>
    <col min="1" max="1" customWidth="1" width="21.0" style="0"/>
    <col min="2" max="2" customWidth="1" width="18.816406" style="0"/>
    <col min="3" max="3" customWidth="1" width="27.179688" style="0"/>
    <col min="4" max="4" customWidth="1" width="20.0" style="0"/>
    <col min="5" max="5" customWidth="1" width="17.0" style="0"/>
    <col min="6" max="6" customWidth="1" width="18.90625" style="0"/>
    <col min="7" max="7" customWidth="1" width="19.0" style="0"/>
    <col min="8" max="8" customWidth="1" width="24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4">
      <selection activeCell="A30" sqref="A30:H39"/>
    </sheetView>
  </sheetViews>
  <sheetFormatPr defaultRowHeight="14.5" defaultColWidth="10"/>
  <cols>
    <col min="1" max="1" customWidth="1" width="19.90625" style="0"/>
    <col min="2" max="2" customWidth="1" width="15.089844" style="0"/>
    <col min="3" max="3" customWidth="1" width="25.179688" style="0"/>
    <col min="4" max="4" customWidth="1" width="18.90625" style="0"/>
    <col min="5" max="5" customWidth="1" width="17.816406" style="0"/>
    <col min="6" max="6" customWidth="1" width="18.089844" style="0"/>
    <col min="7" max="7" customWidth="1" width="21.726562" style="0"/>
    <col min="8" max="8" customWidth="1" width="22.36328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49">
      <selection activeCell="B54" sqref="B54:D54"/>
    </sheetView>
  </sheetViews>
  <sheetFormatPr defaultRowHeight="14.5" defaultColWidth="10"/>
  <cols>
    <col min="1" max="1" customWidth="1" width="24.179688" style="0"/>
    <col min="2" max="2" customWidth="1" width="18.453125" style="0"/>
    <col min="3" max="3" customWidth="1" width="22.632812" style="0"/>
    <col min="4" max="4" customWidth="1" width="17.363281" style="0"/>
    <col min="5" max="5" customWidth="1" width="21.363281" style="0"/>
    <col min="6" max="6" customWidth="1" width="18.90625" style="0"/>
    <col min="7" max="7" customWidth="1" width="17.726562" style="0"/>
    <col min="8" max="8" customWidth="1" width="22.542969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16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 t="shared" si="1"/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4.5" customHeight="1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 customHeight="1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61"/>
      <c r="B44" s="262" t="s">
        <v>65</v>
      </c>
      <c r="C44" s="263"/>
      <c r="D44" s="264"/>
      <c r="E44" s="218">
        <f>SUM(B17:B18)</f>
        <v>0.0</v>
      </c>
      <c r="F44" s="219"/>
      <c r="G44" s="219"/>
      <c r="H44" s="220"/>
    </row>
    <row r="45" spans="8:8" ht="19.0">
      <c r="A45" s="261"/>
      <c r="B45" s="262" t="s">
        <v>66</v>
      </c>
      <c r="C45" s="263"/>
      <c r="D45" s="264"/>
      <c r="E45" s="218">
        <f>SUM(B19:B20)</f>
        <v>0.0</v>
      </c>
      <c r="F45" s="219"/>
      <c r="G45" s="219"/>
      <c r="H45" s="220"/>
    </row>
    <row r="46" spans="8:8" ht="19.0">
      <c r="A46" s="261"/>
      <c r="B46" s="262" t="s">
        <v>58</v>
      </c>
      <c r="C46" s="263"/>
      <c r="D46" s="264"/>
      <c r="E46" s="218">
        <f>B21</f>
        <v>0.0</v>
      </c>
      <c r="F46" s="221"/>
      <c r="G46" s="221"/>
      <c r="H46" s="222"/>
    </row>
    <row r="47" spans="8:8" ht="19.0">
      <c r="A47" s="261"/>
      <c r="B47" s="262" t="s">
        <v>58</v>
      </c>
      <c r="C47" s="263"/>
      <c r="D47" s="264"/>
      <c r="E47" s="218">
        <f t="shared" si="10" ref="E47:E53">B22</f>
        <v>0.0</v>
      </c>
      <c r="F47" s="221"/>
      <c r="G47" s="221"/>
      <c r="H47" s="222"/>
    </row>
    <row r="48" spans="8:8" ht="19.0">
      <c r="A48" s="261"/>
      <c r="B48" s="262" t="s">
        <v>58</v>
      </c>
      <c r="C48" s="263"/>
      <c r="D48" s="264"/>
      <c r="E48" s="218">
        <f t="shared" si="10"/>
        <v>0.0</v>
      </c>
      <c r="F48" s="221"/>
      <c r="G48" s="221"/>
      <c r="H48" s="222"/>
    </row>
    <row r="49" spans="8:8" ht="19.0">
      <c r="A49" s="261"/>
      <c r="B49" s="262" t="s">
        <v>58</v>
      </c>
      <c r="C49" s="263"/>
      <c r="D49" s="264"/>
      <c r="E49" s="218">
        <f t="shared" si="10"/>
        <v>0.0</v>
      </c>
      <c r="F49" s="221"/>
      <c r="G49" s="221"/>
      <c r="H49" s="222"/>
    </row>
    <row r="50" spans="8:8" ht="19.0">
      <c r="A50" s="261"/>
      <c r="B50" s="262" t="s">
        <v>58</v>
      </c>
      <c r="C50" s="263"/>
      <c r="D50" s="264"/>
      <c r="E50" s="218">
        <f t="shared" si="10"/>
        <v>0.0</v>
      </c>
      <c r="F50" s="221"/>
      <c r="G50" s="221"/>
      <c r="H50" s="222"/>
    </row>
    <row r="51" spans="8:8" ht="19.0">
      <c r="A51" s="261"/>
      <c r="B51" s="262" t="s">
        <v>58</v>
      </c>
      <c r="C51" s="263"/>
      <c r="D51" s="264"/>
      <c r="E51" s="218">
        <f t="shared" si="10"/>
        <v>0.0</v>
      </c>
      <c r="F51" s="221"/>
      <c r="G51" s="221"/>
      <c r="H51" s="222"/>
    </row>
    <row r="52" spans="8:8" ht="19.0">
      <c r="B52" s="262" t="s">
        <v>58</v>
      </c>
      <c r="C52" s="263"/>
      <c r="D52" s="264"/>
      <c r="E52" s="218">
        <f t="shared" si="10"/>
        <v>0.0</v>
      </c>
      <c r="F52" s="221"/>
      <c r="G52" s="221"/>
      <c r="H52" s="222"/>
    </row>
    <row r="53" spans="8:8" ht="19.0">
      <c r="B53" s="262" t="s">
        <v>58</v>
      </c>
      <c r="C53" s="263"/>
      <c r="D53" s="264"/>
      <c r="E53" s="218">
        <f t="shared" si="10"/>
        <v>0.0</v>
      </c>
      <c r="F53" s="221"/>
      <c r="G53" s="221"/>
      <c r="H53" s="222"/>
    </row>
    <row r="54" spans="8:8" ht="19.0">
      <c r="B54" s="262" t="s">
        <v>67</v>
      </c>
      <c r="C54" s="263"/>
      <c r="D54" s="264"/>
      <c r="E54" s="265">
        <f>SUM(E41:H53)</f>
        <v>0.0</v>
      </c>
      <c r="F54" s="219"/>
      <c r="G54" s="219"/>
      <c r="H54" s="220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46:H46"/>
    <mergeCell ref="E47:H47"/>
    <mergeCell ref="E48:H48"/>
    <mergeCell ref="C14:D14"/>
    <mergeCell ref="A3:H4"/>
    <mergeCell ref="C12:D12"/>
    <mergeCell ref="C13:D13"/>
    <mergeCell ref="A15:H15"/>
    <mergeCell ref="B40:D40"/>
    <mergeCell ref="E51:H51"/>
    <mergeCell ref="A31:B31"/>
    <mergeCell ref="B50:D50"/>
    <mergeCell ref="B52:D52"/>
    <mergeCell ref="B43:D43"/>
    <mergeCell ref="E52:H52"/>
    <mergeCell ref="B53:D53"/>
    <mergeCell ref="E30:F30"/>
    <mergeCell ref="B44:D44"/>
    <mergeCell ref="A32:B32"/>
    <mergeCell ref="E37:F37"/>
    <mergeCell ref="A34:B34"/>
    <mergeCell ref="E44:H44"/>
    <mergeCell ref="E43:H43"/>
    <mergeCell ref="E42:H42"/>
    <mergeCell ref="E41:H41"/>
    <mergeCell ref="E40:H40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E32:F32"/>
    <mergeCell ref="B48:D48"/>
    <mergeCell ref="E49:H49"/>
    <mergeCell ref="E50:H50"/>
    <mergeCell ref="B45:D45"/>
    <mergeCell ref="E53:H53"/>
    <mergeCell ref="B55:D55"/>
    <mergeCell ref="E54:H54"/>
    <mergeCell ref="B46:D46"/>
    <mergeCell ref="B54:D54"/>
    <mergeCell ref="B49:D49"/>
    <mergeCell ref="B47:D47"/>
    <mergeCell ref="B51:D51"/>
    <mergeCell ref="E55:H55"/>
  </mergeCells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8">
      <selection activeCell="I34" sqref="I34"/>
    </sheetView>
  </sheetViews>
  <sheetFormatPr defaultRowHeight="14.5" defaultColWidth="10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</cols>
  <sheetData>
    <row r="1" spans="8:8">
      <c r="A1" s="257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258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f t="shared" si="0" ref="E6:E14">PRODUCT(B6*C6)</f>
        <v>0.0</v>
      </c>
      <c r="F6" s="112">
        <f t="shared" si="1" ref="F6:F28">PRODUCT(E6*18)/118</f>
        <v>0.0</v>
      </c>
      <c r="G6" s="112">
        <f>PRODUCT(B6*50)</f>
        <v>0.0</v>
      </c>
      <c r="H6" s="113">
        <f t="shared" si="2" ref="H6:H14">SUM(F6:G6)</f>
        <v>0.0</v>
      </c>
    </row>
    <row r="7" spans="8:8">
      <c r="A7" s="108" t="s">
        <v>47</v>
      </c>
      <c r="B7" s="109"/>
      <c r="C7" s="110"/>
      <c r="D7" s="111"/>
      <c r="E7" s="112">
        <f t="shared" si="0"/>
        <v>0.0</v>
      </c>
      <c r="F7" s="112">
        <f t="shared" si="1"/>
        <v>0.0</v>
      </c>
      <c r="G7" s="112">
        <f>PRODUCT(B7*50)</f>
        <v>0.0</v>
      </c>
      <c r="H7" s="113">
        <f t="shared" si="2"/>
        <v>0.0</v>
      </c>
    </row>
    <row r="8" spans="8:8">
      <c r="A8" s="114" t="s">
        <v>48</v>
      </c>
      <c r="B8" s="115"/>
      <c r="C8" s="116"/>
      <c r="D8" s="117"/>
      <c r="E8" s="118">
        <f t="shared" si="0"/>
        <v>0.0</v>
      </c>
      <c r="F8" s="118">
        <f t="shared" si="1"/>
        <v>0.0</v>
      </c>
      <c r="G8" s="118">
        <f>PRODUCT(B8*50)</f>
        <v>0.0</v>
      </c>
      <c r="H8" s="119">
        <f t="shared" si="2"/>
        <v>0.0</v>
      </c>
    </row>
    <row r="9" spans="8:8">
      <c r="A9" s="114" t="s">
        <v>49</v>
      </c>
      <c r="B9" s="115"/>
      <c r="C9" s="116"/>
      <c r="D9" s="117"/>
      <c r="E9" s="118">
        <f t="shared" si="0"/>
        <v>0.0</v>
      </c>
      <c r="F9" s="118">
        <f t="shared" si="1"/>
        <v>0.0</v>
      </c>
      <c r="G9" s="118">
        <f>PRODUCT(B9*30)</f>
        <v>0.0</v>
      </c>
      <c r="H9" s="119">
        <f t="shared" si="2"/>
        <v>0.0</v>
      </c>
    </row>
    <row r="10" spans="8:8">
      <c r="A10" s="114" t="s">
        <v>50</v>
      </c>
      <c r="B10" s="115"/>
      <c r="C10" s="120"/>
      <c r="D10" s="117"/>
      <c r="E10" s="118">
        <f t="shared" si="0"/>
        <v>0.0</v>
      </c>
      <c r="F10" s="118">
        <f t="shared" si="1"/>
        <v>0.0</v>
      </c>
      <c r="G10" s="118">
        <f>PRODUCT(B10*30)</f>
        <v>0.0</v>
      </c>
      <c r="H10" s="119">
        <f t="shared" si="2"/>
        <v>0.0</v>
      </c>
    </row>
    <row r="11" spans="8:8">
      <c r="A11" s="121" t="s">
        <v>68</v>
      </c>
      <c r="B11" s="115"/>
      <c r="C11" s="116"/>
      <c r="D11" s="117"/>
      <c r="E11" s="118">
        <f t="shared" si="0"/>
        <v>0.0</v>
      </c>
      <c r="F11" s="118">
        <f t="shared" si="1"/>
        <v>0.0</v>
      </c>
      <c r="G11" s="118">
        <f>PRODUCT(B11*30)</f>
        <v>0.0</v>
      </c>
      <c r="H11" s="119">
        <f t="shared" si="2"/>
        <v>0.0</v>
      </c>
    </row>
    <row r="12" spans="8:8">
      <c r="A12" s="121" t="s">
        <v>68</v>
      </c>
      <c r="B12" s="115"/>
      <c r="C12" s="116"/>
      <c r="D12" s="117"/>
      <c r="E12" s="118">
        <f t="shared" si="0"/>
        <v>0.0</v>
      </c>
      <c r="F12" s="118">
        <f>PRODUCT(E12*18)/118</f>
        <v>0.0</v>
      </c>
      <c r="G12" s="118">
        <f>PRODUCT(B12*30)</f>
        <v>0.0</v>
      </c>
      <c r="H12" s="119">
        <f t="shared" si="2"/>
        <v>0.0</v>
      </c>
    </row>
    <row r="13" spans="8:8">
      <c r="A13" s="121" t="s">
        <v>62</v>
      </c>
      <c r="B13" s="115"/>
      <c r="C13" s="116"/>
      <c r="D13" s="117"/>
      <c r="E13" s="118">
        <f t="shared" si="0"/>
        <v>0.0</v>
      </c>
      <c r="F13" s="118">
        <f t="shared" si="1"/>
        <v>0.0</v>
      </c>
      <c r="G13" s="118">
        <f>PRODUCT(B13*20)</f>
        <v>0.0</v>
      </c>
      <c r="H13" s="119">
        <f t="shared" si="2"/>
        <v>0.0</v>
      </c>
    </row>
    <row r="14" spans="8:8" ht="15.0">
      <c r="A14" s="122" t="s">
        <v>62</v>
      </c>
      <c r="B14" s="115"/>
      <c r="C14" s="116"/>
      <c r="D14" s="117"/>
      <c r="E14" s="118">
        <f t="shared" si="0"/>
        <v>0.0</v>
      </c>
      <c r="F14" s="118">
        <f t="shared" si="1"/>
        <v>0.0</v>
      </c>
      <c r="G14" s="118">
        <f>PRODUCT(B14*20)</f>
        <v>0.0</v>
      </c>
      <c r="H14" s="119">
        <f t="shared" si="2"/>
        <v>0.0</v>
      </c>
    </row>
    <row r="15" spans="8:8" ht="26.5">
      <c r="A15" s="246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259" t="s">
        <v>43</v>
      </c>
      <c r="F16" s="259" t="s">
        <v>53</v>
      </c>
      <c r="G16" s="259" t="s">
        <v>45</v>
      </c>
      <c r="H16" s="260" t="s">
        <v>54</v>
      </c>
    </row>
    <row r="17" spans="8:8">
      <c r="A17" s="130" t="s">
        <v>65</v>
      </c>
      <c r="B17" s="131"/>
      <c r="C17" s="131"/>
      <c r="D17" s="131"/>
      <c r="E17" s="132">
        <f>PRODUCT(B17*C17)</f>
        <v>0.0</v>
      </c>
      <c r="F17" s="133">
        <f t="shared" si="3" ref="F17:F22">PRODUCT(E17*18)/118</f>
        <v>0.0</v>
      </c>
      <c r="G17" s="133">
        <f>PRODUCT(B17*D17)</f>
        <v>0.0</v>
      </c>
      <c r="H17" s="133">
        <f>SUM(F17:G17)</f>
        <v>0.0</v>
      </c>
    </row>
    <row r="18" spans="8:8">
      <c r="A18" s="134" t="s">
        <v>65</v>
      </c>
      <c r="B18" s="135"/>
      <c r="C18" s="135"/>
      <c r="D18" s="135"/>
      <c r="E18" s="136">
        <f t="shared" si="4" ref="E18:E22">PRODUCT(B18*C18)</f>
        <v>0.0</v>
      </c>
      <c r="F18" s="137">
        <f t="shared" si="3"/>
        <v>0.0</v>
      </c>
      <c r="G18" s="137">
        <f t="shared" si="5" ref="G18:G22">PRODUCT(B18*D18)</f>
        <v>0.0</v>
      </c>
      <c r="H18" s="137">
        <f t="shared" si="6" ref="H18:H22">SUM(F18:G18)</f>
        <v>0.0</v>
      </c>
    </row>
    <row r="19" spans="8:8">
      <c r="A19" s="138" t="s">
        <v>66</v>
      </c>
      <c r="B19" s="139"/>
      <c r="C19" s="139"/>
      <c r="D19" s="139"/>
      <c r="E19" s="136">
        <f t="shared" si="4"/>
        <v>0.0</v>
      </c>
      <c r="F19" s="137">
        <f t="shared" si="3"/>
        <v>0.0</v>
      </c>
      <c r="G19" s="137">
        <f t="shared" si="5"/>
        <v>0.0</v>
      </c>
      <c r="H19" s="137">
        <f t="shared" si="6"/>
        <v>0.0</v>
      </c>
    </row>
    <row r="20" spans="8:8">
      <c r="A20" s="138" t="s">
        <v>66</v>
      </c>
      <c r="B20" s="139"/>
      <c r="C20" s="139"/>
      <c r="D20" s="139"/>
      <c r="E20" s="136">
        <f t="shared" si="4"/>
        <v>0.0</v>
      </c>
      <c r="F20" s="137">
        <f t="shared" si="3"/>
        <v>0.0</v>
      </c>
      <c r="G20" s="137">
        <f t="shared" si="5"/>
        <v>0.0</v>
      </c>
      <c r="H20" s="137">
        <f t="shared" si="6"/>
        <v>0.0</v>
      </c>
    </row>
    <row r="21" spans="8:8">
      <c r="A21" s="140" t="s">
        <v>55</v>
      </c>
      <c r="B21" s="139"/>
      <c r="C21" s="139"/>
      <c r="D21" s="139"/>
      <c r="E21" s="136">
        <f t="shared" si="4"/>
        <v>0.0</v>
      </c>
      <c r="F21" s="137">
        <f t="shared" si="3"/>
        <v>0.0</v>
      </c>
      <c r="G21" s="137">
        <f t="shared" si="5"/>
        <v>0.0</v>
      </c>
      <c r="H21" s="137">
        <f t="shared" si="6"/>
        <v>0.0</v>
      </c>
    </row>
    <row r="22" spans="8:8">
      <c r="A22" s="140" t="s">
        <v>55</v>
      </c>
      <c r="B22" s="139"/>
      <c r="C22" s="139"/>
      <c r="D22" s="139"/>
      <c r="E22" s="136">
        <f t="shared" si="4"/>
        <v>0.0</v>
      </c>
      <c r="F22" s="137">
        <f t="shared" si="3"/>
        <v>0.0</v>
      </c>
      <c r="G22" s="137">
        <f t="shared" si="5"/>
        <v>0.0</v>
      </c>
      <c r="H22" s="137">
        <f t="shared" si="6"/>
        <v>0.0</v>
      </c>
    </row>
    <row r="23" spans="8:8">
      <c r="A23" s="140" t="s">
        <v>55</v>
      </c>
      <c r="B23" s="141"/>
      <c r="C23" s="141"/>
      <c r="D23" s="141"/>
      <c r="E23" s="136">
        <f>PRODUCT(B23*C23)</f>
        <v>0.0</v>
      </c>
      <c r="F23" s="137">
        <f t="shared" si="1"/>
        <v>0.0</v>
      </c>
      <c r="G23" s="137">
        <f>PRODUCT(B23*D23)</f>
        <v>0.0</v>
      </c>
      <c r="H23" s="137">
        <f>SUM(F23:G23)</f>
        <v>0.0</v>
      </c>
    </row>
    <row r="24" spans="8:8">
      <c r="A24" s="140" t="s">
        <v>55</v>
      </c>
      <c r="B24" s="135"/>
      <c r="C24" s="135"/>
      <c r="D24" s="135"/>
      <c r="E24" s="136">
        <f t="shared" si="7" ref="E24:E28">PRODUCT(B24*C24)</f>
        <v>0.0</v>
      </c>
      <c r="F24" s="137">
        <f t="shared" si="1"/>
        <v>0.0</v>
      </c>
      <c r="G24" s="137">
        <f t="shared" si="8" ref="G24:G28">PRODUCT(B24*D24)</f>
        <v>0.0</v>
      </c>
      <c r="H24" s="137">
        <f t="shared" si="9" ref="H24:H28">SUM(F24:G24)</f>
        <v>0.0</v>
      </c>
    </row>
    <row r="25" spans="8:8">
      <c r="A25" s="140" t="s">
        <v>55</v>
      </c>
      <c r="B25" s="139"/>
      <c r="C25" s="139"/>
      <c r="D25" s="139"/>
      <c r="E25" s="136">
        <f t="shared" si="7"/>
        <v>0.0</v>
      </c>
      <c r="F25" s="137">
        <f>PRODUCT(E25*18)/118</f>
        <v>0.0</v>
      </c>
      <c r="G25" s="137">
        <f t="shared" si="8"/>
        <v>0.0</v>
      </c>
      <c r="H25" s="137">
        <f t="shared" si="9"/>
        <v>0.0</v>
      </c>
    </row>
    <row r="26" spans="8:8">
      <c r="A26" s="140" t="s">
        <v>55</v>
      </c>
      <c r="B26" s="139"/>
      <c r="C26" s="139"/>
      <c r="D26" s="139"/>
      <c r="E26" s="136">
        <f t="shared" si="7"/>
        <v>0.0</v>
      </c>
      <c r="F26" s="137">
        <f t="shared" si="1"/>
        <v>0.0</v>
      </c>
      <c r="G26" s="137">
        <f t="shared" si="8"/>
        <v>0.0</v>
      </c>
      <c r="H26" s="137">
        <f t="shared" si="9"/>
        <v>0.0</v>
      </c>
    </row>
    <row r="27" spans="8:8">
      <c r="A27" s="140" t="s">
        <v>55</v>
      </c>
      <c r="B27" s="139"/>
      <c r="C27" s="139"/>
      <c r="D27" s="139"/>
      <c r="E27" s="136">
        <f t="shared" si="7"/>
        <v>0.0</v>
      </c>
      <c r="F27" s="137">
        <f t="shared" si="1"/>
        <v>0.0</v>
      </c>
      <c r="G27" s="137">
        <f t="shared" si="8"/>
        <v>0.0</v>
      </c>
      <c r="H27" s="137">
        <f t="shared" si="9"/>
        <v>0.0</v>
      </c>
    </row>
    <row r="28" spans="8:8" ht="15.0">
      <c r="A28" s="142" t="s">
        <v>55</v>
      </c>
      <c r="B28" s="143"/>
      <c r="C28" s="143"/>
      <c r="D28" s="143"/>
      <c r="E28" s="144">
        <f t="shared" si="7"/>
        <v>0.0</v>
      </c>
      <c r="F28" s="145">
        <f t="shared" si="1"/>
        <v>0.0</v>
      </c>
      <c r="G28" s="146">
        <f t="shared" si="8"/>
        <v>0.0</v>
      </c>
      <c r="H28" s="146">
        <f t="shared" si="9"/>
        <v>0.0</v>
      </c>
    </row>
    <row r="29" spans="8:8" ht="15.0">
      <c r="A29" s="147" t="s">
        <v>56</v>
      </c>
      <c r="B29" s="148"/>
      <c r="C29" s="148"/>
      <c r="D29" s="148"/>
      <c r="E29" s="149">
        <f>SUM(E6:E28)</f>
        <v>0.0</v>
      </c>
      <c r="F29" s="150">
        <f>SUM(F6:F28)</f>
        <v>0.0</v>
      </c>
      <c r="G29" s="151">
        <f>SUM(G6:G28)</f>
        <v>0.0</v>
      </c>
      <c r="H29" s="152">
        <f>SUM(F29:G29)</f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89">
        <f>SUM(B9:B12)</f>
        <v>0.0</v>
      </c>
      <c r="F41" s="290"/>
      <c r="G41" s="290"/>
      <c r="H41" s="291"/>
    </row>
    <row r="42" spans="8:8" ht="19.0">
      <c r="A42" s="201"/>
      <c r="B42" s="205" t="s">
        <v>48</v>
      </c>
      <c r="C42" s="206"/>
      <c r="D42" s="207"/>
      <c r="E42" s="289">
        <f>SUM(B6:B8)</f>
        <v>0.0</v>
      </c>
      <c r="F42" s="290"/>
      <c r="G42" s="290"/>
      <c r="H42" s="291"/>
    </row>
    <row r="43" spans="8:8" ht="19.0">
      <c r="A43" s="201"/>
      <c r="B43" s="205" t="s">
        <v>64</v>
      </c>
      <c r="C43" s="206"/>
      <c r="D43" s="207"/>
      <c r="E43" s="292">
        <f>SUM(B13:B14)</f>
        <v>0.0</v>
      </c>
      <c r="F43" s="293"/>
      <c r="G43" s="293"/>
      <c r="H43" s="294"/>
    </row>
    <row r="44" spans="8:8" ht="19.0">
      <c r="A44" s="261"/>
      <c r="B44" s="262" t="s">
        <v>65</v>
      </c>
      <c r="C44" s="263"/>
      <c r="D44" s="264"/>
      <c r="E44" s="295">
        <f>SUM(B17:B18)</f>
        <v>0.0</v>
      </c>
      <c r="F44" s="267"/>
      <c r="G44" s="267"/>
      <c r="H44" s="268"/>
    </row>
    <row r="45" spans="8:8" ht="19.0">
      <c r="A45" s="261"/>
      <c r="B45" s="262" t="s">
        <v>66</v>
      </c>
      <c r="C45" s="263"/>
      <c r="D45" s="264"/>
      <c r="E45" s="295">
        <f>SUM(B19:B20)</f>
        <v>0.0</v>
      </c>
      <c r="F45" s="267"/>
      <c r="G45" s="267"/>
      <c r="H45" s="268"/>
    </row>
    <row r="46" spans="8:8" ht="19.0">
      <c r="A46" s="261"/>
      <c r="B46" s="262" t="s">
        <v>58</v>
      </c>
      <c r="C46" s="263"/>
      <c r="D46" s="264"/>
      <c r="E46" s="295">
        <f>B21</f>
        <v>0.0</v>
      </c>
      <c r="F46" s="296"/>
      <c r="G46" s="296"/>
      <c r="H46" s="297"/>
    </row>
    <row r="47" spans="8:8" ht="19.0">
      <c r="A47" s="261"/>
      <c r="B47" s="262" t="s">
        <v>58</v>
      </c>
      <c r="C47" s="263"/>
      <c r="D47" s="264"/>
      <c r="E47" s="295">
        <f t="shared" si="10" ref="E47:E53">B22</f>
        <v>0.0</v>
      </c>
      <c r="F47" s="296"/>
      <c r="G47" s="296"/>
      <c r="H47" s="297"/>
    </row>
    <row r="48" spans="8:8" ht="19.0">
      <c r="A48" s="261"/>
      <c r="B48" s="262" t="s">
        <v>58</v>
      </c>
      <c r="C48" s="263"/>
      <c r="D48" s="264"/>
      <c r="E48" s="295">
        <f t="shared" si="10"/>
        <v>0.0</v>
      </c>
      <c r="F48" s="296"/>
      <c r="G48" s="296"/>
      <c r="H48" s="297"/>
    </row>
    <row r="49" spans="8:8" ht="19.0">
      <c r="A49" s="261"/>
      <c r="B49" s="262" t="s">
        <v>58</v>
      </c>
      <c r="C49" s="263"/>
      <c r="D49" s="264"/>
      <c r="E49" s="295">
        <f t="shared" si="10"/>
        <v>0.0</v>
      </c>
      <c r="F49" s="296"/>
      <c r="G49" s="296"/>
      <c r="H49" s="297"/>
    </row>
    <row r="50" spans="8:8" ht="19.0">
      <c r="A50" s="261"/>
      <c r="B50" s="262" t="s">
        <v>58</v>
      </c>
      <c r="C50" s="263"/>
      <c r="D50" s="264"/>
      <c r="E50" s="295">
        <f t="shared" si="10"/>
        <v>0.0</v>
      </c>
      <c r="F50" s="296"/>
      <c r="G50" s="296"/>
      <c r="H50" s="297"/>
    </row>
    <row r="51" spans="8:8" ht="19.0">
      <c r="A51" s="261"/>
      <c r="B51" s="262" t="s">
        <v>58</v>
      </c>
      <c r="C51" s="263"/>
      <c r="D51" s="264"/>
      <c r="E51" s="295">
        <f t="shared" si="10"/>
        <v>0.0</v>
      </c>
      <c r="F51" s="296"/>
      <c r="G51" s="296"/>
      <c r="H51" s="297"/>
    </row>
    <row r="52" spans="8:8" ht="19.0">
      <c r="B52" s="262" t="s">
        <v>58</v>
      </c>
      <c r="C52" s="263"/>
      <c r="D52" s="264"/>
      <c r="E52" s="295">
        <f t="shared" si="10"/>
        <v>0.0</v>
      </c>
      <c r="F52" s="296"/>
      <c r="G52" s="296"/>
      <c r="H52" s="297"/>
    </row>
    <row r="53" spans="8:8" ht="19.0">
      <c r="B53" s="262" t="s">
        <v>58</v>
      </c>
      <c r="C53" s="263"/>
      <c r="D53" s="264"/>
      <c r="E53" s="295">
        <f t="shared" si="10"/>
        <v>0.0</v>
      </c>
      <c r="F53" s="296"/>
      <c r="G53" s="296"/>
      <c r="H53" s="297"/>
    </row>
    <row r="54" spans="8:8" ht="19.0">
      <c r="B54" s="262" t="s">
        <v>67</v>
      </c>
      <c r="C54" s="263"/>
      <c r="D54" s="264"/>
      <c r="E54" s="266">
        <f>SUM(E41:H53)</f>
        <v>0.0</v>
      </c>
      <c r="F54" s="267"/>
      <c r="G54" s="267"/>
      <c r="H54" s="268"/>
    </row>
    <row r="55" spans="8:8" ht="19.0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1:H2"/>
    <mergeCell ref="C10:D10"/>
    <mergeCell ref="C9:D9"/>
    <mergeCell ref="C8:D8"/>
    <mergeCell ref="C7:D7"/>
    <mergeCell ref="C6:D6"/>
    <mergeCell ref="C5:D5"/>
    <mergeCell ref="C11:D11"/>
    <mergeCell ref="E45:H45"/>
    <mergeCell ref="E33:F33"/>
    <mergeCell ref="B41:D41"/>
    <mergeCell ref="E50:H50"/>
    <mergeCell ref="E54:H54"/>
    <mergeCell ref="E55:H55"/>
    <mergeCell ref="C14:D14"/>
    <mergeCell ref="A3:H4"/>
    <mergeCell ref="C12:D12"/>
    <mergeCell ref="C13:D13"/>
    <mergeCell ref="A15:H15"/>
    <mergeCell ref="E41:H41"/>
    <mergeCell ref="B52:D52"/>
    <mergeCell ref="E53:H53"/>
    <mergeCell ref="B53:D53"/>
    <mergeCell ref="E49:H49"/>
    <mergeCell ref="B46:D46"/>
    <mergeCell ref="E52:H52"/>
    <mergeCell ref="E51:H51"/>
    <mergeCell ref="B51:D51"/>
    <mergeCell ref="E30:F30"/>
    <mergeCell ref="B44:D44"/>
    <mergeCell ref="A32:B32"/>
    <mergeCell ref="E37:F37"/>
    <mergeCell ref="B48:D48"/>
    <mergeCell ref="B49:D49"/>
    <mergeCell ref="A34:B34"/>
    <mergeCell ref="E47:H47"/>
    <mergeCell ref="A33:B33"/>
    <mergeCell ref="E36:F36"/>
    <mergeCell ref="A37:B37"/>
    <mergeCell ref="E35:F35"/>
    <mergeCell ref="A36:B36"/>
    <mergeCell ref="A35:B35"/>
    <mergeCell ref="E34:F34"/>
    <mergeCell ref="A38:H39"/>
    <mergeCell ref="B42:D42"/>
    <mergeCell ref="E31:F31"/>
    <mergeCell ref="A30:B30"/>
    <mergeCell ref="B45:D45"/>
    <mergeCell ref="E32:F32"/>
    <mergeCell ref="A31:B31"/>
    <mergeCell ref="B43:D43"/>
    <mergeCell ref="B40:D40"/>
    <mergeCell ref="B50:D50"/>
    <mergeCell ref="B54:D54"/>
    <mergeCell ref="B55:D55"/>
    <mergeCell ref="E40:H40"/>
    <mergeCell ref="E46:H46"/>
    <mergeCell ref="E48:H48"/>
    <mergeCell ref="E44:H44"/>
    <mergeCell ref="E43:H43"/>
    <mergeCell ref="E42:H42"/>
    <mergeCell ref="B47:D47"/>
  </mergeCells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I55"/>
  <sheetViews>
    <sheetView workbookViewId="0" topLeftCell="A25">
      <selection activeCell="C25" sqref="C25"/>
    </sheetView>
  </sheetViews>
  <sheetFormatPr defaultRowHeight="14.5" defaultColWidth="10"/>
  <cols>
    <col min="1" max="1" customWidth="1" width="22.816406" style="89"/>
    <col min="2" max="2" customWidth="1" width="16.089844" style="89"/>
    <col min="3" max="3" customWidth="1" width="23.816406" style="89"/>
    <col min="4" max="4" customWidth="1" width="18.269531" style="89"/>
    <col min="5" max="5" customWidth="1" width="16.90625" style="89"/>
    <col min="6" max="6" customWidth="1" width="20.542969" style="89"/>
    <col min="7" max="7" customWidth="1" width="18.90625" style="89"/>
    <col min="8" max="8" customWidth="1" width="24.632812" style="89"/>
    <col min="9" max="16384" customWidth="0" width="8.7265625" style="89"/>
  </cols>
  <sheetData>
    <row r="1" spans="8:8">
      <c r="A1" s="90" t="s">
        <v>57</v>
      </c>
      <c r="B1" s="91"/>
      <c r="C1" s="91"/>
      <c r="D1" s="91"/>
      <c r="E1" s="91"/>
      <c r="F1" s="91"/>
      <c r="G1" s="91"/>
      <c r="H1" s="92"/>
    </row>
    <row r="2" spans="8:8" ht="15.0">
      <c r="A2" s="93"/>
      <c r="B2" s="94"/>
      <c r="C2" s="94"/>
      <c r="D2" s="94"/>
      <c r="E2" s="94"/>
      <c r="F2" s="94"/>
      <c r="G2" s="94"/>
      <c r="H2" s="95"/>
    </row>
    <row r="3" spans="8:8">
      <c r="A3" s="96" t="s">
        <v>39</v>
      </c>
      <c r="B3" s="97"/>
      <c r="C3" s="97"/>
      <c r="D3" s="97"/>
      <c r="E3" s="97"/>
      <c r="F3" s="97"/>
      <c r="G3" s="97"/>
      <c r="H3" s="98"/>
    </row>
    <row r="4" spans="8:8" ht="15.0">
      <c r="A4" s="99"/>
      <c r="B4" s="100"/>
      <c r="C4" s="100"/>
      <c r="D4" s="100"/>
      <c r="E4" s="100"/>
      <c r="F4" s="100"/>
      <c r="G4" s="100"/>
      <c r="H4" s="101"/>
    </row>
    <row r="5" spans="8:8" ht="15.0">
      <c r="A5" s="102" t="s">
        <v>40</v>
      </c>
      <c r="B5" s="103" t="s">
        <v>41</v>
      </c>
      <c r="C5" s="104" t="s">
        <v>42</v>
      </c>
      <c r="D5" s="105"/>
      <c r="E5" s="103" t="s">
        <v>43</v>
      </c>
      <c r="F5" s="106" t="s">
        <v>44</v>
      </c>
      <c r="G5" s="103" t="s">
        <v>45</v>
      </c>
      <c r="H5" s="107" t="s">
        <v>8</v>
      </c>
    </row>
    <row r="6" spans="8:8">
      <c r="A6" s="108" t="s">
        <v>46</v>
      </c>
      <c r="B6" s="109"/>
      <c r="C6" s="110"/>
      <c r="D6" s="111"/>
      <c r="E6" s="112">
        <v>0.0</v>
      </c>
      <c r="F6" s="112">
        <v>0.0</v>
      </c>
      <c r="G6" s="112">
        <v>0.0</v>
      </c>
      <c r="H6" s="113">
        <v>0.0</v>
      </c>
    </row>
    <row r="7" spans="8:8">
      <c r="A7" s="108" t="s">
        <v>47</v>
      </c>
      <c r="B7" s="109"/>
      <c r="C7" s="110"/>
      <c r="D7" s="111"/>
      <c r="E7" s="112">
        <v>0.0</v>
      </c>
      <c r="F7" s="112">
        <v>0.0</v>
      </c>
      <c r="G7" s="112">
        <v>0.0</v>
      </c>
      <c r="H7" s="113">
        <v>0.0</v>
      </c>
    </row>
    <row r="8" spans="8:8">
      <c r="A8" s="114" t="s">
        <v>48</v>
      </c>
      <c r="B8" s="115"/>
      <c r="C8" s="116"/>
      <c r="D8" s="117"/>
      <c r="E8" s="118">
        <v>0.0</v>
      </c>
      <c r="F8" s="118">
        <v>0.0</v>
      </c>
      <c r="G8" s="118">
        <v>0.0</v>
      </c>
      <c r="H8" s="119">
        <v>0.0</v>
      </c>
    </row>
    <row r="9" spans="8:8">
      <c r="A9" s="114" t="s">
        <v>49</v>
      </c>
      <c r="B9" s="115"/>
      <c r="C9" s="116"/>
      <c r="D9" s="117"/>
      <c r="E9" s="118">
        <v>0.0</v>
      </c>
      <c r="F9" s="118">
        <v>0.0</v>
      </c>
      <c r="G9" s="118">
        <v>0.0</v>
      </c>
      <c r="H9" s="119">
        <v>0.0</v>
      </c>
    </row>
    <row r="10" spans="8:8">
      <c r="A10" s="114" t="s">
        <v>50</v>
      </c>
      <c r="B10" s="115"/>
      <c r="C10" s="120"/>
      <c r="D10" s="117"/>
      <c r="E10" s="118">
        <v>0.0</v>
      </c>
      <c r="F10" s="118">
        <v>0.0</v>
      </c>
      <c r="G10" s="118">
        <v>0.0</v>
      </c>
      <c r="H10" s="119">
        <v>0.0</v>
      </c>
    </row>
    <row r="11" spans="8:8">
      <c r="A11" s="121" t="s">
        <v>68</v>
      </c>
      <c r="B11" s="115"/>
      <c r="C11" s="116"/>
      <c r="D11" s="117"/>
      <c r="E11" s="118">
        <v>0.0</v>
      </c>
      <c r="F11" s="118">
        <v>0.0</v>
      </c>
      <c r="G11" s="118">
        <v>0.0</v>
      </c>
      <c r="H11" s="119">
        <v>0.0</v>
      </c>
    </row>
    <row r="12" spans="8:8">
      <c r="A12" s="121" t="s">
        <v>68</v>
      </c>
      <c r="B12" s="115"/>
      <c r="C12" s="116"/>
      <c r="D12" s="117"/>
      <c r="E12" s="118">
        <v>0.0</v>
      </c>
      <c r="F12" s="118">
        <v>0.0</v>
      </c>
      <c r="G12" s="118">
        <v>0.0</v>
      </c>
      <c r="H12" s="119">
        <v>0.0</v>
      </c>
    </row>
    <row r="13" spans="8:8">
      <c r="A13" s="121" t="s">
        <v>62</v>
      </c>
      <c r="B13" s="115"/>
      <c r="C13" s="116"/>
      <c r="D13" s="117"/>
      <c r="E13" s="118">
        <v>0.0</v>
      </c>
      <c r="F13" s="118">
        <v>0.0</v>
      </c>
      <c r="G13" s="118">
        <v>0.0</v>
      </c>
      <c r="H13" s="119">
        <v>0.0</v>
      </c>
    </row>
    <row r="14" spans="8:8" ht="15.0">
      <c r="A14" s="122" t="s">
        <v>62</v>
      </c>
      <c r="B14" s="115"/>
      <c r="C14" s="116"/>
      <c r="D14" s="117"/>
      <c r="E14" s="118">
        <v>0.0</v>
      </c>
      <c r="F14" s="118">
        <v>0.0</v>
      </c>
      <c r="G14" s="118">
        <v>0.0</v>
      </c>
      <c r="H14" s="119">
        <v>0.0</v>
      </c>
    </row>
    <row r="15" spans="8:8" ht="26.5">
      <c r="A15" s="123" t="s">
        <v>51</v>
      </c>
      <c r="B15" s="124"/>
      <c r="C15" s="124"/>
      <c r="D15" s="124"/>
      <c r="E15" s="124"/>
      <c r="F15" s="124"/>
      <c r="G15" s="124"/>
      <c r="H15" s="125"/>
    </row>
    <row r="16" spans="8:8" ht="15.0">
      <c r="A16" s="126" t="s">
        <v>40</v>
      </c>
      <c r="B16" s="127" t="s">
        <v>41</v>
      </c>
      <c r="C16" s="127" t="s">
        <v>52</v>
      </c>
      <c r="D16" s="127" t="s">
        <v>45</v>
      </c>
      <c r="E16" s="128" t="s">
        <v>43</v>
      </c>
      <c r="F16" s="128" t="s">
        <v>53</v>
      </c>
      <c r="G16" s="128" t="s">
        <v>45</v>
      </c>
      <c r="H16" s="129" t="s">
        <v>54</v>
      </c>
    </row>
    <row r="17" spans="8:8">
      <c r="A17" s="130" t="s">
        <v>65</v>
      </c>
      <c r="B17" s="131"/>
      <c r="C17" s="131"/>
      <c r="D17" s="131"/>
      <c r="E17" s="132">
        <v>0.0</v>
      </c>
      <c r="F17" s="133">
        <v>0.0</v>
      </c>
      <c r="G17" s="133">
        <v>0.0</v>
      </c>
      <c r="H17" s="133">
        <v>0.0</v>
      </c>
    </row>
    <row r="18" spans="8:8">
      <c r="A18" s="134" t="s">
        <v>65</v>
      </c>
      <c r="B18" s="135"/>
      <c r="C18" s="135"/>
      <c r="D18" s="135"/>
      <c r="E18" s="136">
        <v>0.0</v>
      </c>
      <c r="F18" s="137">
        <v>0.0</v>
      </c>
      <c r="G18" s="137">
        <v>0.0</v>
      </c>
      <c r="H18" s="137">
        <v>0.0</v>
      </c>
    </row>
    <row r="19" spans="8:8">
      <c r="A19" s="138" t="s">
        <v>66</v>
      </c>
      <c r="B19" s="139"/>
      <c r="C19" s="139"/>
      <c r="D19" s="139"/>
      <c r="E19" s="136">
        <v>0.0</v>
      </c>
      <c r="F19" s="137">
        <v>0.0</v>
      </c>
      <c r="G19" s="137">
        <v>0.0</v>
      </c>
      <c r="H19" s="137">
        <v>0.0</v>
      </c>
    </row>
    <row r="20" spans="8:8">
      <c r="A20" s="138" t="s">
        <v>66</v>
      </c>
      <c r="B20" s="139"/>
      <c r="C20" s="139"/>
      <c r="D20" s="139"/>
      <c r="E20" s="136">
        <v>0.0</v>
      </c>
      <c r="F20" s="137">
        <v>0.0</v>
      </c>
      <c r="G20" s="137">
        <v>0.0</v>
      </c>
      <c r="H20" s="137">
        <v>0.0</v>
      </c>
    </row>
    <row r="21" spans="8:8">
      <c r="A21" s="140" t="s">
        <v>55</v>
      </c>
      <c r="B21" s="139"/>
      <c r="C21" s="139"/>
      <c r="D21" s="139"/>
      <c r="E21" s="136">
        <v>0.0</v>
      </c>
      <c r="F21" s="137">
        <v>0.0</v>
      </c>
      <c r="G21" s="137">
        <v>0.0</v>
      </c>
      <c r="H21" s="137">
        <v>0.0</v>
      </c>
    </row>
    <row r="22" spans="8:8">
      <c r="A22" s="140" t="s">
        <v>55</v>
      </c>
      <c r="B22" s="139"/>
      <c r="C22" s="139"/>
      <c r="D22" s="139"/>
      <c r="E22" s="136">
        <v>0.0</v>
      </c>
      <c r="F22" s="137">
        <v>0.0</v>
      </c>
      <c r="G22" s="137">
        <v>0.0</v>
      </c>
      <c r="H22" s="137">
        <v>0.0</v>
      </c>
    </row>
    <row r="23" spans="8:8">
      <c r="A23" s="140" t="s">
        <v>55</v>
      </c>
      <c r="B23" s="141"/>
      <c r="C23" s="141"/>
      <c r="D23" s="141"/>
      <c r="E23" s="136">
        <v>0.0</v>
      </c>
      <c r="F23" s="137">
        <v>0.0</v>
      </c>
      <c r="G23" s="137">
        <v>0.0</v>
      </c>
      <c r="H23" s="137">
        <v>0.0</v>
      </c>
    </row>
    <row r="24" spans="8:8">
      <c r="A24" s="140" t="s">
        <v>55</v>
      </c>
      <c r="B24" s="135"/>
      <c r="C24" s="135"/>
      <c r="D24" s="135"/>
      <c r="E24" s="136">
        <v>0.0</v>
      </c>
      <c r="F24" s="137">
        <v>0.0</v>
      </c>
      <c r="G24" s="137">
        <v>0.0</v>
      </c>
      <c r="H24" s="137">
        <v>0.0</v>
      </c>
    </row>
    <row r="25" spans="8:8">
      <c r="A25" s="140" t="s">
        <v>55</v>
      </c>
      <c r="B25" s="139"/>
      <c r="C25" s="139"/>
      <c r="D25" s="139"/>
      <c r="E25" s="136">
        <v>0.0</v>
      </c>
      <c r="F25" s="137">
        <v>0.0</v>
      </c>
      <c r="G25" s="137">
        <v>0.0</v>
      </c>
      <c r="H25" s="137">
        <v>0.0</v>
      </c>
    </row>
    <row r="26" spans="8:8">
      <c r="A26" s="140" t="s">
        <v>55</v>
      </c>
      <c r="B26" s="139"/>
      <c r="C26" s="139"/>
      <c r="D26" s="139"/>
      <c r="E26" s="136">
        <v>0.0</v>
      </c>
      <c r="F26" s="137">
        <v>0.0</v>
      </c>
      <c r="G26" s="137">
        <v>0.0</v>
      </c>
      <c r="H26" s="137">
        <v>0.0</v>
      </c>
    </row>
    <row r="27" spans="8:8">
      <c r="A27" s="140" t="s">
        <v>55</v>
      </c>
      <c r="B27" s="139"/>
      <c r="C27" s="139"/>
      <c r="D27" s="139"/>
      <c r="E27" s="136">
        <v>0.0</v>
      </c>
      <c r="F27" s="137">
        <v>0.0</v>
      </c>
      <c r="G27" s="137">
        <v>0.0</v>
      </c>
      <c r="H27" s="137">
        <v>0.0</v>
      </c>
    </row>
    <row r="28" spans="8:8" ht="15.0">
      <c r="A28" s="142" t="s">
        <v>55</v>
      </c>
      <c r="B28" s="143"/>
      <c r="C28" s="143"/>
      <c r="D28" s="143"/>
      <c r="E28" s="144">
        <v>0.0</v>
      </c>
      <c r="F28" s="145">
        <v>0.0</v>
      </c>
      <c r="G28" s="146">
        <v>0.0</v>
      </c>
      <c r="H28" s="146">
        <v>0.0</v>
      </c>
    </row>
    <row r="29" spans="8:8" ht="15.0">
      <c r="A29" s="147" t="s">
        <v>56</v>
      </c>
      <c r="B29" s="148"/>
      <c r="C29" s="148"/>
      <c r="D29" s="148"/>
      <c r="E29" s="149">
        <v>0.0</v>
      </c>
      <c r="F29" s="150">
        <v>0.0</v>
      </c>
      <c r="G29" s="151">
        <v>0.0</v>
      </c>
      <c r="H29" s="152">
        <v>0.0</v>
      </c>
    </row>
    <row r="30" spans="8:8" ht="15.0">
      <c r="A30" s="153" t="s">
        <v>81</v>
      </c>
      <c r="B30" s="154"/>
      <c r="C30" s="155" t="s">
        <v>75</v>
      </c>
      <c r="D30" s="156"/>
      <c r="E30" s="157" t="s">
        <v>73</v>
      </c>
      <c r="F30" s="158"/>
      <c r="G30" s="159" t="s">
        <v>74</v>
      </c>
      <c r="H30" s="160" t="s">
        <v>75</v>
      </c>
    </row>
    <row r="31" spans="8:8" ht="15.0">
      <c r="A31" s="161" t="s">
        <v>71</v>
      </c>
      <c r="B31" s="162"/>
      <c r="C31" s="163"/>
      <c r="D31" s="164"/>
      <c r="E31" s="165"/>
      <c r="F31" s="165"/>
      <c r="G31" s="166"/>
      <c r="H31" s="167"/>
    </row>
    <row r="32" spans="8:8" ht="15.0">
      <c r="A32" s="168" t="s">
        <v>72</v>
      </c>
      <c r="B32" s="169"/>
      <c r="C32" s="170"/>
      <c r="D32" s="171"/>
      <c r="E32" s="172"/>
      <c r="F32" s="172"/>
      <c r="G32" s="173"/>
      <c r="H32" s="174"/>
    </row>
    <row r="33" spans="8:8" ht="15.0">
      <c r="A33" s="168" t="s">
        <v>76</v>
      </c>
      <c r="B33" s="169"/>
      <c r="C33" s="175"/>
      <c r="D33" s="164"/>
      <c r="E33" s="176"/>
      <c r="F33" s="176"/>
      <c r="G33" s="173"/>
      <c r="H33" s="174"/>
    </row>
    <row r="34" spans="8:8" ht="15.0">
      <c r="A34" s="177" t="s">
        <v>77</v>
      </c>
      <c r="B34" s="178"/>
      <c r="C34" s="179"/>
      <c r="D34" s="180"/>
      <c r="E34" s="181"/>
      <c r="F34" s="176"/>
      <c r="G34" s="115"/>
      <c r="H34" s="174"/>
    </row>
    <row r="35" spans="8:8" ht="15.0">
      <c r="A35" s="182" t="s">
        <v>78</v>
      </c>
      <c r="B35" s="183"/>
      <c r="C35" s="184"/>
      <c r="D35" s="180"/>
      <c r="E35" s="185"/>
      <c r="F35" s="186"/>
      <c r="G35" s="115"/>
      <c r="H35" s="174"/>
    </row>
    <row r="36" spans="8:8" ht="15.0">
      <c r="A36" s="182" t="s">
        <v>79</v>
      </c>
      <c r="B36" s="183"/>
      <c r="C36" s="187"/>
      <c r="D36" s="188"/>
      <c r="E36" s="185"/>
      <c r="F36" s="186"/>
      <c r="G36" s="115"/>
      <c r="H36" s="174"/>
    </row>
    <row r="37" spans="8:8" ht="15.0">
      <c r="A37" s="182" t="s">
        <v>80</v>
      </c>
      <c r="B37" s="183"/>
      <c r="C37" s="189">
        <v>0.0</v>
      </c>
      <c r="D37" s="190"/>
      <c r="E37" s="191"/>
      <c r="F37" s="192"/>
      <c r="G37" s="193"/>
      <c r="H37" s="194"/>
    </row>
    <row r="38" spans="8:8" ht="14.5" customHeight="1">
      <c r="A38" s="195" t="s">
        <v>59</v>
      </c>
      <c r="B38" s="196"/>
      <c r="C38" s="196"/>
      <c r="D38" s="196"/>
      <c r="E38" s="196"/>
      <c r="F38" s="196"/>
      <c r="G38" s="196"/>
      <c r="H38" s="197"/>
    </row>
    <row r="39" spans="8:8" ht="15.0" customHeight="1">
      <c r="A39" s="198"/>
      <c r="B39" s="199"/>
      <c r="C39" s="199"/>
      <c r="D39" s="199"/>
      <c r="E39" s="199"/>
      <c r="F39" s="199"/>
      <c r="G39" s="199"/>
      <c r="H39" s="200"/>
    </row>
    <row r="40" spans="8:8" ht="24.0">
      <c r="A40" s="201"/>
      <c r="B40" s="202" t="s">
        <v>60</v>
      </c>
      <c r="C40" s="203"/>
      <c r="D40" s="204"/>
      <c r="E40" s="202" t="s">
        <v>61</v>
      </c>
      <c r="F40" s="203"/>
      <c r="G40" s="203"/>
      <c r="H40" s="204"/>
    </row>
    <row r="41" spans="8:8" ht="19.0">
      <c r="A41" s="201"/>
      <c r="B41" s="205" t="s">
        <v>63</v>
      </c>
      <c r="C41" s="206"/>
      <c r="D41" s="207"/>
      <c r="E41" s="208">
        <f>SUM(B9:B12)</f>
        <v>0.0</v>
      </c>
      <c r="F41" s="209"/>
      <c r="G41" s="209"/>
      <c r="H41" s="210"/>
    </row>
    <row r="42" spans="8:8" ht="19.0">
      <c r="A42" s="201"/>
      <c r="B42" s="205" t="s">
        <v>48</v>
      </c>
      <c r="C42" s="206"/>
      <c r="D42" s="207"/>
      <c r="E42" s="208">
        <f>SUM(B6:B8)</f>
        <v>0.0</v>
      </c>
      <c r="F42" s="209"/>
      <c r="G42" s="209"/>
      <c r="H42" s="210"/>
    </row>
    <row r="43" spans="8:8" ht="19.0">
      <c r="A43" s="201"/>
      <c r="B43" s="205" t="s">
        <v>64</v>
      </c>
      <c r="C43" s="206"/>
      <c r="D43" s="207"/>
      <c r="E43" s="211">
        <f>SUM(B13:B14)</f>
        <v>0.0</v>
      </c>
      <c r="F43" s="212"/>
      <c r="G43" s="212"/>
      <c r="H43" s="213"/>
    </row>
    <row r="44" spans="8:8" ht="19.0">
      <c r="A44" s="214"/>
      <c r="B44" s="215" t="s">
        <v>65</v>
      </c>
      <c r="C44" s="216"/>
      <c r="D44" s="217"/>
      <c r="E44" s="218">
        <f>SUM(B17:B18)</f>
        <v>0.0</v>
      </c>
      <c r="F44" s="219"/>
      <c r="G44" s="219"/>
      <c r="H44" s="220"/>
    </row>
    <row r="45" spans="8:8" ht="19.0">
      <c r="A45" s="214"/>
      <c r="B45" s="215" t="s">
        <v>66</v>
      </c>
      <c r="C45" s="216"/>
      <c r="D45" s="217"/>
      <c r="E45" s="218">
        <f>SUM(B19:B20)</f>
        <v>0.0</v>
      </c>
      <c r="F45" s="219"/>
      <c r="G45" s="219"/>
      <c r="H45" s="220"/>
    </row>
    <row r="46" spans="8:8" ht="19.0">
      <c r="A46" s="214"/>
      <c r="B46" s="215" t="s">
        <v>58</v>
      </c>
      <c r="C46" s="216"/>
      <c r="D46" s="217"/>
      <c r="E46" s="218">
        <f>B21</f>
        <v>0.0</v>
      </c>
      <c r="F46" s="221"/>
      <c r="G46" s="221"/>
      <c r="H46" s="222"/>
    </row>
    <row r="47" spans="8:8" ht="19.0">
      <c r="A47" s="214"/>
      <c r="B47" s="215" t="s">
        <v>58</v>
      </c>
      <c r="C47" s="216"/>
      <c r="D47" s="217"/>
      <c r="E47" s="218">
        <f t="shared" si="0" ref="E47:E53">B22</f>
        <v>0.0</v>
      </c>
      <c r="F47" s="221"/>
      <c r="G47" s="221"/>
      <c r="H47" s="222"/>
    </row>
    <row r="48" spans="8:8" ht="19.0">
      <c r="A48" s="214"/>
      <c r="B48" s="215" t="s">
        <v>58</v>
      </c>
      <c r="C48" s="216"/>
      <c r="D48" s="217"/>
      <c r="E48" s="218">
        <f t="shared" si="0"/>
        <v>0.0</v>
      </c>
      <c r="F48" s="221"/>
      <c r="G48" s="221"/>
      <c r="H48" s="222"/>
    </row>
    <row r="49" spans="8:8" ht="19.0">
      <c r="A49" s="214"/>
      <c r="B49" s="215" t="s">
        <v>58</v>
      </c>
      <c r="C49" s="216"/>
      <c r="D49" s="217"/>
      <c r="E49" s="218">
        <f t="shared" si="0"/>
        <v>0.0</v>
      </c>
      <c r="F49" s="221"/>
      <c r="G49" s="221"/>
      <c r="H49" s="222"/>
    </row>
    <row r="50" spans="8:8" ht="19.0">
      <c r="A50" s="214"/>
      <c r="B50" s="215" t="s">
        <v>58</v>
      </c>
      <c r="C50" s="216"/>
      <c r="D50" s="217"/>
      <c r="E50" s="218">
        <f t="shared" si="0"/>
        <v>0.0</v>
      </c>
      <c r="F50" s="221"/>
      <c r="G50" s="221"/>
      <c r="H50" s="222"/>
    </row>
    <row r="51" spans="8:8" ht="19.0">
      <c r="A51" s="214"/>
      <c r="B51" s="215" t="s">
        <v>58</v>
      </c>
      <c r="C51" s="216"/>
      <c r="D51" s="217"/>
      <c r="E51" s="218">
        <f t="shared" si="0"/>
        <v>0.0</v>
      </c>
      <c r="F51" s="221"/>
      <c r="G51" s="221"/>
      <c r="H51" s="222"/>
    </row>
    <row r="52" spans="8:8" ht="19.0">
      <c r="B52" s="215" t="s">
        <v>58</v>
      </c>
      <c r="C52" s="216"/>
      <c r="D52" s="217"/>
      <c r="E52" s="218">
        <f t="shared" si="0"/>
        <v>0.0</v>
      </c>
      <c r="F52" s="221"/>
      <c r="G52" s="221"/>
      <c r="H52" s="222"/>
    </row>
    <row r="53" spans="8:8" ht="19.0">
      <c r="B53" s="215" t="s">
        <v>58</v>
      </c>
      <c r="C53" s="216"/>
      <c r="D53" s="217"/>
      <c r="E53" s="218">
        <f t="shared" si="0"/>
        <v>0.0</v>
      </c>
      <c r="F53" s="221"/>
      <c r="G53" s="221"/>
      <c r="H53" s="222"/>
    </row>
    <row r="54" spans="8:8" ht="21.5">
      <c r="B54" s="215" t="s">
        <v>67</v>
      </c>
      <c r="C54" s="216"/>
      <c r="D54" s="217"/>
      <c r="E54" s="223">
        <f>SUM(E41:H53)</f>
        <v>0.0</v>
      </c>
      <c r="F54" s="224"/>
      <c r="G54" s="224"/>
      <c r="H54" s="225"/>
    </row>
    <row r="55" spans="8:8" ht="19.0">
      <c r="B55" s="215"/>
      <c r="C55" s="216"/>
      <c r="D55" s="217"/>
      <c r="E55" s="226"/>
      <c r="F55" s="227"/>
      <c r="G55" s="227"/>
      <c r="H55" s="228"/>
    </row>
  </sheetData>
  <sheetProtection password="c8cd" sheet="1" objects="1" scenarios="1" formatCells="0"/>
  <mergeCells count="62">
    <mergeCell ref="B54:D54"/>
    <mergeCell ref="E48:H48"/>
    <mergeCell ref="B45:D45"/>
    <mergeCell ref="E46:H46"/>
    <mergeCell ref="C8:D8"/>
    <mergeCell ref="B40:D40"/>
    <mergeCell ref="C9:D9"/>
    <mergeCell ref="E30:F30"/>
    <mergeCell ref="B42:D42"/>
    <mergeCell ref="A30:B30"/>
    <mergeCell ref="E50:H50"/>
    <mergeCell ref="A3:H4"/>
    <mergeCell ref="B55:D55"/>
    <mergeCell ref="E45:H45"/>
    <mergeCell ref="E54:H54"/>
    <mergeCell ref="B47:D47"/>
    <mergeCell ref="B49:D49"/>
    <mergeCell ref="E55:H55"/>
    <mergeCell ref="E34:F34"/>
    <mergeCell ref="E36:F36"/>
    <mergeCell ref="B48:D48"/>
    <mergeCell ref="E49:H49"/>
    <mergeCell ref="A15:H15"/>
    <mergeCell ref="A1:H2"/>
    <mergeCell ref="E53:H53"/>
    <mergeCell ref="E37:F37"/>
    <mergeCell ref="B44:D44"/>
    <mergeCell ref="C14:D14"/>
    <mergeCell ref="A36:B36"/>
    <mergeCell ref="E47:H47"/>
    <mergeCell ref="B53:D53"/>
    <mergeCell ref="E35:F35"/>
    <mergeCell ref="A38:H39"/>
    <mergeCell ref="A35:B35"/>
    <mergeCell ref="C5:D5"/>
    <mergeCell ref="E44:H44"/>
    <mergeCell ref="B51:D51"/>
    <mergeCell ref="C7:D7"/>
    <mergeCell ref="E40:H40"/>
    <mergeCell ref="B52:D52"/>
    <mergeCell ref="C10:D10"/>
    <mergeCell ref="E51:H51"/>
    <mergeCell ref="A32:B32"/>
    <mergeCell ref="E42:H42"/>
    <mergeCell ref="B46:D46"/>
    <mergeCell ref="C12:D12"/>
    <mergeCell ref="C13:D13"/>
    <mergeCell ref="E52:H52"/>
    <mergeCell ref="E31:F31"/>
    <mergeCell ref="B41:D41"/>
    <mergeCell ref="E33:F33"/>
    <mergeCell ref="E32:F32"/>
    <mergeCell ref="E41:H41"/>
    <mergeCell ref="C6:D6"/>
    <mergeCell ref="A31:B31"/>
    <mergeCell ref="E43:H43"/>
    <mergeCell ref="B50:D50"/>
    <mergeCell ref="B43:D43"/>
    <mergeCell ref="A37:B37"/>
    <mergeCell ref="A33:B33"/>
    <mergeCell ref="A34:B34"/>
    <mergeCell ref="C11:D11"/>
  </mergeCells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7"/>
  <sheetViews>
    <sheetView workbookViewId="0">
      <selection activeCell="D5" sqref="D5:G5"/>
    </sheetView>
  </sheetViews>
  <sheetFormatPr defaultRowHeight="14.5" defaultColWidth="10"/>
  <cols>
    <col min="3" max="3" customWidth="1" width="53.0" style="0"/>
    <col min="7" max="7" customWidth="1" width="47.632812" style="0"/>
  </cols>
  <sheetData>
    <row r="1" spans="8:8">
      <c r="A1" s="195" t="s">
        <v>59</v>
      </c>
      <c r="B1" s="196"/>
      <c r="C1" s="196"/>
      <c r="D1" s="196"/>
      <c r="E1" s="196"/>
      <c r="F1" s="196"/>
      <c r="G1" s="197"/>
    </row>
    <row r="2" spans="8:8" ht="15.0">
      <c r="A2" s="198"/>
      <c r="B2" s="199"/>
      <c r="C2" s="199"/>
      <c r="D2" s="199"/>
      <c r="E2" s="199"/>
      <c r="F2" s="199"/>
      <c r="G2" s="200"/>
    </row>
    <row r="3" spans="8:8" ht="28.5">
      <c r="A3" s="298" t="s">
        <v>60</v>
      </c>
      <c r="B3" s="299"/>
      <c r="C3" s="300"/>
      <c r="D3" s="298" t="s">
        <v>61</v>
      </c>
      <c r="E3" s="299"/>
      <c r="F3" s="299"/>
      <c r="G3" s="300"/>
    </row>
    <row r="4" spans="8:8" ht="41.5" customHeight="1">
      <c r="A4" s="301" t="s">
        <v>63</v>
      </c>
      <c r="B4" s="302"/>
      <c r="C4" s="303"/>
      <c r="D4" s="304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33235.0</v>
      </c>
      <c r="E4" s="305"/>
      <c r="F4" s="305"/>
      <c r="G4" s="306"/>
    </row>
    <row r="5" spans="8:8" ht="37.0" customHeight="1">
      <c r="A5" s="301" t="s">
        <v>48</v>
      </c>
      <c r="B5" s="302"/>
      <c r="C5" s="303"/>
      <c r="D5" s="304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305"/>
      <c r="F5" s="305"/>
      <c r="G5" s="306"/>
    </row>
    <row r="6" spans="8:8" ht="40.0" customHeight="1">
      <c r="A6" s="301" t="s">
        <v>62</v>
      </c>
      <c r="B6" s="302"/>
      <c r="C6" s="303"/>
      <c r="D6" s="304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4532.0</v>
      </c>
      <c r="E6" s="305"/>
      <c r="F6" s="305"/>
      <c r="G6" s="306"/>
    </row>
    <row r="7" spans="8:8" ht="38.5" customHeight="1">
      <c r="A7" s="307" t="s">
        <v>65</v>
      </c>
      <c r="B7" s="308"/>
      <c r="C7" s="309"/>
      <c r="D7" s="304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305"/>
      <c r="F7" s="305"/>
      <c r="G7" s="306"/>
    </row>
    <row r="8" spans="8:8" ht="40.0" customHeight="1">
      <c r="A8" s="307" t="s">
        <v>66</v>
      </c>
      <c r="B8" s="308"/>
      <c r="C8" s="309"/>
      <c r="D8" s="304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305"/>
      <c r="F8" s="305"/>
      <c r="G8" s="306"/>
    </row>
    <row r="9" spans="8:8" ht="38.5" customHeight="1">
      <c r="A9" s="307" t="s">
        <v>58</v>
      </c>
      <c r="B9" s="308"/>
      <c r="C9" s="309"/>
      <c r="D9" s="304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305"/>
      <c r="F9" s="305"/>
      <c r="G9" s="306"/>
    </row>
    <row r="10" spans="8:8" ht="38.0" customHeight="1">
      <c r="A10" s="307" t="s">
        <v>58</v>
      </c>
      <c r="B10" s="308"/>
      <c r="C10" s="309"/>
      <c r="D10" s="304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305"/>
      <c r="F10" s="305"/>
      <c r="G10" s="306"/>
    </row>
    <row r="11" spans="8:8" ht="38.5" customHeight="1">
      <c r="A11" s="307" t="s">
        <v>58</v>
      </c>
      <c r="B11" s="308"/>
      <c r="C11" s="309"/>
      <c r="D11" s="304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305"/>
      <c r="F11" s="305"/>
      <c r="G11" s="306"/>
    </row>
    <row r="12" spans="8:8" ht="36.5" customHeight="1">
      <c r="A12" s="307" t="s">
        <v>58</v>
      </c>
      <c r="B12" s="308"/>
      <c r="C12" s="309"/>
      <c r="D12" s="304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305"/>
      <c r="F12" s="305"/>
      <c r="G12" s="306"/>
    </row>
    <row r="13" spans="8:8" ht="38.0" customHeight="1">
      <c r="A13" s="307" t="s">
        <v>58</v>
      </c>
      <c r="B13" s="308"/>
      <c r="C13" s="309"/>
      <c r="D13" s="304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305"/>
      <c r="F13" s="305"/>
      <c r="G13" s="306"/>
    </row>
    <row r="14" spans="8:8" ht="29.0">
      <c r="A14" s="307" t="s">
        <v>58</v>
      </c>
      <c r="B14" s="308"/>
      <c r="C14" s="309"/>
      <c r="D14" s="304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305"/>
      <c r="F14" s="305"/>
      <c r="G14" s="306"/>
    </row>
    <row r="15" spans="8:8" ht="29.0">
      <c r="A15" s="307" t="s">
        <v>58</v>
      </c>
      <c r="B15" s="308"/>
      <c r="C15" s="309"/>
      <c r="D15" s="304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305"/>
      <c r="F15" s="305"/>
      <c r="G15" s="306"/>
    </row>
    <row r="16" spans="8:8" ht="29.0">
      <c r="A16" s="307" t="s">
        <v>58</v>
      </c>
      <c r="B16" s="308"/>
      <c r="C16" s="309"/>
      <c r="D16" s="304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305"/>
      <c r="F16" s="305"/>
      <c r="G16" s="306"/>
    </row>
    <row r="17" spans="8:8" ht="29.0">
      <c r="A17" s="307" t="s">
        <v>67</v>
      </c>
      <c r="B17" s="308"/>
      <c r="C17" s="309"/>
      <c r="D17" s="310">
        <f>SUM(D4:D16)</f>
        <v>38017.0</v>
      </c>
      <c r="E17" s="311"/>
      <c r="F17" s="311"/>
      <c r="G17" s="312"/>
    </row>
  </sheetData>
  <sheetProtection password="c8cd" sheet="1" objects="1" scenarios="1"/>
  <mergeCells count="31">
    <mergeCell ref="D3:G3"/>
    <mergeCell ref="A14:C14"/>
    <mergeCell ref="D15:G15"/>
    <mergeCell ref="A1:G2"/>
    <mergeCell ref="A10:C10"/>
    <mergeCell ref="A9:C9"/>
    <mergeCell ref="A3:C3"/>
    <mergeCell ref="D11:G11"/>
    <mergeCell ref="A12:C12"/>
    <mergeCell ref="D5:G5"/>
    <mergeCell ref="A16:C16"/>
    <mergeCell ref="D16:G16"/>
    <mergeCell ref="D7:G7"/>
    <mergeCell ref="A4:C4"/>
    <mergeCell ref="A17:C17"/>
    <mergeCell ref="D6:G6"/>
    <mergeCell ref="A5:C5"/>
    <mergeCell ref="A8:C8"/>
    <mergeCell ref="D17:G17"/>
    <mergeCell ref="A15:C15"/>
    <mergeCell ref="D8:G8"/>
    <mergeCell ref="A6:C6"/>
    <mergeCell ref="D14:G14"/>
    <mergeCell ref="D13:G13"/>
    <mergeCell ref="A13:C13"/>
    <mergeCell ref="D12:G12"/>
    <mergeCell ref="A7:C7"/>
    <mergeCell ref="D4:G4"/>
    <mergeCell ref="A11:C11"/>
    <mergeCell ref="D10:G10"/>
    <mergeCell ref="D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Danny T</cp:lastModifiedBy>
  <dcterms:created xsi:type="dcterms:W3CDTF">2023-12-29T08:10:15Z</dcterms:created>
  <dcterms:modified xsi:type="dcterms:W3CDTF">2026-04-02T19:13:17Z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2c7780ba69d04faa8a58b042e2804413</vt:lpwstr>
  </property>
</Properties>
</file>