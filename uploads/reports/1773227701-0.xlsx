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4380" windowHeight="6160" activeTab="1"/>
  </bookViews>
  <sheets>
    <sheet name="Details projection" sheetId="10" r:id="rId1"/>
    <sheet name="Summary projection" sheetId="1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1" l="1"/>
  <c r="D4" i="11" l="1"/>
  <c r="D17" i="10"/>
  <c r="E18" i="10"/>
  <c r="D8" i="11" s="1"/>
  <c r="E32" i="10" l="1"/>
  <c r="E33" i="10"/>
  <c r="E36" i="10"/>
  <c r="E35" i="10"/>
  <c r="E40" i="10"/>
  <c r="E39" i="10"/>
  <c r="E38" i="10"/>
  <c r="E37" i="10"/>
  <c r="E34" i="10"/>
  <c r="E30" i="10"/>
  <c r="E29" i="10"/>
  <c r="E27" i="10"/>
  <c r="E26" i="10"/>
  <c r="D25" i="10"/>
  <c r="E25" i="10" s="1"/>
  <c r="E24" i="10"/>
  <c r="E23" i="10"/>
  <c r="E22" i="10"/>
  <c r="E21" i="10"/>
  <c r="E20" i="10"/>
  <c r="D19" i="10"/>
  <c r="E19" i="10" s="1"/>
  <c r="E41" i="10" l="1"/>
  <c r="D8" i="10"/>
  <c r="D7" i="10"/>
  <c r="D5" i="11" s="1"/>
  <c r="D9" i="11" l="1"/>
  <c r="E42" i="10"/>
  <c r="D6" i="11"/>
  <c r="D15" i="10"/>
  <c r="E43" i="10" s="1"/>
  <c r="D11" i="11" l="1"/>
</calcChain>
</file>

<file path=xl/sharedStrings.xml><?xml version="1.0" encoding="utf-8"?>
<sst xmlns="http://schemas.openxmlformats.org/spreadsheetml/2006/main" count="71" uniqueCount="64">
  <si>
    <t>S/N</t>
  </si>
  <si>
    <t>TOTAL PAYABLES</t>
  </si>
  <si>
    <t>AMOUNT</t>
  </si>
  <si>
    <t>DESCRIPTION</t>
  </si>
  <si>
    <t>BALANCE AT THE BANK AS ON 11/03/2025</t>
  </si>
  <si>
    <t>RECEIVABLES</t>
  </si>
  <si>
    <t>DETAILS</t>
  </si>
  <si>
    <t>BRITAM INSURANCE</t>
  </si>
  <si>
    <t>MOMO</t>
  </si>
  <si>
    <t>BANKS</t>
  </si>
  <si>
    <t>RTB/RPL</t>
  </si>
  <si>
    <t>BANK,MOMO,RTB,INSURANCE</t>
  </si>
  <si>
    <t>VAT</t>
  </si>
  <si>
    <t xml:space="preserve">VAT </t>
  </si>
  <si>
    <t>MSF</t>
  </si>
  <si>
    <t>MEMBERSHIP CONTRIBUTION</t>
  </si>
  <si>
    <t>GROSS SALARIES</t>
  </si>
  <si>
    <t>FUEL</t>
  </si>
  <si>
    <t>INTERNET&amp;AIRTIME</t>
  </si>
  <si>
    <t>ELECTRICITY</t>
  </si>
  <si>
    <t>WATER</t>
  </si>
  <si>
    <t>LEGAL SERVICE</t>
  </si>
  <si>
    <t>INTERNAL AUDIT CONTROLER</t>
  </si>
  <si>
    <t>BANK CHARGES</t>
  </si>
  <si>
    <t>SITTING ALLOWANCES</t>
  </si>
  <si>
    <t>LUMP SUM</t>
  </si>
  <si>
    <t>GENERAL ASSEMBLY</t>
  </si>
  <si>
    <t>MISSION FEES</t>
  </si>
  <si>
    <t>OFFICE STATIONARIES</t>
  </si>
  <si>
    <t>STAFFFOOD</t>
  </si>
  <si>
    <t>CAR WASH</t>
  </si>
  <si>
    <t>REPAIR AND MAINTENANCE CARS</t>
  </si>
  <si>
    <t>REPRESENTATION FEES</t>
  </si>
  <si>
    <t>WHT 15% &amp;30%</t>
  </si>
  <si>
    <t>WAGE</t>
  </si>
  <si>
    <t>COMMITMENT SHARES</t>
  </si>
  <si>
    <t>Expenses per month</t>
  </si>
  <si>
    <t>TOTAL PROJECTED EXPESENSES</t>
  </si>
  <si>
    <t>OVERHEAD EXPENSES</t>
  </si>
  <si>
    <t>OTHER EXPENSES</t>
  </si>
  <si>
    <t>TOTAL RECEIBLES AND BANK BALANCES</t>
  </si>
  <si>
    <t>MEMBERSHIP CONTRIBUTION PENDING</t>
  </si>
  <si>
    <t>PROJECTED BALANCE AS ON 31.12.2026</t>
  </si>
  <si>
    <t>PAYABLES AND OVERHEADS EXPENSES</t>
  </si>
  <si>
    <t>RENT(FILD OFFICES)</t>
  </si>
  <si>
    <t xml:space="preserve">Expense per  year </t>
  </si>
  <si>
    <t>RENT(HQ OFFICE )</t>
  </si>
  <si>
    <t>BANKS,MOMO</t>
  </si>
  <si>
    <t>DESKS /Amendment.Guarantee(performance security)</t>
  </si>
  <si>
    <t>DESKS /AMENDMENT,VAT,GUARANTEE</t>
  </si>
  <si>
    <t>EXPENSES PER YEAR</t>
  </si>
  <si>
    <t>TOTAL PROJECTED  PAYABLES</t>
  </si>
  <si>
    <t>FIXED EXPENSES AND OTHERS</t>
  </si>
  <si>
    <t xml:space="preserve">TOTAL PROJECTED OVERHEAD EXPENSES </t>
  </si>
  <si>
    <t>REPAYMENT LOON (STAFF)</t>
  </si>
  <si>
    <t>TOTAL OVERHEAD EXPENSES</t>
  </si>
  <si>
    <t>BANKS &amp;MOMO AND RECEIVABLES</t>
  </si>
  <si>
    <t>PAYABLES AND OVERHEADS</t>
  </si>
  <si>
    <t xml:space="preserve">TOTAL PROJECTED </t>
  </si>
  <si>
    <t>TOTAL PROJECTED</t>
  </si>
  <si>
    <t>RTB,BRITAM INSURANCE,VAT,MSF,MEMBERSHIP CONTRIBUTIONS,REPAYMENT LOON AND COMMITMENT,DIVIDEND</t>
  </si>
  <si>
    <t>DIVIDEND FROM INVESTMENT IN SHARES (ACB)</t>
  </si>
  <si>
    <t>PROJECTION CASHFLOWS/2025 (REVENUES AND EXPENSES)</t>
  </si>
  <si>
    <t>PROJECTION CASH FLOWS/2025 (REVENUES AND EXPENSES)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</si>
</sst>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Book Antiqua"/>
      <family val="1"/>
    </font>
    <font>
      <sz val="9"/>
      <color theme="1"/>
      <name val="Book Antiqua"/>
      <family val="1"/>
    </font>
    <font>
      <sz val="9"/>
      <name val="Book Antiqua"/>
      <family val="1"/>
    </font>
    <font>
      <b/>
      <u val="singleAccounting"/>
      <sz val="9"/>
      <color theme="1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2">
    <xf numFmtId="0" fontId="0" fillId="0" borderId="0" xfId="0"/>
    <xf numFmtId="41" fontId="3" fillId="0" borderId="0" xfId="1" applyFont="1"/>
    <xf numFmtId="41" fontId="2" fillId="0" borderId="1" xfId="1" applyFont="1" applyBorder="1" applyAlignment="1">
      <alignment vertical="center" wrapText="1"/>
    </xf>
    <xf numFmtId="41" fontId="2" fillId="0" borderId="5" xfId="1" applyFont="1" applyBorder="1" applyAlignment="1">
      <alignment horizontal="center" vertical="center"/>
    </xf>
    <xf numFmtId="41" fontId="2" fillId="5" borderId="5" xfId="1" applyFont="1" applyFill="1" applyBorder="1" applyAlignment="1">
      <alignment horizontal="center" vertical="center"/>
    </xf>
    <xf numFmtId="41" fontId="2" fillId="5" borderId="1" xfId="1" applyFont="1" applyFill="1" applyBorder="1" applyAlignment="1">
      <alignment vertical="center" wrapText="1"/>
    </xf>
    <xf numFmtId="41" fontId="2" fillId="3" borderId="5" xfId="1" applyFont="1" applyFill="1" applyBorder="1" applyAlignment="1">
      <alignment horizontal="center" vertical="center"/>
    </xf>
    <xf numFmtId="41" fontId="2" fillId="3" borderId="1" xfId="1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41" fontId="3" fillId="0" borderId="4" xfId="1" applyFont="1" applyBorder="1" applyAlignment="1">
      <alignment horizontal="center" vertical="center"/>
    </xf>
    <xf numFmtId="41" fontId="2" fillId="0" borderId="1" xfId="1" applyFont="1" applyBorder="1" applyAlignment="1">
      <alignment vertical="center"/>
    </xf>
    <xf numFmtId="41" fontId="2" fillId="0" borderId="4" xfId="1" applyFont="1" applyBorder="1" applyAlignment="1">
      <alignment vertical="center"/>
    </xf>
    <xf numFmtId="41" fontId="3" fillId="0" borderId="1" xfId="1" applyFont="1" applyBorder="1"/>
    <xf numFmtId="41" fontId="3" fillId="0" borderId="1" xfId="1" applyFont="1" applyBorder="1" applyAlignment="1">
      <alignment vertical="center"/>
    </xf>
    <xf numFmtId="41" fontId="3" fillId="3" borderId="1" xfId="1" applyFont="1" applyFill="1" applyBorder="1"/>
    <xf numFmtId="41" fontId="2" fillId="3" borderId="1" xfId="1" applyFont="1" applyFill="1" applyBorder="1" applyAlignment="1">
      <alignment vertical="center"/>
    </xf>
    <xf numFmtId="41" fontId="4" fillId="3" borderId="1" xfId="1" applyFont="1" applyFill="1" applyBorder="1" applyAlignment="1">
      <alignment vertical="center"/>
    </xf>
    <xf numFmtId="41" fontId="3" fillId="3" borderId="1" xfId="1" applyFont="1" applyFill="1" applyBorder="1" applyAlignment="1">
      <alignment vertical="center"/>
    </xf>
    <xf numFmtId="41" fontId="3" fillId="3" borderId="1" xfId="1" quotePrefix="1" applyFont="1" applyFill="1" applyBorder="1"/>
    <xf numFmtId="41" fontId="3" fillId="5" borderId="1" xfId="1" applyFont="1" applyFill="1" applyBorder="1" applyAlignment="1">
      <alignment vertical="center"/>
    </xf>
    <xf numFmtId="41" fontId="2" fillId="5" borderId="1" xfId="1" applyFont="1" applyFill="1" applyBorder="1" applyAlignment="1">
      <alignment vertical="center"/>
    </xf>
    <xf numFmtId="41" fontId="3" fillId="0" borderId="0" xfId="1" applyFont="1" applyAlignment="1">
      <alignment vertical="center"/>
    </xf>
    <xf numFmtId="41" fontId="2" fillId="0" borderId="3" xfId="1" applyFont="1" applyBorder="1" applyAlignment="1">
      <alignment horizontal="center" vertical="center" wrapText="1"/>
    </xf>
    <xf numFmtId="41" fontId="2" fillId="0" borderId="4" xfId="1" applyFont="1" applyBorder="1" applyAlignment="1">
      <alignment horizontal="center" vertical="center"/>
    </xf>
    <xf numFmtId="41" fontId="2" fillId="5" borderId="3" xfId="1" applyFont="1" applyFill="1" applyBorder="1" applyAlignment="1">
      <alignment horizontal="center" vertical="center" wrapText="1"/>
    </xf>
    <xf numFmtId="41" fontId="3" fillId="5" borderId="1" xfId="1" applyFont="1" applyFill="1" applyBorder="1"/>
    <xf numFmtId="41" fontId="3" fillId="4" borderId="1" xfId="1" applyFont="1" applyFill="1" applyBorder="1" applyAlignment="1">
      <alignment vertical="center"/>
    </xf>
    <xf numFmtId="41" fontId="2" fillId="4" borderId="1" xfId="1" applyFont="1" applyFill="1" applyBorder="1" applyAlignment="1">
      <alignment vertical="center"/>
    </xf>
    <xf numFmtId="41" fontId="3" fillId="2" borderId="1" xfId="1" applyFont="1" applyFill="1" applyBorder="1"/>
    <xf numFmtId="41" fontId="2" fillId="2" borderId="6" xfId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vertical="center"/>
    </xf>
    <xf numFmtId="41" fontId="3" fillId="2" borderId="1" xfId="1" applyFont="1" applyFill="1" applyBorder="1" applyAlignment="1">
      <alignment vertical="center"/>
    </xf>
    <xf numFmtId="41" fontId="3" fillId="2" borderId="4" xfId="1" applyFont="1" applyFill="1" applyBorder="1" applyAlignment="1">
      <alignment horizontal="center" vertical="center"/>
    </xf>
    <xf numFmtId="41" fontId="2" fillId="2" borderId="4" xfId="1" applyFont="1" applyFill="1" applyBorder="1" applyAlignment="1">
      <alignment vertical="center"/>
    </xf>
    <xf numFmtId="41" fontId="2" fillId="4" borderId="1" xfId="1" applyFont="1" applyFill="1" applyBorder="1" applyAlignment="1">
      <alignment vertical="center" wrapText="1"/>
    </xf>
    <xf numFmtId="41" fontId="2" fillId="3" borderId="6" xfId="1" applyFont="1" applyFill="1" applyBorder="1" applyAlignment="1">
      <alignment vertical="center" wrapText="1"/>
    </xf>
    <xf numFmtId="41" fontId="2" fillId="3" borderId="7" xfId="1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41" fontId="2" fillId="0" borderId="1" xfId="1" applyFont="1" applyBorder="1" applyAlignment="1">
      <alignment horizontal="left" vertical="center"/>
    </xf>
    <xf numFmtId="41" fontId="2" fillId="4" borderId="1" xfId="1" applyFont="1" applyFill="1" applyBorder="1" applyAlignment="1">
      <alignment horizontal="center" vertical="center"/>
    </xf>
    <xf numFmtId="41" fontId="2" fillId="4" borderId="1" xfId="1" applyFont="1" applyFill="1" applyBorder="1" applyAlignment="1">
      <alignment horizontal="left" vertical="center"/>
    </xf>
    <xf numFmtId="41" fontId="2" fillId="4" borderId="3" xfId="1" applyFont="1" applyFill="1" applyBorder="1" applyAlignment="1">
      <alignment horizontal="center" vertical="center" wrapText="1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horizontal="center" vertical="center"/>
    </xf>
    <xf numFmtId="41" fontId="2" fillId="0" borderId="4" xfId="1" applyFont="1" applyBorder="1" applyAlignment="1">
      <alignment horizontal="left" vertical="center"/>
    </xf>
    <xf numFmtId="41" fontId="2" fillId="0" borderId="6" xfId="1" applyFont="1" applyBorder="1" applyAlignment="1">
      <alignment horizontal="left" vertical="center"/>
    </xf>
    <xf numFmtId="41" fontId="2" fillId="0" borderId="4" xfId="1" applyFont="1" applyBorder="1" applyAlignment="1">
      <alignment horizontal="center" vertical="center"/>
    </xf>
    <xf numFmtId="41" fontId="2" fillId="0" borderId="6" xfId="1" applyFont="1" applyBorder="1" applyAlignment="1">
      <alignment horizontal="center" vertical="center"/>
    </xf>
    <xf numFmtId="41" fontId="2" fillId="0" borderId="5" xfId="1" applyFont="1" applyBorder="1" applyAlignment="1">
      <alignment horizontal="center" vertical="center"/>
    </xf>
    <xf numFmtId="41" fontId="2" fillId="0" borderId="5" xfId="1" applyFont="1" applyBorder="1" applyAlignment="1">
      <alignment horizontal="left" vertical="center"/>
    </xf>
    <xf numFmtId="41" fontId="2" fillId="0" borderId="2" xfId="1" applyFont="1" applyBorder="1" applyAlignment="1">
      <alignment horizontal="center" vertical="center" wrapText="1"/>
    </xf>
    <xf numFmtId="41" fontId="2" fillId="0" borderId="3" xfId="1" applyFont="1" applyBorder="1" applyAlignment="1">
      <alignment horizontal="center" vertical="center" wrapText="1"/>
    </xf>
    <xf numFmtId="41" fontId="2" fillId="6" borderId="2" xfId="1" applyFont="1" applyFill="1" applyBorder="1" applyAlignment="1">
      <alignment horizontal="center" vertical="center" wrapText="1"/>
    </xf>
    <xf numFmtId="41" fontId="2" fillId="6" borderId="3" xfId="1" applyFont="1" applyFill="1" applyBorder="1" applyAlignment="1">
      <alignment horizontal="center" vertical="center" wrapText="1"/>
    </xf>
    <xf numFmtId="41" fontId="2" fillId="4" borderId="1" xfId="1" applyFont="1" applyFill="1" applyBorder="1" applyAlignment="1">
      <alignment horizontal="center" vertical="center" wrapText="1"/>
    </xf>
    <xf numFmtId="41" fontId="2" fillId="4" borderId="2" xfId="1" applyFont="1" applyFill="1" applyBorder="1" applyAlignment="1">
      <alignment horizontal="center" vertical="center" wrapText="1"/>
    </xf>
    <xf numFmtId="41" fontId="2" fillId="4" borderId="3" xfId="1" applyFont="1" applyFill="1" applyBorder="1" applyAlignment="1">
      <alignment horizontal="center" vertical="center" wrapText="1"/>
    </xf>
    <xf numFmtId="41" fontId="2" fillId="2" borderId="4" xfId="1" applyFont="1" applyFill="1" applyBorder="1" applyAlignment="1">
      <alignment horizontal="center" vertical="center"/>
    </xf>
    <xf numFmtId="41" fontId="2" fillId="2" borderId="6" xfId="1" applyFont="1" applyFill="1" applyBorder="1" applyAlignment="1">
      <alignment horizontal="center" vertical="center"/>
    </xf>
    <xf numFmtId="41" fontId="2" fillId="3" borderId="4" xfId="1" applyFont="1" applyFill="1" applyBorder="1" applyAlignment="1">
      <alignment horizontal="center" vertical="center"/>
    </xf>
    <xf numFmtId="41" fontId="2" fillId="3" borderId="5" xfId="1" applyFont="1" applyFill="1" applyBorder="1" applyAlignment="1">
      <alignment horizontal="center" vertical="center"/>
    </xf>
    <xf numFmtId="41" fontId="2" fillId="3" borderId="6" xfId="1" applyFont="1" applyFill="1" applyBorder="1" applyAlignment="1">
      <alignment horizontal="center" vertical="center"/>
    </xf>
  </cellXfs>
  <cellStyles count="3">
    <cellStyle name="Comma [0]" xfId="1" builtinId="6"/>
    <cellStyle name="Comma [0]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opLeftCell="A16" workbookViewId="0">
      <selection activeCell="C5" sqref="C5"/>
    </sheetView>
  </sheetViews>
  <sheetFormatPr defaultRowHeight="12" x14ac:dyDescent="0.3"/>
  <cols>
    <col min="1" max="1" width="6" style="1" customWidth="1"/>
    <col min="2" max="2" width="44.81640625" style="1" bestFit="1" customWidth="1"/>
    <col min="3" max="3" width="43.7265625" style="1" bestFit="1" customWidth="1"/>
    <col min="4" max="4" width="14.08984375" style="1" customWidth="1"/>
    <col min="5" max="5" width="13.7265625" style="1" customWidth="1"/>
    <col min="6" max="16384" width="8.7265625" style="1"/>
  </cols>
  <sheetData>
    <row r="1" spans="1:5" ht="30" customHeight="1" x14ac:dyDescent="0.3">
      <c r="A1" s="42" t="s">
        <v>62</v>
      </c>
      <c r="B1" s="43"/>
      <c r="C1" s="43"/>
      <c r="D1" s="43"/>
      <c r="E1" s="43"/>
    </row>
    <row r="3" spans="1:5" ht="24" customHeight="1" x14ac:dyDescent="0.3">
      <c r="A3" s="27" t="s">
        <v>0</v>
      </c>
      <c r="B3" s="27" t="s">
        <v>3</v>
      </c>
      <c r="C3" s="34" t="s">
        <v>6</v>
      </c>
      <c r="D3" s="55" t="s">
        <v>2</v>
      </c>
      <c r="E3" s="56"/>
    </row>
    <row r="4" spans="1:5" ht="25" customHeight="1" x14ac:dyDescent="0.3">
      <c r="A4" s="46">
        <v>1</v>
      </c>
      <c r="B4" s="44" t="s">
        <v>4</v>
      </c>
      <c r="C4" s="2" t="s">
        <v>9</v>
      </c>
      <c r="D4" s="50">
        <v>646571756</v>
      </c>
      <c r="E4" s="51"/>
    </row>
    <row r="5" spans="1:5" ht="25" customHeight="1" x14ac:dyDescent="0.3">
      <c r="A5" s="47"/>
      <c r="B5" s="45"/>
      <c r="C5" s="2" t="s">
        <v>8</v>
      </c>
      <c r="D5" s="50">
        <v>5678597</v>
      </c>
      <c r="E5" s="51"/>
    </row>
    <row r="6" spans="1:5" ht="25" customHeight="1" x14ac:dyDescent="0.3">
      <c r="A6" s="46">
        <v>2</v>
      </c>
      <c r="B6" s="44" t="s">
        <v>5</v>
      </c>
      <c r="C6" s="2" t="s">
        <v>7</v>
      </c>
      <c r="D6" s="50">
        <v>179695570</v>
      </c>
      <c r="E6" s="51"/>
    </row>
    <row r="7" spans="1:5" ht="25" customHeight="1" x14ac:dyDescent="0.3">
      <c r="A7" s="48"/>
      <c r="B7" s="49"/>
      <c r="C7" s="2" t="s">
        <v>13</v>
      </c>
      <c r="D7" s="50">
        <f>120000000*10</f>
        <v>1200000000</v>
      </c>
      <c r="E7" s="51"/>
    </row>
    <row r="8" spans="1:5" ht="25" customHeight="1" x14ac:dyDescent="0.3">
      <c r="A8" s="48"/>
      <c r="B8" s="49"/>
      <c r="C8" s="2" t="s">
        <v>14</v>
      </c>
      <c r="D8" s="50">
        <f>11000000*10</f>
        <v>110000000</v>
      </c>
      <c r="E8" s="51"/>
    </row>
    <row r="9" spans="1:5" ht="25" customHeight="1" x14ac:dyDescent="0.3">
      <c r="A9" s="48"/>
      <c r="B9" s="49"/>
      <c r="C9" s="2" t="s">
        <v>41</v>
      </c>
      <c r="D9" s="50">
        <v>2200000</v>
      </c>
      <c r="E9" s="51"/>
    </row>
    <row r="10" spans="1:5" ht="25" customHeight="1" x14ac:dyDescent="0.3">
      <c r="A10" s="48"/>
      <c r="B10" s="49"/>
      <c r="C10" s="2" t="s">
        <v>15</v>
      </c>
      <c r="D10" s="50">
        <v>20000000</v>
      </c>
      <c r="E10" s="51"/>
    </row>
    <row r="11" spans="1:5" ht="25" customHeight="1" x14ac:dyDescent="0.3">
      <c r="A11" s="48"/>
      <c r="B11" s="49"/>
      <c r="C11" s="2" t="s">
        <v>35</v>
      </c>
      <c r="D11" s="50">
        <v>30000000</v>
      </c>
      <c r="E11" s="51"/>
    </row>
    <row r="12" spans="1:5" ht="25" customHeight="1" x14ac:dyDescent="0.3">
      <c r="A12" s="48"/>
      <c r="B12" s="49"/>
      <c r="C12" s="2" t="s">
        <v>54</v>
      </c>
      <c r="D12" s="50">
        <v>10000000</v>
      </c>
      <c r="E12" s="51"/>
    </row>
    <row r="13" spans="1:5" ht="25" customHeight="1" x14ac:dyDescent="0.3">
      <c r="A13" s="48"/>
      <c r="B13" s="49"/>
      <c r="C13" s="2" t="s">
        <v>61</v>
      </c>
      <c r="D13" s="52">
        <v>0</v>
      </c>
      <c r="E13" s="53"/>
    </row>
    <row r="14" spans="1:5" ht="25" customHeight="1" x14ac:dyDescent="0.3">
      <c r="A14" s="47"/>
      <c r="B14" s="45"/>
      <c r="C14" s="2" t="s">
        <v>10</v>
      </c>
      <c r="D14" s="50">
        <v>28680000</v>
      </c>
      <c r="E14" s="51"/>
    </row>
    <row r="15" spans="1:5" ht="25" customHeight="1" x14ac:dyDescent="0.3">
      <c r="A15" s="39"/>
      <c r="B15" s="40" t="s">
        <v>40</v>
      </c>
      <c r="C15" s="34" t="s">
        <v>11</v>
      </c>
      <c r="D15" s="54">
        <f>SUM(D4:D14)</f>
        <v>2232825923</v>
      </c>
      <c r="E15" s="54"/>
    </row>
    <row r="16" spans="1:5" ht="25" customHeight="1" x14ac:dyDescent="0.3">
      <c r="A16" s="6"/>
      <c r="B16" s="6"/>
      <c r="C16" s="35"/>
      <c r="D16" s="36" t="s">
        <v>36</v>
      </c>
      <c r="E16" s="37" t="s">
        <v>45</v>
      </c>
    </row>
    <row r="17" spans="1:5" ht="25" customHeight="1" x14ac:dyDescent="0.3">
      <c r="A17" s="32">
        <v>1</v>
      </c>
      <c r="B17" s="57" t="s">
        <v>1</v>
      </c>
      <c r="C17" s="30" t="s">
        <v>48</v>
      </c>
      <c r="D17" s="33">
        <f>+E17</f>
        <v>408458207</v>
      </c>
      <c r="E17" s="33">
        <v>408458207</v>
      </c>
    </row>
    <row r="18" spans="1:5" ht="25" customHeight="1" x14ac:dyDescent="0.3">
      <c r="A18" s="28"/>
      <c r="B18" s="58"/>
      <c r="C18" s="30" t="s">
        <v>12</v>
      </c>
      <c r="D18" s="31">
        <v>119000000</v>
      </c>
      <c r="E18" s="30">
        <f>+D18*11</f>
        <v>1309000000</v>
      </c>
    </row>
    <row r="19" spans="1:5" ht="25" customHeight="1" x14ac:dyDescent="0.3">
      <c r="A19" s="14"/>
      <c r="B19" s="59" t="s">
        <v>38</v>
      </c>
      <c r="C19" s="15" t="s">
        <v>16</v>
      </c>
      <c r="D19" s="16">
        <f>20368714</f>
        <v>20368714</v>
      </c>
      <c r="E19" s="15">
        <f>+D19*10</f>
        <v>203687140</v>
      </c>
    </row>
    <row r="20" spans="1:5" ht="25" customHeight="1" x14ac:dyDescent="0.3">
      <c r="A20" s="14"/>
      <c r="B20" s="60"/>
      <c r="C20" s="15" t="s">
        <v>25</v>
      </c>
      <c r="D20" s="16">
        <v>1000000</v>
      </c>
      <c r="E20" s="15">
        <f>+D20*10</f>
        <v>10000000</v>
      </c>
    </row>
    <row r="21" spans="1:5" ht="25" customHeight="1" x14ac:dyDescent="0.3">
      <c r="A21" s="12"/>
      <c r="B21" s="60"/>
      <c r="C21" s="15" t="s">
        <v>17</v>
      </c>
      <c r="D21" s="17">
        <v>1600000</v>
      </c>
      <c r="E21" s="15">
        <f>+D21*10</f>
        <v>16000000</v>
      </c>
    </row>
    <row r="22" spans="1:5" ht="25" customHeight="1" x14ac:dyDescent="0.3">
      <c r="A22" s="12"/>
      <c r="B22" s="60"/>
      <c r="C22" s="15" t="s">
        <v>18</v>
      </c>
      <c r="D22" s="17">
        <v>650000</v>
      </c>
      <c r="E22" s="15">
        <f>+D22*9</f>
        <v>5850000</v>
      </c>
    </row>
    <row r="23" spans="1:5" ht="25" customHeight="1" x14ac:dyDescent="0.3">
      <c r="A23" s="12"/>
      <c r="B23" s="60"/>
      <c r="C23" s="15" t="s">
        <v>19</v>
      </c>
      <c r="D23" s="17">
        <v>50000</v>
      </c>
      <c r="E23" s="15">
        <f>+D23*9</f>
        <v>450000</v>
      </c>
    </row>
    <row r="24" spans="1:5" ht="25" customHeight="1" x14ac:dyDescent="0.3">
      <c r="A24" s="12"/>
      <c r="B24" s="60"/>
      <c r="C24" s="15" t="s">
        <v>20</v>
      </c>
      <c r="D24" s="17">
        <v>50000</v>
      </c>
      <c r="E24" s="15">
        <f>+D24*12</f>
        <v>600000</v>
      </c>
    </row>
    <row r="25" spans="1:5" ht="25" customHeight="1" x14ac:dyDescent="0.3">
      <c r="A25" s="12"/>
      <c r="B25" s="60"/>
      <c r="C25" s="15" t="s">
        <v>21</v>
      </c>
      <c r="D25" s="17">
        <f>590000</f>
        <v>590000</v>
      </c>
      <c r="E25" s="15">
        <f>+D25*11</f>
        <v>6490000</v>
      </c>
    </row>
    <row r="26" spans="1:5" ht="25" customHeight="1" x14ac:dyDescent="0.3">
      <c r="A26" s="12"/>
      <c r="B26" s="60"/>
      <c r="C26" s="15" t="s">
        <v>22</v>
      </c>
      <c r="D26" s="17">
        <v>1500000</v>
      </c>
      <c r="E26" s="15">
        <f>+D26*11</f>
        <v>16500000</v>
      </c>
    </row>
    <row r="27" spans="1:5" ht="25" customHeight="1" x14ac:dyDescent="0.3">
      <c r="A27" s="12"/>
      <c r="B27" s="60"/>
      <c r="C27" s="15" t="s">
        <v>23</v>
      </c>
      <c r="D27" s="17">
        <v>800875</v>
      </c>
      <c r="E27" s="15">
        <f>+D27*10</f>
        <v>8008750</v>
      </c>
    </row>
    <row r="28" spans="1:5" ht="25" customHeight="1" x14ac:dyDescent="0.3">
      <c r="A28" s="12"/>
      <c r="B28" s="60"/>
      <c r="C28" s="15" t="s">
        <v>24</v>
      </c>
      <c r="D28" s="17">
        <v>0</v>
      </c>
      <c r="E28" s="15">
        <v>4900000</v>
      </c>
    </row>
    <row r="29" spans="1:5" ht="25" customHeight="1" x14ac:dyDescent="0.3">
      <c r="A29" s="12"/>
      <c r="B29" s="60"/>
      <c r="C29" s="15" t="s">
        <v>26</v>
      </c>
      <c r="D29" s="17">
        <v>3500000</v>
      </c>
      <c r="E29" s="15">
        <f>+D29*2</f>
        <v>7000000</v>
      </c>
    </row>
    <row r="30" spans="1:5" ht="25" customHeight="1" x14ac:dyDescent="0.3">
      <c r="A30" s="12"/>
      <c r="B30" s="60"/>
      <c r="C30" s="15" t="s">
        <v>27</v>
      </c>
      <c r="D30" s="17">
        <v>250000</v>
      </c>
      <c r="E30" s="15">
        <f>+D30*10</f>
        <v>2500000</v>
      </c>
    </row>
    <row r="31" spans="1:5" ht="25" customHeight="1" x14ac:dyDescent="0.3">
      <c r="A31" s="12"/>
      <c r="B31" s="60"/>
      <c r="C31" s="15" t="s">
        <v>44</v>
      </c>
      <c r="D31" s="17">
        <v>0</v>
      </c>
      <c r="E31" s="15">
        <v>3462000</v>
      </c>
    </row>
    <row r="32" spans="1:5" ht="25" customHeight="1" x14ac:dyDescent="0.3">
      <c r="A32" s="12"/>
      <c r="B32" s="60"/>
      <c r="C32" s="15" t="s">
        <v>46</v>
      </c>
      <c r="D32" s="17">
        <v>2000000</v>
      </c>
      <c r="E32" s="15">
        <f>+D32*3</f>
        <v>6000000</v>
      </c>
    </row>
    <row r="33" spans="1:5" ht="25" customHeight="1" x14ac:dyDescent="0.3">
      <c r="A33" s="12"/>
      <c r="B33" s="60"/>
      <c r="C33" s="15" t="s">
        <v>28</v>
      </c>
      <c r="D33" s="17">
        <v>100000</v>
      </c>
      <c r="E33" s="15">
        <f>+D33*10</f>
        <v>1000000</v>
      </c>
    </row>
    <row r="34" spans="1:5" ht="25" customHeight="1" x14ac:dyDescent="0.3">
      <c r="A34" s="12"/>
      <c r="B34" s="60"/>
      <c r="C34" s="15" t="s">
        <v>29</v>
      </c>
      <c r="D34" s="17">
        <v>1000000</v>
      </c>
      <c r="E34" s="15">
        <f>+D34*10</f>
        <v>10000000</v>
      </c>
    </row>
    <row r="35" spans="1:5" ht="25" customHeight="1" x14ac:dyDescent="0.3">
      <c r="A35" s="18"/>
      <c r="B35" s="60"/>
      <c r="C35" s="15" t="s">
        <v>30</v>
      </c>
      <c r="D35" s="17">
        <v>250000</v>
      </c>
      <c r="E35" s="15">
        <f>+D35*10</f>
        <v>2500000</v>
      </c>
    </row>
    <row r="36" spans="1:5" ht="25" customHeight="1" x14ac:dyDescent="0.3">
      <c r="A36" s="12"/>
      <c r="B36" s="60"/>
      <c r="C36" s="15" t="s">
        <v>31</v>
      </c>
      <c r="D36" s="17">
        <v>500000</v>
      </c>
      <c r="E36" s="15">
        <f>+D36*10</f>
        <v>5000000</v>
      </c>
    </row>
    <row r="37" spans="1:5" ht="25" customHeight="1" x14ac:dyDescent="0.3">
      <c r="A37" s="12"/>
      <c r="B37" s="60"/>
      <c r="C37" s="15" t="s">
        <v>32</v>
      </c>
      <c r="D37" s="17">
        <v>200000</v>
      </c>
      <c r="E37" s="15">
        <f>+D37*10</f>
        <v>2000000</v>
      </c>
    </row>
    <row r="38" spans="1:5" ht="25" customHeight="1" x14ac:dyDescent="0.3">
      <c r="A38" s="12"/>
      <c r="B38" s="60"/>
      <c r="C38" s="15" t="s">
        <v>33</v>
      </c>
      <c r="D38" s="17">
        <v>800000</v>
      </c>
      <c r="E38" s="15">
        <f>+D38*11</f>
        <v>8800000</v>
      </c>
    </row>
    <row r="39" spans="1:5" ht="25" customHeight="1" x14ac:dyDescent="0.3">
      <c r="A39" s="12"/>
      <c r="B39" s="60"/>
      <c r="C39" s="15" t="s">
        <v>34</v>
      </c>
      <c r="D39" s="17">
        <v>250000</v>
      </c>
      <c r="E39" s="15">
        <f>+D39*10</f>
        <v>2500000</v>
      </c>
    </row>
    <row r="40" spans="1:5" ht="25" customHeight="1" x14ac:dyDescent="0.3">
      <c r="A40" s="12"/>
      <c r="B40" s="61"/>
      <c r="C40" s="15" t="s">
        <v>39</v>
      </c>
      <c r="D40" s="17">
        <v>1000000</v>
      </c>
      <c r="E40" s="15">
        <f>+D40*10</f>
        <v>10000000</v>
      </c>
    </row>
    <row r="41" spans="1:5" ht="25" customHeight="1" x14ac:dyDescent="0.3">
      <c r="A41" s="28"/>
      <c r="B41" s="29" t="s">
        <v>55</v>
      </c>
      <c r="C41" s="30"/>
      <c r="D41" s="31"/>
      <c r="E41" s="30">
        <f>SUM(E19:E40)</f>
        <v>333247890</v>
      </c>
    </row>
    <row r="42" spans="1:5" ht="30" customHeight="1" x14ac:dyDescent="0.3">
      <c r="A42" s="12"/>
      <c r="B42" s="10" t="s">
        <v>37</v>
      </c>
      <c r="C42" s="15" t="s">
        <v>43</v>
      </c>
      <c r="D42" s="19"/>
      <c r="E42" s="15">
        <f>+E41+E18+E17</f>
        <v>2050706097</v>
      </c>
    </row>
    <row r="43" spans="1:5" ht="30" customHeight="1" x14ac:dyDescent="0.3">
      <c r="A43" s="13"/>
      <c r="B43" s="10" t="s">
        <v>42</v>
      </c>
      <c r="C43" s="13"/>
      <c r="D43" s="20"/>
      <c r="E43" s="10">
        <f>+D15-E42</f>
        <v>182119826</v>
      </c>
    </row>
    <row r="44" spans="1:5" x14ac:dyDescent="0.3">
      <c r="E44" s="21"/>
    </row>
  </sheetData>
  <mergeCells count="20">
    <mergeCell ref="D15:E15"/>
    <mergeCell ref="D3:E3"/>
    <mergeCell ref="B17:B18"/>
    <mergeCell ref="B19:B40"/>
    <mergeCell ref="D4:E4"/>
    <mergeCell ref="D5:E5"/>
    <mergeCell ref="D6:E6"/>
    <mergeCell ref="D7:E7"/>
    <mergeCell ref="D8:E8"/>
    <mergeCell ref="D9:E9"/>
    <mergeCell ref="D11:E11"/>
    <mergeCell ref="D10:E10"/>
    <mergeCell ref="A1:E1"/>
    <mergeCell ref="B4:B5"/>
    <mergeCell ref="A4:A5"/>
    <mergeCell ref="A6:A14"/>
    <mergeCell ref="B6:B14"/>
    <mergeCell ref="D12:E12"/>
    <mergeCell ref="D13:E13"/>
    <mergeCell ref="D14:E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topLeftCell="A10" workbookViewId="0">
      <selection activeCell="C5" sqref="C5"/>
    </sheetView>
  </sheetViews>
  <sheetFormatPr defaultRowHeight="12" x14ac:dyDescent="0.3"/>
  <cols>
    <col min="1" max="1" width="6" style="1" customWidth="1"/>
    <col min="2" max="2" width="44.81640625" style="1" bestFit="1" customWidth="1"/>
    <col min="3" max="3" width="36.08984375" style="1" bestFit="1" customWidth="1"/>
    <col min="4" max="4" width="13.7265625" style="1" customWidth="1"/>
    <col min="5" max="16384" width="8.7265625" style="1"/>
  </cols>
  <sheetData>
    <row r="1" spans="1:4" ht="30" customHeight="1" x14ac:dyDescent="0.3">
      <c r="A1" s="42" t="s">
        <v>63</v>
      </c>
      <c r="B1" s="43"/>
      <c r="C1" s="43"/>
      <c r="D1" s="43"/>
    </row>
    <row r="3" spans="1:4" ht="30" customHeight="1" x14ac:dyDescent="0.3">
      <c r="A3" s="27" t="s">
        <v>0</v>
      </c>
      <c r="B3" s="27" t="s">
        <v>3</v>
      </c>
      <c r="C3" s="34" t="s">
        <v>6</v>
      </c>
      <c r="D3" s="41" t="s">
        <v>2</v>
      </c>
    </row>
    <row r="4" spans="1:4" ht="25" customHeight="1" x14ac:dyDescent="0.3">
      <c r="A4" s="23">
        <v>1</v>
      </c>
      <c r="B4" s="38" t="s">
        <v>4</v>
      </c>
      <c r="C4" s="2" t="s">
        <v>47</v>
      </c>
      <c r="D4" s="22">
        <f>+'Details projection'!D4:E4+'Details projection'!D5:E5</f>
        <v>652250353</v>
      </c>
    </row>
    <row r="5" spans="1:4" ht="40" customHeight="1" x14ac:dyDescent="0.3">
      <c r="A5" s="3">
        <v>2</v>
      </c>
      <c r="B5" s="38" t="s">
        <v>5</v>
      </c>
      <c r="C5" s="2" t="s">
        <v>60</v>
      </c>
      <c r="D5" s="22">
        <f>+'Details projection'!D6:E6+'Details projection'!D7:E7+'Details projection'!D8:E8+'Details projection'!D9:E9+'Details projection'!D10:E10+'Details projection'!D11:E11+'Details projection'!D14:E14+'Summary projection'!E5+'Details projection'!D12:E12</f>
        <v>1580575570</v>
      </c>
    </row>
    <row r="6" spans="1:4" ht="40" customHeight="1" x14ac:dyDescent="0.3">
      <c r="A6" s="4"/>
      <c r="B6" s="4" t="s">
        <v>59</v>
      </c>
      <c r="C6" s="5" t="s">
        <v>56</v>
      </c>
      <c r="D6" s="24">
        <f>+D4+D5</f>
        <v>2232825923</v>
      </c>
    </row>
    <row r="7" spans="1:4" ht="25" customHeight="1" x14ac:dyDescent="0.3">
      <c r="A7" s="6"/>
      <c r="B7" s="6"/>
      <c r="C7" s="7"/>
      <c r="D7" s="8" t="s">
        <v>50</v>
      </c>
    </row>
    <row r="8" spans="1:4" ht="25" customHeight="1" x14ac:dyDescent="0.3">
      <c r="A8" s="9">
        <v>1</v>
      </c>
      <c r="B8" s="11" t="s">
        <v>51</v>
      </c>
      <c r="C8" s="10" t="s">
        <v>49</v>
      </c>
      <c r="D8" s="23">
        <f>+'Details projection'!E17+'Details projection'!E18</f>
        <v>1717458207</v>
      </c>
    </row>
    <row r="9" spans="1:4" ht="30" customHeight="1" x14ac:dyDescent="0.3">
      <c r="A9" s="12">
        <v>2</v>
      </c>
      <c r="B9" s="10" t="s">
        <v>53</v>
      </c>
      <c r="C9" s="15" t="s">
        <v>52</v>
      </c>
      <c r="D9" s="15">
        <f>+'Details projection'!E42</f>
        <v>2050706097</v>
      </c>
    </row>
    <row r="10" spans="1:4" ht="40" customHeight="1" x14ac:dyDescent="0.3">
      <c r="A10" s="25"/>
      <c r="B10" s="20" t="s">
        <v>58</v>
      </c>
      <c r="C10" s="20" t="s">
        <v>57</v>
      </c>
      <c r="D10" s="20">
        <f>+'Details projection'!E42</f>
        <v>2050706097</v>
      </c>
    </row>
    <row r="11" spans="1:4" ht="50" customHeight="1" x14ac:dyDescent="0.3">
      <c r="A11" s="26"/>
      <c r="B11" s="27" t="s">
        <v>42</v>
      </c>
      <c r="C11" s="26"/>
      <c r="D11" s="27">
        <f>+D6-D10</f>
        <v>182119826</v>
      </c>
    </row>
    <row r="12" spans="1:4" x14ac:dyDescent="0.3">
      <c r="D12" s="2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 projection</vt:lpstr>
      <vt:lpstr>Summary 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2026-02-27T12:39:41Z</cp:lastPrinted>
  <dcterms:created xsi:type="dcterms:W3CDTF">2025-08-31T11:43:08Z</dcterms:created>
  <dcterms:modified xsi:type="dcterms:W3CDTF">2026-03-11T11:07:21Z</dcterms:modified>
</cp:coreProperties>
</file>