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G11" i="1"/>
  <c r="E11" i="1"/>
  <c r="F11" i="1" s="1"/>
  <c r="H11" i="1" s="1"/>
  <c r="G10" i="1"/>
  <c r="G41" i="1" s="1"/>
  <c r="F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F41" i="1" l="1"/>
  <c r="H41" i="1" s="1"/>
  <c r="E41" i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<sst xmlns="http://schemas.openxmlformats.org/spreadsheetml/2006/main" count="66" uniqueCount="36">
  <si>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</si>
  <si>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</si>
  <si>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</si>
  <si>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</si>
  <si>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</si>
  <si>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</si>
  <si>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</si>
  <si>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</si>
  <si>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</si>
  <si>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</si>
  <si>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</si>
  <si>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</si>
  <si>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</si>
  <si>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</si>
  <si>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</si>
  <si>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</si>
  <si>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</si>
  <si>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</si>
  <si>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</si>
  <si>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</si>
  <si>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</si>
  <si>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</si>
  <si>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</si>
  <si>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</si>
  <si>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</si>
  <si>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</si>
  <si>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</si>
  <si>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</si>
  <si>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</si>
  <si>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</si>
  <si>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</si>
  <si>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</si>
  <si>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</si>
  <si>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ICPCs Musanze</t>
  </si>
  <si>
    <t>Daily Report of 08/04/2026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</si>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</sst>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B50" sqref="B50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33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34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320</v>
      </c>
      <c r="C10" s="55">
        <v>2124</v>
      </c>
      <c r="D10" s="56"/>
      <c r="E10" s="13">
        <f t="shared" si="3"/>
        <v>679680</v>
      </c>
      <c r="F10" s="13">
        <f t="shared" si="4"/>
        <v>103680</v>
      </c>
      <c r="G10" s="13">
        <f>PRODUCT(B10*30)</f>
        <v>9600</v>
      </c>
      <c r="H10" s="14">
        <f t="shared" si="5"/>
        <v>113280</v>
      </c>
    </row>
    <row r="11" spans="1:8">
      <c r="A11" s="10" t="s">
        <v>12</v>
      </c>
      <c r="B11" s="11">
        <v>80</v>
      </c>
      <c r="C11" s="55">
        <v>944</v>
      </c>
      <c r="D11" s="56"/>
      <c r="E11" s="13">
        <f t="shared" si="3"/>
        <v>75520</v>
      </c>
      <c r="F11" s="13">
        <f t="shared" si="4"/>
        <v>11520</v>
      </c>
      <c r="G11" s="13">
        <f>PRODUCT(B11*20)</f>
        <v>1600</v>
      </c>
      <c r="H11" s="14">
        <f t="shared" si="5"/>
        <v>13120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755200</v>
      </c>
      <c r="F41" s="32">
        <f>SUM(F6:F40)</f>
        <v>115200</v>
      </c>
      <c r="G41" s="32">
        <f>SUM(G6:G40)</f>
        <v>11200</v>
      </c>
      <c r="H41" s="33">
        <f t="shared" si="19"/>
        <v>126400</v>
      </c>
    </row>
    <row r="42" spans="1:8">
      <c r="A42" s="60" t="s">
        <v>20</v>
      </c>
      <c r="B42" s="61"/>
      <c r="C42" s="34">
        <v>91420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>
        <v>34980</v>
      </c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126400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2026-04-09T09:02:35Z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