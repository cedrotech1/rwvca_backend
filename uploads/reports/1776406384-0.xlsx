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6640" tabRatio="965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G37" i="26" s="1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G25" i="8"/>
  <c r="F25" i="8"/>
  <c r="E25" i="8"/>
  <c r="G24" i="8"/>
  <c r="E24" i="8"/>
  <c r="F24" i="8" s="1"/>
  <c r="G23" i="8"/>
  <c r="E23" i="8"/>
  <c r="F23" i="8" s="1"/>
  <c r="G22" i="8"/>
  <c r="E22" i="8"/>
  <c r="F22" i="8" s="1"/>
  <c r="G21" i="8"/>
  <c r="E21" i="8"/>
  <c r="F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G17" i="8"/>
  <c r="E17" i="8"/>
  <c r="F17" i="8" s="1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E37" i="25" l="1"/>
  <c r="H26" i="8"/>
  <c r="H24" i="8"/>
  <c r="H23" i="8"/>
  <c r="H21" i="8"/>
  <c r="H18" i="8"/>
  <c r="H17" i="8"/>
  <c r="H11" i="8"/>
  <c r="H8" i="8"/>
  <c r="H7" i="8"/>
  <c r="H17" i="25"/>
  <c r="E62" i="25"/>
  <c r="G37" i="25"/>
  <c r="D5" i="21"/>
  <c r="F6" i="28"/>
  <c r="F6" i="27"/>
  <c r="H6" i="26"/>
  <c r="H37" i="26" s="1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6" i="28" l="1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<sst xmlns="http://schemas.openxmlformats.org/spreadsheetml/2006/main" count="2010" uniqueCount="92">
  <si>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</si>
  <si>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</si>
  <si>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</si>
  <si>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</si>
  <si>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</si>
  <si>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</si>
  <si>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</si>
  <si>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</si>
  <si>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</si>
  <si>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</si>
  <si>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</si>
  <si>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</si>
  <si>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</si>
  <si>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</si>
  <si>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</si>
  <si>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</si>
  <si>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</si>
  <si>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</si>
  <si>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</si>
  <si>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</si>
  <si>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</si>
  <si>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</si>
  <si>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</si>
  <si>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</si>
  <si>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</si>
  <si>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</si>
  <si>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</si>
  <si>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</si>
  <si>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</si>
  <si>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</si>
  <si>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</si>
  <si>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</si>
  <si>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</si>
  <si>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</si>
  <si>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</si>
  <si>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</si>
  <si>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</si>
  <si>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</si>
  <si>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</si>
  <si>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</si>
  <si>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</si>
  <si>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</si>
  <si>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</si>
  <si>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</si>
  <si>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</si>
  <si>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</si>
  <si>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</si>
  <si>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</si>
  <si>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</si>
  <si>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</si>
  <si>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</si>
  <si>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</si>
  <si>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</si>
  <si>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</si>
  <si>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</si>
  <si>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</si>
  <si>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</si>
  <si>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</si>
  <si>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</si>
  <si>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</si>
  <si>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</si>
  <si>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</si>
  <si>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</si>
  <si>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</si>
  <si>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</si>
  <si>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</si>
  <si>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</si>
  <si>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</si>
  <si>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</si>
  <si>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</si>
  <si>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</si>
  <si>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</si>
  <si>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</si>
  <si>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</si>
  <si>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</si>
  <si>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</si>
  <si>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</si>
  <si>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</si>
  <si>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</si>
  <si>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</si>
  <si>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</si>
  <si>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</si>
  <si>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</si>
  <si>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</si>
  <si>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</si>
  <si>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</si>
  <si>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</si>
  <si>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>MONTHS REPORT MARCH 2026</t>
  </si>
  <si>
    <t>IBIPANDE BYA PINUS</t>
  </si>
  <si>
    <t>MADRIEN NINI</t>
  </si>
  <si>
    <t>DECHETS</t>
  </si>
  <si>
    <t>QUARTERLY REPORT FROM JAN TO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</si>
</sst>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abSelected="1" zoomScale="80" zoomScaleNormal="80" workbookViewId="0">
      <selection activeCell="B5" sqref="B5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15103317.050847458</v>
      </c>
      <c r="C11" s="48">
        <f>MUHANGA!G37</f>
        <v>1294850</v>
      </c>
      <c r="D11" s="48">
        <f>MUHANGA!C43</f>
        <v>100000</v>
      </c>
      <c r="E11" s="48">
        <f>MUHANGA!C44</f>
        <v>0</v>
      </c>
      <c r="F11" s="50">
        <f t="shared" si="0"/>
        <v>16398167.050847458</v>
      </c>
      <c r="G11" s="47">
        <f>MUHANGA!C41</f>
        <v>0</v>
      </c>
      <c r="H11" s="48">
        <f>MUHANGA!C39</f>
        <v>16398167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27463548.050847456</v>
      </c>
      <c r="C29" s="70">
        <f t="shared" si="1"/>
        <v>2657860</v>
      </c>
      <c r="D29" s="71">
        <f t="shared" si="1"/>
        <v>150000</v>
      </c>
      <c r="E29" s="70">
        <f t="shared" si="1"/>
        <v>100000</v>
      </c>
      <c r="F29" s="70">
        <f>SUM(F5:F28)</f>
        <v>30121408.050847456</v>
      </c>
      <c r="G29" s="71">
        <f>SUM(G5:G28)</f>
        <v>0</v>
      </c>
      <c r="H29" s="71">
        <f>SUM(H5:H28)</f>
        <v>30121408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30121408.050847456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30121408.050847456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30121408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250000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30371408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30371408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C7" sqref="C7:D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" workbookViewId="0">
      <selection activeCell="B17" sqref="B1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>
      <c r="A3" s="210" t="s">
        <v>87</v>
      </c>
      <c r="B3" s="211"/>
      <c r="C3" s="211"/>
      <c r="D3" s="211"/>
      <c r="E3" s="211"/>
      <c r="F3" s="211"/>
      <c r="G3" s="211"/>
      <c r="H3" s="212"/>
      <c r="I3" s="208"/>
    </row>
    <row r="4" spans="1:9" ht="30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>
        <v>800</v>
      </c>
      <c r="D17" s="26">
        <v>20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>
        <v>839726</v>
      </c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839726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84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84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84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84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84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84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84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84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6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8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s="89" customFormat="1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3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22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22.5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24.65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22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22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22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22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3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>
        <v>2124</v>
      </c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85</v>
      </c>
      <c r="B3" s="211"/>
      <c r="C3" s="211"/>
      <c r="D3" s="211"/>
      <c r="E3" s="211"/>
      <c r="F3" s="211"/>
      <c r="G3" s="211"/>
      <c r="H3" s="212"/>
      <c r="I3" s="226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217">
        <v>5900</v>
      </c>
      <c r="D8" s="218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217">
        <v>2124</v>
      </c>
      <c r="D10" s="218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217">
        <v>1357</v>
      </c>
      <c r="D13" s="218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>
        <v>13723241</v>
      </c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>
        <v>50000</v>
      </c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>
        <v>100000</v>
      </c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13873241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34693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620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1837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1952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130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39232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0" workbookViewId="0">
      <selection activeCell="J38" sqref="J38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91</v>
      </c>
      <c r="B3" s="211"/>
      <c r="C3" s="211"/>
      <c r="D3" s="211"/>
      <c r="E3" s="211"/>
      <c r="F3" s="211"/>
      <c r="G3" s="211"/>
      <c r="H3" s="212"/>
      <c r="I3" s="226"/>
    </row>
    <row r="4" spans="1:9" ht="26.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>
        <v>685</v>
      </c>
      <c r="C6" s="215">
        <v>7670</v>
      </c>
      <c r="D6" s="216"/>
      <c r="E6" s="10">
        <f t="shared" ref="E6:E14" si="0">PRODUCT(B6*C6)</f>
        <v>5253950</v>
      </c>
      <c r="F6" s="10">
        <f t="shared" ref="F6:F14" si="1">PRODUCT(E6*18)/118</f>
        <v>801450</v>
      </c>
      <c r="G6" s="10">
        <f>PRODUCT(B6*50)</f>
        <v>34250</v>
      </c>
      <c r="H6" s="99">
        <f t="shared" ref="H6:H14" si="2">SUM(F6:G6)</f>
        <v>835700</v>
      </c>
      <c r="I6" s="226"/>
    </row>
    <row r="7" spans="1:9">
      <c r="A7" s="38" t="s">
        <v>45</v>
      </c>
      <c r="B7" s="9">
        <v>250</v>
      </c>
      <c r="C7" s="215">
        <v>5000</v>
      </c>
      <c r="D7" s="216"/>
      <c r="E7" s="10">
        <f t="shared" si="0"/>
        <v>1250000</v>
      </c>
      <c r="F7" s="10">
        <f t="shared" si="1"/>
        <v>190677.96610169491</v>
      </c>
      <c r="G7" s="10">
        <f>PRODUCT(B7*50)</f>
        <v>12500</v>
      </c>
      <c r="H7" s="99">
        <f t="shared" si="2"/>
        <v>203177.96610169491</v>
      </c>
      <c r="I7" s="226"/>
    </row>
    <row r="8" spans="1:9">
      <c r="A8" s="39" t="s">
        <v>88</v>
      </c>
      <c r="B8" s="11">
        <v>934</v>
      </c>
      <c r="C8" s="217">
        <v>2360</v>
      </c>
      <c r="D8" s="218"/>
      <c r="E8" s="12">
        <f t="shared" si="0"/>
        <v>2204240</v>
      </c>
      <c r="F8" s="12">
        <f t="shared" si="1"/>
        <v>336240</v>
      </c>
      <c r="G8" s="12">
        <f>PRODUCT(B8*50)</f>
        <v>46700</v>
      </c>
      <c r="H8" s="100">
        <f t="shared" si="2"/>
        <v>382940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3537</v>
      </c>
      <c r="C10" s="217">
        <v>2200</v>
      </c>
      <c r="D10" s="218"/>
      <c r="E10" s="12">
        <f t="shared" si="0"/>
        <v>7781400</v>
      </c>
      <c r="F10" s="12">
        <f t="shared" si="1"/>
        <v>1186993.220338983</v>
      </c>
      <c r="G10" s="12">
        <f>PRODUCT(B10*30)</f>
        <v>106110</v>
      </c>
      <c r="H10" s="100">
        <f t="shared" si="2"/>
        <v>1293103.220338983</v>
      </c>
      <c r="I10" s="226"/>
    </row>
    <row r="11" spans="1:9">
      <c r="A11" s="40" t="s">
        <v>66</v>
      </c>
      <c r="B11" s="11">
        <v>24698</v>
      </c>
      <c r="C11" s="217">
        <v>2596</v>
      </c>
      <c r="D11" s="218"/>
      <c r="E11" s="12">
        <f t="shared" si="0"/>
        <v>64116008</v>
      </c>
      <c r="F11" s="12">
        <f t="shared" si="1"/>
        <v>9780408</v>
      </c>
      <c r="G11" s="12">
        <f>PRODUCT(B11*30)</f>
        <v>740940</v>
      </c>
      <c r="H11" s="100">
        <f t="shared" si="2"/>
        <v>10521348</v>
      </c>
      <c r="I11" s="226"/>
    </row>
    <row r="12" spans="1:9">
      <c r="A12" s="40" t="s">
        <v>66</v>
      </c>
      <c r="B12" s="11">
        <v>600</v>
      </c>
      <c r="C12" s="217">
        <v>2500</v>
      </c>
      <c r="D12" s="218"/>
      <c r="E12" s="12">
        <f t="shared" si="0"/>
        <v>1500000</v>
      </c>
      <c r="F12" s="12">
        <f>PRODUCT(E12*18)/118</f>
        <v>228813.55932203389</v>
      </c>
      <c r="G12" s="12">
        <f>PRODUCT(B12*30)</f>
        <v>18000</v>
      </c>
      <c r="H12" s="100">
        <f t="shared" si="2"/>
        <v>246813.55932203389</v>
      </c>
      <c r="I12" s="226"/>
    </row>
    <row r="13" spans="1:9">
      <c r="A13" s="40" t="s">
        <v>60</v>
      </c>
      <c r="B13" s="11">
        <v>1311</v>
      </c>
      <c r="C13" s="217">
        <v>1416</v>
      </c>
      <c r="D13" s="218"/>
      <c r="E13" s="12">
        <f t="shared" si="0"/>
        <v>1856376</v>
      </c>
      <c r="F13" s="12">
        <f t="shared" si="1"/>
        <v>283176</v>
      </c>
      <c r="G13" s="12">
        <f>PRODUCT(B13*20)</f>
        <v>26220</v>
      </c>
      <c r="H13" s="100">
        <f t="shared" si="2"/>
        <v>309396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>
        <v>9309</v>
      </c>
      <c r="C17" s="26">
        <v>1180</v>
      </c>
      <c r="D17" s="26">
        <v>20</v>
      </c>
      <c r="E17" s="19">
        <f>PRODUCT(B17*C17)</f>
        <v>10984620</v>
      </c>
      <c r="F17" s="16">
        <f t="shared" ref="F17:F36" si="3">PRODUCT(E17*18)/118</f>
        <v>1675620</v>
      </c>
      <c r="G17" s="94">
        <f>PRODUCT(B17*D17)</f>
        <v>186180</v>
      </c>
      <c r="H17" s="102">
        <f>SUM(F17:G17)</f>
        <v>1861800</v>
      </c>
      <c r="I17" s="226"/>
    </row>
    <row r="18" spans="1:9" ht="15" thickBot="1">
      <c r="A18" s="34" t="s">
        <v>63</v>
      </c>
      <c r="B18" s="27">
        <v>2583</v>
      </c>
      <c r="C18" s="27">
        <v>1000</v>
      </c>
      <c r="D18" s="27">
        <v>20</v>
      </c>
      <c r="E18" s="20">
        <f t="shared" ref="E18:E22" si="4">PRODUCT(B18*C18)</f>
        <v>2583000</v>
      </c>
      <c r="F18" s="17">
        <f t="shared" si="3"/>
        <v>394016.94915254239</v>
      </c>
      <c r="G18" s="15">
        <f t="shared" ref="G18:G22" si="5">PRODUCT(B18*D18)</f>
        <v>51660</v>
      </c>
      <c r="H18" s="103">
        <f t="shared" ref="H18:H22" si="6">SUM(F18:G18)</f>
        <v>445676.94915254239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89</v>
      </c>
      <c r="B21" s="13">
        <v>276</v>
      </c>
      <c r="C21" s="13">
        <v>3800</v>
      </c>
      <c r="D21" s="13">
        <v>50</v>
      </c>
      <c r="E21" s="20">
        <f t="shared" si="4"/>
        <v>1048800</v>
      </c>
      <c r="F21" s="17">
        <f t="shared" si="3"/>
        <v>159986.44067796611</v>
      </c>
      <c r="G21" s="15">
        <f t="shared" si="5"/>
        <v>13800</v>
      </c>
      <c r="H21" s="103">
        <f t="shared" si="6"/>
        <v>173786.44067796611</v>
      </c>
      <c r="I21" s="226"/>
    </row>
    <row r="22" spans="1:9" ht="15" thickBot="1">
      <c r="A22" s="36" t="s">
        <v>90</v>
      </c>
      <c r="B22" s="13">
        <v>20</v>
      </c>
      <c r="C22" s="13">
        <v>10000</v>
      </c>
      <c r="D22" s="13">
        <v>2000</v>
      </c>
      <c r="E22" s="20">
        <f t="shared" si="4"/>
        <v>200000</v>
      </c>
      <c r="F22" s="17">
        <f t="shared" si="3"/>
        <v>30508.474576271186</v>
      </c>
      <c r="G22" s="95">
        <f t="shared" si="5"/>
        <v>40000</v>
      </c>
      <c r="H22" s="104">
        <f t="shared" si="6"/>
        <v>70508.474576271183</v>
      </c>
      <c r="I22" s="226"/>
    </row>
    <row r="23" spans="1:9" ht="15" thickBot="1">
      <c r="A23" s="36" t="s">
        <v>63</v>
      </c>
      <c r="B23" s="28">
        <v>200</v>
      </c>
      <c r="C23" s="28">
        <v>800</v>
      </c>
      <c r="D23" s="28">
        <v>20</v>
      </c>
      <c r="E23" s="20">
        <f>PRODUCT(B23*C23)</f>
        <v>160000</v>
      </c>
      <c r="F23" s="17">
        <f t="shared" si="3"/>
        <v>24406.77966101695</v>
      </c>
      <c r="G23" s="15">
        <f>PRODUCT(B23*D23)</f>
        <v>4000</v>
      </c>
      <c r="H23" s="103">
        <f>SUM(F23:G23)</f>
        <v>28406.77966101695</v>
      </c>
      <c r="I23" s="226"/>
    </row>
    <row r="24" spans="1:9" ht="15" thickBot="1">
      <c r="A24" s="36" t="s">
        <v>66</v>
      </c>
      <c r="B24" s="27">
        <v>40</v>
      </c>
      <c r="C24" s="27">
        <v>1806</v>
      </c>
      <c r="D24" s="27">
        <v>30</v>
      </c>
      <c r="E24" s="20">
        <f t="shared" ref="E24:E36" si="7">PRODUCT(B24*C24)</f>
        <v>72240</v>
      </c>
      <c r="F24" s="17">
        <f t="shared" si="3"/>
        <v>11019.661016949152</v>
      </c>
      <c r="G24" s="95">
        <f t="shared" ref="G24:G36" si="8">PRODUCT(B24*D24)</f>
        <v>1200</v>
      </c>
      <c r="H24" s="104">
        <f t="shared" ref="H24:H36" si="9">SUM(F24:G24)</f>
        <v>12219.661016949152</v>
      </c>
      <c r="I24" s="226"/>
    </row>
    <row r="25" spans="1:9" ht="15" thickBot="1">
      <c r="A25" s="36" t="s">
        <v>46</v>
      </c>
      <c r="B25" s="13">
        <v>168</v>
      </c>
      <c r="C25" s="13"/>
      <c r="D25" s="13">
        <v>50</v>
      </c>
      <c r="E25" s="20">
        <f t="shared" si="7"/>
        <v>0</v>
      </c>
      <c r="F25" s="17">
        <f t="shared" si="3"/>
        <v>0</v>
      </c>
      <c r="G25" s="15">
        <f t="shared" si="8"/>
        <v>8400</v>
      </c>
      <c r="H25" s="103">
        <f t="shared" si="9"/>
        <v>8400</v>
      </c>
      <c r="I25" s="226"/>
    </row>
    <row r="26" spans="1:9" ht="15" thickBot="1">
      <c r="A26" s="36" t="s">
        <v>66</v>
      </c>
      <c r="B26" s="13">
        <v>163</v>
      </c>
      <c r="C26" s="13"/>
      <c r="D26" s="13">
        <v>30</v>
      </c>
      <c r="E26" s="20">
        <f t="shared" si="7"/>
        <v>0</v>
      </c>
      <c r="F26" s="17">
        <f t="shared" si="3"/>
        <v>0</v>
      </c>
      <c r="G26" s="94">
        <f t="shared" si="8"/>
        <v>4890</v>
      </c>
      <c r="H26" s="102">
        <f t="shared" si="9"/>
        <v>4890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99010634</v>
      </c>
      <c r="F37" s="24">
        <f>SUM(F5:F36)</f>
        <v>15103317.050847458</v>
      </c>
      <c r="G37" s="24">
        <f t="shared" ref="G37:H37" si="10">SUM(G5:G36)</f>
        <v>1294850</v>
      </c>
      <c r="H37" s="24">
        <f t="shared" si="10"/>
        <v>16398167.050847458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thickBot="1">
      <c r="A39" s="197" t="s">
        <v>68</v>
      </c>
      <c r="B39" s="198"/>
      <c r="C39" s="55">
        <v>16398167</v>
      </c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>
        <v>100000</v>
      </c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16498167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28835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1869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1311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11892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43907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3.1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21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5.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9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2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s="43" customFormat="1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34.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27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9.15" customHeight="1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5" customHeight="1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customHeight="1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customHeight="1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customHeight="1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customHeight="1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customHeight="1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customHeight="1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customHeight="1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customHeight="1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customHeight="1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customHeight="1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customHeight="1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customHeight="1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customHeight="1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4.5" customHeight="1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1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4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5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4.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customHeight="1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25"/>
    </row>
    <row r="2" spans="1:9" ht="15" customHeight="1" thickBot="1">
      <c r="A2" s="205"/>
      <c r="B2" s="206"/>
      <c r="C2" s="206"/>
      <c r="D2" s="206"/>
      <c r="E2" s="206"/>
      <c r="F2" s="206"/>
      <c r="G2" s="206"/>
      <c r="H2" s="206"/>
      <c r="I2" s="226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26"/>
    </row>
    <row r="4" spans="1:9" ht="15" customHeight="1" thickBot="1">
      <c r="A4" s="205"/>
      <c r="B4" s="206"/>
      <c r="C4" s="206"/>
      <c r="D4" s="206"/>
      <c r="E4" s="206"/>
      <c r="F4" s="206"/>
      <c r="G4" s="206"/>
      <c r="H4" s="206"/>
      <c r="I4" s="226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26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26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26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26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26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26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26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26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6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6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26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26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26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26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26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26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26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26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26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26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26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26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26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26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26"/>
    </row>
    <row r="63" spans="1:9" ht="19" thickBot="1">
      <c r="A63" s="173"/>
      <c r="B63" s="174"/>
      <c r="C63" s="161"/>
      <c r="D63" s="162"/>
      <c r="E63" s="163"/>
      <c r="F63" s="164"/>
      <c r="G63" s="164"/>
      <c r="H63" s="164"/>
      <c r="I63" s="226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19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0.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4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7.6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1.65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203" t="s">
        <v>55</v>
      </c>
      <c r="B1" s="204"/>
      <c r="C1" s="204"/>
      <c r="D1" s="204"/>
      <c r="E1" s="204"/>
      <c r="F1" s="204"/>
      <c r="G1" s="204"/>
      <c r="H1" s="204"/>
      <c r="I1" s="207"/>
    </row>
    <row r="2" spans="1:9" ht="20.5" customHeight="1" thickBot="1">
      <c r="A2" s="205"/>
      <c r="B2" s="206"/>
      <c r="C2" s="206"/>
      <c r="D2" s="206"/>
      <c r="E2" s="206"/>
      <c r="F2" s="206"/>
      <c r="G2" s="206"/>
      <c r="H2" s="206"/>
      <c r="I2" s="208"/>
    </row>
    <row r="3" spans="1:9" ht="14.5" customHeight="1">
      <c r="A3" s="210" t="s">
        <v>80</v>
      </c>
      <c r="B3" s="211"/>
      <c r="C3" s="211"/>
      <c r="D3" s="211"/>
      <c r="E3" s="211"/>
      <c r="F3" s="211"/>
      <c r="G3" s="211"/>
      <c r="H3" s="212"/>
      <c r="I3" s="208"/>
    </row>
    <row r="4" spans="1:9" ht="22" customHeight="1" thickBot="1">
      <c r="A4" s="205"/>
      <c r="B4" s="206"/>
      <c r="C4" s="206"/>
      <c r="D4" s="206"/>
      <c r="E4" s="206"/>
      <c r="F4" s="206"/>
      <c r="G4" s="206"/>
      <c r="H4" s="206"/>
      <c r="I4" s="208"/>
    </row>
    <row r="5" spans="1:9" ht="15" thickBot="1">
      <c r="A5" s="98" t="s">
        <v>38</v>
      </c>
      <c r="B5" s="30" t="s">
        <v>39</v>
      </c>
      <c r="C5" s="213" t="s">
        <v>40</v>
      </c>
      <c r="D5" s="214"/>
      <c r="E5" s="30" t="s">
        <v>41</v>
      </c>
      <c r="F5" s="31" t="s">
        <v>42</v>
      </c>
      <c r="G5" s="30" t="s">
        <v>43</v>
      </c>
      <c r="H5" s="31" t="s">
        <v>8</v>
      </c>
      <c r="I5" s="208"/>
    </row>
    <row r="6" spans="1:9">
      <c r="A6" s="38" t="s">
        <v>44</v>
      </c>
      <c r="B6" s="9"/>
      <c r="C6" s="215"/>
      <c r="D6" s="216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08"/>
    </row>
    <row r="7" spans="1:9">
      <c r="A7" s="38" t="s">
        <v>45</v>
      </c>
      <c r="B7" s="9"/>
      <c r="C7" s="215"/>
      <c r="D7" s="216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08"/>
    </row>
    <row r="8" spans="1:9">
      <c r="A8" s="39" t="s">
        <v>46</v>
      </c>
      <c r="B8" s="11"/>
      <c r="C8" s="217"/>
      <c r="D8" s="218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08"/>
    </row>
    <row r="9" spans="1:9">
      <c r="A9" s="39" t="s">
        <v>47</v>
      </c>
      <c r="B9" s="11"/>
      <c r="C9" s="217"/>
      <c r="D9" s="218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08"/>
    </row>
    <row r="10" spans="1:9">
      <c r="A10" s="39" t="s">
        <v>48</v>
      </c>
      <c r="B10" s="11"/>
      <c r="C10" s="217"/>
      <c r="D10" s="218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08"/>
    </row>
    <row r="11" spans="1:9">
      <c r="A11" s="40" t="s">
        <v>66</v>
      </c>
      <c r="B11" s="11"/>
      <c r="C11" s="217"/>
      <c r="D11" s="218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08"/>
    </row>
    <row r="12" spans="1:9">
      <c r="A12" s="40" t="s">
        <v>66</v>
      </c>
      <c r="B12" s="11"/>
      <c r="C12" s="217"/>
      <c r="D12" s="218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08"/>
    </row>
    <row r="13" spans="1:9">
      <c r="A13" s="40" t="s">
        <v>60</v>
      </c>
      <c r="B13" s="11"/>
      <c r="C13" s="217"/>
      <c r="D13" s="218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08"/>
    </row>
    <row r="14" spans="1:9" ht="15" thickBot="1">
      <c r="A14" s="41" t="s">
        <v>60</v>
      </c>
      <c r="B14" s="11"/>
      <c r="C14" s="217"/>
      <c r="D14" s="218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08"/>
    </row>
    <row r="15" spans="1:9" ht="26.5" thickBot="1">
      <c r="A15" s="219" t="s">
        <v>49</v>
      </c>
      <c r="B15" s="220"/>
      <c r="C15" s="220"/>
      <c r="D15" s="220"/>
      <c r="E15" s="220"/>
      <c r="F15" s="220"/>
      <c r="G15" s="220"/>
      <c r="H15" s="220"/>
      <c r="I15" s="20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0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0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0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0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0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0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0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0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0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0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0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0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0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0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0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0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0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0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0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0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0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08"/>
    </row>
    <row r="38" spans="1:9" ht="14.5" customHeight="1" thickBot="1">
      <c r="A38" s="221" t="s">
        <v>78</v>
      </c>
      <c r="B38" s="222"/>
      <c r="C38" s="63" t="s">
        <v>72</v>
      </c>
      <c r="D38" s="54"/>
      <c r="E38" s="223" t="s">
        <v>70</v>
      </c>
      <c r="F38" s="224"/>
      <c r="G38" s="62" t="s">
        <v>71</v>
      </c>
      <c r="H38" s="107" t="s">
        <v>72</v>
      </c>
      <c r="I38" s="208"/>
    </row>
    <row r="39" spans="1:9" ht="15" customHeight="1" thickBot="1">
      <c r="A39" s="197" t="s">
        <v>68</v>
      </c>
      <c r="B39" s="198"/>
      <c r="C39" s="55"/>
      <c r="D39" s="58"/>
      <c r="E39" s="199"/>
      <c r="F39" s="199"/>
      <c r="G39" s="61"/>
      <c r="H39" s="108"/>
      <c r="I39" s="208"/>
    </row>
    <row r="40" spans="1:9" ht="15" thickBot="1">
      <c r="A40" s="200" t="s">
        <v>69</v>
      </c>
      <c r="B40" s="201"/>
      <c r="C40" s="51"/>
      <c r="D40" s="59"/>
      <c r="E40" s="202"/>
      <c r="F40" s="202"/>
      <c r="G40" s="60"/>
      <c r="H40" s="109"/>
      <c r="I40" s="208"/>
    </row>
    <row r="41" spans="1:9" ht="15" thickBot="1">
      <c r="A41" s="200" t="s">
        <v>73</v>
      </c>
      <c r="B41" s="201"/>
      <c r="C41" s="52"/>
      <c r="D41" s="58"/>
      <c r="E41" s="196"/>
      <c r="F41" s="196"/>
      <c r="G41" s="60"/>
      <c r="H41" s="109"/>
      <c r="I41" s="208"/>
    </row>
    <row r="42" spans="1:9" ht="15" thickBot="1">
      <c r="A42" s="193" t="s">
        <v>74</v>
      </c>
      <c r="B42" s="194"/>
      <c r="C42" s="53"/>
      <c r="D42" s="56"/>
      <c r="E42" s="195"/>
      <c r="F42" s="196"/>
      <c r="G42" s="11"/>
      <c r="H42" s="109"/>
      <c r="I42" s="208"/>
    </row>
    <row r="43" spans="1:9" ht="15" thickBot="1">
      <c r="A43" s="179" t="s">
        <v>75</v>
      </c>
      <c r="B43" s="180"/>
      <c r="C43" s="90"/>
      <c r="D43" s="56"/>
      <c r="E43" s="195"/>
      <c r="F43" s="196"/>
      <c r="G43" s="11"/>
      <c r="H43" s="109"/>
      <c r="I43" s="208"/>
    </row>
    <row r="44" spans="1:9" ht="15" thickBot="1">
      <c r="A44" s="179" t="s">
        <v>76</v>
      </c>
      <c r="B44" s="180"/>
      <c r="C44" s="90"/>
      <c r="D44" s="57"/>
      <c r="E44" s="195"/>
      <c r="F44" s="196"/>
      <c r="G44" s="11"/>
      <c r="H44" s="109"/>
      <c r="I44" s="208"/>
    </row>
    <row r="45" spans="1:9" ht="15" thickBot="1">
      <c r="A45" s="179" t="s">
        <v>77</v>
      </c>
      <c r="B45" s="180"/>
      <c r="C45" s="91">
        <f>SUM(C39+C40+C41+C42+C43+C44)</f>
        <v>0</v>
      </c>
      <c r="D45" s="92"/>
      <c r="E45" s="181"/>
      <c r="F45" s="182"/>
      <c r="G45" s="93"/>
      <c r="H45" s="110"/>
      <c r="I45" s="208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08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08"/>
    </row>
    <row r="48" spans="1:9" ht="24" thickBot="1">
      <c r="A48" s="187" t="s">
        <v>9</v>
      </c>
      <c r="B48" s="188"/>
      <c r="C48" s="189" t="s">
        <v>58</v>
      </c>
      <c r="D48" s="190"/>
      <c r="E48" s="191" t="s">
        <v>59</v>
      </c>
      <c r="F48" s="192"/>
      <c r="G48" s="192"/>
      <c r="H48" s="192"/>
      <c r="I48" s="208"/>
    </row>
    <row r="49" spans="1:9" ht="19" thickBot="1">
      <c r="A49" s="169"/>
      <c r="B49" s="170"/>
      <c r="C49" s="175" t="s">
        <v>61</v>
      </c>
      <c r="D49" s="176"/>
      <c r="E49" s="177">
        <f>SUM(B9:B12)</f>
        <v>0</v>
      </c>
      <c r="F49" s="178"/>
      <c r="G49" s="178"/>
      <c r="H49" s="178"/>
      <c r="I49" s="208"/>
    </row>
    <row r="50" spans="1:9" ht="19" thickBot="1">
      <c r="A50" s="171"/>
      <c r="B50" s="172"/>
      <c r="C50" s="175" t="s">
        <v>46</v>
      </c>
      <c r="D50" s="176"/>
      <c r="E50" s="177">
        <f>SUM(B6:B8)</f>
        <v>0</v>
      </c>
      <c r="F50" s="178"/>
      <c r="G50" s="178"/>
      <c r="H50" s="178"/>
      <c r="I50" s="208"/>
    </row>
    <row r="51" spans="1:9" ht="19" thickBot="1">
      <c r="A51" s="171"/>
      <c r="B51" s="172"/>
      <c r="C51" s="175" t="s">
        <v>62</v>
      </c>
      <c r="D51" s="176"/>
      <c r="E51" s="177">
        <f>SUM(B13:B14)</f>
        <v>0</v>
      </c>
      <c r="F51" s="178"/>
      <c r="G51" s="178"/>
      <c r="H51" s="178"/>
      <c r="I51" s="208"/>
    </row>
    <row r="52" spans="1:9" ht="19" thickBot="1">
      <c r="A52" s="171"/>
      <c r="B52" s="172"/>
      <c r="C52" s="157" t="s">
        <v>63</v>
      </c>
      <c r="D52" s="158"/>
      <c r="E52" s="159">
        <f>SUM(B17:B18)</f>
        <v>0</v>
      </c>
      <c r="F52" s="160"/>
      <c r="G52" s="160"/>
      <c r="H52" s="160"/>
      <c r="I52" s="208"/>
    </row>
    <row r="53" spans="1:9" ht="19" thickBot="1">
      <c r="A53" s="171"/>
      <c r="B53" s="172"/>
      <c r="C53" s="157" t="s">
        <v>64</v>
      </c>
      <c r="D53" s="158"/>
      <c r="E53" s="159">
        <f>SUM(B19:B20)</f>
        <v>0</v>
      </c>
      <c r="F53" s="160"/>
      <c r="G53" s="160"/>
      <c r="H53" s="160"/>
      <c r="I53" s="208"/>
    </row>
    <row r="54" spans="1:9" ht="19" thickBot="1">
      <c r="A54" s="171"/>
      <c r="B54" s="172"/>
      <c r="C54" s="157" t="s">
        <v>56</v>
      </c>
      <c r="D54" s="158"/>
      <c r="E54" s="159">
        <f>B29</f>
        <v>0</v>
      </c>
      <c r="F54" s="160"/>
      <c r="G54" s="160"/>
      <c r="H54" s="160"/>
      <c r="I54" s="208"/>
    </row>
    <row r="55" spans="1:9" ht="19" thickBot="1">
      <c r="A55" s="171"/>
      <c r="B55" s="172"/>
      <c r="C55" s="157" t="s">
        <v>56</v>
      </c>
      <c r="D55" s="158"/>
      <c r="E55" s="159">
        <f t="shared" ref="E55:E61" si="11">B30</f>
        <v>0</v>
      </c>
      <c r="F55" s="160"/>
      <c r="G55" s="160"/>
      <c r="H55" s="160"/>
      <c r="I55" s="208"/>
    </row>
    <row r="56" spans="1:9" ht="19" thickBot="1">
      <c r="A56" s="171"/>
      <c r="B56" s="172"/>
      <c r="C56" s="157" t="s">
        <v>56</v>
      </c>
      <c r="D56" s="158"/>
      <c r="E56" s="159">
        <f t="shared" si="11"/>
        <v>0</v>
      </c>
      <c r="F56" s="160"/>
      <c r="G56" s="160"/>
      <c r="H56" s="160"/>
      <c r="I56" s="208"/>
    </row>
    <row r="57" spans="1:9" ht="19" thickBot="1">
      <c r="A57" s="171"/>
      <c r="B57" s="172"/>
      <c r="C57" s="157" t="s">
        <v>56</v>
      </c>
      <c r="D57" s="158"/>
      <c r="E57" s="159">
        <f t="shared" si="11"/>
        <v>0</v>
      </c>
      <c r="F57" s="160"/>
      <c r="G57" s="160"/>
      <c r="H57" s="160"/>
      <c r="I57" s="208"/>
    </row>
    <row r="58" spans="1:9" ht="19" thickBot="1">
      <c r="A58" s="171"/>
      <c r="B58" s="172"/>
      <c r="C58" s="157" t="s">
        <v>56</v>
      </c>
      <c r="D58" s="158"/>
      <c r="E58" s="159">
        <f t="shared" si="11"/>
        <v>0</v>
      </c>
      <c r="F58" s="160"/>
      <c r="G58" s="160"/>
      <c r="H58" s="160"/>
      <c r="I58" s="208"/>
    </row>
    <row r="59" spans="1:9" ht="19" thickBot="1">
      <c r="A59" s="171"/>
      <c r="B59" s="172"/>
      <c r="C59" s="157" t="s">
        <v>56</v>
      </c>
      <c r="D59" s="158"/>
      <c r="E59" s="159">
        <f t="shared" si="11"/>
        <v>0</v>
      </c>
      <c r="F59" s="160"/>
      <c r="G59" s="160"/>
      <c r="H59" s="160"/>
      <c r="I59" s="208"/>
    </row>
    <row r="60" spans="1:9" ht="19" thickBot="1">
      <c r="A60" s="171"/>
      <c r="B60" s="172"/>
      <c r="C60" s="157" t="s">
        <v>56</v>
      </c>
      <c r="D60" s="158"/>
      <c r="E60" s="159">
        <f t="shared" si="11"/>
        <v>0</v>
      </c>
      <c r="F60" s="160"/>
      <c r="G60" s="160"/>
      <c r="H60" s="160"/>
      <c r="I60" s="208"/>
    </row>
    <row r="61" spans="1:9" ht="19" thickBot="1">
      <c r="A61" s="171"/>
      <c r="B61" s="172"/>
      <c r="C61" s="157" t="s">
        <v>56</v>
      </c>
      <c r="D61" s="158"/>
      <c r="E61" s="159">
        <f t="shared" si="11"/>
        <v>0</v>
      </c>
      <c r="F61" s="160"/>
      <c r="G61" s="160"/>
      <c r="H61" s="160"/>
      <c r="I61" s="208"/>
    </row>
    <row r="62" spans="1:9" ht="32.5" thickBot="1">
      <c r="A62" s="171"/>
      <c r="B62" s="172"/>
      <c r="C62" s="157" t="s">
        <v>65</v>
      </c>
      <c r="D62" s="158"/>
      <c r="E62" s="167">
        <f>SUM(E49:H61)</f>
        <v>0</v>
      </c>
      <c r="F62" s="168"/>
      <c r="G62" s="168"/>
      <c r="H62" s="168"/>
      <c r="I62" s="208"/>
    </row>
    <row r="63" spans="1:9" ht="19" thickBot="1">
      <c r="A63" s="173"/>
      <c r="B63" s="174"/>
      <c r="C63" s="228"/>
      <c r="D63" s="229"/>
      <c r="E63" s="230"/>
      <c r="F63" s="231"/>
      <c r="G63" s="231"/>
      <c r="H63" s="231"/>
      <c r="I63" s="208"/>
    </row>
    <row r="64" spans="1:9" ht="15" thickBot="1">
      <c r="A64" s="165"/>
      <c r="B64" s="166"/>
      <c r="C64" s="166"/>
      <c r="D64" s="166"/>
      <c r="E64" s="166"/>
      <c r="F64" s="166"/>
      <c r="G64" s="166"/>
      <c r="H64" s="166"/>
      <c r="I64" s="20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38"/>
    </row>
    <row r="2" spans="1:7" ht="15" thickBot="1">
      <c r="A2" s="185"/>
      <c r="B2" s="186"/>
      <c r="C2" s="186"/>
      <c r="D2" s="186"/>
      <c r="E2" s="186"/>
      <c r="F2" s="186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63528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2489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3148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13844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5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5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83139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2026-04-17T06:10:17Z</dcterms:modified>
</cp:coreProperties>
</file>