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7" i="1" l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<sst xmlns="http://schemas.openxmlformats.org/spreadsheetml/2006/main" count="65" uniqueCount="47">
  <si>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</si>
  <si>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</si>
  <si>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</si>
  <si>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</si>
  <si>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</si>
  <si>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</si>
  <si>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</si>
  <si>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</si>
  <si>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</si>
  <si>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</si>
  <si>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</si>
  <si>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</si>
  <si>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</si>
  <si>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</si>
  <si>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</si>
  <si>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</si>
  <si>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</si>
  <si>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</si>
  <si>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</si>
  <si>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</si>
  <si>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</si>
  <si>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</si>
  <si>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</si>
  <si>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</si>
  <si>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</si>
  <si>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</si>
  <si>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</si>
  <si>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</si>
  <si>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</si>
  <si>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</si>
  <si>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</si>
  <si>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</si>
  <si>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</si>
  <si>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</si>
  <si>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</si>
  <si>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</si>
  <si>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</si>
  <si>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</si>
  <si>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</si>
  <si>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</si>
  <si>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</si>
  <si>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</si>
  <si>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</si>
  <si>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</si>
  <si>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</si>
  <si>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</si>
  <si>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-09/07/2026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</si>
</sst>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I1" sqref="I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63" t="s">
        <v>0</v>
      </c>
      <c r="B1" s="64"/>
      <c r="C1" s="64"/>
      <c r="D1" s="64"/>
      <c r="E1" s="64"/>
      <c r="F1" s="64"/>
      <c r="G1" s="64"/>
      <c r="H1" s="65"/>
    </row>
    <row r="2" spans="1:8" ht="12.65" customHeight="1">
      <c r="A2" s="66"/>
      <c r="B2" s="67"/>
      <c r="C2" s="67"/>
      <c r="D2" s="67"/>
      <c r="E2" s="67"/>
      <c r="F2" s="67"/>
      <c r="G2" s="67"/>
      <c r="H2" s="68"/>
    </row>
    <row r="3" spans="1:8" ht="13.15" customHeight="1">
      <c r="A3" s="69" t="s">
        <v>46</v>
      </c>
      <c r="B3" s="70"/>
      <c r="C3" s="70"/>
      <c r="D3" s="70"/>
      <c r="E3" s="70"/>
      <c r="F3" s="70"/>
      <c r="G3" s="70"/>
      <c r="H3" s="71"/>
    </row>
    <row r="4" spans="1:8">
      <c r="A4" s="72"/>
      <c r="B4" s="73"/>
      <c r="C4" s="73"/>
      <c r="D4" s="73"/>
      <c r="E4" s="73"/>
      <c r="F4" s="73"/>
      <c r="G4" s="73"/>
      <c r="H4" s="74"/>
    </row>
    <row r="5" spans="1:8">
      <c r="A5" s="2"/>
      <c r="B5" s="2" t="s">
        <v>1</v>
      </c>
      <c r="C5" s="91" t="s">
        <v>2</v>
      </c>
      <c r="D5" s="9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93">
        <v>8850</v>
      </c>
      <c r="D6" s="9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93">
        <v>7670</v>
      </c>
      <c r="D7" s="9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89">
        <v>2360</v>
      </c>
      <c r="D8" s="90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89">
        <v>4130</v>
      </c>
      <c r="D9" s="90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430</v>
      </c>
      <c r="C10" s="89">
        <v>2360</v>
      </c>
      <c r="D10" s="90"/>
      <c r="E10" s="13">
        <f t="shared" si="3"/>
        <v>1014800</v>
      </c>
      <c r="F10" s="13">
        <f t="shared" si="4"/>
        <v>154800</v>
      </c>
      <c r="G10" s="13">
        <f>PRODUCT(B10*30)</f>
        <v>12900</v>
      </c>
      <c r="H10" s="14">
        <f t="shared" si="5"/>
        <v>167700</v>
      </c>
    </row>
    <row r="11" spans="1:8">
      <c r="A11" s="10" t="s">
        <v>12</v>
      </c>
      <c r="B11" s="11"/>
      <c r="C11" s="89">
        <v>1534</v>
      </c>
      <c r="D11" s="90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13</v>
      </c>
      <c r="B12" s="11"/>
      <c r="C12" s="89">
        <v>1770</v>
      </c>
      <c r="D12" s="90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89">
        <v>2124</v>
      </c>
      <c r="D13" s="90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89">
        <v>2124</v>
      </c>
      <c r="D14" s="90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3"/>
      <c r="B15" s="84"/>
      <c r="C15" s="84"/>
      <c r="D15" s="84"/>
      <c r="E15" s="84"/>
      <c r="F15" s="84"/>
      <c r="G15" s="84"/>
      <c r="H15" s="85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>
        <v>153</v>
      </c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59670</v>
      </c>
      <c r="H19" s="14">
        <f t="shared" si="9"/>
        <v>59670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1014800</v>
      </c>
      <c r="F41" s="36">
        <f>SUM(F6:F40)</f>
        <v>154800</v>
      </c>
      <c r="G41" s="36">
        <f>SUM(G6:G40)</f>
        <v>72570</v>
      </c>
      <c r="H41" s="37">
        <f t="shared" si="19"/>
        <v>227370</v>
      </c>
    </row>
    <row r="42" spans="1:8">
      <c r="A42" s="75" t="s">
        <v>34</v>
      </c>
      <c r="B42" s="76"/>
      <c r="C42" s="38">
        <v>227370</v>
      </c>
      <c r="D42" s="39"/>
      <c r="E42" s="86" t="s">
        <v>35</v>
      </c>
      <c r="F42" s="86"/>
      <c r="G42" s="86"/>
      <c r="H42" s="86"/>
    </row>
    <row r="43" spans="1:8">
      <c r="A43" s="75" t="s">
        <v>36</v>
      </c>
      <c r="B43" s="76"/>
      <c r="C43" s="40"/>
      <c r="D43" s="38" t="s">
        <v>37</v>
      </c>
      <c r="E43" s="87" t="s">
        <v>38</v>
      </c>
      <c r="F43" s="88"/>
      <c r="G43" s="38" t="s">
        <v>39</v>
      </c>
      <c r="H43" s="41" t="s">
        <v>40</v>
      </c>
    </row>
    <row r="44" spans="1:8">
      <c r="A44" s="75" t="s">
        <v>41</v>
      </c>
      <c r="B44" s="76"/>
      <c r="C44" s="42"/>
      <c r="D44" s="43"/>
      <c r="E44" s="77"/>
      <c r="F44" s="78"/>
      <c r="G44" s="44"/>
      <c r="H44" s="45"/>
    </row>
    <row r="45" spans="1:8">
      <c r="A45" s="79" t="s">
        <v>42</v>
      </c>
      <c r="B45" s="80"/>
      <c r="C45" s="46"/>
      <c r="D45" s="38"/>
      <c r="E45" s="81"/>
      <c r="F45" s="82"/>
      <c r="G45" s="11"/>
      <c r="H45" s="47"/>
    </row>
    <row r="46" spans="1:8">
      <c r="A46" s="57" t="s">
        <v>42</v>
      </c>
      <c r="B46" s="58"/>
      <c r="C46" s="48"/>
      <c r="D46" s="41"/>
      <c r="E46" s="59"/>
      <c r="F46" s="60"/>
      <c r="G46" s="11"/>
      <c r="H46" s="47"/>
    </row>
    <row r="47" spans="1:8">
      <c r="A47" s="57"/>
      <c r="B47" s="58"/>
      <c r="C47" s="48"/>
      <c r="D47" s="49"/>
      <c r="E47" s="59"/>
      <c r="F47" s="60"/>
      <c r="G47" s="11"/>
      <c r="H47" s="47"/>
    </row>
    <row r="48" spans="1:8">
      <c r="A48" s="57" t="s">
        <v>43</v>
      </c>
      <c r="B48" s="58"/>
      <c r="C48" s="50">
        <f>C42+C43+C44+C45+C46</f>
        <v>227370</v>
      </c>
      <c r="D48" s="51"/>
      <c r="E48" s="61"/>
      <c r="F48" s="62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2026-07-09T14:55:19Z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