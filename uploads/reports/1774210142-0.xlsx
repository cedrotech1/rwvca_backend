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7091F47E-9A2D-4DA5-A9F1-4FBDC32FD234}" xr6:coauthVersionLast="47" xr6:coauthVersionMax="47" xr10:uidLastSave="{00000000-0000-0000-0000-000000000000}"/>
  <bookViews>
    <workbookView xWindow="-110" yWindow="-110" windowWidth="19420" windowHeight="10300" tabRatio="965" activeTab="5" xr2:uid="{00000000-000D-0000-FFFF-FFFF00000000}"/>
  </bookViews>
  <sheets>
    <sheet name="FINACHIAL REPORT" sheetId="1" r:id="rId1"/>
    <sheet name="GISOZI" sheetId="2" r:id="rId2"/>
    <sheet name="BISHENYI" sheetId="3" r:id="rId3"/>
    <sheet name="KIMIRONKO" sheetId="4" r:id="rId4"/>
    <sheet name="GAHANGA" sheetId="5" r:id="rId5"/>
    <sheet name="BUGESERA" sheetId="6" r:id="rId6"/>
    <sheet name="NYARUGENGE" sheetId="7" r:id="rId7"/>
    <sheet name="RWAMAGANA" sheetId="8" r:id="rId8"/>
    <sheet name="MUHANGA" sheetId="9" r:id="rId9"/>
    <sheet name="RUHANGO" sheetId="10" r:id="rId10"/>
    <sheet name="HUYE" sheetId="11" r:id="rId11"/>
    <sheet name="RUSIZI" sheetId="12" r:id="rId12"/>
    <sheet name="NYAMASHEKE" sheetId="13" r:id="rId13"/>
    <sheet name="KAYONZA" sheetId="14" r:id="rId14"/>
    <sheet name="KARONGI" sheetId="15" r:id="rId15"/>
    <sheet name="RUBAVU" sheetId="16" r:id="rId16"/>
    <sheet name="MUSANZE" sheetId="17" r:id="rId17"/>
    <sheet name="NYAGATARE" sheetId="18" r:id="rId18"/>
    <sheet name="KIREHE" sheetId="19" r:id="rId19"/>
    <sheet name="NYANZA" sheetId="20" r:id="rId20"/>
    <sheet name="GATSIBO" sheetId="21" r:id="rId21"/>
    <sheet name="ALL TIMBER SUMMARY" sheetId="22" r:id="rId22"/>
  </sheets>
  <calcPr calcId="181029"/>
</workbook>
</file>

<file path=xl/calcChain.xml><?xml version="1.0" encoding="utf-8"?>
<calcChain xmlns="http://schemas.openxmlformats.org/spreadsheetml/2006/main">
  <c r="E53" i="21" l="1"/>
  <c r="E52" i="21"/>
  <c r="E51" i="21"/>
  <c r="E50" i="21"/>
  <c r="E49" i="21"/>
  <c r="E48" i="21"/>
  <c r="E47" i="21"/>
  <c r="E46" i="21"/>
  <c r="E45" i="21"/>
  <c r="E44" i="21"/>
  <c r="E54" i="21" s="1"/>
  <c r="E43" i="21"/>
  <c r="E42" i="21"/>
  <c r="E41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54" i="20" s="1"/>
  <c r="E41" i="20"/>
  <c r="G28" i="20"/>
  <c r="F28" i="20"/>
  <c r="H28" i="20" s="1"/>
  <c r="E28" i="20"/>
  <c r="G27" i="20"/>
  <c r="F27" i="20"/>
  <c r="H27" i="20" s="1"/>
  <c r="E27" i="20"/>
  <c r="G26" i="20"/>
  <c r="F26" i="20"/>
  <c r="H26" i="20" s="1"/>
  <c r="E26" i="20"/>
  <c r="G25" i="20"/>
  <c r="F25" i="20"/>
  <c r="H25" i="20" s="1"/>
  <c r="E25" i="20"/>
  <c r="G24" i="20"/>
  <c r="F24" i="20"/>
  <c r="H24" i="20" s="1"/>
  <c r="E24" i="20"/>
  <c r="G23" i="20"/>
  <c r="F23" i="20"/>
  <c r="H23" i="20" s="1"/>
  <c r="E23" i="20"/>
  <c r="G22" i="20"/>
  <c r="F22" i="20"/>
  <c r="H22" i="20" s="1"/>
  <c r="E22" i="20"/>
  <c r="G21" i="20"/>
  <c r="F21" i="20"/>
  <c r="H21" i="20" s="1"/>
  <c r="E21" i="20"/>
  <c r="G20" i="20"/>
  <c r="F20" i="20"/>
  <c r="H20" i="20" s="1"/>
  <c r="E20" i="20"/>
  <c r="G19" i="20"/>
  <c r="F19" i="20"/>
  <c r="H19" i="20" s="1"/>
  <c r="E19" i="20"/>
  <c r="G18" i="20"/>
  <c r="F18" i="20"/>
  <c r="H18" i="20" s="1"/>
  <c r="E18" i="20"/>
  <c r="G17" i="20"/>
  <c r="F17" i="20"/>
  <c r="H17" i="20" s="1"/>
  <c r="E17" i="20"/>
  <c r="G14" i="20"/>
  <c r="F14" i="20"/>
  <c r="H14" i="20" s="1"/>
  <c r="E14" i="20"/>
  <c r="G13" i="20"/>
  <c r="F13" i="20"/>
  <c r="H13" i="20" s="1"/>
  <c r="E13" i="20"/>
  <c r="G12" i="20"/>
  <c r="F12" i="20"/>
  <c r="H12" i="20" s="1"/>
  <c r="E12" i="20"/>
  <c r="G11" i="20"/>
  <c r="F11" i="20"/>
  <c r="H11" i="20" s="1"/>
  <c r="E11" i="20"/>
  <c r="G10" i="20"/>
  <c r="F10" i="20"/>
  <c r="H10" i="20" s="1"/>
  <c r="E10" i="20"/>
  <c r="G9" i="20"/>
  <c r="F9" i="20"/>
  <c r="H9" i="20" s="1"/>
  <c r="E9" i="20"/>
  <c r="G8" i="20"/>
  <c r="F8" i="20"/>
  <c r="H8" i="20" s="1"/>
  <c r="E8" i="20"/>
  <c r="G7" i="20"/>
  <c r="F7" i="20"/>
  <c r="H7" i="20" s="1"/>
  <c r="E7" i="20"/>
  <c r="G6" i="20"/>
  <c r="G29" i="20" s="1"/>
  <c r="F6" i="20"/>
  <c r="H6" i="20" s="1"/>
  <c r="E6" i="20"/>
  <c r="E29" i="20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H28" i="19"/>
  <c r="G28" i="19"/>
  <c r="F28" i="19"/>
  <c r="E28" i="19"/>
  <c r="G27" i="19"/>
  <c r="E27" i="19"/>
  <c r="F27" i="19" s="1"/>
  <c r="H27" i="19" s="1"/>
  <c r="H26" i="19"/>
  <c r="G26" i="19"/>
  <c r="F26" i="19"/>
  <c r="E26" i="19"/>
  <c r="H25" i="19"/>
  <c r="G25" i="19"/>
  <c r="E25" i="19"/>
  <c r="F25" i="19" s="1"/>
  <c r="H24" i="19"/>
  <c r="G24" i="19"/>
  <c r="F24" i="19"/>
  <c r="E24" i="19"/>
  <c r="H23" i="19"/>
  <c r="G23" i="19"/>
  <c r="E23" i="19"/>
  <c r="F23" i="19" s="1"/>
  <c r="H22" i="19"/>
  <c r="G22" i="19"/>
  <c r="F22" i="19"/>
  <c r="E22" i="19"/>
  <c r="G21" i="19"/>
  <c r="E21" i="19"/>
  <c r="F21" i="19" s="1"/>
  <c r="H21" i="19" s="1"/>
  <c r="H20" i="19"/>
  <c r="G20" i="19"/>
  <c r="F20" i="19"/>
  <c r="E20" i="19"/>
  <c r="G19" i="19"/>
  <c r="E19" i="19"/>
  <c r="F19" i="19" s="1"/>
  <c r="H19" i="19" s="1"/>
  <c r="H18" i="19"/>
  <c r="G18" i="19"/>
  <c r="F18" i="19"/>
  <c r="E18" i="19"/>
  <c r="G17" i="19"/>
  <c r="E17" i="19"/>
  <c r="F17" i="19" s="1"/>
  <c r="H17" i="19" s="1"/>
  <c r="H14" i="19"/>
  <c r="G14" i="19"/>
  <c r="F14" i="19"/>
  <c r="E14" i="19"/>
  <c r="G13" i="19"/>
  <c r="E13" i="19"/>
  <c r="F13" i="19" s="1"/>
  <c r="H13" i="19" s="1"/>
  <c r="H12" i="19"/>
  <c r="G12" i="19"/>
  <c r="F12" i="19"/>
  <c r="E12" i="19"/>
  <c r="H11" i="19"/>
  <c r="G11" i="19"/>
  <c r="E11" i="19"/>
  <c r="F11" i="19" s="1"/>
  <c r="H10" i="19"/>
  <c r="G10" i="19"/>
  <c r="F10" i="19"/>
  <c r="E10" i="19"/>
  <c r="G9" i="19"/>
  <c r="E9" i="19"/>
  <c r="F9" i="19" s="1"/>
  <c r="H9" i="19" s="1"/>
  <c r="H8" i="19"/>
  <c r="G8" i="19"/>
  <c r="F8" i="19"/>
  <c r="E8" i="19"/>
  <c r="H7" i="19"/>
  <c r="G7" i="19"/>
  <c r="E7" i="19"/>
  <c r="F7" i="19" s="1"/>
  <c r="H6" i="19"/>
  <c r="G6" i="19"/>
  <c r="G29" i="19" s="1"/>
  <c r="F6" i="19"/>
  <c r="E6" i="19"/>
  <c r="E29" i="19" s="1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F28" i="18"/>
  <c r="H28" i="18" s="1"/>
  <c r="E28" i="18"/>
  <c r="G27" i="18"/>
  <c r="F27" i="18"/>
  <c r="H27" i="18" s="1"/>
  <c r="E27" i="18"/>
  <c r="G26" i="18"/>
  <c r="F26" i="18"/>
  <c r="H26" i="18" s="1"/>
  <c r="E26" i="18"/>
  <c r="G25" i="18"/>
  <c r="F25" i="18"/>
  <c r="H25" i="18" s="1"/>
  <c r="E25" i="18"/>
  <c r="G24" i="18"/>
  <c r="F24" i="18"/>
  <c r="H24" i="18" s="1"/>
  <c r="E24" i="18"/>
  <c r="G23" i="18"/>
  <c r="F23" i="18"/>
  <c r="H23" i="18" s="1"/>
  <c r="E23" i="18"/>
  <c r="G22" i="18"/>
  <c r="F22" i="18"/>
  <c r="H22" i="18" s="1"/>
  <c r="E22" i="18"/>
  <c r="G21" i="18"/>
  <c r="F21" i="18"/>
  <c r="H21" i="18" s="1"/>
  <c r="E21" i="18"/>
  <c r="G20" i="18"/>
  <c r="F20" i="18"/>
  <c r="H20" i="18" s="1"/>
  <c r="E20" i="18"/>
  <c r="G19" i="18"/>
  <c r="F19" i="18"/>
  <c r="H19" i="18" s="1"/>
  <c r="E19" i="18"/>
  <c r="G18" i="18"/>
  <c r="E18" i="18"/>
  <c r="F18" i="18" s="1"/>
  <c r="H18" i="18" s="1"/>
  <c r="G17" i="18"/>
  <c r="F17" i="18"/>
  <c r="H17" i="18" s="1"/>
  <c r="E17" i="18"/>
  <c r="G14" i="18"/>
  <c r="F14" i="18"/>
  <c r="H14" i="18" s="1"/>
  <c r="E14" i="18"/>
  <c r="G13" i="18"/>
  <c r="F13" i="18"/>
  <c r="H13" i="18" s="1"/>
  <c r="E13" i="18"/>
  <c r="G12" i="18"/>
  <c r="E12" i="18"/>
  <c r="F12" i="18" s="1"/>
  <c r="H12" i="18" s="1"/>
  <c r="G11" i="18"/>
  <c r="F11" i="18"/>
  <c r="H11" i="18" s="1"/>
  <c r="E11" i="18"/>
  <c r="G10" i="18"/>
  <c r="E10" i="18"/>
  <c r="F10" i="18" s="1"/>
  <c r="H10" i="18" s="1"/>
  <c r="G9" i="18"/>
  <c r="F9" i="18"/>
  <c r="H9" i="18" s="1"/>
  <c r="E9" i="18"/>
  <c r="G8" i="18"/>
  <c r="E8" i="18"/>
  <c r="F8" i="18" s="1"/>
  <c r="H8" i="18" s="1"/>
  <c r="G7" i="18"/>
  <c r="F7" i="18"/>
  <c r="H7" i="18" s="1"/>
  <c r="E7" i="18"/>
  <c r="G6" i="18"/>
  <c r="G29" i="18" s="1"/>
  <c r="F6" i="18"/>
  <c r="H6" i="18" s="1"/>
  <c r="E6" i="18"/>
  <c r="E53" i="17"/>
  <c r="E52" i="17"/>
  <c r="E51" i="17"/>
  <c r="E50" i="17"/>
  <c r="E49" i="17"/>
  <c r="E48" i="17"/>
  <c r="E47" i="17"/>
  <c r="E46" i="17"/>
  <c r="E45" i="17"/>
  <c r="E44" i="17"/>
  <c r="E54" i="17" s="1"/>
  <c r="E43" i="17"/>
  <c r="E42" i="17"/>
  <c r="E41" i="17"/>
  <c r="G28" i="17"/>
  <c r="E28" i="17"/>
  <c r="F28" i="17" s="1"/>
  <c r="H28" i="17" s="1"/>
  <c r="G27" i="17"/>
  <c r="H27" i="17" s="1"/>
  <c r="F27" i="17"/>
  <c r="E27" i="17"/>
  <c r="H26" i="17"/>
  <c r="G26" i="17"/>
  <c r="E26" i="17"/>
  <c r="F26" i="17" s="1"/>
  <c r="G25" i="17"/>
  <c r="H25" i="17" s="1"/>
  <c r="F25" i="17"/>
  <c r="E25" i="17"/>
  <c r="H24" i="17"/>
  <c r="G24" i="17"/>
  <c r="E24" i="17"/>
  <c r="F24" i="17" s="1"/>
  <c r="G23" i="17"/>
  <c r="H23" i="17" s="1"/>
  <c r="F23" i="17"/>
  <c r="E23" i="17"/>
  <c r="G22" i="17"/>
  <c r="E22" i="17"/>
  <c r="F22" i="17" s="1"/>
  <c r="H22" i="17" s="1"/>
  <c r="G21" i="17"/>
  <c r="H21" i="17" s="1"/>
  <c r="F21" i="17"/>
  <c r="E21" i="17"/>
  <c r="H20" i="17"/>
  <c r="G20" i="17"/>
  <c r="E20" i="17"/>
  <c r="F20" i="17" s="1"/>
  <c r="H19" i="17"/>
  <c r="G19" i="17"/>
  <c r="F19" i="17"/>
  <c r="E19" i="17"/>
  <c r="H18" i="17"/>
  <c r="G18" i="17"/>
  <c r="E18" i="17"/>
  <c r="F18" i="17" s="1"/>
  <c r="H17" i="17"/>
  <c r="G17" i="17"/>
  <c r="F17" i="17"/>
  <c r="E17" i="17"/>
  <c r="G14" i="17"/>
  <c r="E14" i="17"/>
  <c r="F14" i="17" s="1"/>
  <c r="H14" i="17" s="1"/>
  <c r="G13" i="17"/>
  <c r="H13" i="17" s="1"/>
  <c r="F13" i="17"/>
  <c r="E13" i="17"/>
  <c r="G12" i="17"/>
  <c r="E12" i="17"/>
  <c r="F12" i="17" s="1"/>
  <c r="H12" i="17" s="1"/>
  <c r="H11" i="17"/>
  <c r="G11" i="17"/>
  <c r="F11" i="17"/>
  <c r="E11" i="17"/>
  <c r="G10" i="17"/>
  <c r="E10" i="17"/>
  <c r="F10" i="17" s="1"/>
  <c r="H10" i="17" s="1"/>
  <c r="G9" i="17"/>
  <c r="H9" i="17" s="1"/>
  <c r="F9" i="17"/>
  <c r="E9" i="17"/>
  <c r="G8" i="17"/>
  <c r="E8" i="17"/>
  <c r="F8" i="17" s="1"/>
  <c r="H8" i="17" s="1"/>
  <c r="G7" i="17"/>
  <c r="F7" i="17"/>
  <c r="E7" i="17"/>
  <c r="H6" i="17"/>
  <c r="G6" i="17"/>
  <c r="E6" i="17"/>
  <c r="F6" i="17" s="1"/>
  <c r="E53" i="16"/>
  <c r="E52" i="16"/>
  <c r="E51" i="16"/>
  <c r="E50" i="16"/>
  <c r="E49" i="16"/>
  <c r="E48" i="16"/>
  <c r="E47" i="16"/>
  <c r="E46" i="16"/>
  <c r="E45" i="16"/>
  <c r="E54" i="16" s="1"/>
  <c r="E44" i="16"/>
  <c r="E43" i="16"/>
  <c r="E42" i="16"/>
  <c r="E41" i="16"/>
  <c r="G28" i="16"/>
  <c r="F28" i="16"/>
  <c r="H28" i="16" s="1"/>
  <c r="E28" i="16"/>
  <c r="G27" i="16"/>
  <c r="E27" i="16"/>
  <c r="F27" i="16" s="1"/>
  <c r="H27" i="16" s="1"/>
  <c r="G26" i="16"/>
  <c r="F26" i="16"/>
  <c r="H26" i="16" s="1"/>
  <c r="E26" i="16"/>
  <c r="G25" i="16"/>
  <c r="E25" i="16"/>
  <c r="F25" i="16" s="1"/>
  <c r="H25" i="16" s="1"/>
  <c r="G24" i="16"/>
  <c r="F24" i="16"/>
  <c r="H24" i="16" s="1"/>
  <c r="E24" i="16"/>
  <c r="G23" i="16"/>
  <c r="E23" i="16"/>
  <c r="F23" i="16" s="1"/>
  <c r="H23" i="16" s="1"/>
  <c r="H22" i="16"/>
  <c r="G22" i="16"/>
  <c r="F22" i="16"/>
  <c r="E22" i="16"/>
  <c r="G21" i="16"/>
  <c r="E21" i="16"/>
  <c r="F21" i="16" s="1"/>
  <c r="H21" i="16" s="1"/>
  <c r="H20" i="16"/>
  <c r="G20" i="16"/>
  <c r="F20" i="16"/>
  <c r="E20" i="16"/>
  <c r="G19" i="16"/>
  <c r="E19" i="16"/>
  <c r="F19" i="16" s="1"/>
  <c r="H19" i="16" s="1"/>
  <c r="G18" i="16"/>
  <c r="F18" i="16"/>
  <c r="H18" i="16" s="1"/>
  <c r="E18" i="16"/>
  <c r="G17" i="16"/>
  <c r="F17" i="16"/>
  <c r="H17" i="16" s="1"/>
  <c r="E17" i="16"/>
  <c r="G14" i="16"/>
  <c r="F14" i="16"/>
  <c r="H14" i="16" s="1"/>
  <c r="E14" i="16"/>
  <c r="G13" i="16"/>
  <c r="F13" i="16"/>
  <c r="H13" i="16" s="1"/>
  <c r="E13" i="16"/>
  <c r="G12" i="16"/>
  <c r="F12" i="16"/>
  <c r="H12" i="16" s="1"/>
  <c r="E12" i="16"/>
  <c r="G11" i="16"/>
  <c r="E11" i="16"/>
  <c r="F11" i="16" s="1"/>
  <c r="H11" i="16" s="1"/>
  <c r="H10" i="16"/>
  <c r="G10" i="16"/>
  <c r="F10" i="16"/>
  <c r="E10" i="16"/>
  <c r="G9" i="16"/>
  <c r="F9" i="16"/>
  <c r="H9" i="16" s="1"/>
  <c r="E9" i="16"/>
  <c r="H8" i="16"/>
  <c r="G8" i="16"/>
  <c r="F8" i="16"/>
  <c r="E8" i="16"/>
  <c r="G7" i="16"/>
  <c r="E7" i="16"/>
  <c r="E29" i="16" s="1"/>
  <c r="G6" i="16"/>
  <c r="G29" i="16" s="1"/>
  <c r="F6" i="16"/>
  <c r="H6" i="16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H14" i="15"/>
  <c r="G14" i="15"/>
  <c r="F14" i="15"/>
  <c r="E14" i="15"/>
  <c r="H13" i="15"/>
  <c r="G13" i="15"/>
  <c r="E13" i="15"/>
  <c r="F13" i="15" s="1"/>
  <c r="H12" i="15"/>
  <c r="G12" i="15"/>
  <c r="F12" i="15"/>
  <c r="E12" i="15"/>
  <c r="G11" i="15"/>
  <c r="E11" i="15"/>
  <c r="F11" i="15" s="1"/>
  <c r="H11" i="15" s="1"/>
  <c r="G10" i="15"/>
  <c r="F10" i="15"/>
  <c r="H10" i="15" s="1"/>
  <c r="E10" i="15"/>
  <c r="G9" i="15"/>
  <c r="E9" i="15"/>
  <c r="F9" i="15" s="1"/>
  <c r="H9" i="15" s="1"/>
  <c r="H8" i="15"/>
  <c r="G8" i="15"/>
  <c r="F8" i="15"/>
  <c r="E8" i="15"/>
  <c r="G7" i="15"/>
  <c r="E7" i="15"/>
  <c r="F7" i="15" s="1"/>
  <c r="H7" i="15" s="1"/>
  <c r="G6" i="15"/>
  <c r="G37" i="15" s="1"/>
  <c r="F6" i="15"/>
  <c r="E6" i="15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G28" i="14"/>
  <c r="E28" i="14"/>
  <c r="F28" i="14" s="1"/>
  <c r="H28" i="14" s="1"/>
  <c r="G27" i="14"/>
  <c r="F27" i="14"/>
  <c r="H27" i="14" s="1"/>
  <c r="E27" i="14"/>
  <c r="G26" i="14"/>
  <c r="F26" i="14"/>
  <c r="H26" i="14" s="1"/>
  <c r="E26" i="14"/>
  <c r="G25" i="14"/>
  <c r="F25" i="14"/>
  <c r="H25" i="14" s="1"/>
  <c r="E25" i="14"/>
  <c r="G24" i="14"/>
  <c r="F24" i="14"/>
  <c r="H24" i="14" s="1"/>
  <c r="E24" i="14"/>
  <c r="G23" i="14"/>
  <c r="F23" i="14"/>
  <c r="H23" i="14" s="1"/>
  <c r="E23" i="14"/>
  <c r="G22" i="14"/>
  <c r="E22" i="14"/>
  <c r="F22" i="14" s="1"/>
  <c r="H22" i="14" s="1"/>
  <c r="H21" i="14"/>
  <c r="G21" i="14"/>
  <c r="F21" i="14"/>
  <c r="E21" i="14"/>
  <c r="G20" i="14"/>
  <c r="F20" i="14"/>
  <c r="H20" i="14" s="1"/>
  <c r="E20" i="14"/>
  <c r="H19" i="14"/>
  <c r="G19" i="14"/>
  <c r="F19" i="14"/>
  <c r="E19" i="14"/>
  <c r="G18" i="14"/>
  <c r="E18" i="14"/>
  <c r="F18" i="14" s="1"/>
  <c r="H18" i="14" s="1"/>
  <c r="G17" i="14"/>
  <c r="F17" i="14"/>
  <c r="H17" i="14" s="1"/>
  <c r="E17" i="14"/>
  <c r="G14" i="14"/>
  <c r="E14" i="14"/>
  <c r="F14" i="14" s="1"/>
  <c r="H14" i="14" s="1"/>
  <c r="H13" i="14"/>
  <c r="G13" i="14"/>
  <c r="F13" i="14"/>
  <c r="E13" i="14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F9" i="14"/>
  <c r="H9" i="14" s="1"/>
  <c r="E9" i="14"/>
  <c r="G8" i="14"/>
  <c r="F8" i="14"/>
  <c r="H8" i="14" s="1"/>
  <c r="E8" i="14"/>
  <c r="G7" i="14"/>
  <c r="F7" i="14"/>
  <c r="H7" i="14" s="1"/>
  <c r="E7" i="14"/>
  <c r="G6" i="14"/>
  <c r="G29" i="14" s="1"/>
  <c r="F6" i="14"/>
  <c r="H6" i="14" s="1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H13" i="13"/>
  <c r="G13" i="13"/>
  <c r="F13" i="13"/>
  <c r="E13" i="13"/>
  <c r="G12" i="13"/>
  <c r="E12" i="13"/>
  <c r="F12" i="13" s="1"/>
  <c r="H12" i="13" s="1"/>
  <c r="G11" i="13"/>
  <c r="H11" i="13" s="1"/>
  <c r="F11" i="13"/>
  <c r="E11" i="13"/>
  <c r="H10" i="13"/>
  <c r="G10" i="13"/>
  <c r="E10" i="13"/>
  <c r="F10" i="13" s="1"/>
  <c r="G9" i="13"/>
  <c r="F9" i="13"/>
  <c r="E9" i="13"/>
  <c r="H8" i="13"/>
  <c r="G8" i="13"/>
  <c r="E8" i="13"/>
  <c r="F8" i="13" s="1"/>
  <c r="G7" i="13"/>
  <c r="F7" i="13"/>
  <c r="H7" i="13" s="1"/>
  <c r="E7" i="13"/>
  <c r="G6" i="13"/>
  <c r="E6" i="13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62" i="12" s="1"/>
  <c r="G14" i="12"/>
  <c r="E14" i="12"/>
  <c r="F14" i="12" s="1"/>
  <c r="H14" i="12" s="1"/>
  <c r="G13" i="12"/>
  <c r="F13" i="12"/>
  <c r="H13" i="12" s="1"/>
  <c r="E13" i="12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F9" i="12"/>
  <c r="H9" i="12" s="1"/>
  <c r="E9" i="12"/>
  <c r="G8" i="12"/>
  <c r="E8" i="12"/>
  <c r="F8" i="12" s="1"/>
  <c r="H8" i="12" s="1"/>
  <c r="G7" i="12"/>
  <c r="E7" i="12"/>
  <c r="F7" i="12" s="1"/>
  <c r="H7" i="12" s="1"/>
  <c r="G6" i="12"/>
  <c r="F6" i="12"/>
  <c r="H6" i="12" s="1"/>
  <c r="E6" i="12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62" i="11" s="1"/>
  <c r="G14" i="11"/>
  <c r="H14" i="11" s="1"/>
  <c r="E14" i="11"/>
  <c r="F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2" i="10" s="1"/>
  <c r="G14" i="10"/>
  <c r="E14" i="10"/>
  <c r="F14" i="10" s="1"/>
  <c r="H14" i="10" s="1"/>
  <c r="G13" i="10"/>
  <c r="F13" i="10"/>
  <c r="H13" i="10" s="1"/>
  <c r="E13" i="10"/>
  <c r="G12" i="10"/>
  <c r="F12" i="10"/>
  <c r="H12" i="10" s="1"/>
  <c r="E12" i="10"/>
  <c r="G11" i="10"/>
  <c r="F11" i="10"/>
  <c r="H11" i="10" s="1"/>
  <c r="E11" i="10"/>
  <c r="G10" i="10"/>
  <c r="F10" i="10"/>
  <c r="H10" i="10" s="1"/>
  <c r="E10" i="10"/>
  <c r="G9" i="10"/>
  <c r="F9" i="10"/>
  <c r="H9" i="10" s="1"/>
  <c r="E9" i="10"/>
  <c r="G8" i="10"/>
  <c r="E8" i="10"/>
  <c r="F8" i="10" s="1"/>
  <c r="H8" i="10" s="1"/>
  <c r="G7" i="10"/>
  <c r="G37" i="10" s="1"/>
  <c r="C12" i="1" s="1"/>
  <c r="F7" i="10"/>
  <c r="H7" i="10" s="1"/>
  <c r="E7" i="10"/>
  <c r="G6" i="10"/>
  <c r="E6" i="10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G14" i="9"/>
  <c r="E14" i="9"/>
  <c r="F14" i="9" s="1"/>
  <c r="H14" i="9" s="1"/>
  <c r="G13" i="9"/>
  <c r="H13" i="9" s="1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G37" i="9" s="1"/>
  <c r="C11" i="1" s="1"/>
  <c r="E7" i="9"/>
  <c r="F7" i="9" s="1"/>
  <c r="H7" i="9" s="1"/>
  <c r="G6" i="9"/>
  <c r="E6" i="9"/>
  <c r="F6" i="9" s="1"/>
  <c r="E53" i="8"/>
  <c r="E52" i="8"/>
  <c r="E51" i="8"/>
  <c r="E50" i="8"/>
  <c r="E49" i="8"/>
  <c r="E48" i="8"/>
  <c r="E47" i="8"/>
  <c r="E46" i="8"/>
  <c r="E54" i="8" s="1"/>
  <c r="E45" i="8"/>
  <c r="E44" i="8"/>
  <c r="E43" i="8"/>
  <c r="E42" i="8"/>
  <c r="E41" i="8"/>
  <c r="G28" i="8"/>
  <c r="F28" i="8"/>
  <c r="H28" i="8" s="1"/>
  <c r="E28" i="8"/>
  <c r="G27" i="8"/>
  <c r="E27" i="8"/>
  <c r="F27" i="8" s="1"/>
  <c r="H27" i="8" s="1"/>
  <c r="G26" i="8"/>
  <c r="F26" i="8"/>
  <c r="H26" i="8" s="1"/>
  <c r="E26" i="8"/>
  <c r="G25" i="8"/>
  <c r="E25" i="8"/>
  <c r="F25" i="8" s="1"/>
  <c r="H25" i="8" s="1"/>
  <c r="G24" i="8"/>
  <c r="F24" i="8"/>
  <c r="H24" i="8" s="1"/>
  <c r="E24" i="8"/>
  <c r="G23" i="8"/>
  <c r="F23" i="8"/>
  <c r="H23" i="8" s="1"/>
  <c r="E23" i="8"/>
  <c r="G22" i="8"/>
  <c r="F22" i="8"/>
  <c r="H22" i="8" s="1"/>
  <c r="E22" i="8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F13" i="8"/>
  <c r="H13" i="8" s="1"/>
  <c r="E13" i="8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F9" i="8"/>
  <c r="H9" i="8" s="1"/>
  <c r="E9" i="8"/>
  <c r="G8" i="8"/>
  <c r="E8" i="8"/>
  <c r="F8" i="8" s="1"/>
  <c r="H8" i="8" s="1"/>
  <c r="G7" i="8"/>
  <c r="E7" i="8"/>
  <c r="F7" i="8" s="1"/>
  <c r="H7" i="8" s="1"/>
  <c r="G6" i="8"/>
  <c r="G29" i="8" s="1"/>
  <c r="E6" i="8"/>
  <c r="F6" i="8" s="1"/>
  <c r="H6" i="8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H28" i="7"/>
  <c r="G28" i="7"/>
  <c r="E28" i="7"/>
  <c r="F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H24" i="7"/>
  <c r="G24" i="7"/>
  <c r="E24" i="7"/>
  <c r="F24" i="7" s="1"/>
  <c r="G23" i="7"/>
  <c r="E23" i="7"/>
  <c r="F23" i="7" s="1"/>
  <c r="H23" i="7" s="1"/>
  <c r="G22" i="7"/>
  <c r="H22" i="7" s="1"/>
  <c r="E22" i="7"/>
  <c r="F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H10" i="7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H6" i="7"/>
  <c r="G6" i="7"/>
  <c r="E6" i="7"/>
  <c r="F6" i="7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G28" i="5"/>
  <c r="F28" i="5"/>
  <c r="H28" i="5" s="1"/>
  <c r="E28" i="5"/>
  <c r="G27" i="5"/>
  <c r="E27" i="5"/>
  <c r="F27" i="5" s="1"/>
  <c r="H27" i="5" s="1"/>
  <c r="G26" i="5"/>
  <c r="F26" i="5"/>
  <c r="H26" i="5" s="1"/>
  <c r="E26" i="5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F22" i="5"/>
  <c r="H22" i="5" s="1"/>
  <c r="E22" i="5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F10" i="5"/>
  <c r="H10" i="5" s="1"/>
  <c r="E10" i="5"/>
  <c r="G9" i="5"/>
  <c r="E9" i="5"/>
  <c r="F9" i="5" s="1"/>
  <c r="H9" i="5" s="1"/>
  <c r="G8" i="5"/>
  <c r="F8" i="5"/>
  <c r="H8" i="5" s="1"/>
  <c r="E8" i="5"/>
  <c r="G7" i="5"/>
  <c r="E7" i="5"/>
  <c r="F7" i="5" s="1"/>
  <c r="H7" i="5" s="1"/>
  <c r="G6" i="5"/>
  <c r="G29" i="5" s="1"/>
  <c r="E6" i="5"/>
  <c r="F6" i="5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14" i="4"/>
  <c r="E14" i="4"/>
  <c r="F14" i="4" s="1"/>
  <c r="H14" i="4" s="1"/>
  <c r="H13" i="4"/>
  <c r="G13" i="4"/>
  <c r="F13" i="4"/>
  <c r="E13" i="4"/>
  <c r="G12" i="4"/>
  <c r="E12" i="4"/>
  <c r="F12" i="4" s="1"/>
  <c r="H12" i="4" s="1"/>
  <c r="H11" i="4"/>
  <c r="G11" i="4"/>
  <c r="F11" i="4"/>
  <c r="E11" i="4"/>
  <c r="G10" i="4"/>
  <c r="E10" i="4"/>
  <c r="F10" i="4" s="1"/>
  <c r="H10" i="4" s="1"/>
  <c r="H9" i="4"/>
  <c r="G9" i="4"/>
  <c r="F9" i="4"/>
  <c r="E9" i="4"/>
  <c r="G8" i="4"/>
  <c r="E8" i="4"/>
  <c r="F8" i="4" s="1"/>
  <c r="H8" i="4" s="1"/>
  <c r="H7" i="4"/>
  <c r="G7" i="4"/>
  <c r="F7" i="4"/>
  <c r="E7" i="4"/>
  <c r="G6" i="4"/>
  <c r="G37" i="4" s="1"/>
  <c r="E6" i="4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H19" i="3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F14" i="3"/>
  <c r="H14" i="3" s="1"/>
  <c r="E14" i="3"/>
  <c r="G13" i="3"/>
  <c r="E13" i="3"/>
  <c r="F13" i="3" s="1"/>
  <c r="H13" i="3" s="1"/>
  <c r="G12" i="3"/>
  <c r="F12" i="3"/>
  <c r="H12" i="3" s="1"/>
  <c r="E12" i="3"/>
  <c r="G11" i="3"/>
  <c r="E11" i="3"/>
  <c r="F11" i="3" s="1"/>
  <c r="H11" i="3" s="1"/>
  <c r="G10" i="3"/>
  <c r="F10" i="3"/>
  <c r="H10" i="3" s="1"/>
  <c r="E10" i="3"/>
  <c r="G9" i="3"/>
  <c r="G29" i="3" s="1"/>
  <c r="C8" i="1" s="1"/>
  <c r="E9" i="3"/>
  <c r="F9" i="3" s="1"/>
  <c r="G8" i="3"/>
  <c r="F8" i="3"/>
  <c r="H8" i="3" s="1"/>
  <c r="E8" i="3"/>
  <c r="G7" i="3"/>
  <c r="E7" i="3"/>
  <c r="F7" i="3" s="1"/>
  <c r="H7" i="3" s="1"/>
  <c r="G6" i="3"/>
  <c r="F6" i="3"/>
  <c r="E6" i="3"/>
  <c r="E61" i="2"/>
  <c r="E60" i="2"/>
  <c r="E59" i="2"/>
  <c r="E58" i="2"/>
  <c r="E57" i="2"/>
  <c r="E56" i="2"/>
  <c r="E55" i="2"/>
  <c r="E54" i="2"/>
  <c r="E53" i="2"/>
  <c r="E52" i="2"/>
  <c r="E51" i="2"/>
  <c r="E62" i="2" s="1"/>
  <c r="E50" i="2"/>
  <c r="E49" i="2"/>
  <c r="C45" i="2"/>
  <c r="G14" i="2"/>
  <c r="E14" i="2"/>
  <c r="F14" i="2" s="1"/>
  <c r="H14" i="2" s="1"/>
  <c r="H13" i="2"/>
  <c r="G13" i="2"/>
  <c r="F13" i="2"/>
  <c r="E13" i="2"/>
  <c r="G12" i="2"/>
  <c r="E12" i="2"/>
  <c r="F12" i="2" s="1"/>
  <c r="H12" i="2" s="1"/>
  <c r="G11" i="2"/>
  <c r="H11" i="2" s="1"/>
  <c r="F11" i="2"/>
  <c r="E11" i="2"/>
  <c r="G10" i="2"/>
  <c r="E10" i="2"/>
  <c r="F10" i="2" s="1"/>
  <c r="H10" i="2" s="1"/>
  <c r="G9" i="2"/>
  <c r="F9" i="2"/>
  <c r="H9" i="2" s="1"/>
  <c r="E9" i="2"/>
  <c r="H8" i="2"/>
  <c r="G8" i="2"/>
  <c r="E8" i="2"/>
  <c r="F8" i="2" s="1"/>
  <c r="G7" i="2"/>
  <c r="G37" i="2" s="1"/>
  <c r="C5" i="1" s="1"/>
  <c r="F7" i="2"/>
  <c r="H7" i="2" s="1"/>
  <c r="E7" i="2"/>
  <c r="G6" i="2"/>
  <c r="E6" i="2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C22" i="1"/>
  <c r="J21" i="1"/>
  <c r="I21" i="1"/>
  <c r="H21" i="1"/>
  <c r="G21" i="1"/>
  <c r="C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C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C7" i="1"/>
  <c r="J6" i="1"/>
  <c r="I6" i="1"/>
  <c r="H6" i="1"/>
  <c r="G6" i="1"/>
  <c r="C6" i="1"/>
  <c r="J5" i="1"/>
  <c r="I5" i="1"/>
  <c r="I29" i="1" s="1"/>
  <c r="H5" i="1"/>
  <c r="G5" i="1"/>
  <c r="G29" i="1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H28" i="6"/>
  <c r="G28" i="6"/>
  <c r="F28" i="6"/>
  <c r="E28" i="6"/>
  <c r="G27" i="6"/>
  <c r="E27" i="6"/>
  <c r="F27" i="6" s="1"/>
  <c r="H27" i="6" s="1"/>
  <c r="H26" i="6"/>
  <c r="G26" i="6"/>
  <c r="F26" i="6"/>
  <c r="E26" i="6"/>
  <c r="G25" i="6"/>
  <c r="E25" i="6"/>
  <c r="F25" i="6" s="1"/>
  <c r="H25" i="6" s="1"/>
  <c r="H24" i="6"/>
  <c r="G24" i="6"/>
  <c r="F24" i="6"/>
  <c r="E24" i="6"/>
  <c r="G23" i="6"/>
  <c r="E23" i="6"/>
  <c r="F23" i="6" s="1"/>
  <c r="H23" i="6" s="1"/>
  <c r="H22" i="6"/>
  <c r="G22" i="6"/>
  <c r="F22" i="6"/>
  <c r="E22" i="6"/>
  <c r="G21" i="6"/>
  <c r="E21" i="6"/>
  <c r="F21" i="6" s="1"/>
  <c r="H21" i="6" s="1"/>
  <c r="H20" i="6"/>
  <c r="G20" i="6"/>
  <c r="F20" i="6"/>
  <c r="E20" i="6"/>
  <c r="G19" i="6"/>
  <c r="E19" i="6"/>
  <c r="F19" i="6" s="1"/>
  <c r="H19" i="6" s="1"/>
  <c r="H18" i="6"/>
  <c r="G18" i="6"/>
  <c r="F18" i="6"/>
  <c r="E18" i="6"/>
  <c r="G17" i="6"/>
  <c r="E17" i="6"/>
  <c r="F17" i="6" s="1"/>
  <c r="H17" i="6" s="1"/>
  <c r="H14" i="6"/>
  <c r="G14" i="6"/>
  <c r="F14" i="6"/>
  <c r="E14" i="6"/>
  <c r="G13" i="6"/>
  <c r="E13" i="6"/>
  <c r="F13" i="6" s="1"/>
  <c r="H13" i="6" s="1"/>
  <c r="H12" i="6"/>
  <c r="G12" i="6"/>
  <c r="F12" i="6"/>
  <c r="E12" i="6"/>
  <c r="G11" i="6"/>
  <c r="E11" i="6"/>
  <c r="F11" i="6" s="1"/>
  <c r="H11" i="6" s="1"/>
  <c r="G10" i="6"/>
  <c r="E10" i="6"/>
  <c r="F10" i="6" s="1"/>
  <c r="G9" i="6"/>
  <c r="E9" i="6"/>
  <c r="F9" i="6" s="1"/>
  <c r="H9" i="6" s="1"/>
  <c r="H8" i="6"/>
  <c r="G8" i="6"/>
  <c r="F8" i="6"/>
  <c r="E8" i="6"/>
  <c r="G7" i="6"/>
  <c r="E7" i="6"/>
  <c r="H6" i="6"/>
  <c r="G6" i="6"/>
  <c r="F6" i="6"/>
  <c r="E6" i="6"/>
  <c r="H10" i="6" l="1"/>
  <c r="E54" i="6"/>
  <c r="E29" i="6"/>
  <c r="G29" i="6"/>
  <c r="C10" i="1" s="1"/>
  <c r="H29" i="1"/>
  <c r="F29" i="5"/>
  <c r="H6" i="5"/>
  <c r="E37" i="4"/>
  <c r="F6" i="4"/>
  <c r="E37" i="10"/>
  <c r="D9" i="22"/>
  <c r="F7" i="6"/>
  <c r="F29" i="7"/>
  <c r="F6" i="10"/>
  <c r="G37" i="11"/>
  <c r="C13" i="1" s="1"/>
  <c r="H11" i="12"/>
  <c r="H37" i="12" s="1"/>
  <c r="G37" i="13"/>
  <c r="C15" i="1" s="1"/>
  <c r="H9" i="13"/>
  <c r="D10" i="22"/>
  <c r="H9" i="3"/>
  <c r="F37" i="11"/>
  <c r="B13" i="1" s="1"/>
  <c r="E37" i="2"/>
  <c r="F6" i="2"/>
  <c r="E62" i="4"/>
  <c r="G29" i="7"/>
  <c r="C23" i="1" s="1"/>
  <c r="H6" i="11"/>
  <c r="H37" i="11" s="1"/>
  <c r="G29" i="17"/>
  <c r="C18" i="1" s="1"/>
  <c r="H7" i="17"/>
  <c r="F29" i="20"/>
  <c r="D11" i="22"/>
  <c r="J29" i="1"/>
  <c r="G37" i="12"/>
  <c r="C14" i="1" s="1"/>
  <c r="E29" i="5"/>
  <c r="E29" i="8"/>
  <c r="F37" i="9"/>
  <c r="B11" i="1" s="1"/>
  <c r="F11" i="1" s="1"/>
  <c r="H6" i="9"/>
  <c r="H37" i="9" s="1"/>
  <c r="F7" i="16"/>
  <c r="H7" i="16" s="1"/>
  <c r="F29" i="3"/>
  <c r="H6" i="3"/>
  <c r="E29" i="3"/>
  <c r="E54" i="5"/>
  <c r="F29" i="8"/>
  <c r="E37" i="12"/>
  <c r="E54" i="14"/>
  <c r="H6" i="15"/>
  <c r="H37" i="15" s="1"/>
  <c r="E29" i="7"/>
  <c r="E37" i="11"/>
  <c r="D4" i="22"/>
  <c r="D12" i="22"/>
  <c r="F29" i="18"/>
  <c r="F29" i="19"/>
  <c r="D13" i="22"/>
  <c r="F29" i="17"/>
  <c r="E29" i="18"/>
  <c r="D6" i="22"/>
  <c r="D14" i="22"/>
  <c r="F37" i="12"/>
  <c r="B14" i="1" s="1"/>
  <c r="F14" i="1" s="1"/>
  <c r="F6" i="13"/>
  <c r="E37" i="13"/>
  <c r="E29" i="14"/>
  <c r="F29" i="16"/>
  <c r="E54" i="19"/>
  <c r="D7" i="22"/>
  <c r="D15" i="22"/>
  <c r="D5" i="22"/>
  <c r="E37" i="9"/>
  <c r="F29" i="14"/>
  <c r="D8" i="22"/>
  <c r="D16" i="22"/>
  <c r="F37" i="15"/>
  <c r="B16" i="1" s="1"/>
  <c r="F16" i="1" s="1"/>
  <c r="E62" i="15"/>
  <c r="E29" i="17"/>
  <c r="E37" i="15"/>
  <c r="C34" i="1" l="1"/>
  <c r="C37" i="1" s="1"/>
  <c r="C29" i="1"/>
  <c r="H29" i="18"/>
  <c r="B20" i="1"/>
  <c r="F20" i="1" s="1"/>
  <c r="H29" i="3"/>
  <c r="B8" i="1"/>
  <c r="F8" i="1" s="1"/>
  <c r="H6" i="2"/>
  <c r="H37" i="2" s="1"/>
  <c r="F37" i="2"/>
  <c r="B5" i="1" s="1"/>
  <c r="F37" i="10"/>
  <c r="B12" i="1" s="1"/>
  <c r="F12" i="1" s="1"/>
  <c r="H6" i="10"/>
  <c r="H37" i="10" s="1"/>
  <c r="D17" i="22"/>
  <c r="F37" i="4"/>
  <c r="B7" i="1" s="1"/>
  <c r="F7" i="1" s="1"/>
  <c r="H6" i="4"/>
  <c r="H37" i="4" s="1"/>
  <c r="H29" i="16"/>
  <c r="B17" i="1"/>
  <c r="F17" i="1" s="1"/>
  <c r="H29" i="20"/>
  <c r="B22" i="1"/>
  <c r="F22" i="1" s="1"/>
  <c r="F13" i="1"/>
  <c r="H29" i="7"/>
  <c r="B23" i="1"/>
  <c r="F23" i="1" s="1"/>
  <c r="H29" i="5"/>
  <c r="B6" i="1"/>
  <c r="F6" i="1" s="1"/>
  <c r="H6" i="13"/>
  <c r="H37" i="13" s="1"/>
  <c r="F37" i="13"/>
  <c r="B15" i="1" s="1"/>
  <c r="F15" i="1" s="1"/>
  <c r="H29" i="8"/>
  <c r="B9" i="1"/>
  <c r="F9" i="1" s="1"/>
  <c r="H29" i="17"/>
  <c r="B18" i="1"/>
  <c r="F18" i="1" s="1"/>
  <c r="H29" i="14"/>
  <c r="B19" i="1"/>
  <c r="F19" i="1" s="1"/>
  <c r="H29" i="19"/>
  <c r="B21" i="1"/>
  <c r="F21" i="1" s="1"/>
  <c r="F29" i="6"/>
  <c r="H7" i="6"/>
  <c r="B10" i="1" l="1"/>
  <c r="F10" i="1" s="1"/>
  <c r="H29" i="6"/>
  <c r="F5" i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<sst xmlns="http://schemas.openxmlformats.org/spreadsheetml/2006/main" count="1502" uniqueCount="93">
  <si>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</si>
  <si>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</si>
  <si>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</si>
  <si>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</si>
  <si>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</si>
  <si>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</si>
  <si>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</si>
  <si>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</si>
  <si>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</si>
  <si>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</si>
  <si>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</si>
  <si>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</si>
  <si>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</si>
  <si>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</si>
  <si>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</si>
  <si>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</si>
  <si>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</si>
  <si>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</si>
  <si>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</si>
  <si>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</si>
  <si>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</si>
  <si>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</si>
  <si>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</si>
  <si>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</si>
  <si>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</si>
  <si>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</si>
  <si>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</si>
  <si>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</si>
  <si>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</si>
  <si>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</si>
  <si>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</si>
  <si>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</si>
  <si>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</si>
  <si>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</si>
  <si>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</si>
  <si>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</si>
  <si>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</si>
  <si>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</si>
  <si>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</si>
  <si>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</si>
  <si>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</si>
  <si>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</si>
  <si>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</si>
  <si>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</si>
  <si>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</si>
  <si>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</si>
  <si>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</si>
  <si>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</si>
  <si>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</si>
  <si>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</si>
  <si>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</si>
  <si>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</si>
  <si>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</si>
  <si>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</si>
  <si>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</si>
  <si>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</si>
  <si>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</si>
  <si>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</si>
  <si>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</si>
  <si>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</si>
  <si>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</si>
  <si>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</si>
  <si>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</si>
  <si>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>OTHER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</si>
  <si>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</si>
  <si>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</si>
  <si>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</si>
  <si>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</si>
  <si>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</si>
  <si>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</si>
  <si>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</si>
  <si>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</si>
  <si>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</si>
  <si>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</si>
  <si>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</si>
  <si>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</si>
  <si>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</si>
  <si>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</si>
  <si>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</si>
  <si>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</si>
  <si>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</si>
  <si>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</si>
  <si>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 xml:space="preserve">TOTAL TIMBER </t>
  </si>
  <si>
    <t>QUARTER 2 KIMIRONKO REPORT</t>
  </si>
  <si>
    <t>PINUS IBIPANDE</t>
  </si>
  <si>
    <t>IBIPANDE pinusi</t>
  </si>
  <si>
    <t>INTURUSU NINI</t>
  </si>
  <si>
    <t>IBIPANDE pinusi 2</t>
  </si>
  <si>
    <t>Cederera</t>
  </si>
  <si>
    <t>Sipure</t>
  </si>
  <si>
    <t>Sipure 2</t>
  </si>
  <si>
    <t>Deshe</t>
  </si>
  <si>
    <t>BUGESERA  Weekly report  From 16March2026-22March2026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</si>
</sst>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name val="宋体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i/>
      <sz val="36"/>
      <name val="Algerian"/>
      <charset val="134"/>
    </font>
    <font>
      <b/>
      <sz val="36"/>
      <color rgb="FF002060"/>
      <name val="宋体"/>
      <charset val="134"/>
    </font>
    <font>
      <b/>
      <sz val="10"/>
      <color rgb="FF000000"/>
      <name val="宋体"/>
      <charset val="134"/>
    </font>
    <font>
      <b/>
      <sz val="14"/>
      <name val="宋体"/>
      <charset val="134"/>
    </font>
    <font>
      <b/>
      <sz val="11"/>
      <color rgb="FF000000"/>
      <name val="宋体"/>
      <charset val="134"/>
    </font>
    <font>
      <b/>
      <i/>
      <sz val="14"/>
      <color rgb="FF000000"/>
      <name val="宋体"/>
      <charset val="134"/>
    </font>
    <font>
      <b/>
      <i/>
      <sz val="11"/>
      <color rgb="FF000000"/>
      <name val="宋体"/>
      <charset val="134"/>
    </font>
    <font>
      <b/>
      <i/>
      <sz val="20"/>
      <color rgb="FFFFFFFF"/>
      <name val="宋体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28"/>
      <color rgb="FF000000"/>
      <name val="Calibri"/>
      <charset val="134"/>
    </font>
    <font>
      <b/>
      <sz val="14"/>
      <color rgb="FF000000"/>
      <name val="Calibri"/>
      <charset val="134"/>
    </font>
    <font>
      <b/>
      <sz val="22"/>
      <color rgb="FF000000"/>
      <name val="宋体"/>
      <charset val="134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rgb="FF000000"/>
      <name val="Adobe Gothic Std B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8D08E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>
      <protection locked="0"/>
    </xf>
  </cellStyleXfs>
  <cellXfs count="296">
    <xf numFmtId="0" fontId="0" fillId="0" borderId="0" xfId="0">
      <alignment vertical="center"/>
    </xf>
    <xf numFmtId="164" fontId="1" fillId="0" borderId="0" xfId="1" applyNumberFormat="1">
      <protection locked="0"/>
    </xf>
    <xf numFmtId="164" fontId="2" fillId="0" borderId="1" xfId="1" applyNumberFormat="1" applyFont="1" applyBorder="1">
      <protection locked="0"/>
    </xf>
    <xf numFmtId="164" fontId="2" fillId="0" borderId="2" xfId="1" applyNumberFormat="1" applyFont="1" applyBorder="1">
      <protection locked="0"/>
    </xf>
    <xf numFmtId="164" fontId="2" fillId="0" borderId="0" xfId="1" applyNumberFormat="1" applyFont="1">
      <protection locked="0"/>
    </xf>
    <xf numFmtId="164" fontId="2" fillId="2" borderId="3" xfId="1" applyNumberFormat="1" applyFont="1" applyFill="1" applyBorder="1">
      <protection locked="0"/>
    </xf>
    <xf numFmtId="164" fontId="2" fillId="3" borderId="3" xfId="1" applyNumberFormat="1" applyFont="1" applyFill="1" applyBorder="1">
      <protection locked="0"/>
    </xf>
    <xf numFmtId="164" fontId="2" fillId="3" borderId="4" xfId="1" applyNumberFormat="1" applyFont="1" applyFill="1" applyBorder="1">
      <protection locked="0"/>
    </xf>
    <xf numFmtId="164" fontId="2" fillId="3" borderId="5" xfId="1" applyNumberFormat="1" applyFont="1" applyFill="1" applyBorder="1">
      <protection locked="0"/>
    </xf>
    <xf numFmtId="164" fontId="2" fillId="3" borderId="6" xfId="1" applyNumberFormat="1" applyFont="1" applyFill="1" applyBorder="1">
      <protection locked="0"/>
    </xf>
    <xf numFmtId="164" fontId="5" fillId="3" borderId="7" xfId="1" applyNumberFormat="1" applyFont="1" applyFill="1" applyBorder="1">
      <protection locked="0"/>
    </xf>
    <xf numFmtId="164" fontId="1" fillId="2" borderId="2" xfId="1" applyNumberFormat="1" applyFill="1" applyBorder="1" applyAlignment="1">
      <alignment horizontal="center"/>
      <protection locked="0"/>
    </xf>
    <xf numFmtId="164" fontId="2" fillId="3" borderId="0" xfId="1" applyNumberFormat="1" applyFont="1" applyFill="1">
      <protection locked="0"/>
    </xf>
    <xf numFmtId="164" fontId="2" fillId="2" borderId="8" xfId="1" applyNumberFormat="1" applyFont="1" applyFill="1" applyBorder="1">
      <protection locked="0"/>
    </xf>
    <xf numFmtId="164" fontId="2" fillId="0" borderId="8" xfId="1" applyNumberFormat="1" applyFont="1" applyBorder="1" applyProtection="1">
      <protection hidden="1"/>
    </xf>
    <xf numFmtId="164" fontId="2" fillId="0" borderId="9" xfId="1" applyNumberFormat="1" applyFont="1" applyBorder="1" applyProtection="1">
      <protection hidden="1"/>
    </xf>
    <xf numFmtId="164" fontId="2" fillId="0" borderId="10" xfId="1" applyNumberFormat="1" applyFont="1" applyBorder="1">
      <protection locked="0"/>
    </xf>
    <xf numFmtId="164" fontId="2" fillId="0" borderId="9" xfId="1" applyNumberFormat="1" applyFont="1" applyBorder="1">
      <protection locked="0"/>
    </xf>
    <xf numFmtId="164" fontId="2" fillId="0" borderId="6" xfId="1" applyNumberFormat="1" applyFont="1" applyBorder="1" applyProtection="1">
      <protection hidden="1"/>
    </xf>
    <xf numFmtId="164" fontId="2" fillId="2" borderId="11" xfId="1" applyNumberFormat="1" applyFont="1" applyFill="1" applyBorder="1">
      <protection locked="0"/>
    </xf>
    <xf numFmtId="164" fontId="2" fillId="0" borderId="11" xfId="1" applyNumberFormat="1" applyFont="1" applyBorder="1" applyProtection="1">
      <protection hidden="1"/>
    </xf>
    <xf numFmtId="164" fontId="2" fillId="0" borderId="12" xfId="1" applyNumberFormat="1" applyFont="1" applyBorder="1" applyProtection="1">
      <protection hidden="1"/>
    </xf>
    <xf numFmtId="164" fontId="2" fillId="0" borderId="13" xfId="1" applyNumberFormat="1" applyFont="1" applyBorder="1">
      <protection locked="0"/>
    </xf>
    <xf numFmtId="164" fontId="2" fillId="0" borderId="12" xfId="1" applyNumberFormat="1" applyFont="1" applyBorder="1">
      <protection locked="0"/>
    </xf>
    <xf numFmtId="164" fontId="1" fillId="0" borderId="13" xfId="1" applyNumberFormat="1" applyBorder="1">
      <protection locked="0"/>
    </xf>
    <xf numFmtId="164" fontId="1" fillId="0" borderId="12" xfId="1" applyNumberFormat="1" applyBorder="1">
      <protection locked="0"/>
    </xf>
    <xf numFmtId="164" fontId="2" fillId="0" borderId="14" xfId="1" applyNumberFormat="1" applyFont="1" applyBorder="1" applyProtection="1">
      <protection hidden="1"/>
    </xf>
    <xf numFmtId="164" fontId="1" fillId="2" borderId="11" xfId="1" applyNumberFormat="1" applyFill="1" applyBorder="1">
      <protection locked="0"/>
    </xf>
    <xf numFmtId="164" fontId="2" fillId="0" borderId="11" xfId="1" applyNumberFormat="1" applyFont="1" applyBorder="1">
      <protection locked="0"/>
    </xf>
    <xf numFmtId="164" fontId="1" fillId="0" borderId="15" xfId="1" applyNumberFormat="1" applyBorder="1">
      <protection locked="0"/>
    </xf>
    <xf numFmtId="164" fontId="1" fillId="0" borderId="16" xfId="1" applyNumberFormat="1" applyBorder="1">
      <protection locked="0"/>
    </xf>
    <xf numFmtId="164" fontId="1" fillId="0" borderId="17" xfId="1" applyNumberFormat="1" applyBorder="1">
      <protection locked="0"/>
    </xf>
    <xf numFmtId="164" fontId="1" fillId="2" borderId="18" xfId="1" applyNumberFormat="1" applyFill="1" applyBorder="1">
      <protection locked="0"/>
    </xf>
    <xf numFmtId="164" fontId="2" fillId="0" borderId="18" xfId="1" applyNumberFormat="1" applyFont="1" applyBorder="1">
      <protection locked="0"/>
    </xf>
    <xf numFmtId="164" fontId="2" fillId="0" borderId="14" xfId="1" applyNumberFormat="1" applyFont="1" applyBorder="1">
      <protection locked="0"/>
    </xf>
    <xf numFmtId="164" fontId="1" fillId="0" borderId="19" xfId="1" applyNumberFormat="1" applyBorder="1">
      <protection locked="0"/>
    </xf>
    <xf numFmtId="164" fontId="1" fillId="0" borderId="14" xfId="1" applyNumberFormat="1" applyBorder="1">
      <protection locked="0"/>
    </xf>
    <xf numFmtId="164" fontId="1" fillId="0" borderId="20" xfId="1" applyNumberFormat="1" applyBorder="1">
      <protection locked="0"/>
    </xf>
    <xf numFmtId="164" fontId="6" fillId="2" borderId="21" xfId="1" applyNumberFormat="1" applyFont="1" applyFill="1" applyBorder="1">
      <protection locked="0"/>
    </xf>
    <xf numFmtId="164" fontId="6" fillId="2" borderId="21" xfId="1" applyNumberFormat="1" applyFont="1" applyFill="1" applyBorder="1" applyProtection="1">
      <protection hidden="1"/>
    </xf>
    <xf numFmtId="164" fontId="6" fillId="2" borderId="22" xfId="1" applyNumberFormat="1" applyFont="1" applyFill="1" applyBorder="1" applyProtection="1">
      <protection hidden="1"/>
    </xf>
    <xf numFmtId="164" fontId="6" fillId="2" borderId="23" xfId="1" applyNumberFormat="1" applyFont="1" applyFill="1" applyBorder="1" applyProtection="1">
      <protection hidden="1"/>
    </xf>
    <xf numFmtId="164" fontId="2" fillId="2" borderId="2" xfId="1" applyNumberFormat="1" applyFont="1" applyFill="1" applyBorder="1" applyProtection="1">
      <protection hidden="1"/>
    </xf>
    <xf numFmtId="164" fontId="6" fillId="2" borderId="0" xfId="1" applyNumberFormat="1" applyFont="1" applyFill="1">
      <protection locked="0"/>
    </xf>
    <xf numFmtId="0" fontId="1" fillId="0" borderId="0" xfId="0" applyFont="1" applyAlignment="1" applyProtection="1">
      <protection locked="0"/>
    </xf>
    <xf numFmtId="164" fontId="13" fillId="4" borderId="6" xfId="1" applyNumberFormat="1" applyFont="1" applyFill="1" applyBorder="1">
      <protection locked="0"/>
    </xf>
    <xf numFmtId="164" fontId="13" fillId="4" borderId="24" xfId="1" applyNumberFormat="1" applyFont="1" applyFill="1" applyBorder="1">
      <protection locked="0"/>
    </xf>
    <xf numFmtId="164" fontId="13" fillId="4" borderId="25" xfId="1" applyNumberFormat="1" applyFont="1" applyFill="1" applyBorder="1">
      <protection locked="0"/>
    </xf>
    <xf numFmtId="164" fontId="13" fillId="2" borderId="15" xfId="1" applyNumberFormat="1" applyFont="1" applyFill="1" applyBorder="1">
      <protection locked="0"/>
    </xf>
    <xf numFmtId="164" fontId="14" fillId="0" borderId="33" xfId="1" applyNumberFormat="1" applyFont="1" applyBorder="1">
      <protection locked="0"/>
    </xf>
    <xf numFmtId="164" fontId="13" fillId="0" borderId="35" xfId="1" applyNumberFormat="1" applyFont="1" applyBorder="1" applyProtection="1">
      <protection hidden="1"/>
    </xf>
    <xf numFmtId="164" fontId="13" fillId="0" borderId="36" xfId="1" applyNumberFormat="1" applyFont="1" applyBorder="1" applyProtection="1">
      <protection hidden="1"/>
    </xf>
    <xf numFmtId="164" fontId="13" fillId="2" borderId="12" xfId="1" applyNumberFormat="1" applyFont="1" applyFill="1" applyBorder="1">
      <protection locked="0"/>
    </xf>
    <xf numFmtId="164" fontId="14" fillId="0" borderId="37" xfId="1" applyNumberFormat="1" applyFont="1" applyBorder="1">
      <protection locked="0"/>
    </xf>
    <xf numFmtId="164" fontId="13" fillId="0" borderId="39" xfId="1" applyNumberFormat="1" applyFont="1" applyBorder="1" applyProtection="1">
      <protection hidden="1"/>
    </xf>
    <xf numFmtId="164" fontId="13" fillId="0" borderId="40" xfId="1" applyNumberFormat="1" applyFont="1" applyBorder="1" applyProtection="1">
      <protection hidden="1"/>
    </xf>
    <xf numFmtId="164" fontId="14" fillId="2" borderId="12" xfId="1" applyNumberFormat="1" applyFont="1" applyFill="1" applyBorder="1">
      <protection locked="0"/>
    </xf>
    <xf numFmtId="164" fontId="13" fillId="2" borderId="6" xfId="1" applyNumberFormat="1" applyFont="1" applyFill="1" applyBorder="1" applyAlignment="1">
      <alignment horizontal="center"/>
      <protection locked="0"/>
    </xf>
    <xf numFmtId="164" fontId="13" fillId="0" borderId="6" xfId="1" applyNumberFormat="1" applyFont="1" applyBorder="1" applyAlignment="1">
      <alignment horizontal="center"/>
      <protection locked="0"/>
    </xf>
    <xf numFmtId="164" fontId="13" fillId="0" borderId="6" xfId="1" applyNumberFormat="1" applyFont="1" applyBorder="1">
      <protection locked="0"/>
    </xf>
    <xf numFmtId="164" fontId="13" fillId="0" borderId="25" xfId="1" applyNumberFormat="1" applyFont="1" applyBorder="1">
      <protection locked="0"/>
    </xf>
    <xf numFmtId="164" fontId="13" fillId="2" borderId="8" xfId="1" applyNumberFormat="1" applyFont="1" applyFill="1" applyBorder="1" applyAlignment="1">
      <alignment horizontal="left"/>
      <protection locked="0"/>
    </xf>
    <xf numFmtId="164" fontId="14" fillId="0" borderId="9" xfId="1" applyNumberFormat="1" applyFont="1" applyBorder="1" applyAlignment="1">
      <alignment horizontal="center"/>
      <protection locked="0"/>
    </xf>
    <xf numFmtId="164" fontId="13" fillId="0" borderId="10" xfId="1" applyNumberFormat="1" applyFont="1" applyBorder="1" applyProtection="1">
      <protection hidden="1"/>
    </xf>
    <xf numFmtId="164" fontId="13" fillId="0" borderId="9" xfId="1" applyNumberFormat="1" applyFont="1" applyBorder="1" applyProtection="1">
      <protection hidden="1"/>
    </xf>
    <xf numFmtId="164" fontId="13" fillId="2" borderId="11" xfId="1" applyNumberFormat="1" applyFont="1" applyFill="1" applyBorder="1" applyAlignment="1">
      <alignment horizontal="left"/>
      <protection locked="0"/>
    </xf>
    <xf numFmtId="164" fontId="14" fillId="0" borderId="12" xfId="1" applyNumberFormat="1" applyFont="1" applyBorder="1" applyAlignment="1">
      <alignment horizontal="center"/>
      <protection locked="0"/>
    </xf>
    <xf numFmtId="164" fontId="13" fillId="0" borderId="13" xfId="1" applyNumberFormat="1" applyFont="1" applyBorder="1" applyProtection="1">
      <protection hidden="1"/>
    </xf>
    <xf numFmtId="164" fontId="13" fillId="0" borderId="12" xfId="1" applyNumberFormat="1" applyFont="1" applyBorder="1" applyProtection="1">
      <protection hidden="1"/>
    </xf>
    <xf numFmtId="164" fontId="13" fillId="2" borderId="11" xfId="1" applyNumberFormat="1" applyFont="1" applyFill="1" applyBorder="1">
      <protection locked="0"/>
    </xf>
    <xf numFmtId="164" fontId="14" fillId="0" borderId="12" xfId="1" applyNumberFormat="1" applyFont="1" applyBorder="1">
      <protection locked="0"/>
    </xf>
    <xf numFmtId="164" fontId="14" fillId="0" borderId="15" xfId="1" applyNumberFormat="1" applyFont="1" applyBorder="1" applyAlignment="1">
      <alignment horizontal="center"/>
      <protection locked="0"/>
    </xf>
    <xf numFmtId="164" fontId="13" fillId="2" borderId="41" xfId="1" applyNumberFormat="1" applyFont="1" applyFill="1" applyBorder="1">
      <protection locked="0"/>
    </xf>
    <xf numFmtId="164" fontId="14" fillId="0" borderId="14" xfId="1" applyNumberFormat="1" applyFont="1" applyBorder="1">
      <protection locked="0"/>
    </xf>
    <xf numFmtId="164" fontId="13" fillId="0" borderId="42" xfId="1" applyNumberFormat="1" applyFont="1" applyBorder="1" applyProtection="1">
      <protection hidden="1"/>
    </xf>
    <xf numFmtId="164" fontId="13" fillId="0" borderId="43" xfId="1" applyNumberFormat="1" applyFont="1" applyBorder="1" applyProtection="1">
      <protection hidden="1"/>
    </xf>
    <xf numFmtId="164" fontId="13" fillId="0" borderId="14" xfId="1" applyNumberFormat="1" applyFont="1" applyBorder="1" applyProtection="1">
      <protection hidden="1"/>
    </xf>
    <xf numFmtId="164" fontId="13" fillId="2" borderId="28" xfId="1" applyNumberFormat="1" applyFont="1" applyFill="1" applyBorder="1" applyAlignment="1">
      <alignment vertical="center"/>
      <protection locked="0"/>
    </xf>
    <xf numFmtId="164" fontId="14" fillId="2" borderId="44" xfId="1" applyNumberFormat="1" applyFont="1" applyFill="1" applyBorder="1">
      <protection locked="0"/>
    </xf>
    <xf numFmtId="164" fontId="13" fillId="2" borderId="45" xfId="1" applyNumberFormat="1" applyFont="1" applyFill="1" applyBorder="1" applyProtection="1">
      <protection hidden="1"/>
    </xf>
    <xf numFmtId="164" fontId="13" fillId="2" borderId="6" xfId="1" applyNumberFormat="1" applyFont="1" applyFill="1" applyBorder="1" applyProtection="1">
      <protection hidden="1"/>
    </xf>
    <xf numFmtId="164" fontId="13" fillId="2" borderId="46" xfId="1" applyNumberFormat="1" applyFont="1" applyFill="1" applyBorder="1" applyProtection="1">
      <protection hidden="1"/>
    </xf>
    <xf numFmtId="164" fontId="13" fillId="2" borderId="32" xfId="1" applyNumberFormat="1" applyFont="1" applyFill="1" applyBorder="1" applyProtection="1">
      <protection hidden="1"/>
    </xf>
    <xf numFmtId="0" fontId="1" fillId="6" borderId="0" xfId="0" applyFont="1" applyFill="1" applyAlignment="1" applyProtection="1">
      <protection locked="0"/>
    </xf>
    <xf numFmtId="164" fontId="14" fillId="4" borderId="49" xfId="1" applyNumberFormat="1" applyFont="1" applyFill="1" applyBorder="1">
      <protection locked="0"/>
    </xf>
    <xf numFmtId="164" fontId="14" fillId="2" borderId="7" xfId="1" applyNumberFormat="1" applyFont="1" applyFill="1" applyBorder="1">
      <protection locked="0"/>
    </xf>
    <xf numFmtId="164" fontId="14" fillId="4" borderId="6" xfId="1" applyNumberFormat="1" applyFont="1" applyFill="1" applyBorder="1">
      <protection locked="0"/>
    </xf>
    <xf numFmtId="164" fontId="14" fillId="4" borderId="25" xfId="1" applyNumberFormat="1" applyFont="1" applyFill="1" applyBorder="1">
      <protection locked="0"/>
    </xf>
    <xf numFmtId="164" fontId="14" fillId="0" borderId="22" xfId="1" applyNumberFormat="1" applyFont="1" applyBorder="1">
      <protection locked="0"/>
    </xf>
    <xf numFmtId="164" fontId="13" fillId="2" borderId="3" xfId="1" applyNumberFormat="1" applyFont="1" applyFill="1" applyBorder="1">
      <protection locked="0"/>
    </xf>
    <xf numFmtId="164" fontId="14" fillId="0" borderId="35" xfId="1" applyNumberFormat="1" applyFont="1" applyBorder="1">
      <protection locked="0"/>
    </xf>
    <xf numFmtId="164" fontId="14" fillId="0" borderId="36" xfId="1" applyNumberFormat="1" applyFont="1" applyBorder="1">
      <protection locked="0"/>
    </xf>
    <xf numFmtId="164" fontId="14" fillId="0" borderId="1" xfId="1" applyNumberFormat="1" applyFont="1" applyBorder="1">
      <protection locked="0"/>
    </xf>
    <xf numFmtId="164" fontId="13" fillId="2" borderId="26" xfId="1" applyNumberFormat="1" applyFont="1" applyFill="1" applyBorder="1">
      <protection locked="0"/>
    </xf>
    <xf numFmtId="164" fontId="14" fillId="0" borderId="39" xfId="1" applyNumberFormat="1" applyFont="1" applyBorder="1">
      <protection locked="0"/>
    </xf>
    <xf numFmtId="164" fontId="14" fillId="0" borderId="40" xfId="1" applyNumberFormat="1" applyFont="1" applyBorder="1">
      <protection locked="0"/>
    </xf>
    <xf numFmtId="164" fontId="14" fillId="0" borderId="26" xfId="1" applyNumberFormat="1" applyFont="1" applyBorder="1">
      <protection locked="0"/>
    </xf>
    <xf numFmtId="164" fontId="14" fillId="0" borderId="3" xfId="1" applyNumberFormat="1" applyFont="1" applyBorder="1">
      <protection locked="0"/>
    </xf>
    <xf numFmtId="164" fontId="13" fillId="2" borderId="6" xfId="1" applyNumberFormat="1" applyFont="1" applyFill="1" applyBorder="1">
      <protection locked="0"/>
    </xf>
    <xf numFmtId="3" fontId="14" fillId="0" borderId="25" xfId="0" applyNumberFormat="1" applyFont="1" applyBorder="1" applyAlignment="1" applyProtection="1">
      <protection locked="0"/>
    </xf>
    <xf numFmtId="0" fontId="14" fillId="0" borderId="25" xfId="0" applyFont="1" applyBorder="1" applyAlignment="1" applyProtection="1">
      <protection locked="0"/>
    </xf>
    <xf numFmtId="164" fontId="14" fillId="0" borderId="30" xfId="0" applyNumberFormat="1" applyFont="1" applyBorder="1" applyAlignment="1" applyProtection="1">
      <protection hidden="1"/>
    </xf>
    <xf numFmtId="0" fontId="13" fillId="2" borderId="14" xfId="0" applyFont="1" applyFill="1" applyBorder="1" applyAlignment="1" applyProtection="1">
      <protection locked="0"/>
    </xf>
    <xf numFmtId="0" fontId="14" fillId="0" borderId="50" xfId="0" applyFont="1" applyBorder="1" applyAlignment="1" applyProtection="1">
      <protection locked="0"/>
    </xf>
    <xf numFmtId="0" fontId="14" fillId="0" borderId="52" xfId="0" applyFont="1" applyBorder="1" applyAlignment="1" applyProtection="1">
      <protection locked="0"/>
    </xf>
    <xf numFmtId="0" fontId="13" fillId="0" borderId="0" xfId="0" applyFont="1" applyAlignment="1" applyProtection="1">
      <protection locked="0"/>
    </xf>
    <xf numFmtId="164" fontId="13" fillId="7" borderId="6" xfId="1" applyNumberFormat="1" applyFont="1" applyFill="1" applyBorder="1">
      <protection locked="0"/>
    </xf>
    <xf numFmtId="164" fontId="13" fillId="7" borderId="15" xfId="1" applyNumberFormat="1" applyFont="1" applyFill="1" applyBorder="1">
      <protection locked="0"/>
    </xf>
    <xf numFmtId="164" fontId="13" fillId="7" borderId="12" xfId="1" applyNumberFormat="1" applyFont="1" applyFill="1" applyBorder="1">
      <protection locked="0"/>
    </xf>
    <xf numFmtId="164" fontId="14" fillId="7" borderId="12" xfId="1" applyNumberFormat="1" applyFont="1" applyFill="1" applyBorder="1">
      <protection locked="0"/>
    </xf>
    <xf numFmtId="164" fontId="13" fillId="0" borderId="6" xfId="1" applyNumberFormat="1" applyFont="1" applyBorder="1" applyProtection="1">
      <protection hidden="1"/>
    </xf>
    <xf numFmtId="164" fontId="13" fillId="0" borderId="25" xfId="1" applyNumberFormat="1" applyFont="1" applyBorder="1" applyProtection="1">
      <protection hidden="1"/>
    </xf>
    <xf numFmtId="164" fontId="13" fillId="4" borderId="25" xfId="1" applyNumberFormat="1" applyFont="1" applyFill="1" applyBorder="1" applyProtection="1">
      <protection hidden="1"/>
    </xf>
    <xf numFmtId="0" fontId="1" fillId="0" borderId="26" xfId="0" applyFont="1" applyBorder="1" applyAlignment="1" applyProtection="1">
      <alignment horizontal="center"/>
      <protection hidden="1"/>
    </xf>
    <xf numFmtId="0" fontId="1" fillId="0" borderId="24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  <xf numFmtId="164" fontId="13" fillId="4" borderId="47" xfId="1" applyNumberFormat="1" applyFont="1" applyFill="1" applyBorder="1" applyAlignment="1">
      <alignment horizontal="center" vertical="center"/>
      <protection locked="0"/>
    </xf>
    <xf numFmtId="164" fontId="13" fillId="4" borderId="48" xfId="1" applyNumberFormat="1" applyFont="1" applyFill="1" applyBorder="1" applyAlignment="1">
      <alignment horizontal="center" vertical="center"/>
      <protection locked="0"/>
    </xf>
    <xf numFmtId="0" fontId="2" fillId="2" borderId="26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2" borderId="25" xfId="0" applyFont="1" applyFill="1" applyBorder="1" applyAlignment="1">
      <alignment horizontal="left"/>
    </xf>
    <xf numFmtId="164" fontId="11" fillId="7" borderId="3" xfId="1" applyNumberFormat="1" applyFont="1" applyFill="1" applyBorder="1" applyAlignment="1">
      <alignment horizontal="center"/>
      <protection locked="0"/>
    </xf>
    <xf numFmtId="164" fontId="11" fillId="7" borderId="7" xfId="1" applyNumberFormat="1" applyFont="1" applyFill="1" applyBorder="1" applyAlignment="1">
      <alignment horizontal="center"/>
      <protection locked="0"/>
    </xf>
    <xf numFmtId="164" fontId="11" fillId="7" borderId="5" xfId="1" applyNumberFormat="1" applyFont="1" applyFill="1" applyBorder="1" applyAlignment="1">
      <alignment horizontal="center"/>
      <protection locked="0"/>
    </xf>
    <xf numFmtId="164" fontId="11" fillId="7" borderId="21" xfId="1" applyNumberFormat="1" applyFont="1" applyFill="1" applyBorder="1" applyAlignment="1">
      <alignment horizontal="center"/>
      <protection locked="0"/>
    </xf>
    <xf numFmtId="164" fontId="11" fillId="7" borderId="23" xfId="1" applyNumberFormat="1" applyFont="1" applyFill="1" applyBorder="1" applyAlignment="1">
      <alignment horizontal="center"/>
      <protection locked="0"/>
    </xf>
    <xf numFmtId="164" fontId="11" fillId="7" borderId="30" xfId="1" applyNumberFormat="1" applyFont="1" applyFill="1" applyBorder="1" applyAlignment="1">
      <alignment horizontal="center"/>
      <protection locked="0"/>
    </xf>
    <xf numFmtId="164" fontId="14" fillId="0" borderId="38" xfId="1" applyNumberFormat="1" applyFont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center"/>
      <protection locked="0"/>
    </xf>
    <xf numFmtId="0" fontId="13" fillId="0" borderId="28" xfId="0" applyFont="1" applyBorder="1" applyAlignment="1" applyProtection="1">
      <alignment horizontal="left"/>
      <protection locked="0"/>
    </xf>
    <xf numFmtId="0" fontId="13" fillId="0" borderId="29" xfId="0" applyFont="1" applyBorder="1" applyAlignment="1" applyProtection="1">
      <alignment horizontal="left"/>
      <protection locked="0"/>
    </xf>
    <xf numFmtId="164" fontId="1" fillId="0" borderId="26" xfId="0" applyNumberFormat="1" applyFont="1" applyBorder="1" applyAlignment="1" applyProtection="1">
      <alignment horizontal="center"/>
      <protection hidden="1"/>
    </xf>
    <xf numFmtId="164" fontId="14" fillId="0" borderId="37" xfId="1" applyNumberFormat="1" applyFont="1" applyBorder="1" applyAlignment="1">
      <alignment horizontal="left"/>
      <protection locked="0"/>
    </xf>
    <xf numFmtId="164" fontId="14" fillId="0" borderId="39" xfId="1" applyNumberFormat="1" applyFont="1" applyBorder="1" applyAlignment="1">
      <alignment horizontal="left"/>
      <protection locked="0"/>
    </xf>
    <xf numFmtId="0" fontId="14" fillId="0" borderId="37" xfId="0" applyFont="1" applyBorder="1" applyAlignment="1" applyProtection="1">
      <alignment horizontal="left"/>
      <protection locked="0"/>
    </xf>
    <xf numFmtId="0" fontId="14" fillId="0" borderId="39" xfId="0" applyFont="1" applyBorder="1" applyAlignment="1" applyProtection="1">
      <alignment horizontal="left"/>
      <protection locked="0"/>
    </xf>
    <xf numFmtId="164" fontId="11" fillId="2" borderId="26" xfId="1" applyNumberFormat="1" applyFont="1" applyFill="1" applyBorder="1" applyAlignment="1">
      <alignment horizontal="center"/>
      <protection locked="0"/>
    </xf>
    <xf numFmtId="164" fontId="11" fillId="2" borderId="24" xfId="1" applyNumberFormat="1" applyFont="1" applyFill="1" applyBorder="1" applyAlignment="1">
      <alignment horizontal="center"/>
      <protection locked="0"/>
    </xf>
    <xf numFmtId="164" fontId="11" fillId="2" borderId="25" xfId="1" applyNumberFormat="1" applyFont="1" applyFill="1" applyBorder="1" applyAlignment="1">
      <alignment horizontal="center"/>
      <protection locked="0"/>
    </xf>
    <xf numFmtId="0" fontId="14" fillId="0" borderId="50" xfId="0" applyFont="1" applyBorder="1" applyAlignment="1" applyProtection="1">
      <alignment horizontal="left"/>
      <protection locked="0"/>
    </xf>
    <xf numFmtId="0" fontId="14" fillId="0" borderId="51" xfId="0" applyFont="1" applyBorder="1" applyAlignment="1" applyProtection="1">
      <alignment horizontal="left"/>
      <protection locked="0"/>
    </xf>
    <xf numFmtId="164" fontId="14" fillId="0" borderId="26" xfId="0" applyNumberFormat="1" applyFont="1" applyBorder="1" applyAlignment="1" applyProtection="1">
      <alignment horizontal="center"/>
      <protection hidden="1"/>
    </xf>
    <xf numFmtId="0" fontId="14" fillId="0" borderId="24" xfId="0" applyFont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/>
      <protection hidden="1"/>
    </xf>
    <xf numFmtId="0" fontId="17" fillId="2" borderId="26" xfId="0" applyFont="1" applyFill="1" applyBorder="1" applyAlignment="1" applyProtection="1">
      <alignment horizontal="left"/>
      <protection locked="0"/>
    </xf>
    <xf numFmtId="0" fontId="17" fillId="2" borderId="24" xfId="0" applyFont="1" applyFill="1" applyBorder="1" applyAlignment="1" applyProtection="1">
      <alignment horizontal="left"/>
      <protection locked="0"/>
    </xf>
    <xf numFmtId="0" fontId="17" fillId="2" borderId="25" xfId="0" applyFont="1" applyFill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center"/>
      <protection locked="0"/>
    </xf>
    <xf numFmtId="164" fontId="12" fillId="7" borderId="1" xfId="1" applyNumberFormat="1" applyFont="1" applyFill="1" applyBorder="1" applyAlignment="1">
      <alignment horizontal="center"/>
      <protection locked="0"/>
    </xf>
    <xf numFmtId="164" fontId="12" fillId="7" borderId="0" xfId="1" applyNumberFormat="1" applyFont="1" applyFill="1" applyAlignment="1">
      <alignment horizontal="center"/>
      <protection locked="0"/>
    </xf>
    <xf numFmtId="164" fontId="12" fillId="7" borderId="27" xfId="1" applyNumberFormat="1" applyFont="1" applyFill="1" applyBorder="1" applyAlignment="1">
      <alignment horizontal="center"/>
      <protection locked="0"/>
    </xf>
    <xf numFmtId="164" fontId="12" fillId="7" borderId="21" xfId="1" applyNumberFormat="1" applyFont="1" applyFill="1" applyBorder="1" applyAlignment="1">
      <alignment horizontal="center"/>
      <protection locked="0"/>
    </xf>
    <xf numFmtId="164" fontId="12" fillId="7" borderId="23" xfId="1" applyNumberFormat="1" applyFont="1" applyFill="1" applyBorder="1" applyAlignment="1">
      <alignment horizontal="center"/>
      <protection locked="0"/>
    </xf>
    <xf numFmtId="164" fontId="12" fillId="7" borderId="30" xfId="1" applyNumberFormat="1" applyFont="1" applyFill="1" applyBorder="1" applyAlignment="1">
      <alignment horizontal="center"/>
      <protection locked="0"/>
    </xf>
    <xf numFmtId="164" fontId="13" fillId="4" borderId="26" xfId="1" applyNumberFormat="1" applyFont="1" applyFill="1" applyBorder="1" applyAlignment="1">
      <alignment horizontal="center"/>
      <protection locked="0"/>
    </xf>
    <xf numFmtId="164" fontId="13" fillId="4" borderId="25" xfId="1" applyNumberFormat="1" applyFont="1" applyFill="1" applyBorder="1" applyAlignment="1">
      <alignment horizontal="center"/>
      <protection locked="0"/>
    </xf>
    <xf numFmtId="164" fontId="1" fillId="0" borderId="24" xfId="0" applyNumberFormat="1" applyFont="1" applyBorder="1" applyAlignment="1" applyProtection="1">
      <alignment horizontal="center"/>
      <protection hidden="1"/>
    </xf>
    <xf numFmtId="164" fontId="1" fillId="0" borderId="25" xfId="0" applyNumberFormat="1" applyFont="1" applyBorder="1" applyAlignment="1" applyProtection="1">
      <alignment horizontal="center"/>
      <protection hidden="1"/>
    </xf>
    <xf numFmtId="164" fontId="14" fillId="4" borderId="28" xfId="1" applyNumberFormat="1" applyFont="1" applyFill="1" applyBorder="1" applyAlignment="1">
      <alignment horizontal="center"/>
      <protection locked="0"/>
    </xf>
    <xf numFmtId="164" fontId="14" fillId="4" borderId="29" xfId="1" applyNumberFormat="1" applyFont="1" applyFill="1" applyBorder="1" applyAlignment="1">
      <alignment horizontal="center"/>
      <protection locked="0"/>
    </xf>
    <xf numFmtId="0" fontId="13" fillId="0" borderId="26" xfId="0" applyFont="1" applyBorder="1" applyAlignment="1" applyProtection="1">
      <alignment horizontal="left"/>
      <protection locked="0"/>
    </xf>
    <xf numFmtId="0" fontId="13" fillId="0" borderId="25" xfId="0" applyFont="1" applyBorder="1" applyAlignment="1" applyProtection="1">
      <alignment horizontal="left"/>
      <protection locked="0"/>
    </xf>
    <xf numFmtId="164" fontId="15" fillId="4" borderId="26" xfId="1" applyNumberFormat="1" applyFont="1" applyFill="1" applyBorder="1" applyAlignment="1">
      <alignment horizontal="center"/>
      <protection locked="0"/>
    </xf>
    <xf numFmtId="164" fontId="15" fillId="4" borderId="24" xfId="1" applyNumberFormat="1" applyFont="1" applyFill="1" applyBorder="1" applyAlignment="1">
      <alignment horizontal="center"/>
      <protection locked="0"/>
    </xf>
    <xf numFmtId="164" fontId="15" fillId="4" borderId="25" xfId="1" applyNumberFormat="1" applyFont="1" applyFill="1" applyBorder="1" applyAlignment="1">
      <alignment horizontal="center"/>
      <protection locked="0"/>
    </xf>
    <xf numFmtId="164" fontId="14" fillId="0" borderId="34" xfId="1" applyNumberFormat="1" applyFont="1" applyBorder="1" applyAlignment="1">
      <alignment horizontal="center"/>
      <protection locked="0"/>
    </xf>
    <xf numFmtId="164" fontId="14" fillId="0" borderId="33" xfId="1" applyNumberFormat="1" applyFont="1" applyBorder="1" applyAlignment="1">
      <alignment horizontal="center"/>
      <protection locked="0"/>
    </xf>
    <xf numFmtId="0" fontId="13" fillId="0" borderId="21" xfId="0" applyFont="1" applyBorder="1" applyAlignment="1" applyProtection="1">
      <alignment horizontal="left"/>
      <protection locked="0"/>
    </xf>
    <xf numFmtId="0" fontId="13" fillId="0" borderId="30" xfId="0" applyFont="1" applyBorder="1" applyAlignment="1" applyProtection="1">
      <alignment horizontal="left"/>
      <protection locked="0"/>
    </xf>
    <xf numFmtId="164" fontId="14" fillId="0" borderId="35" xfId="1" applyNumberFormat="1" applyFont="1" applyBorder="1" applyAlignment="1">
      <alignment horizontal="center"/>
      <protection locked="0"/>
    </xf>
    <xf numFmtId="0" fontId="13" fillId="0" borderId="3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left"/>
      <protection locked="0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16" fillId="0" borderId="3" xfId="1" applyNumberFormat="1" applyFont="1" applyBorder="1" applyAlignment="1">
      <alignment horizontal="center"/>
      <protection locked="0"/>
    </xf>
    <xf numFmtId="164" fontId="16" fillId="0" borderId="7" xfId="1" applyNumberFormat="1" applyFont="1" applyBorder="1" applyAlignment="1">
      <alignment horizontal="center"/>
      <protection locked="0"/>
    </xf>
    <xf numFmtId="164" fontId="16" fillId="0" borderId="5" xfId="1" applyNumberFormat="1" applyFont="1" applyBorder="1" applyAlignment="1">
      <alignment horizontal="center"/>
      <protection locked="0"/>
    </xf>
    <xf numFmtId="164" fontId="16" fillId="0" borderId="21" xfId="1" applyNumberFormat="1" applyFont="1" applyBorder="1" applyAlignment="1">
      <alignment horizontal="center"/>
      <protection locked="0"/>
    </xf>
    <xf numFmtId="164" fontId="16" fillId="0" borderId="23" xfId="1" applyNumberFormat="1" applyFont="1" applyBorder="1" applyAlignment="1">
      <alignment horizontal="center"/>
      <protection locked="0"/>
    </xf>
    <xf numFmtId="164" fontId="16" fillId="0" borderId="30" xfId="1" applyNumberFormat="1" applyFont="1" applyBorder="1" applyAlignment="1">
      <alignment horizontal="center"/>
      <protection locked="0"/>
    </xf>
    <xf numFmtId="164" fontId="14" fillId="0" borderId="1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4" fillId="0" borderId="27" xfId="0" applyFont="1" applyBorder="1" applyAlignment="1" applyProtection="1">
      <alignment horizontal="center"/>
      <protection hidden="1"/>
    </xf>
    <xf numFmtId="164" fontId="1" fillId="0" borderId="26" xfId="1" applyNumberFormat="1" applyBorder="1" applyAlignment="1" applyProtection="1">
      <alignment horizontal="center"/>
      <protection hidden="1"/>
    </xf>
    <xf numFmtId="164" fontId="1" fillId="0" borderId="25" xfId="1" applyNumberFormat="1" applyBorder="1" applyAlignment="1" applyProtection="1">
      <alignment horizontal="center"/>
      <protection hidden="1"/>
    </xf>
    <xf numFmtId="164" fontId="7" fillId="0" borderId="26" xfId="1" applyNumberFormat="1" applyFont="1" applyBorder="1" applyAlignment="1">
      <alignment horizontal="left"/>
      <protection locked="0"/>
    </xf>
    <xf numFmtId="164" fontId="7" fillId="0" borderId="25" xfId="1" applyNumberFormat="1" applyFont="1" applyBorder="1" applyAlignment="1">
      <alignment horizontal="left"/>
      <protection locked="0"/>
    </xf>
    <xf numFmtId="164" fontId="7" fillId="0" borderId="28" xfId="1" applyNumberFormat="1" applyFont="1" applyBorder="1" applyAlignment="1">
      <alignment horizontal="left"/>
      <protection locked="0"/>
    </xf>
    <xf numFmtId="164" fontId="7" fillId="0" borderId="29" xfId="1" applyNumberFormat="1" applyFont="1" applyBorder="1" applyAlignment="1">
      <alignment horizontal="left"/>
      <protection locked="0"/>
    </xf>
    <xf numFmtId="164" fontId="1" fillId="0" borderId="3" xfId="1" applyNumberFormat="1" applyBorder="1" applyAlignment="1" applyProtection="1">
      <alignment horizontal="center"/>
      <protection hidden="1"/>
    </xf>
    <xf numFmtId="164" fontId="1" fillId="0" borderId="7" xfId="1" applyNumberFormat="1" applyBorder="1" applyAlignment="1" applyProtection="1">
      <alignment horizontal="center"/>
      <protection hidden="1"/>
    </xf>
    <xf numFmtId="164" fontId="3" fillId="2" borderId="1" xfId="1" applyNumberFormat="1" applyFont="1" applyFill="1" applyBorder="1" applyAlignment="1">
      <alignment horizontal="center"/>
      <protection locked="0"/>
    </xf>
    <xf numFmtId="164" fontId="3" fillId="2" borderId="0" xfId="1" applyNumberFormat="1" applyFont="1" applyFill="1" applyAlignment="1">
      <alignment horizontal="center"/>
      <protection locked="0"/>
    </xf>
    <xf numFmtId="164" fontId="4" fillId="2" borderId="1" xfId="1" applyNumberFormat="1" applyFont="1" applyFill="1" applyBorder="1" applyAlignment="1">
      <alignment horizontal="center" vertical="center"/>
      <protection locked="0"/>
    </xf>
    <xf numFmtId="164" fontId="4" fillId="2" borderId="0" xfId="1" applyNumberFormat="1" applyFont="1" applyFill="1" applyAlignment="1">
      <alignment horizontal="center" vertical="center"/>
      <protection locked="0"/>
    </xf>
    <xf numFmtId="164" fontId="1" fillId="2" borderId="3" xfId="1" applyNumberFormat="1" applyFill="1" applyBorder="1" applyAlignment="1">
      <alignment horizontal="center"/>
      <protection locked="0"/>
    </xf>
    <xf numFmtId="164" fontId="1" fillId="2" borderId="5" xfId="1" applyNumberFormat="1" applyFill="1" applyBorder="1" applyAlignment="1">
      <alignment horizontal="center"/>
      <protection locked="0"/>
    </xf>
    <xf numFmtId="164" fontId="1" fillId="2" borderId="1" xfId="1" applyNumberFormat="1" applyFill="1" applyBorder="1" applyAlignment="1">
      <alignment horizontal="center"/>
      <protection locked="0"/>
    </xf>
    <xf numFmtId="164" fontId="1" fillId="2" borderId="27" xfId="1" applyNumberFormat="1" applyFill="1" applyBorder="1" applyAlignment="1">
      <alignment horizontal="center"/>
      <protection locked="0"/>
    </xf>
    <xf numFmtId="164" fontId="1" fillId="2" borderId="21" xfId="1" applyNumberFormat="1" applyFill="1" applyBorder="1" applyAlignment="1">
      <alignment horizontal="center"/>
      <protection locked="0"/>
    </xf>
    <xf numFmtId="164" fontId="1" fillId="2" borderId="30" xfId="1" applyNumberFormat="1" applyFill="1" applyBorder="1" applyAlignment="1">
      <alignment horizontal="center"/>
      <protection locked="0"/>
    </xf>
    <xf numFmtId="164" fontId="1" fillId="3" borderId="24" xfId="1" applyNumberFormat="1" applyFill="1" applyBorder="1" applyAlignment="1">
      <alignment horizontal="center"/>
      <protection locked="0"/>
    </xf>
    <xf numFmtId="164" fontId="1" fillId="3" borderId="25" xfId="1" applyNumberFormat="1" applyFill="1" applyBorder="1" applyAlignment="1">
      <alignment horizontal="center"/>
      <protection locked="0"/>
    </xf>
    <xf numFmtId="164" fontId="10" fillId="2" borderId="26" xfId="1" applyNumberFormat="1" applyFont="1" applyFill="1" applyBorder="1" applyAlignment="1">
      <alignment horizontal="center"/>
      <protection locked="0"/>
    </xf>
    <xf numFmtId="164" fontId="10" fillId="2" borderId="24" xfId="1" applyNumberFormat="1" applyFont="1" applyFill="1" applyBorder="1" applyAlignment="1">
      <alignment horizontal="center"/>
      <protection locked="0"/>
    </xf>
    <xf numFmtId="164" fontId="10" fillId="2" borderId="25" xfId="1" applyNumberFormat="1" applyFont="1" applyFill="1" applyBorder="1" applyAlignment="1">
      <alignment horizontal="center"/>
      <protection locked="0"/>
    </xf>
    <xf numFmtId="164" fontId="8" fillId="4" borderId="26" xfId="1" applyNumberFormat="1" applyFont="1" applyFill="1" applyBorder="1" applyAlignment="1">
      <alignment horizontal="center"/>
      <protection locked="0"/>
    </xf>
    <xf numFmtId="164" fontId="8" fillId="4" borderId="24" xfId="1" applyNumberFormat="1" applyFont="1" applyFill="1" applyBorder="1" applyAlignment="1">
      <alignment horizontal="center"/>
      <protection locked="0"/>
    </xf>
    <xf numFmtId="164" fontId="7" fillId="0" borderId="3" xfId="1" applyNumberFormat="1" applyFont="1" applyBorder="1" applyAlignment="1">
      <alignment horizontal="left" vertical="top"/>
      <protection locked="0"/>
    </xf>
    <xf numFmtId="164" fontId="7" fillId="0" borderId="7" xfId="1" applyNumberFormat="1" applyFont="1" applyBorder="1" applyAlignment="1">
      <alignment horizontal="left" vertical="top"/>
      <protection locked="0"/>
    </xf>
    <xf numFmtId="164" fontId="7" fillId="0" borderId="5" xfId="1" applyNumberFormat="1" applyFont="1" applyBorder="1" applyAlignment="1">
      <alignment horizontal="left" vertical="top"/>
      <protection locked="0"/>
    </xf>
    <xf numFmtId="164" fontId="7" fillId="0" borderId="1" xfId="1" applyNumberFormat="1" applyFont="1" applyBorder="1" applyAlignment="1">
      <alignment horizontal="left" vertical="top"/>
      <protection locked="0"/>
    </xf>
    <xf numFmtId="164" fontId="7" fillId="0" borderId="0" xfId="1" applyNumberFormat="1" applyFont="1" applyAlignment="1">
      <alignment horizontal="left" vertical="top"/>
      <protection locked="0"/>
    </xf>
    <xf numFmtId="164" fontId="7" fillId="0" borderId="27" xfId="1" applyNumberFormat="1" applyFont="1" applyBorder="1" applyAlignment="1">
      <alignment horizontal="left" vertical="top"/>
      <protection locked="0"/>
    </xf>
    <xf numFmtId="164" fontId="7" fillId="0" borderId="21" xfId="1" applyNumberFormat="1" applyFont="1" applyBorder="1" applyAlignment="1">
      <alignment horizontal="left" vertical="top"/>
      <protection locked="0"/>
    </xf>
    <xf numFmtId="164" fontId="7" fillId="0" borderId="23" xfId="1" applyNumberFormat="1" applyFont="1" applyBorder="1" applyAlignment="1">
      <alignment horizontal="left" vertical="top"/>
      <protection locked="0"/>
    </xf>
    <xf numFmtId="164" fontId="7" fillId="0" borderId="30" xfId="1" applyNumberFormat="1" applyFont="1" applyBorder="1" applyAlignment="1">
      <alignment horizontal="left" vertical="top"/>
      <protection locked="0"/>
    </xf>
    <xf numFmtId="164" fontId="9" fillId="0" borderId="3" xfId="1" applyNumberFormat="1" applyFont="1" applyBorder="1" applyAlignment="1">
      <alignment horizontal="left"/>
      <protection locked="0"/>
    </xf>
    <xf numFmtId="164" fontId="9" fillId="0" borderId="7" xfId="1" applyNumberFormat="1" applyFont="1" applyBorder="1" applyAlignment="1">
      <alignment horizontal="left"/>
      <protection locked="0"/>
    </xf>
    <xf numFmtId="164" fontId="9" fillId="0" borderId="5" xfId="1" applyNumberFormat="1" applyFont="1" applyBorder="1" applyAlignment="1">
      <alignment horizontal="left"/>
      <protection locked="0"/>
    </xf>
    <xf numFmtId="164" fontId="9" fillId="0" borderId="21" xfId="1" applyNumberFormat="1" applyFont="1" applyBorder="1" applyAlignment="1">
      <alignment horizontal="left"/>
      <protection locked="0"/>
    </xf>
    <xf numFmtId="164" fontId="9" fillId="0" borderId="23" xfId="1" applyNumberFormat="1" applyFont="1" applyBorder="1" applyAlignment="1">
      <alignment horizontal="left"/>
      <protection locked="0"/>
    </xf>
    <xf numFmtId="164" fontId="9" fillId="0" borderId="30" xfId="1" applyNumberFormat="1" applyFont="1" applyBorder="1" applyAlignment="1">
      <alignment horizontal="left"/>
      <protection locked="0"/>
    </xf>
    <xf numFmtId="164" fontId="7" fillId="0" borderId="31" xfId="1" applyNumberFormat="1" applyFont="1" applyBorder="1" applyAlignment="1">
      <alignment horizontal="center"/>
      <protection locked="0"/>
    </xf>
    <xf numFmtId="164" fontId="7" fillId="0" borderId="32" xfId="1" applyNumberFormat="1" applyFont="1" applyBorder="1" applyAlignment="1">
      <alignment horizontal="center"/>
      <protection locked="0"/>
    </xf>
    <xf numFmtId="164" fontId="1" fillId="0" borderId="24" xfId="1" applyNumberFormat="1" applyBorder="1" applyAlignment="1" applyProtection="1">
      <alignment horizontal="center"/>
      <protection hidden="1"/>
    </xf>
    <xf numFmtId="0" fontId="2" fillId="2" borderId="26" xfId="0" applyFont="1" applyFill="1" applyBorder="1" applyAlignment="1" applyProtection="1">
      <alignment horizontal="left"/>
      <protection locked="0"/>
    </xf>
    <xf numFmtId="0" fontId="2" fillId="2" borderId="24" xfId="0" applyFont="1" applyFill="1" applyBorder="1" applyAlignment="1" applyProtection="1">
      <alignment horizontal="left"/>
      <protection locked="0"/>
    </xf>
    <xf numFmtId="0" fontId="2" fillId="2" borderId="25" xfId="0" applyFont="1" applyFill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0" fontId="2" fillId="2" borderId="26" xfId="0" applyFont="1" applyFill="1" applyBorder="1" applyAlignment="1" applyProtection="1">
      <alignment horizontal="center"/>
      <protection locked="0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2" borderId="25" xfId="0" applyFont="1" applyFill="1" applyBorder="1" applyAlignment="1" applyProtection="1">
      <alignment horizontal="center"/>
      <protection locked="0"/>
    </xf>
    <xf numFmtId="164" fontId="18" fillId="2" borderId="26" xfId="1" applyNumberFormat="1" applyFont="1" applyFill="1" applyBorder="1" applyAlignment="1" applyProtection="1">
      <alignment horizontal="center"/>
      <protection hidden="1"/>
    </xf>
    <xf numFmtId="164" fontId="18" fillId="2" borderId="24" xfId="1" applyNumberFormat="1" applyFont="1" applyFill="1" applyBorder="1" applyAlignment="1" applyProtection="1">
      <alignment horizontal="center"/>
      <protection hidden="1"/>
    </xf>
    <xf numFmtId="164" fontId="18" fillId="2" borderId="25" xfId="1" applyNumberFormat="1" applyFont="1" applyFill="1" applyBorder="1" applyAlignment="1" applyProtection="1">
      <alignment horizontal="center"/>
      <protection hidden="1"/>
    </xf>
    <xf numFmtId="164" fontId="11" fillId="2" borderId="21" xfId="1" applyNumberFormat="1" applyFont="1" applyFill="1" applyBorder="1" applyAlignment="1">
      <alignment horizontal="center"/>
      <protection locked="0"/>
    </xf>
    <xf numFmtId="164" fontId="11" fillId="2" borderId="23" xfId="1" applyNumberFormat="1" applyFont="1" applyFill="1" applyBorder="1" applyAlignment="1">
      <alignment horizontal="center"/>
      <protection locked="0"/>
    </xf>
    <xf numFmtId="164" fontId="11" fillId="2" borderId="30" xfId="1" applyNumberFormat="1" applyFont="1" applyFill="1" applyBorder="1" applyAlignment="1">
      <alignment horizontal="center"/>
      <protection locked="0"/>
    </xf>
    <xf numFmtId="164" fontId="12" fillId="5" borderId="1" xfId="1" applyNumberFormat="1" applyFont="1" applyFill="1" applyBorder="1" applyAlignment="1">
      <alignment horizontal="center"/>
      <protection locked="0"/>
    </xf>
    <xf numFmtId="164" fontId="12" fillId="5" borderId="0" xfId="1" applyNumberFormat="1" applyFont="1" applyFill="1" applyAlignment="1">
      <alignment horizontal="center"/>
      <protection locked="0"/>
    </xf>
    <xf numFmtId="164" fontId="12" fillId="5" borderId="27" xfId="1" applyNumberFormat="1" applyFont="1" applyFill="1" applyBorder="1" applyAlignment="1">
      <alignment horizontal="center"/>
      <protection locked="0"/>
    </xf>
    <xf numFmtId="164" fontId="12" fillId="5" borderId="21" xfId="1" applyNumberFormat="1" applyFont="1" applyFill="1" applyBorder="1" applyAlignment="1">
      <alignment horizontal="center"/>
      <protection locked="0"/>
    </xf>
    <xf numFmtId="164" fontId="12" fillId="5" borderId="23" xfId="1" applyNumberFormat="1" applyFont="1" applyFill="1" applyBorder="1" applyAlignment="1">
      <alignment horizontal="center"/>
      <protection locked="0"/>
    </xf>
    <xf numFmtId="164" fontId="12" fillId="5" borderId="30" xfId="1" applyNumberFormat="1" applyFont="1" applyFill="1" applyBorder="1" applyAlignment="1">
      <alignment horizontal="center"/>
      <protection locked="0"/>
    </xf>
    <xf numFmtId="164" fontId="11" fillId="5" borderId="3" xfId="1" applyNumberFormat="1" applyFont="1" applyFill="1" applyBorder="1" applyAlignment="1">
      <alignment horizontal="center"/>
      <protection locked="0"/>
    </xf>
    <xf numFmtId="164" fontId="11" fillId="5" borderId="7" xfId="1" applyNumberFormat="1" applyFont="1" applyFill="1" applyBorder="1" applyAlignment="1">
      <alignment horizontal="center"/>
      <protection locked="0"/>
    </xf>
    <xf numFmtId="164" fontId="11" fillId="5" borderId="5" xfId="1" applyNumberFormat="1" applyFont="1" applyFill="1" applyBorder="1" applyAlignment="1">
      <alignment horizontal="center"/>
      <protection locked="0"/>
    </xf>
    <xf numFmtId="164" fontId="11" fillId="5" borderId="21" xfId="1" applyNumberFormat="1" applyFont="1" applyFill="1" applyBorder="1" applyAlignment="1">
      <alignment horizontal="center"/>
      <protection locked="0"/>
    </xf>
    <xf numFmtId="164" fontId="11" fillId="5" borderId="23" xfId="1" applyNumberFormat="1" applyFont="1" applyFill="1" applyBorder="1" applyAlignment="1">
      <alignment horizontal="center"/>
      <protection locked="0"/>
    </xf>
    <xf numFmtId="164" fontId="11" fillId="5" borderId="30" xfId="1" applyNumberFormat="1" applyFont="1" applyFill="1" applyBorder="1" applyAlignment="1">
      <alignment horizontal="center"/>
      <protection locked="0"/>
    </xf>
    <xf numFmtId="164" fontId="19" fillId="0" borderId="26" xfId="1" applyNumberFormat="1" applyFont="1" applyBorder="1" applyAlignment="1" applyProtection="1">
      <alignment horizontal="center"/>
      <protection hidden="1"/>
    </xf>
    <xf numFmtId="164" fontId="19" fillId="0" borderId="24" xfId="1" applyNumberFormat="1" applyFont="1" applyBorder="1" applyAlignment="1" applyProtection="1">
      <alignment horizontal="center"/>
      <protection hidden="1"/>
    </xf>
    <xf numFmtId="164" fontId="19" fillId="0" borderId="25" xfId="1" applyNumberFormat="1" applyFont="1" applyBorder="1" applyAlignment="1" applyProtection="1">
      <alignment horizontal="center"/>
      <protection hidden="1"/>
    </xf>
    <xf numFmtId="164" fontId="14" fillId="0" borderId="24" xfId="0" applyNumberFormat="1" applyFont="1" applyBorder="1" applyAlignment="1" applyProtection="1">
      <alignment horizontal="center"/>
      <protection hidden="1"/>
    </xf>
    <xf numFmtId="164" fontId="14" fillId="0" borderId="25" xfId="0" applyNumberFormat="1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left"/>
      <protection locked="0"/>
    </xf>
    <xf numFmtId="0" fontId="13" fillId="0" borderId="54" xfId="0" applyFont="1" applyBorder="1" applyAlignment="1" applyProtection="1">
      <alignment horizontal="left"/>
      <protection locked="0"/>
    </xf>
    <xf numFmtId="164" fontId="14" fillId="0" borderId="38" xfId="1" applyNumberFormat="1" applyFont="1" applyBorder="1" applyAlignment="1">
      <alignment horizontal="left"/>
      <protection locked="0"/>
    </xf>
    <xf numFmtId="0" fontId="14" fillId="0" borderId="11" xfId="0" applyFont="1" applyBorder="1" applyAlignment="1" applyProtection="1">
      <alignment horizontal="left"/>
      <protection locked="0"/>
    </xf>
    <xf numFmtId="0" fontId="14" fillId="0" borderId="18" xfId="0" applyFont="1" applyBorder="1" applyAlignment="1" applyProtection="1">
      <alignment horizontal="left"/>
      <protection locked="0"/>
    </xf>
    <xf numFmtId="164" fontId="14" fillId="0" borderId="55" xfId="1" applyNumberFormat="1" applyFont="1" applyBorder="1" applyAlignment="1">
      <alignment horizontal="center"/>
      <protection locked="0"/>
    </xf>
    <xf numFmtId="164" fontId="14" fillId="0" borderId="56" xfId="1" applyNumberFormat="1" applyFont="1" applyBorder="1" applyAlignment="1">
      <alignment horizontal="center"/>
      <protection locked="0"/>
    </xf>
    <xf numFmtId="164" fontId="14" fillId="0" borderId="11" xfId="1" applyNumberFormat="1" applyFont="1" applyBorder="1" applyAlignment="1">
      <alignment horizontal="left"/>
      <protection locked="0"/>
    </xf>
    <xf numFmtId="164" fontId="14" fillId="4" borderId="26" xfId="1" applyNumberFormat="1" applyFont="1" applyFill="1" applyBorder="1" applyAlignment="1">
      <alignment horizontal="center"/>
      <protection locked="0"/>
    </xf>
    <xf numFmtId="164" fontId="14" fillId="4" borderId="25" xfId="1" applyNumberFormat="1" applyFont="1" applyFill="1" applyBorder="1" applyAlignment="1">
      <alignment horizontal="center"/>
      <protection locked="0"/>
    </xf>
    <xf numFmtId="164" fontId="1" fillId="0" borderId="26" xfId="0" applyNumberFormat="1" applyFont="1" applyBorder="1" applyAlignment="1">
      <alignment horizontal="center"/>
    </xf>
    <xf numFmtId="164" fontId="14" fillId="0" borderId="26" xfId="0" applyNumberFormat="1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0" fontId="14" fillId="0" borderId="25" xfId="0" applyFont="1" applyBorder="1" applyAlignment="1" applyProtection="1">
      <alignment horizontal="center"/>
      <protection locked="0"/>
    </xf>
    <xf numFmtId="164" fontId="1" fillId="0" borderId="24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14" fillId="0" borderId="1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27" xfId="0" applyFont="1" applyBorder="1" applyAlignment="1" applyProtection="1">
      <alignment horizontal="center"/>
      <protection locked="0"/>
    </xf>
    <xf numFmtId="0" fontId="20" fillId="0" borderId="26" xfId="0" applyFont="1" applyBorder="1" applyAlignment="1" applyProtection="1">
      <alignment horizontal="center"/>
      <protection hidden="1"/>
    </xf>
    <xf numFmtId="0" fontId="20" fillId="0" borderId="24" xfId="0" applyFont="1" applyBorder="1" applyAlignment="1" applyProtection="1">
      <alignment horizontal="center"/>
      <protection hidden="1"/>
    </xf>
    <xf numFmtId="0" fontId="20" fillId="0" borderId="25" xfId="0" applyFont="1" applyBorder="1" applyAlignment="1" applyProtection="1">
      <alignment horizontal="center"/>
      <protection hidden="1"/>
    </xf>
    <xf numFmtId="164" fontId="23" fillId="0" borderId="26" xfId="0" applyNumberFormat="1" applyFont="1" applyBorder="1" applyAlignment="1" applyProtection="1">
      <alignment horizontal="center"/>
      <protection hidden="1"/>
    </xf>
    <xf numFmtId="0" fontId="23" fillId="0" borderId="24" xfId="0" applyFont="1" applyBorder="1" applyAlignment="1" applyProtection="1">
      <alignment horizontal="center"/>
      <protection hidden="1"/>
    </xf>
    <xf numFmtId="0" fontId="23" fillId="0" borderId="25" xfId="0" applyFont="1" applyBorder="1" applyAlignment="1" applyProtection="1">
      <alignment horizontal="center"/>
      <protection hidden="1"/>
    </xf>
    <xf numFmtId="0" fontId="18" fillId="2" borderId="26" xfId="0" applyFont="1" applyFill="1" applyBorder="1" applyAlignment="1">
      <alignment horizontal="left"/>
    </xf>
    <xf numFmtId="0" fontId="18" fillId="2" borderId="24" xfId="0" applyFont="1" applyFill="1" applyBorder="1" applyAlignment="1">
      <alignment horizontal="left"/>
    </xf>
    <xf numFmtId="0" fontId="18" fillId="2" borderId="25" xfId="0" applyFont="1" applyFill="1" applyBorder="1" applyAlignment="1">
      <alignment horizontal="left"/>
    </xf>
    <xf numFmtId="164" fontId="24" fillId="2" borderId="26" xfId="0" applyNumberFormat="1" applyFont="1" applyFill="1" applyBorder="1" applyAlignment="1" applyProtection="1">
      <alignment horizontal="center"/>
      <protection hidden="1"/>
    </xf>
    <xf numFmtId="0" fontId="24" fillId="2" borderId="24" xfId="0" applyFont="1" applyFill="1" applyBorder="1" applyAlignment="1" applyProtection="1">
      <alignment horizontal="center"/>
      <protection hidden="1"/>
    </xf>
    <xf numFmtId="0" fontId="24" fillId="2" borderId="25" xfId="0" applyFont="1" applyFill="1" applyBorder="1" applyAlignment="1" applyProtection="1">
      <alignment horizontal="center"/>
      <protection hidden="1"/>
    </xf>
    <xf numFmtId="164" fontId="21" fillId="2" borderId="26" xfId="1" applyNumberFormat="1" applyFont="1" applyFill="1" applyBorder="1" applyAlignment="1">
      <alignment horizontal="center"/>
      <protection locked="0"/>
    </xf>
    <xf numFmtId="164" fontId="21" fillId="2" borderId="24" xfId="1" applyNumberFormat="1" applyFont="1" applyFill="1" applyBorder="1" applyAlignment="1">
      <alignment horizontal="center"/>
      <protection locked="0"/>
    </xf>
    <xf numFmtId="164" fontId="21" fillId="2" borderId="25" xfId="1" applyNumberFormat="1" applyFont="1" applyFill="1" applyBorder="1" applyAlignment="1">
      <alignment horizontal="center"/>
      <protection locked="0"/>
    </xf>
    <xf numFmtId="0" fontId="22" fillId="2" borderId="26" xfId="0" applyFont="1" applyFill="1" applyBorder="1" applyAlignment="1" applyProtection="1">
      <alignment horizontal="left"/>
      <protection locked="0"/>
    </xf>
    <xf numFmtId="0" fontId="22" fillId="2" borderId="24" xfId="0" applyFont="1" applyFill="1" applyBorder="1" applyAlignment="1" applyProtection="1">
      <alignment horizontal="left"/>
      <protection locked="0"/>
    </xf>
    <xf numFmtId="0" fontId="22" fillId="2" borderId="25" xfId="0" applyFont="1" applyFill="1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5"/>
  <sheetViews>
    <sheetView zoomScale="80" workbookViewId="0">
      <selection activeCell="J29" sqref="J29"/>
    </sheetView>
  </sheetViews>
  <sheetFormatPr defaultColWidth="8.81640625" defaultRowHeight="17.5"/>
  <cols>
    <col min="1" max="1" width="22.81640625" style="1" customWidth="1"/>
    <col min="2" max="2" width="28.26953125" style="2" customWidth="1"/>
    <col min="3" max="3" width="24.453125" style="3" customWidth="1"/>
    <col min="4" max="4" width="16.08984375" style="1" customWidth="1"/>
    <col min="5" max="5" width="21.7265625" style="1" customWidth="1"/>
    <col min="6" max="6" width="20.54296875" style="4" customWidth="1"/>
    <col min="7" max="7" width="20.08984375" style="4" customWidth="1"/>
    <col min="8" max="8" width="17" style="1" customWidth="1"/>
    <col min="9" max="9" width="16.81640625" style="1" customWidth="1"/>
    <col min="10" max="10" width="14.54296875" style="1" customWidth="1"/>
    <col min="11" max="11" width="8.81640625" style="1"/>
    <col min="12" max="12" width="19.81640625" style="1" customWidth="1"/>
    <col min="13" max="16384" width="8.81640625" style="1"/>
  </cols>
  <sheetData>
    <row r="1" spans="1:13" ht="51.5">
      <c r="A1" s="192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31" customHeight="1">
      <c r="A2" s="194" t="s">
        <v>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</row>
    <row r="3" spans="1:13" ht="15" customHeight="1">
      <c r="A3" s="194"/>
      <c r="B3" s="195"/>
      <c r="C3" s="195"/>
      <c r="D3" s="195"/>
      <c r="E3" s="195"/>
      <c r="F3" s="195"/>
      <c r="G3" s="195"/>
      <c r="H3" s="195"/>
      <c r="I3" s="195"/>
      <c r="J3" s="195"/>
      <c r="K3" s="195"/>
    </row>
    <row r="4" spans="1:13">
      <c r="A4" s="5" t="s">
        <v>2</v>
      </c>
      <c r="B4" s="6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9" t="s">
        <v>8</v>
      </c>
      <c r="H4" s="9" t="s">
        <v>9</v>
      </c>
      <c r="I4" s="10" t="s">
        <v>10</v>
      </c>
      <c r="J4" s="7" t="s">
        <v>11</v>
      </c>
      <c r="K4" s="11"/>
      <c r="M4" s="12"/>
    </row>
    <row r="5" spans="1:13">
      <c r="A5" s="13" t="s">
        <v>12</v>
      </c>
      <c r="B5" s="14">
        <f>GISOZI!F37</f>
        <v>10646001</v>
      </c>
      <c r="C5" s="15">
        <f>GISOZI!G37</f>
        <v>973030</v>
      </c>
      <c r="D5" s="16"/>
      <c r="E5" s="17"/>
      <c r="F5" s="18">
        <f>SUM(B5:C5)</f>
        <v>11619031</v>
      </c>
      <c r="G5" s="15">
        <f>GISOZI!C41</f>
        <v>0</v>
      </c>
      <c r="H5" s="15">
        <f>GISOZI!C39</f>
        <v>0</v>
      </c>
      <c r="I5" s="15">
        <f>GISOZI!C42</f>
        <v>0</v>
      </c>
      <c r="J5" s="15">
        <f>GISOZI!C40</f>
        <v>0</v>
      </c>
      <c r="K5" s="11"/>
      <c r="M5" s="4"/>
    </row>
    <row r="6" spans="1:13">
      <c r="A6" s="19" t="s">
        <v>13</v>
      </c>
      <c r="B6" s="20">
        <f>GAHANGA!F29</f>
        <v>0</v>
      </c>
      <c r="C6" s="21">
        <f>GAHANGA!G29</f>
        <v>0</v>
      </c>
      <c r="D6" s="22"/>
      <c r="E6" s="23"/>
      <c r="F6" s="18">
        <f t="shared" ref="F6:F28" si="0">SUM(B6:C6)</f>
        <v>0</v>
      </c>
      <c r="G6" s="21">
        <f>GAHANGA!C33</f>
        <v>0</v>
      </c>
      <c r="H6" s="21">
        <f>GAHANGA!C31</f>
        <v>0</v>
      </c>
      <c r="I6" s="21">
        <f>GAHANGA!C34</f>
        <v>0</v>
      </c>
      <c r="J6" s="21">
        <f>GAHANGA!C32</f>
        <v>0</v>
      </c>
      <c r="K6" s="11"/>
      <c r="M6" s="4"/>
    </row>
    <row r="7" spans="1:13">
      <c r="A7" s="19" t="s">
        <v>14</v>
      </c>
      <c r="B7" s="20">
        <f>KIMIRONKO!F37</f>
        <v>0</v>
      </c>
      <c r="C7" s="21">
        <f>KIMIRONKO!G37</f>
        <v>0</v>
      </c>
      <c r="D7" s="22"/>
      <c r="E7" s="23"/>
      <c r="F7" s="18">
        <f t="shared" si="0"/>
        <v>0</v>
      </c>
      <c r="G7" s="21">
        <f>KIMIRONKO!C41</f>
        <v>0</v>
      </c>
      <c r="H7" s="21">
        <f>KIMIRONKO!C39</f>
        <v>0</v>
      </c>
      <c r="I7" s="21">
        <f>KIMIRONKO!C42</f>
        <v>0</v>
      </c>
      <c r="J7" s="21">
        <f>KIMIRONKO!C40</f>
        <v>0</v>
      </c>
      <c r="K7" s="11"/>
      <c r="M7" s="4"/>
    </row>
    <row r="8" spans="1:13">
      <c r="A8" s="19" t="s">
        <v>15</v>
      </c>
      <c r="B8" s="20">
        <f>BISHENYI!F29</f>
        <v>0</v>
      </c>
      <c r="C8" s="21">
        <f>BISHENYI!G29</f>
        <v>0</v>
      </c>
      <c r="D8" s="22"/>
      <c r="E8" s="23"/>
      <c r="F8" s="18">
        <f t="shared" si="0"/>
        <v>0</v>
      </c>
      <c r="G8" s="20">
        <f>BISHENYI!C33</f>
        <v>0</v>
      </c>
      <c r="H8" s="21">
        <f>BISHENYI!C31</f>
        <v>0</v>
      </c>
      <c r="I8" s="21">
        <f>BISHENYI!C34</f>
        <v>0</v>
      </c>
      <c r="J8" s="21">
        <f>BISHENYI!C32</f>
        <v>0</v>
      </c>
      <c r="K8" s="11"/>
      <c r="M8" s="4"/>
    </row>
    <row r="9" spans="1:13">
      <c r="A9" s="19" t="s">
        <v>16</v>
      </c>
      <c r="B9" s="20">
        <f>RWAMAGANA!F29</f>
        <v>0</v>
      </c>
      <c r="C9" s="21">
        <f>RWAMAGANA!G29</f>
        <v>0</v>
      </c>
      <c r="D9" s="22"/>
      <c r="E9" s="23"/>
      <c r="F9" s="18">
        <f t="shared" si="0"/>
        <v>0</v>
      </c>
      <c r="G9" s="20">
        <f>RWAMAGANA!C33</f>
        <v>0</v>
      </c>
      <c r="H9" s="21">
        <f>RWAMAGANA!C31</f>
        <v>0</v>
      </c>
      <c r="I9" s="21">
        <f>RWAMAGANA!C34</f>
        <v>0</v>
      </c>
      <c r="J9" s="21">
        <f>RWAMAGANA!C32</f>
        <v>0</v>
      </c>
      <c r="K9" s="11"/>
      <c r="M9" s="4"/>
    </row>
    <row r="10" spans="1:13">
      <c r="A10" s="19" t="s">
        <v>17</v>
      </c>
      <c r="B10" s="20">
        <f>BUGESERA!F29</f>
        <v>2406825</v>
      </c>
      <c r="C10" s="21">
        <f>BUGESERA!G29</f>
        <v>219650</v>
      </c>
      <c r="D10" s="22"/>
      <c r="E10" s="23"/>
      <c r="F10" s="18">
        <f t="shared" si="0"/>
        <v>2626475</v>
      </c>
      <c r="G10" s="20">
        <f>BUGESERA!C33</f>
        <v>0</v>
      </c>
      <c r="H10" s="21">
        <f>BUGESERA!C31</f>
        <v>2408853</v>
      </c>
      <c r="I10" s="21">
        <f>BUGESERA!C34</f>
        <v>0</v>
      </c>
      <c r="J10" s="21">
        <f>BUGESERA!C32</f>
        <v>217622</v>
      </c>
      <c r="K10" s="11"/>
      <c r="M10" s="4"/>
    </row>
    <row r="11" spans="1:13">
      <c r="A11" s="19" t="s">
        <v>18</v>
      </c>
      <c r="B11" s="20">
        <f>MUHANGA!F37</f>
        <v>0</v>
      </c>
      <c r="C11" s="21">
        <f>MUHANGA!G37</f>
        <v>0</v>
      </c>
      <c r="D11" s="22"/>
      <c r="E11" s="23"/>
      <c r="F11" s="18">
        <f t="shared" si="0"/>
        <v>0</v>
      </c>
      <c r="G11" s="20">
        <f>MUHANGA!C41</f>
        <v>0</v>
      </c>
      <c r="H11" s="21">
        <f>MUHANGA!C39</f>
        <v>0</v>
      </c>
      <c r="I11" s="21">
        <f>MUHANGA!C42</f>
        <v>0</v>
      </c>
      <c r="J11" s="21">
        <f>MUHANGA!C40</f>
        <v>0</v>
      </c>
      <c r="K11" s="11"/>
      <c r="M11" s="4"/>
    </row>
    <row r="12" spans="1:13">
      <c r="A12" s="19" t="s">
        <v>19</v>
      </c>
      <c r="B12" s="20">
        <f>RUHANGO!F37</f>
        <v>0</v>
      </c>
      <c r="C12" s="21">
        <f>RUHANGO!G37</f>
        <v>0</v>
      </c>
      <c r="D12" s="22"/>
      <c r="E12" s="23"/>
      <c r="F12" s="18">
        <f t="shared" si="0"/>
        <v>0</v>
      </c>
      <c r="G12" s="20">
        <f>RUHANGO!C41</f>
        <v>0</v>
      </c>
      <c r="H12" s="21">
        <f>RUHANGO!C39</f>
        <v>0</v>
      </c>
      <c r="I12" s="21">
        <f>RUHANGO!C42</f>
        <v>0</v>
      </c>
      <c r="J12" s="21">
        <f>RUHANGO!C40</f>
        <v>0</v>
      </c>
      <c r="K12" s="11"/>
      <c r="M12" s="4"/>
    </row>
    <row r="13" spans="1:13">
      <c r="A13" s="19" t="s">
        <v>20</v>
      </c>
      <c r="B13" s="20">
        <f>HUYE!F37</f>
        <v>0</v>
      </c>
      <c r="C13" s="21">
        <f>HUYE!G37</f>
        <v>0</v>
      </c>
      <c r="D13" s="22"/>
      <c r="E13" s="23"/>
      <c r="F13" s="18">
        <f t="shared" si="0"/>
        <v>0</v>
      </c>
      <c r="G13" s="20">
        <f>HUYE!C41</f>
        <v>0</v>
      </c>
      <c r="H13" s="21">
        <f>HUYE!C39</f>
        <v>0</v>
      </c>
      <c r="I13" s="21">
        <f>HUYE!C42</f>
        <v>0</v>
      </c>
      <c r="J13" s="21">
        <f>HUYE!C40</f>
        <v>0</v>
      </c>
      <c r="K13" s="11"/>
      <c r="M13" s="4"/>
    </row>
    <row r="14" spans="1:13">
      <c r="A14" s="19" t="s">
        <v>21</v>
      </c>
      <c r="B14" s="20">
        <f>RUSIZI!F37</f>
        <v>0</v>
      </c>
      <c r="C14" s="21">
        <f>RUSIZI!G37</f>
        <v>0</v>
      </c>
      <c r="D14" s="22"/>
      <c r="E14" s="23"/>
      <c r="F14" s="18">
        <f t="shared" si="0"/>
        <v>0</v>
      </c>
      <c r="G14" s="20">
        <f>RUSIZI!C41</f>
        <v>0</v>
      </c>
      <c r="H14" s="21">
        <f>RUSIZI!C39</f>
        <v>0</v>
      </c>
      <c r="I14" s="21">
        <f>RUSIZI!C42</f>
        <v>0</v>
      </c>
      <c r="J14" s="21">
        <f>RUSIZI!C40</f>
        <v>0</v>
      </c>
      <c r="K14" s="11"/>
      <c r="M14" s="4"/>
    </row>
    <row r="15" spans="1:13">
      <c r="A15" s="19" t="s">
        <v>22</v>
      </c>
      <c r="B15" s="20">
        <f>NYAMASHEKE!F37</f>
        <v>0</v>
      </c>
      <c r="C15" s="21">
        <f>NYAMASHEKE!G37</f>
        <v>0</v>
      </c>
      <c r="D15" s="22"/>
      <c r="E15" s="23"/>
      <c r="F15" s="18">
        <f t="shared" si="0"/>
        <v>0</v>
      </c>
      <c r="G15" s="20">
        <f>NYAMASHEKE!C41</f>
        <v>0</v>
      </c>
      <c r="H15" s="21">
        <f>NYAMASHEKE!C39</f>
        <v>0</v>
      </c>
      <c r="I15" s="21">
        <f>NYAMASHEKE!C42</f>
        <v>0</v>
      </c>
      <c r="J15" s="21">
        <f>NYAMASHEKE!C40</f>
        <v>0</v>
      </c>
      <c r="K15" s="11"/>
      <c r="M15" s="4"/>
    </row>
    <row r="16" spans="1:13">
      <c r="A16" s="19" t="s">
        <v>23</v>
      </c>
      <c r="B16" s="20">
        <f>KARONGI!F37</f>
        <v>0</v>
      </c>
      <c r="C16" s="21">
        <f>KARONGI!G37</f>
        <v>0</v>
      </c>
      <c r="D16" s="22"/>
      <c r="E16" s="23"/>
      <c r="F16" s="18">
        <f t="shared" si="0"/>
        <v>0</v>
      </c>
      <c r="G16" s="20">
        <f>KARONGI!C41</f>
        <v>0</v>
      </c>
      <c r="H16" s="21">
        <f>KARONGI!C39</f>
        <v>0</v>
      </c>
      <c r="I16" s="21">
        <f>KARONGI!C42</f>
        <v>0</v>
      </c>
      <c r="J16" s="21">
        <f>KARONGI!C40</f>
        <v>0</v>
      </c>
      <c r="K16" s="11"/>
      <c r="M16" s="4"/>
    </row>
    <row r="17" spans="1:13">
      <c r="A17" s="19" t="s">
        <v>24</v>
      </c>
      <c r="B17" s="20">
        <f>RUBAVU!F29</f>
        <v>0</v>
      </c>
      <c r="C17" s="21">
        <f>RUBAVU!G29</f>
        <v>0</v>
      </c>
      <c r="D17" s="22"/>
      <c r="E17" s="23"/>
      <c r="F17" s="18">
        <f t="shared" si="0"/>
        <v>0</v>
      </c>
      <c r="G17" s="20">
        <f>RUBAVU!C33</f>
        <v>0</v>
      </c>
      <c r="H17" s="21">
        <f>RUBAVU!C31</f>
        <v>0</v>
      </c>
      <c r="I17" s="21">
        <f>RUBAVU!C34</f>
        <v>0</v>
      </c>
      <c r="J17" s="21">
        <f>RUBAVU!C32</f>
        <v>0</v>
      </c>
      <c r="K17" s="11"/>
      <c r="M17" s="4"/>
    </row>
    <row r="18" spans="1:13">
      <c r="A18" s="19" t="s">
        <v>25</v>
      </c>
      <c r="B18" s="20">
        <f>MUSANZE!F29</f>
        <v>0</v>
      </c>
      <c r="C18" s="21">
        <f>MUSANZE!G29</f>
        <v>0</v>
      </c>
      <c r="D18" s="22"/>
      <c r="E18" s="23"/>
      <c r="F18" s="18">
        <f t="shared" si="0"/>
        <v>0</v>
      </c>
      <c r="G18" s="20">
        <f>MUSANZE!C33</f>
        <v>0</v>
      </c>
      <c r="H18" s="21">
        <f>MUSANZE!C31</f>
        <v>0</v>
      </c>
      <c r="I18" s="21">
        <f>MUSANZE!C34</f>
        <v>0</v>
      </c>
      <c r="J18" s="21">
        <f>MUSANZE!C32</f>
        <v>0</v>
      </c>
      <c r="K18" s="11"/>
      <c r="M18" s="4"/>
    </row>
    <row r="19" spans="1:13">
      <c r="A19" s="19" t="s">
        <v>26</v>
      </c>
      <c r="B19" s="20">
        <f>KAYONZA!F29</f>
        <v>0</v>
      </c>
      <c r="C19" s="21">
        <f>KAYONZA!G29</f>
        <v>0</v>
      </c>
      <c r="D19" s="22"/>
      <c r="E19" s="23"/>
      <c r="F19" s="18">
        <f t="shared" si="0"/>
        <v>0</v>
      </c>
      <c r="G19" s="20">
        <f>KAYONZA!C33</f>
        <v>0</v>
      </c>
      <c r="H19" s="21">
        <f>KAYONZA!C31</f>
        <v>0</v>
      </c>
      <c r="I19" s="21">
        <f>KAYONZA!C34</f>
        <v>0</v>
      </c>
      <c r="J19" s="21">
        <f>KAYONZA!C32</f>
        <v>0</v>
      </c>
      <c r="K19" s="11"/>
      <c r="M19" s="4"/>
    </row>
    <row r="20" spans="1:13">
      <c r="A20" s="19" t="s">
        <v>27</v>
      </c>
      <c r="B20" s="20">
        <f>NYAGATARE!F29</f>
        <v>0</v>
      </c>
      <c r="C20" s="21">
        <f>NYAGATARE!G29</f>
        <v>0</v>
      </c>
      <c r="D20" s="24"/>
      <c r="E20" s="25"/>
      <c r="F20" s="18">
        <f t="shared" si="0"/>
        <v>0</v>
      </c>
      <c r="G20" s="20">
        <f>NYAGATARE!C33</f>
        <v>0</v>
      </c>
      <c r="H20" s="21">
        <f>NYAGATARE!C31</f>
        <v>0</v>
      </c>
      <c r="I20" s="21">
        <f>NYAGATARE!C34</f>
        <v>0</v>
      </c>
      <c r="J20" s="21">
        <f>NYAGATARE!C32</f>
        <v>0</v>
      </c>
      <c r="K20" s="11"/>
      <c r="M20" s="4"/>
    </row>
    <row r="21" spans="1:13">
      <c r="A21" s="19" t="s">
        <v>28</v>
      </c>
      <c r="B21" s="20">
        <f>KIREHE!F29</f>
        <v>0</v>
      </c>
      <c r="C21" s="21">
        <f>KIREHE!G29</f>
        <v>0</v>
      </c>
      <c r="D21" s="24"/>
      <c r="E21" s="25"/>
      <c r="F21" s="18">
        <f t="shared" si="0"/>
        <v>0</v>
      </c>
      <c r="G21" s="20">
        <f>KIREHE!C33</f>
        <v>0</v>
      </c>
      <c r="H21" s="21">
        <f>KIREHE!C31</f>
        <v>0</v>
      </c>
      <c r="I21" s="21">
        <f>KIREHE!C34</f>
        <v>0</v>
      </c>
      <c r="J21" s="21">
        <f>KIREHE!C32</f>
        <v>0</v>
      </c>
      <c r="K21" s="11"/>
      <c r="M21" s="4"/>
    </row>
    <row r="22" spans="1:13">
      <c r="A22" s="19" t="s">
        <v>29</v>
      </c>
      <c r="B22" s="20">
        <f>NYANZA!F29</f>
        <v>0</v>
      </c>
      <c r="C22" s="21">
        <f>NYANZA!G29</f>
        <v>0</v>
      </c>
      <c r="D22" s="24"/>
      <c r="E22" s="25"/>
      <c r="F22" s="18">
        <f t="shared" si="0"/>
        <v>0</v>
      </c>
      <c r="G22" s="20">
        <f>NYANZA!C33</f>
        <v>0</v>
      </c>
      <c r="H22" s="21">
        <f>NYANZA!C31</f>
        <v>0</v>
      </c>
      <c r="I22" s="21">
        <f>NYANZA!C34</f>
        <v>0</v>
      </c>
      <c r="J22" s="21">
        <f>NYANZA!C32</f>
        <v>0</v>
      </c>
      <c r="K22" s="11"/>
      <c r="M22" s="4"/>
    </row>
    <row r="23" spans="1:13">
      <c r="A23" s="19" t="s">
        <v>30</v>
      </c>
      <c r="B23" s="20">
        <f>NYARUGENGE!F29</f>
        <v>0</v>
      </c>
      <c r="C23" s="21">
        <f>NYARUGENGE!G29</f>
        <v>0</v>
      </c>
      <c r="D23" s="24"/>
      <c r="E23" s="25"/>
      <c r="F23" s="18">
        <f t="shared" si="0"/>
        <v>0</v>
      </c>
      <c r="G23" s="20">
        <f>NYARUGENGE!C33</f>
        <v>0</v>
      </c>
      <c r="H23" s="21">
        <f>NYARUGENGE!C31</f>
        <v>0</v>
      </c>
      <c r="I23" s="21">
        <f>NYARUGENGE!C34</f>
        <v>0</v>
      </c>
      <c r="J23" s="21">
        <f>NYARUGENGE!C32</f>
        <v>0</v>
      </c>
      <c r="K23" s="11"/>
      <c r="M23" s="4"/>
    </row>
    <row r="24" spans="1:13">
      <c r="A24" s="19" t="s">
        <v>31</v>
      </c>
      <c r="B24" s="20">
        <f>GATSIBO!F29</f>
        <v>0</v>
      </c>
      <c r="C24" s="21">
        <f>GATSIBO!G29</f>
        <v>0</v>
      </c>
      <c r="D24" s="24"/>
      <c r="E24" s="25"/>
      <c r="F24" s="18">
        <f t="shared" si="0"/>
        <v>0</v>
      </c>
      <c r="G24" s="20">
        <f>GATSIBO!C33</f>
        <v>0</v>
      </c>
      <c r="H24" s="26">
        <f>GATSIBO!C31</f>
        <v>0</v>
      </c>
      <c r="I24" s="26">
        <f>GATSIBO!C34</f>
        <v>0</v>
      </c>
      <c r="J24" s="26">
        <f>GATSIBO!C32</f>
        <v>0</v>
      </c>
      <c r="K24" s="11"/>
      <c r="M24" s="4"/>
    </row>
    <row r="25" spans="1:13">
      <c r="A25" s="27"/>
      <c r="B25" s="28"/>
      <c r="C25" s="23"/>
      <c r="D25" s="24"/>
      <c r="E25" s="25"/>
      <c r="F25" s="18">
        <f t="shared" si="0"/>
        <v>0</v>
      </c>
      <c r="G25" s="23"/>
      <c r="H25" s="29"/>
      <c r="I25" s="30"/>
      <c r="J25" s="31"/>
      <c r="K25" s="11"/>
      <c r="M25" s="4"/>
    </row>
    <row r="26" spans="1:13" s="4" customFormat="1">
      <c r="A26" s="27"/>
      <c r="B26" s="28"/>
      <c r="C26" s="23"/>
      <c r="D26" s="24"/>
      <c r="E26" s="25"/>
      <c r="F26" s="18">
        <f t="shared" si="0"/>
        <v>0</v>
      </c>
      <c r="G26" s="23"/>
      <c r="H26" s="25"/>
      <c r="I26" s="31"/>
      <c r="J26" s="31"/>
      <c r="K26" s="11"/>
    </row>
    <row r="27" spans="1:13">
      <c r="A27" s="27"/>
      <c r="B27" s="28"/>
      <c r="C27" s="23"/>
      <c r="D27" s="24"/>
      <c r="E27" s="25"/>
      <c r="F27" s="18">
        <f t="shared" si="0"/>
        <v>0</v>
      </c>
      <c r="G27" s="23"/>
      <c r="H27" s="25"/>
      <c r="I27" s="31"/>
      <c r="J27" s="31"/>
      <c r="K27" s="11"/>
      <c r="M27" s="4"/>
    </row>
    <row r="28" spans="1:13">
      <c r="A28" s="32"/>
      <c r="B28" s="33"/>
      <c r="C28" s="34"/>
      <c r="D28" s="35"/>
      <c r="E28" s="36"/>
      <c r="F28" s="18">
        <f t="shared" si="0"/>
        <v>0</v>
      </c>
      <c r="G28" s="34"/>
      <c r="H28" s="36"/>
      <c r="I28" s="37"/>
      <c r="J28" s="37"/>
      <c r="K28" s="11"/>
      <c r="M28" s="4"/>
    </row>
    <row r="29" spans="1:13">
      <c r="A29" s="38"/>
      <c r="B29" s="39">
        <f t="shared" ref="B29:J29" si="1">SUM(B5:B28)</f>
        <v>13052826</v>
      </c>
      <c r="C29" s="40">
        <f t="shared" si="1"/>
        <v>1192680</v>
      </c>
      <c r="D29" s="41">
        <f t="shared" si="1"/>
        <v>0</v>
      </c>
      <c r="E29" s="40">
        <f t="shared" si="1"/>
        <v>0</v>
      </c>
      <c r="F29" s="40">
        <f t="shared" si="1"/>
        <v>14245506</v>
      </c>
      <c r="G29" s="41">
        <f t="shared" si="1"/>
        <v>0</v>
      </c>
      <c r="H29" s="41">
        <f t="shared" si="1"/>
        <v>2408853</v>
      </c>
      <c r="I29" s="41">
        <f t="shared" si="1"/>
        <v>0</v>
      </c>
      <c r="J29" s="42">
        <f t="shared" si="1"/>
        <v>217622</v>
      </c>
      <c r="K29" s="11"/>
      <c r="M29" s="43"/>
    </row>
    <row r="30" spans="1:13" ht="14">
      <c r="A30" s="202"/>
      <c r="B30" s="202"/>
      <c r="C30" s="202"/>
      <c r="D30" s="203"/>
      <c r="E30" s="209" t="s">
        <v>32</v>
      </c>
      <c r="F30" s="210"/>
      <c r="G30" s="210"/>
      <c r="H30" s="210"/>
      <c r="I30" s="211"/>
      <c r="J30" s="196"/>
      <c r="K30" s="197"/>
    </row>
    <row r="31" spans="1:13">
      <c r="A31" s="207" t="s">
        <v>33</v>
      </c>
      <c r="B31" s="208"/>
      <c r="C31" s="208"/>
      <c r="D31" s="208"/>
      <c r="E31" s="212"/>
      <c r="F31" s="213"/>
      <c r="G31" s="213"/>
      <c r="H31" s="213"/>
      <c r="I31" s="214"/>
      <c r="J31" s="198"/>
      <c r="K31" s="199"/>
    </row>
    <row r="32" spans="1:13" ht="14">
      <c r="A32" s="188" t="s">
        <v>34</v>
      </c>
      <c r="B32" s="189"/>
      <c r="C32" s="190">
        <f>SUM(B29:C29)</f>
        <v>14245506</v>
      </c>
      <c r="D32" s="191"/>
      <c r="E32" s="212"/>
      <c r="F32" s="213"/>
      <c r="G32" s="213"/>
      <c r="H32" s="213"/>
      <c r="I32" s="214"/>
      <c r="J32" s="198"/>
      <c r="K32" s="199"/>
    </row>
    <row r="33" spans="1:11" ht="14">
      <c r="A33" s="188" t="s">
        <v>35</v>
      </c>
      <c r="B33" s="189"/>
      <c r="C33" s="184">
        <f>SUM(F29,G29)</f>
        <v>14245506</v>
      </c>
      <c r="D33" s="226"/>
      <c r="E33" s="212"/>
      <c r="F33" s="213"/>
      <c r="G33" s="213"/>
      <c r="H33" s="213"/>
      <c r="I33" s="214"/>
      <c r="J33" s="198"/>
      <c r="K33" s="199"/>
    </row>
    <row r="34" spans="1:11" ht="14">
      <c r="A34" s="186" t="s">
        <v>36</v>
      </c>
      <c r="B34" s="187"/>
      <c r="C34" s="184">
        <f>SUM(H29,J29,I29)</f>
        <v>2626475</v>
      </c>
      <c r="D34" s="185"/>
      <c r="E34" s="212"/>
      <c r="F34" s="213"/>
      <c r="G34" s="213"/>
      <c r="H34" s="213"/>
      <c r="I34" s="214"/>
      <c r="J34" s="198"/>
      <c r="K34" s="199"/>
    </row>
    <row r="35" spans="1:11" ht="14">
      <c r="A35" s="188" t="s">
        <v>37</v>
      </c>
      <c r="B35" s="189"/>
      <c r="C35" s="184">
        <f>SUM(D29:E29)</f>
        <v>0</v>
      </c>
      <c r="D35" s="185"/>
      <c r="E35" s="215"/>
      <c r="F35" s="216"/>
      <c r="G35" s="216"/>
      <c r="H35" s="216"/>
      <c r="I35" s="217"/>
      <c r="J35" s="198"/>
      <c r="K35" s="199"/>
    </row>
    <row r="36" spans="1:11" ht="14">
      <c r="A36" s="188" t="s">
        <v>38</v>
      </c>
      <c r="B36" s="189"/>
      <c r="C36" s="184">
        <f t="shared" ref="C36" si="2">SUM(C33,C35)</f>
        <v>14245506</v>
      </c>
      <c r="D36" s="185"/>
      <c r="E36" s="218" t="s">
        <v>39</v>
      </c>
      <c r="F36" s="219"/>
      <c r="G36" s="219"/>
      <c r="H36" s="219"/>
      <c r="I36" s="220"/>
      <c r="J36" s="198"/>
      <c r="K36" s="199"/>
    </row>
    <row r="37" spans="1:11" ht="14">
      <c r="A37" s="224" t="s">
        <v>40</v>
      </c>
      <c r="B37" s="225"/>
      <c r="C37" s="184">
        <f>SUM(C34:C35)</f>
        <v>2626475</v>
      </c>
      <c r="D37" s="185"/>
      <c r="E37" s="221"/>
      <c r="F37" s="222"/>
      <c r="G37" s="222"/>
      <c r="H37" s="222"/>
      <c r="I37" s="223"/>
      <c r="J37" s="198"/>
      <c r="K37" s="199"/>
    </row>
    <row r="38" spans="1:11" ht="25.5">
      <c r="A38" s="204" t="s">
        <v>41</v>
      </c>
      <c r="B38" s="205"/>
      <c r="C38" s="205"/>
      <c r="D38" s="205"/>
      <c r="E38" s="205"/>
      <c r="F38" s="205"/>
      <c r="G38" s="205"/>
      <c r="H38" s="205"/>
      <c r="I38" s="206"/>
      <c r="J38" s="200"/>
      <c r="K38" s="201"/>
    </row>
    <row r="39" spans="1:11">
      <c r="B39" s="4"/>
      <c r="C39" s="4"/>
    </row>
    <row r="40" spans="1:11">
      <c r="B40" s="4"/>
      <c r="C40" s="4"/>
    </row>
    <row r="41" spans="1:11">
      <c r="B41" s="4"/>
      <c r="C41" s="4"/>
    </row>
    <row r="42" spans="1:11">
      <c r="B42" s="4"/>
      <c r="C42" s="4"/>
    </row>
    <row r="43" spans="1:11">
      <c r="B43" s="4"/>
      <c r="C43" s="4"/>
    </row>
    <row r="44" spans="1:11">
      <c r="B44" s="4"/>
      <c r="C44" s="4"/>
    </row>
    <row r="45" spans="1:11">
      <c r="B45" s="4"/>
      <c r="C45" s="4"/>
    </row>
    <row r="46" spans="1:11">
      <c r="B46" s="4"/>
      <c r="C46" s="4"/>
    </row>
    <row r="47" spans="1:11">
      <c r="B47" s="4"/>
      <c r="C47" s="4"/>
    </row>
    <row r="48" spans="1:11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  <row r="58" spans="2:3">
      <c r="B58" s="4"/>
      <c r="C58" s="4"/>
    </row>
    <row r="59" spans="2:3">
      <c r="B59" s="4"/>
      <c r="C59" s="4"/>
    </row>
    <row r="60" spans="2:3">
      <c r="B60" s="4"/>
      <c r="C60" s="4"/>
    </row>
    <row r="61" spans="2:3">
      <c r="B61" s="4"/>
      <c r="C61" s="4"/>
    </row>
    <row r="62" spans="2:3">
      <c r="B62" s="4"/>
      <c r="C62" s="4"/>
    </row>
    <row r="63" spans="2:3">
      <c r="B63" s="4"/>
      <c r="C63" s="4"/>
    </row>
    <row r="64" spans="2:3">
      <c r="B64" s="4"/>
      <c r="C64" s="4"/>
    </row>
    <row r="65" spans="2:3">
      <c r="B65" s="4"/>
      <c r="C65" s="4"/>
    </row>
    <row r="66" spans="2:3">
      <c r="B66" s="4"/>
      <c r="C66" s="4"/>
    </row>
    <row r="67" spans="2:3">
      <c r="B67" s="4"/>
      <c r="C67" s="4"/>
    </row>
    <row r="68" spans="2:3">
      <c r="B68" s="4"/>
      <c r="C68" s="4"/>
    </row>
    <row r="69" spans="2:3">
      <c r="B69" s="4"/>
      <c r="C69" s="4"/>
    </row>
    <row r="70" spans="2:3">
      <c r="B70" s="4"/>
      <c r="C70" s="4"/>
    </row>
    <row r="71" spans="2:3">
      <c r="B71" s="4"/>
      <c r="C71" s="4"/>
    </row>
    <row r="72" spans="2:3">
      <c r="B72" s="4"/>
      <c r="C72" s="4"/>
    </row>
    <row r="73" spans="2:3">
      <c r="B73" s="4"/>
      <c r="C73" s="4"/>
    </row>
    <row r="74" spans="2:3">
      <c r="B74" s="4"/>
      <c r="C74" s="4"/>
    </row>
    <row r="75" spans="2:3">
      <c r="B75" s="4"/>
      <c r="C75" s="4"/>
    </row>
    <row r="76" spans="2:3">
      <c r="B76" s="4"/>
      <c r="C76" s="4"/>
    </row>
    <row r="77" spans="2:3">
      <c r="B77" s="4"/>
      <c r="C77" s="4"/>
    </row>
    <row r="78" spans="2:3">
      <c r="B78" s="4"/>
      <c r="C78" s="4"/>
    </row>
    <row r="79" spans="2:3">
      <c r="B79" s="4"/>
      <c r="C79" s="4"/>
    </row>
    <row r="80" spans="2:3">
      <c r="B80" s="4"/>
      <c r="C80" s="4"/>
    </row>
    <row r="81" spans="2:3">
      <c r="B81" s="4"/>
      <c r="C81" s="4"/>
    </row>
    <row r="82" spans="2:3">
      <c r="B82" s="4"/>
      <c r="C82" s="4"/>
    </row>
    <row r="83" spans="2:3">
      <c r="B83" s="4"/>
      <c r="C83" s="4"/>
    </row>
    <row r="84" spans="2:3">
      <c r="B84" s="4"/>
      <c r="C84" s="4"/>
    </row>
    <row r="85" spans="2:3">
      <c r="B85" s="4"/>
      <c r="C85" s="4"/>
    </row>
    <row r="86" spans="2:3">
      <c r="B86" s="4"/>
      <c r="C86" s="4"/>
    </row>
    <row r="87" spans="2:3">
      <c r="B87" s="4"/>
      <c r="C87" s="4"/>
    </row>
    <row r="88" spans="2:3">
      <c r="B88" s="4"/>
      <c r="C88" s="4"/>
    </row>
    <row r="89" spans="2:3">
      <c r="B89" s="4"/>
      <c r="C89" s="4"/>
    </row>
    <row r="90" spans="2:3">
      <c r="B90" s="4"/>
      <c r="C90" s="4"/>
    </row>
    <row r="91" spans="2:3">
      <c r="B91" s="4"/>
      <c r="C91" s="4"/>
    </row>
    <row r="92" spans="2:3">
      <c r="B92" s="4"/>
      <c r="C92" s="4"/>
    </row>
    <row r="93" spans="2:3">
      <c r="B93" s="4"/>
      <c r="C93" s="4"/>
    </row>
    <row r="94" spans="2:3">
      <c r="B94" s="4"/>
      <c r="C94" s="4"/>
    </row>
    <row r="95" spans="2:3">
      <c r="B95" s="4"/>
      <c r="C95" s="4"/>
    </row>
    <row r="96" spans="2:3">
      <c r="B96" s="4"/>
      <c r="C96" s="4"/>
    </row>
    <row r="97" spans="2:3">
      <c r="B97" s="4"/>
      <c r="C97" s="4"/>
    </row>
    <row r="98" spans="2:3">
      <c r="B98" s="4"/>
      <c r="C98" s="4"/>
    </row>
    <row r="99" spans="2:3">
      <c r="B99" s="4"/>
      <c r="C99" s="4"/>
    </row>
    <row r="100" spans="2:3">
      <c r="B100" s="4"/>
      <c r="C100" s="4"/>
    </row>
    <row r="101" spans="2:3">
      <c r="B101" s="4"/>
      <c r="C101" s="4"/>
    </row>
    <row r="102" spans="2:3">
      <c r="B102" s="4"/>
      <c r="C102" s="4"/>
    </row>
    <row r="103" spans="2:3">
      <c r="B103" s="4"/>
      <c r="C103" s="4"/>
    </row>
    <row r="104" spans="2:3">
      <c r="B104" s="4"/>
      <c r="C104" s="4"/>
    </row>
    <row r="105" spans="2:3">
      <c r="B105" s="4"/>
      <c r="C105" s="4"/>
    </row>
    <row r="106" spans="2:3">
      <c r="B106" s="4"/>
      <c r="C106" s="4"/>
    </row>
    <row r="107" spans="2:3">
      <c r="B107" s="4"/>
      <c r="C107" s="4"/>
    </row>
    <row r="108" spans="2:3">
      <c r="B108" s="4"/>
      <c r="C108" s="4"/>
    </row>
    <row r="109" spans="2:3">
      <c r="B109" s="4"/>
      <c r="C109" s="4"/>
    </row>
    <row r="110" spans="2:3">
      <c r="B110" s="4"/>
      <c r="C110" s="4"/>
    </row>
    <row r="111" spans="2:3">
      <c r="B111" s="4"/>
      <c r="C111" s="4"/>
    </row>
    <row r="112" spans="2:3">
      <c r="B112" s="4"/>
      <c r="C112" s="4"/>
    </row>
    <row r="113" spans="2:3">
      <c r="B113" s="4"/>
      <c r="C113" s="4"/>
    </row>
    <row r="114" spans="2:3">
      <c r="B114" s="4"/>
      <c r="C114" s="4"/>
    </row>
    <row r="115" spans="2:3">
      <c r="B115" s="4"/>
      <c r="C115" s="4"/>
    </row>
    <row r="116" spans="2:3">
      <c r="B116" s="4"/>
      <c r="C116" s="4"/>
    </row>
    <row r="117" spans="2:3">
      <c r="B117" s="4"/>
      <c r="C117" s="4"/>
    </row>
    <row r="118" spans="2:3">
      <c r="B118" s="4"/>
      <c r="C118" s="4"/>
    </row>
    <row r="119" spans="2:3">
      <c r="B119" s="4"/>
      <c r="C119" s="4"/>
    </row>
    <row r="120" spans="2:3">
      <c r="B120" s="4"/>
      <c r="C120" s="4"/>
    </row>
    <row r="121" spans="2:3">
      <c r="B121" s="4"/>
      <c r="C121" s="4"/>
    </row>
    <row r="122" spans="2:3">
      <c r="B122" s="4"/>
      <c r="C122" s="4"/>
    </row>
    <row r="123" spans="2:3">
      <c r="B123" s="4"/>
      <c r="C123" s="4"/>
    </row>
    <row r="124" spans="2:3">
      <c r="B124" s="4"/>
      <c r="C124" s="4"/>
    </row>
    <row r="125" spans="2:3">
      <c r="B125" s="4"/>
      <c r="C125" s="4"/>
    </row>
    <row r="126" spans="2:3">
      <c r="B126" s="4"/>
      <c r="C126" s="4"/>
    </row>
    <row r="127" spans="2:3">
      <c r="B127" s="4"/>
      <c r="C127" s="4"/>
    </row>
    <row r="128" spans="2:3">
      <c r="B128" s="4"/>
      <c r="C128" s="4"/>
    </row>
    <row r="129" spans="2:3">
      <c r="B129" s="4"/>
      <c r="C129" s="4"/>
    </row>
    <row r="130" spans="2:3">
      <c r="B130" s="4"/>
      <c r="C130" s="4"/>
    </row>
    <row r="131" spans="2:3">
      <c r="B131" s="4"/>
      <c r="C131" s="4"/>
    </row>
    <row r="132" spans="2:3">
      <c r="B132" s="4"/>
      <c r="C132" s="4"/>
    </row>
    <row r="133" spans="2:3">
      <c r="B133" s="4"/>
      <c r="C133" s="4"/>
    </row>
    <row r="134" spans="2:3">
      <c r="B134" s="4"/>
      <c r="C134" s="4"/>
    </row>
    <row r="135" spans="2:3">
      <c r="B135" s="4"/>
      <c r="C135" s="4"/>
    </row>
    <row r="136" spans="2:3">
      <c r="B136" s="4"/>
      <c r="C136" s="4"/>
    </row>
    <row r="137" spans="2:3">
      <c r="B137" s="4"/>
      <c r="C137" s="4"/>
    </row>
    <row r="138" spans="2:3">
      <c r="B138" s="4"/>
      <c r="C138" s="4"/>
    </row>
    <row r="139" spans="2:3">
      <c r="B139" s="4"/>
      <c r="C139" s="4"/>
    </row>
    <row r="140" spans="2:3">
      <c r="B140" s="4"/>
      <c r="C140" s="4"/>
    </row>
    <row r="141" spans="2:3">
      <c r="B141" s="4"/>
      <c r="C141" s="4"/>
    </row>
    <row r="142" spans="2:3">
      <c r="B142" s="4"/>
      <c r="C142" s="4"/>
    </row>
    <row r="143" spans="2:3">
      <c r="B143" s="4"/>
      <c r="C143" s="4"/>
    </row>
    <row r="144" spans="2:3">
      <c r="B144" s="4"/>
      <c r="C144" s="4"/>
    </row>
    <row r="145" spans="2:3">
      <c r="B145" s="4"/>
      <c r="C145" s="4"/>
    </row>
    <row r="146" spans="2:3">
      <c r="B146" s="4"/>
      <c r="C146" s="4"/>
    </row>
    <row r="147" spans="2:3">
      <c r="B147" s="4"/>
      <c r="C147" s="4"/>
    </row>
    <row r="148" spans="2:3">
      <c r="B148" s="4"/>
      <c r="C148" s="4"/>
    </row>
    <row r="149" spans="2:3">
      <c r="B149" s="4"/>
      <c r="C149" s="4"/>
    </row>
    <row r="150" spans="2:3">
      <c r="B150" s="4"/>
      <c r="C150" s="4"/>
    </row>
    <row r="151" spans="2:3">
      <c r="B151" s="4"/>
      <c r="C151" s="4"/>
    </row>
    <row r="152" spans="2:3">
      <c r="B152" s="4"/>
      <c r="C152" s="4"/>
    </row>
    <row r="153" spans="2:3">
      <c r="B153" s="4"/>
      <c r="C153" s="4"/>
    </row>
    <row r="154" spans="2:3">
      <c r="B154" s="4"/>
      <c r="C154" s="4"/>
    </row>
    <row r="155" spans="2:3">
      <c r="B155" s="4"/>
      <c r="C155" s="4"/>
    </row>
    <row r="156" spans="2:3">
      <c r="B156" s="4"/>
      <c r="C156" s="4"/>
    </row>
    <row r="157" spans="2:3">
      <c r="B157" s="4"/>
      <c r="C157" s="4"/>
    </row>
    <row r="158" spans="2:3">
      <c r="B158" s="4"/>
      <c r="C158" s="4"/>
    </row>
    <row r="159" spans="2:3">
      <c r="B159" s="4"/>
      <c r="C159" s="4"/>
    </row>
    <row r="160" spans="2:3">
      <c r="B160" s="4"/>
      <c r="C160" s="4"/>
    </row>
    <row r="161" spans="2:3">
      <c r="B161" s="4"/>
      <c r="C161" s="4"/>
    </row>
    <row r="162" spans="2:3">
      <c r="B162" s="4"/>
      <c r="C162" s="4"/>
    </row>
    <row r="163" spans="2:3">
      <c r="B163" s="4"/>
      <c r="C163" s="4"/>
    </row>
    <row r="164" spans="2:3">
      <c r="B164" s="4"/>
      <c r="C164" s="4"/>
    </row>
    <row r="165" spans="2:3">
      <c r="B165" s="4"/>
      <c r="C165" s="4"/>
    </row>
    <row r="166" spans="2:3">
      <c r="B166" s="4"/>
      <c r="C166" s="4"/>
    </row>
    <row r="167" spans="2:3">
      <c r="B167" s="4"/>
      <c r="C167" s="4"/>
    </row>
    <row r="168" spans="2:3">
      <c r="B168" s="4"/>
      <c r="C168" s="4"/>
    </row>
    <row r="169" spans="2:3">
      <c r="B169" s="4"/>
      <c r="C169" s="4"/>
    </row>
    <row r="170" spans="2:3">
      <c r="B170" s="4"/>
      <c r="C170" s="4"/>
    </row>
    <row r="171" spans="2:3">
      <c r="B171" s="4"/>
      <c r="C171" s="4"/>
    </row>
    <row r="172" spans="2:3">
      <c r="B172" s="4"/>
      <c r="C172" s="4"/>
    </row>
    <row r="173" spans="2:3">
      <c r="B173" s="4"/>
      <c r="C173" s="4"/>
    </row>
    <row r="174" spans="2:3">
      <c r="B174" s="4"/>
      <c r="C174" s="4"/>
    </row>
    <row r="175" spans="2:3">
      <c r="B175" s="4"/>
      <c r="C175" s="4"/>
    </row>
    <row r="176" spans="2:3">
      <c r="B176" s="4"/>
      <c r="C176" s="4"/>
    </row>
    <row r="177" spans="2:3">
      <c r="B177" s="4"/>
      <c r="C177" s="4"/>
    </row>
    <row r="178" spans="2:3">
      <c r="B178" s="4"/>
      <c r="C178" s="4"/>
    </row>
    <row r="179" spans="2:3">
      <c r="B179" s="4"/>
      <c r="C179" s="4"/>
    </row>
    <row r="180" spans="2:3">
      <c r="B180" s="4"/>
      <c r="C180" s="4"/>
    </row>
    <row r="181" spans="2:3">
      <c r="B181" s="4"/>
      <c r="C181" s="4"/>
    </row>
    <row r="182" spans="2:3">
      <c r="B182" s="4"/>
      <c r="C182" s="4"/>
    </row>
    <row r="183" spans="2:3">
      <c r="B183" s="4"/>
      <c r="C183" s="4"/>
    </row>
    <row r="184" spans="2:3">
      <c r="B184" s="4"/>
      <c r="C184" s="4"/>
    </row>
    <row r="185" spans="2:3">
      <c r="B185" s="4"/>
      <c r="C185" s="4"/>
    </row>
    <row r="186" spans="2:3">
      <c r="B186" s="4"/>
      <c r="C186" s="4"/>
    </row>
    <row r="187" spans="2:3">
      <c r="B187" s="4"/>
      <c r="C187" s="4"/>
    </row>
    <row r="188" spans="2:3">
      <c r="B188" s="4"/>
      <c r="C188" s="4"/>
    </row>
    <row r="189" spans="2:3">
      <c r="B189" s="4"/>
      <c r="C189" s="4"/>
    </row>
    <row r="190" spans="2:3">
      <c r="B190" s="4"/>
      <c r="C190" s="4"/>
    </row>
    <row r="191" spans="2:3">
      <c r="B191" s="4"/>
      <c r="C191" s="4"/>
    </row>
    <row r="192" spans="2:3">
      <c r="B192" s="4"/>
      <c r="C192" s="4"/>
    </row>
    <row r="193" spans="2:3">
      <c r="B193" s="4"/>
      <c r="C193" s="4"/>
    </row>
    <row r="194" spans="2:3">
      <c r="B194" s="4"/>
      <c r="C194" s="4"/>
    </row>
    <row r="195" spans="2:3">
      <c r="B195" s="4"/>
      <c r="C195" s="4"/>
    </row>
    <row r="196" spans="2:3">
      <c r="B196" s="4"/>
      <c r="C196" s="4"/>
    </row>
    <row r="197" spans="2:3">
      <c r="B197" s="4"/>
      <c r="C197" s="4"/>
    </row>
    <row r="198" spans="2:3">
      <c r="B198" s="4"/>
      <c r="C198" s="4"/>
    </row>
    <row r="199" spans="2:3">
      <c r="B199" s="4"/>
      <c r="C199" s="4"/>
    </row>
    <row r="200" spans="2:3">
      <c r="B200" s="4"/>
      <c r="C200" s="4"/>
    </row>
    <row r="201" spans="2:3">
      <c r="B201" s="4"/>
      <c r="C201" s="4"/>
    </row>
    <row r="202" spans="2:3">
      <c r="B202" s="4"/>
      <c r="C202" s="4"/>
    </row>
    <row r="203" spans="2:3">
      <c r="B203" s="4"/>
      <c r="C203" s="4"/>
    </row>
    <row r="204" spans="2:3">
      <c r="B204" s="4"/>
      <c r="C204" s="4"/>
    </row>
    <row r="205" spans="2:3">
      <c r="B205" s="4"/>
      <c r="C205" s="4"/>
    </row>
    <row r="206" spans="2:3">
      <c r="B206" s="4"/>
      <c r="C206" s="4"/>
    </row>
    <row r="207" spans="2:3">
      <c r="B207" s="4"/>
      <c r="C207" s="4"/>
    </row>
    <row r="208" spans="2:3">
      <c r="B208" s="4"/>
      <c r="C208" s="4"/>
    </row>
    <row r="209" spans="2:3">
      <c r="B209" s="4"/>
      <c r="C209" s="4"/>
    </row>
    <row r="210" spans="2:3">
      <c r="B210" s="4"/>
      <c r="C210" s="4"/>
    </row>
    <row r="211" spans="2:3">
      <c r="B211" s="4"/>
      <c r="C211" s="4"/>
    </row>
    <row r="212" spans="2:3">
      <c r="B212" s="4"/>
      <c r="C212" s="4"/>
    </row>
    <row r="213" spans="2:3">
      <c r="B213" s="4"/>
      <c r="C213" s="4"/>
    </row>
    <row r="214" spans="2:3">
      <c r="B214" s="4"/>
      <c r="C214" s="4"/>
    </row>
    <row r="215" spans="2:3">
      <c r="B215" s="4"/>
      <c r="C215" s="4"/>
    </row>
    <row r="216" spans="2:3">
      <c r="B216" s="4"/>
      <c r="C216" s="4"/>
    </row>
    <row r="217" spans="2:3">
      <c r="B217" s="4"/>
      <c r="C217" s="4"/>
    </row>
    <row r="218" spans="2:3">
      <c r="B218" s="4"/>
      <c r="C218" s="4"/>
    </row>
    <row r="219" spans="2:3">
      <c r="B219" s="4"/>
      <c r="C219" s="4"/>
    </row>
    <row r="220" spans="2:3">
      <c r="B220" s="4"/>
      <c r="C220" s="4"/>
    </row>
    <row r="221" spans="2:3">
      <c r="B221" s="4"/>
      <c r="C221" s="4"/>
    </row>
    <row r="222" spans="2:3">
      <c r="B222" s="4"/>
      <c r="C222" s="4"/>
    </row>
    <row r="223" spans="2:3">
      <c r="B223" s="4"/>
      <c r="C223" s="4"/>
    </row>
    <row r="224" spans="2:3">
      <c r="B224" s="4"/>
      <c r="C224" s="4"/>
    </row>
    <row r="225" spans="2:3">
      <c r="B225" s="4"/>
      <c r="C225" s="4"/>
    </row>
    <row r="226" spans="2:3">
      <c r="B226" s="4"/>
      <c r="C226" s="4"/>
    </row>
    <row r="227" spans="2:3">
      <c r="B227" s="4"/>
      <c r="C227" s="4"/>
    </row>
    <row r="228" spans="2:3">
      <c r="B228" s="4"/>
      <c r="C228" s="4"/>
    </row>
    <row r="229" spans="2:3">
      <c r="B229" s="4"/>
      <c r="C229" s="4"/>
    </row>
    <row r="230" spans="2:3">
      <c r="B230" s="4"/>
      <c r="C230" s="4"/>
    </row>
    <row r="231" spans="2:3">
      <c r="B231" s="4"/>
      <c r="C231" s="4"/>
    </row>
    <row r="232" spans="2:3">
      <c r="B232" s="4"/>
      <c r="C232" s="4"/>
    </row>
    <row r="233" spans="2:3">
      <c r="B233" s="4"/>
      <c r="C233" s="4"/>
    </row>
    <row r="234" spans="2:3">
      <c r="B234" s="4"/>
      <c r="C234" s="4"/>
    </row>
    <row r="235" spans="2:3">
      <c r="B235" s="4"/>
      <c r="C235" s="4"/>
    </row>
    <row r="236" spans="2:3">
      <c r="B236" s="4"/>
      <c r="C236" s="4"/>
    </row>
    <row r="237" spans="2:3">
      <c r="B237" s="4"/>
      <c r="C237" s="4"/>
    </row>
    <row r="238" spans="2:3">
      <c r="B238" s="4"/>
      <c r="C238" s="4"/>
    </row>
    <row r="239" spans="2:3">
      <c r="B239" s="4"/>
      <c r="C239" s="4"/>
    </row>
    <row r="240" spans="2:3">
      <c r="B240" s="4"/>
      <c r="C240" s="4"/>
    </row>
    <row r="241" spans="2:3">
      <c r="B241" s="4"/>
      <c r="C241" s="4"/>
    </row>
    <row r="242" spans="2:3">
      <c r="B242" s="4"/>
      <c r="C242" s="4"/>
    </row>
    <row r="243" spans="2:3">
      <c r="B243" s="4"/>
      <c r="C243" s="4"/>
    </row>
    <row r="244" spans="2:3">
      <c r="B244" s="4"/>
      <c r="C244" s="4"/>
    </row>
    <row r="245" spans="2:3">
      <c r="B245" s="4"/>
      <c r="C245" s="4"/>
    </row>
    <row r="246" spans="2:3">
      <c r="B246" s="4"/>
      <c r="C246" s="4"/>
    </row>
    <row r="247" spans="2:3">
      <c r="B247" s="4"/>
      <c r="C247" s="4"/>
    </row>
    <row r="248" spans="2:3">
      <c r="B248" s="4"/>
      <c r="C248" s="4"/>
    </row>
    <row r="249" spans="2:3">
      <c r="B249" s="4"/>
      <c r="C249" s="4"/>
    </row>
    <row r="250" spans="2:3">
      <c r="B250" s="4"/>
      <c r="C250" s="4"/>
    </row>
    <row r="251" spans="2:3">
      <c r="B251" s="4"/>
      <c r="C251" s="4"/>
    </row>
    <row r="252" spans="2:3">
      <c r="B252" s="4"/>
      <c r="C252" s="4"/>
    </row>
    <row r="253" spans="2:3">
      <c r="B253" s="4"/>
      <c r="C253" s="4"/>
    </row>
    <row r="254" spans="2:3">
      <c r="B254" s="4"/>
      <c r="C254" s="4"/>
    </row>
    <row r="255" spans="2:3">
      <c r="B255" s="4"/>
      <c r="C255" s="4"/>
    </row>
    <row r="256" spans="2:3">
      <c r="B256" s="4"/>
      <c r="C256" s="4"/>
    </row>
    <row r="257" spans="2:3">
      <c r="B257" s="4"/>
      <c r="C257" s="4"/>
    </row>
    <row r="258" spans="2:3">
      <c r="B258" s="4"/>
      <c r="C258" s="4"/>
    </row>
    <row r="259" spans="2:3">
      <c r="B259" s="4"/>
      <c r="C259" s="4"/>
    </row>
    <row r="260" spans="2:3">
      <c r="B260" s="4"/>
      <c r="C260" s="4"/>
    </row>
    <row r="261" spans="2:3">
      <c r="B261" s="4"/>
      <c r="C261" s="4"/>
    </row>
    <row r="262" spans="2:3">
      <c r="B262" s="4"/>
      <c r="C262" s="4"/>
    </row>
    <row r="263" spans="2:3">
      <c r="B263" s="4"/>
      <c r="C263" s="4"/>
    </row>
    <row r="264" spans="2:3">
      <c r="B264" s="4"/>
      <c r="C264" s="4"/>
    </row>
    <row r="265" spans="2:3">
      <c r="B265" s="4"/>
      <c r="C265" s="4"/>
    </row>
    <row r="266" spans="2:3">
      <c r="B266" s="4"/>
      <c r="C266" s="4"/>
    </row>
    <row r="267" spans="2:3">
      <c r="B267" s="4"/>
      <c r="C267" s="4"/>
    </row>
    <row r="268" spans="2:3">
      <c r="B268" s="4"/>
      <c r="C268" s="4"/>
    </row>
    <row r="269" spans="2:3">
      <c r="B269" s="4"/>
      <c r="C269" s="4"/>
    </row>
    <row r="270" spans="2:3">
      <c r="B270" s="4"/>
      <c r="C270" s="4"/>
    </row>
    <row r="271" spans="2:3">
      <c r="B271" s="4"/>
      <c r="C271" s="4"/>
    </row>
    <row r="272" spans="2:3">
      <c r="B272" s="4"/>
      <c r="C272" s="4"/>
    </row>
    <row r="273" spans="2:3">
      <c r="B273" s="4"/>
      <c r="C273" s="4"/>
    </row>
    <row r="274" spans="2:3">
      <c r="B274" s="4"/>
      <c r="C274" s="4"/>
    </row>
    <row r="275" spans="2:3">
      <c r="B275" s="4"/>
      <c r="C275" s="4"/>
    </row>
    <row r="276" spans="2:3">
      <c r="B276" s="4"/>
      <c r="C276" s="4"/>
    </row>
    <row r="277" spans="2:3">
      <c r="B277" s="4"/>
      <c r="C277" s="4"/>
    </row>
    <row r="278" spans="2:3">
      <c r="B278" s="4"/>
      <c r="C278" s="4"/>
    </row>
    <row r="279" spans="2:3">
      <c r="B279" s="4"/>
      <c r="C279" s="4"/>
    </row>
    <row r="280" spans="2:3">
      <c r="B280" s="4"/>
      <c r="C280" s="4"/>
    </row>
    <row r="281" spans="2:3">
      <c r="B281" s="4"/>
      <c r="C281" s="4"/>
    </row>
    <row r="282" spans="2:3">
      <c r="B282" s="4"/>
      <c r="C282" s="4"/>
    </row>
    <row r="283" spans="2:3">
      <c r="B283" s="4"/>
      <c r="C283" s="4"/>
    </row>
    <row r="284" spans="2:3">
      <c r="B284" s="4"/>
      <c r="C284" s="4"/>
    </row>
    <row r="285" spans="2:3">
      <c r="B285" s="4"/>
      <c r="C285" s="4"/>
    </row>
    <row r="286" spans="2:3">
      <c r="B286" s="4"/>
      <c r="C286" s="4"/>
    </row>
    <row r="287" spans="2:3">
      <c r="B287" s="4"/>
      <c r="C287" s="4"/>
    </row>
    <row r="288" spans="2:3">
      <c r="B288" s="4"/>
      <c r="C288" s="4"/>
    </row>
    <row r="289" spans="2:3">
      <c r="B289" s="4"/>
      <c r="C289" s="4"/>
    </row>
    <row r="290" spans="2:3">
      <c r="B290" s="4"/>
      <c r="C290" s="4"/>
    </row>
    <row r="291" spans="2:3">
      <c r="B291" s="4"/>
      <c r="C291" s="4"/>
    </row>
    <row r="292" spans="2:3">
      <c r="B292" s="4"/>
      <c r="C292" s="4"/>
    </row>
    <row r="293" spans="2:3">
      <c r="B293" s="4"/>
      <c r="C293" s="4"/>
    </row>
    <row r="294" spans="2:3">
      <c r="B294" s="4"/>
      <c r="C294" s="4"/>
    </row>
    <row r="295" spans="2:3">
      <c r="B295" s="4"/>
      <c r="C295" s="4"/>
    </row>
    <row r="296" spans="2:3">
      <c r="B296" s="4"/>
      <c r="C296" s="4"/>
    </row>
    <row r="297" spans="2:3">
      <c r="B297" s="4"/>
      <c r="C297" s="4"/>
    </row>
    <row r="298" spans="2:3">
      <c r="B298" s="4"/>
      <c r="C298" s="4"/>
    </row>
    <row r="299" spans="2:3">
      <c r="B299" s="4"/>
      <c r="C299" s="4"/>
    </row>
    <row r="300" spans="2:3">
      <c r="B300" s="4"/>
      <c r="C300" s="4"/>
    </row>
    <row r="301" spans="2:3">
      <c r="B301" s="4"/>
      <c r="C301" s="4"/>
    </row>
    <row r="302" spans="2:3">
      <c r="B302" s="4"/>
      <c r="C302" s="4"/>
    </row>
    <row r="303" spans="2:3">
      <c r="B303" s="4"/>
      <c r="C303" s="4"/>
    </row>
    <row r="304" spans="2:3">
      <c r="B304" s="4"/>
      <c r="C304" s="4"/>
    </row>
    <row r="305" spans="2:3">
      <c r="B305" s="4"/>
      <c r="C305" s="4"/>
    </row>
    <row r="306" spans="2:3">
      <c r="B306" s="4"/>
      <c r="C306" s="4"/>
    </row>
    <row r="307" spans="2:3">
      <c r="B307" s="4"/>
      <c r="C307" s="4"/>
    </row>
    <row r="308" spans="2:3">
      <c r="B308" s="4"/>
      <c r="C308" s="4"/>
    </row>
    <row r="309" spans="2:3">
      <c r="B309" s="4"/>
      <c r="C309" s="4"/>
    </row>
    <row r="310" spans="2:3">
      <c r="B310" s="4"/>
      <c r="C310" s="4"/>
    </row>
    <row r="311" spans="2:3">
      <c r="B311" s="4"/>
      <c r="C311" s="4"/>
    </row>
    <row r="312" spans="2:3">
      <c r="B312" s="4"/>
      <c r="C312" s="4"/>
    </row>
    <row r="313" spans="2:3">
      <c r="B313" s="4"/>
      <c r="C313" s="4"/>
    </row>
    <row r="314" spans="2:3">
      <c r="B314" s="4"/>
      <c r="C314" s="4"/>
    </row>
    <row r="315" spans="2:3">
      <c r="B315" s="4"/>
      <c r="C315" s="4"/>
    </row>
    <row r="316" spans="2:3">
      <c r="B316" s="4"/>
      <c r="C316" s="4"/>
    </row>
    <row r="317" spans="2:3">
      <c r="B317" s="4"/>
      <c r="C317" s="4"/>
    </row>
    <row r="318" spans="2:3">
      <c r="B318" s="4"/>
      <c r="C318" s="4"/>
    </row>
    <row r="319" spans="2:3">
      <c r="B319" s="4"/>
      <c r="C319" s="4"/>
    </row>
    <row r="320" spans="2:3">
      <c r="B320" s="4"/>
      <c r="C320" s="4"/>
    </row>
    <row r="321" spans="2:3">
      <c r="B321" s="4"/>
      <c r="C321" s="4"/>
    </row>
    <row r="322" spans="2:3">
      <c r="B322" s="4"/>
      <c r="C322" s="4"/>
    </row>
    <row r="323" spans="2:3">
      <c r="B323" s="4"/>
      <c r="C323" s="4"/>
    </row>
    <row r="324" spans="2:3">
      <c r="B324" s="4"/>
      <c r="C324" s="4"/>
    </row>
    <row r="325" spans="2:3">
      <c r="B325" s="4"/>
      <c r="C325" s="4"/>
    </row>
    <row r="326" spans="2:3">
      <c r="B326" s="4"/>
      <c r="C326" s="4"/>
    </row>
    <row r="327" spans="2:3">
      <c r="B327" s="4"/>
      <c r="C327" s="4"/>
    </row>
    <row r="328" spans="2:3">
      <c r="B328" s="4"/>
      <c r="C328" s="4"/>
    </row>
    <row r="329" spans="2:3">
      <c r="B329" s="4"/>
      <c r="C329" s="4"/>
    </row>
    <row r="330" spans="2:3">
      <c r="B330" s="4"/>
      <c r="C330" s="4"/>
    </row>
    <row r="331" spans="2:3">
      <c r="B331" s="4"/>
      <c r="C331" s="4"/>
    </row>
    <row r="332" spans="2:3">
      <c r="B332" s="4"/>
      <c r="C332" s="4"/>
    </row>
    <row r="333" spans="2:3">
      <c r="B333" s="4"/>
      <c r="C333" s="4"/>
    </row>
    <row r="334" spans="2:3">
      <c r="B334" s="4"/>
      <c r="C334" s="4"/>
    </row>
    <row r="335" spans="2:3">
      <c r="B335" s="4"/>
      <c r="C335" s="4"/>
    </row>
    <row r="336" spans="2:3">
      <c r="B336" s="4"/>
      <c r="C336" s="4"/>
    </row>
    <row r="337" spans="2:3">
      <c r="B337" s="4"/>
      <c r="C337" s="4"/>
    </row>
    <row r="338" spans="2:3">
      <c r="B338" s="4"/>
      <c r="C338" s="4"/>
    </row>
    <row r="339" spans="2:3">
      <c r="B339" s="4"/>
      <c r="C339" s="4"/>
    </row>
    <row r="340" spans="2:3">
      <c r="B340" s="4"/>
      <c r="C340" s="4"/>
    </row>
    <row r="341" spans="2:3">
      <c r="B341" s="4"/>
      <c r="C341" s="4"/>
    </row>
    <row r="342" spans="2:3">
      <c r="B342" s="4"/>
      <c r="C342" s="4"/>
    </row>
    <row r="343" spans="2:3">
      <c r="B343" s="4"/>
      <c r="C343" s="4"/>
    </row>
    <row r="344" spans="2:3">
      <c r="B344" s="4"/>
      <c r="C344" s="4"/>
    </row>
    <row r="345" spans="2:3">
      <c r="B345" s="4"/>
      <c r="C345" s="4"/>
    </row>
    <row r="346" spans="2:3">
      <c r="B346" s="4"/>
      <c r="C346" s="4"/>
    </row>
    <row r="347" spans="2:3">
      <c r="B347" s="4"/>
      <c r="C347" s="4"/>
    </row>
    <row r="348" spans="2:3">
      <c r="B348" s="4"/>
      <c r="C348" s="4"/>
    </row>
    <row r="349" spans="2:3">
      <c r="B349" s="4"/>
      <c r="C349" s="4"/>
    </row>
    <row r="350" spans="2:3">
      <c r="B350" s="4"/>
      <c r="C350" s="4"/>
    </row>
    <row r="351" spans="2:3">
      <c r="B351" s="4"/>
      <c r="C351" s="4"/>
    </row>
    <row r="352" spans="2:3">
      <c r="B352" s="4"/>
      <c r="C352" s="4"/>
    </row>
    <row r="353" spans="2:3">
      <c r="B353" s="4"/>
      <c r="C353" s="4"/>
    </row>
    <row r="354" spans="2:3">
      <c r="B354" s="4"/>
      <c r="C354" s="4"/>
    </row>
    <row r="355" spans="2:3">
      <c r="B355" s="4"/>
      <c r="C355" s="4"/>
    </row>
    <row r="356" spans="2:3">
      <c r="B356" s="4"/>
      <c r="C356" s="4"/>
    </row>
    <row r="357" spans="2:3">
      <c r="B357" s="4"/>
      <c r="C357" s="4"/>
    </row>
    <row r="358" spans="2:3">
      <c r="B358" s="4"/>
      <c r="C358" s="4"/>
    </row>
    <row r="359" spans="2:3">
      <c r="B359" s="4"/>
      <c r="C359" s="4"/>
    </row>
    <row r="360" spans="2:3">
      <c r="B360" s="4"/>
      <c r="C360" s="4"/>
    </row>
    <row r="361" spans="2:3">
      <c r="B361" s="4"/>
      <c r="C361" s="4"/>
    </row>
    <row r="362" spans="2:3">
      <c r="B362" s="4"/>
      <c r="C362" s="4"/>
    </row>
    <row r="363" spans="2:3">
      <c r="B363" s="4"/>
      <c r="C363" s="4"/>
    </row>
    <row r="364" spans="2:3">
      <c r="B364" s="4"/>
      <c r="C364" s="4"/>
    </row>
    <row r="365" spans="2:3">
      <c r="B365" s="4"/>
      <c r="C365" s="4"/>
    </row>
    <row r="366" spans="2:3">
      <c r="B366" s="4"/>
      <c r="C366" s="4"/>
    </row>
    <row r="367" spans="2:3">
      <c r="B367" s="4"/>
      <c r="C367" s="4"/>
    </row>
    <row r="368" spans="2:3">
      <c r="B368" s="4"/>
      <c r="C368" s="4"/>
    </row>
    <row r="369" spans="2:3">
      <c r="B369" s="4"/>
      <c r="C369" s="4"/>
    </row>
    <row r="370" spans="2:3">
      <c r="B370" s="4"/>
      <c r="C370" s="4"/>
    </row>
    <row r="371" spans="2:3">
      <c r="B371" s="4"/>
      <c r="C371" s="4"/>
    </row>
    <row r="372" spans="2:3">
      <c r="B372" s="4"/>
      <c r="C372" s="4"/>
    </row>
    <row r="373" spans="2:3">
      <c r="B373" s="4"/>
      <c r="C373" s="4"/>
    </row>
    <row r="374" spans="2:3">
      <c r="B374" s="4"/>
      <c r="C374" s="4"/>
    </row>
    <row r="375" spans="2:3">
      <c r="B375" s="4"/>
      <c r="C375" s="4"/>
    </row>
    <row r="376" spans="2:3">
      <c r="B376" s="4"/>
      <c r="C376" s="4"/>
    </row>
    <row r="377" spans="2:3">
      <c r="B377" s="4"/>
      <c r="C377" s="4"/>
    </row>
    <row r="378" spans="2:3">
      <c r="B378" s="4"/>
      <c r="C378" s="4"/>
    </row>
    <row r="379" spans="2:3">
      <c r="B379" s="4"/>
      <c r="C379" s="4"/>
    </row>
    <row r="380" spans="2:3">
      <c r="B380" s="4"/>
      <c r="C380" s="4"/>
    </row>
    <row r="381" spans="2:3">
      <c r="B381" s="4"/>
      <c r="C381" s="4"/>
    </row>
    <row r="382" spans="2:3">
      <c r="B382" s="4"/>
      <c r="C382" s="4"/>
    </row>
    <row r="383" spans="2:3">
      <c r="B383" s="4"/>
      <c r="C383" s="4"/>
    </row>
    <row r="384" spans="2:3">
      <c r="B384" s="4"/>
      <c r="C384" s="4"/>
    </row>
    <row r="385" spans="2:3">
      <c r="B385" s="4"/>
      <c r="C385" s="4"/>
    </row>
    <row r="386" spans="2:3">
      <c r="B386" s="4"/>
      <c r="C386" s="4"/>
    </row>
    <row r="387" spans="2:3">
      <c r="B387" s="4"/>
      <c r="C387" s="4"/>
    </row>
    <row r="388" spans="2:3">
      <c r="B388" s="4"/>
      <c r="C388" s="4"/>
    </row>
    <row r="389" spans="2:3">
      <c r="B389" s="4"/>
      <c r="C389" s="4"/>
    </row>
    <row r="390" spans="2:3">
      <c r="B390" s="4"/>
      <c r="C390" s="4"/>
    </row>
    <row r="391" spans="2:3">
      <c r="B391" s="4"/>
      <c r="C391" s="4"/>
    </row>
    <row r="392" spans="2:3">
      <c r="B392" s="4"/>
      <c r="C392" s="4"/>
    </row>
    <row r="393" spans="2:3">
      <c r="B393" s="4"/>
      <c r="C393" s="4"/>
    </row>
    <row r="394" spans="2:3">
      <c r="B394" s="4"/>
      <c r="C394" s="4"/>
    </row>
    <row r="395" spans="2:3">
      <c r="B395" s="4"/>
      <c r="C395" s="4"/>
    </row>
    <row r="396" spans="2:3">
      <c r="B396" s="4"/>
      <c r="C396" s="4"/>
    </row>
    <row r="397" spans="2:3">
      <c r="B397" s="4"/>
      <c r="C397" s="4"/>
    </row>
    <row r="398" spans="2:3">
      <c r="B398" s="4"/>
      <c r="C398" s="4"/>
    </row>
    <row r="399" spans="2:3">
      <c r="B399" s="4"/>
      <c r="C399" s="4"/>
    </row>
    <row r="400" spans="2:3">
      <c r="B400" s="4"/>
      <c r="C400" s="4"/>
    </row>
    <row r="401" spans="2:3">
      <c r="B401" s="4"/>
      <c r="C401" s="4"/>
    </row>
    <row r="402" spans="2:3">
      <c r="B402" s="4"/>
      <c r="C402" s="4"/>
    </row>
    <row r="403" spans="2:3">
      <c r="B403" s="4"/>
      <c r="C403" s="4"/>
    </row>
    <row r="404" spans="2:3">
      <c r="B404" s="4"/>
      <c r="C404" s="4"/>
    </row>
    <row r="405" spans="2:3">
      <c r="B405" s="4"/>
      <c r="C405" s="4"/>
    </row>
    <row r="406" spans="2:3">
      <c r="B406" s="4"/>
      <c r="C406" s="4"/>
    </row>
    <row r="407" spans="2:3">
      <c r="B407" s="4"/>
      <c r="C407" s="4"/>
    </row>
    <row r="408" spans="2:3">
      <c r="B408" s="4"/>
      <c r="C408" s="4"/>
    </row>
    <row r="409" spans="2:3">
      <c r="B409" s="4"/>
      <c r="C409" s="4"/>
    </row>
    <row r="410" spans="2:3">
      <c r="B410" s="4"/>
      <c r="C410" s="4"/>
    </row>
    <row r="411" spans="2:3">
      <c r="B411" s="4"/>
      <c r="C411" s="4"/>
    </row>
    <row r="412" spans="2:3">
      <c r="B412" s="4"/>
      <c r="C412" s="4"/>
    </row>
    <row r="413" spans="2:3">
      <c r="B413" s="4"/>
      <c r="C413" s="4"/>
    </row>
    <row r="414" spans="2:3">
      <c r="B414" s="4"/>
      <c r="C414" s="4"/>
    </row>
    <row r="415" spans="2:3">
      <c r="B415" s="4"/>
      <c r="C415" s="4"/>
    </row>
    <row r="416" spans="2:3">
      <c r="B416" s="4"/>
      <c r="C416" s="4"/>
    </row>
    <row r="417" spans="2:3">
      <c r="B417" s="4"/>
      <c r="C417" s="4"/>
    </row>
    <row r="418" spans="2:3">
      <c r="B418" s="4"/>
      <c r="C418" s="4"/>
    </row>
    <row r="419" spans="2:3">
      <c r="B419" s="4"/>
      <c r="C419" s="4"/>
    </row>
    <row r="420" spans="2:3">
      <c r="B420" s="4"/>
      <c r="C420" s="4"/>
    </row>
    <row r="421" spans="2:3">
      <c r="B421" s="4"/>
      <c r="C421" s="4"/>
    </row>
    <row r="422" spans="2:3">
      <c r="B422" s="4"/>
      <c r="C422" s="4"/>
    </row>
    <row r="423" spans="2:3">
      <c r="B423" s="4"/>
      <c r="C423" s="4"/>
    </row>
    <row r="424" spans="2:3">
      <c r="B424" s="4"/>
      <c r="C424" s="4"/>
    </row>
    <row r="425" spans="2:3">
      <c r="B425" s="4"/>
      <c r="C425" s="4"/>
    </row>
    <row r="426" spans="2:3">
      <c r="B426" s="4"/>
      <c r="C426" s="4"/>
    </row>
    <row r="427" spans="2:3">
      <c r="B427" s="4"/>
      <c r="C427" s="4"/>
    </row>
    <row r="428" spans="2:3">
      <c r="B428" s="4"/>
      <c r="C428" s="4"/>
    </row>
    <row r="429" spans="2:3">
      <c r="B429" s="4"/>
      <c r="C429" s="4"/>
    </row>
    <row r="430" spans="2:3">
      <c r="B430" s="4"/>
      <c r="C430" s="4"/>
    </row>
    <row r="431" spans="2:3">
      <c r="B431" s="4"/>
      <c r="C431" s="4"/>
    </row>
    <row r="432" spans="2:3">
      <c r="B432" s="4"/>
      <c r="C432" s="4"/>
    </row>
    <row r="433" spans="2:3">
      <c r="B433" s="4"/>
      <c r="C433" s="4"/>
    </row>
    <row r="434" spans="2:3">
      <c r="B434" s="4"/>
      <c r="C434" s="4"/>
    </row>
    <row r="435" spans="2:3">
      <c r="B435" s="4"/>
      <c r="C435" s="4"/>
    </row>
    <row r="436" spans="2:3">
      <c r="B436" s="4"/>
      <c r="C436" s="4"/>
    </row>
    <row r="437" spans="2:3">
      <c r="B437" s="4"/>
      <c r="C437" s="4"/>
    </row>
    <row r="438" spans="2:3">
      <c r="B438" s="4"/>
      <c r="C438" s="4"/>
    </row>
    <row r="439" spans="2:3">
      <c r="B439" s="4"/>
      <c r="C439" s="4"/>
    </row>
    <row r="440" spans="2:3">
      <c r="B440" s="4"/>
      <c r="C440" s="4"/>
    </row>
    <row r="441" spans="2:3">
      <c r="B441" s="4"/>
      <c r="C441" s="4"/>
    </row>
    <row r="442" spans="2:3">
      <c r="B442" s="4"/>
      <c r="C442" s="4"/>
    </row>
    <row r="443" spans="2:3">
      <c r="B443" s="4"/>
      <c r="C443" s="4"/>
    </row>
    <row r="444" spans="2:3">
      <c r="B444" s="4"/>
      <c r="C444" s="4"/>
    </row>
    <row r="445" spans="2:3">
      <c r="B445" s="4"/>
      <c r="C445" s="4"/>
    </row>
    <row r="446" spans="2:3">
      <c r="B446" s="4"/>
      <c r="C446" s="4"/>
    </row>
    <row r="447" spans="2:3">
      <c r="B447" s="4"/>
      <c r="C447" s="4"/>
    </row>
    <row r="448" spans="2:3">
      <c r="B448" s="4"/>
      <c r="C448" s="4"/>
    </row>
    <row r="449" spans="2:3">
      <c r="B449" s="4"/>
      <c r="C449" s="4"/>
    </row>
    <row r="450" spans="2:3">
      <c r="B450" s="4"/>
      <c r="C450" s="4"/>
    </row>
    <row r="451" spans="2:3">
      <c r="B451" s="4"/>
      <c r="C451" s="4"/>
    </row>
    <row r="452" spans="2:3">
      <c r="B452" s="4"/>
      <c r="C452" s="4"/>
    </row>
    <row r="453" spans="2:3">
      <c r="B453" s="4"/>
      <c r="C453" s="4"/>
    </row>
    <row r="454" spans="2:3">
      <c r="B454" s="4"/>
      <c r="C454" s="4"/>
    </row>
    <row r="455" spans="2:3">
      <c r="B455" s="4"/>
      <c r="C455" s="4"/>
    </row>
    <row r="456" spans="2:3">
      <c r="B456" s="4"/>
      <c r="C456" s="4"/>
    </row>
    <row r="457" spans="2:3">
      <c r="B457" s="4"/>
      <c r="C457" s="4"/>
    </row>
    <row r="458" spans="2:3">
      <c r="B458" s="4"/>
      <c r="C458" s="4"/>
    </row>
    <row r="459" spans="2:3">
      <c r="B459" s="4"/>
      <c r="C459" s="4"/>
    </row>
    <row r="460" spans="2:3">
      <c r="B460" s="4"/>
      <c r="C460" s="4"/>
    </row>
    <row r="461" spans="2:3">
      <c r="B461" s="4"/>
      <c r="C461" s="4"/>
    </row>
    <row r="462" spans="2:3">
      <c r="B462" s="4"/>
      <c r="C462" s="4"/>
    </row>
    <row r="463" spans="2:3">
      <c r="B463" s="4"/>
      <c r="C463" s="4"/>
    </row>
    <row r="464" spans="2:3">
      <c r="B464" s="4"/>
      <c r="C464" s="4"/>
    </row>
    <row r="465" spans="2:3">
      <c r="B465" s="4"/>
      <c r="C465" s="4"/>
    </row>
    <row r="466" spans="2:3">
      <c r="B466" s="4"/>
      <c r="C466" s="4"/>
    </row>
    <row r="467" spans="2:3">
      <c r="B467" s="4"/>
      <c r="C467" s="4"/>
    </row>
    <row r="468" spans="2:3">
      <c r="B468" s="4"/>
      <c r="C468" s="4"/>
    </row>
    <row r="469" spans="2:3">
      <c r="B469" s="4"/>
      <c r="C469" s="4"/>
    </row>
    <row r="470" spans="2:3">
      <c r="B470" s="4"/>
      <c r="C470" s="4"/>
    </row>
    <row r="471" spans="2:3">
      <c r="B471" s="4"/>
      <c r="C471" s="4"/>
    </row>
    <row r="472" spans="2:3">
      <c r="B472" s="4"/>
      <c r="C472" s="4"/>
    </row>
    <row r="473" spans="2:3">
      <c r="B473" s="4"/>
      <c r="C473" s="4"/>
    </row>
    <row r="474" spans="2:3">
      <c r="B474" s="4"/>
      <c r="C474" s="4"/>
    </row>
    <row r="475" spans="2:3">
      <c r="B475" s="4"/>
      <c r="C475" s="4"/>
    </row>
    <row r="476" spans="2:3">
      <c r="B476" s="4"/>
      <c r="C476" s="4"/>
    </row>
    <row r="477" spans="2:3">
      <c r="B477" s="4"/>
      <c r="C477" s="4"/>
    </row>
    <row r="478" spans="2:3">
      <c r="B478" s="4"/>
      <c r="C478" s="4"/>
    </row>
    <row r="479" spans="2:3">
      <c r="B479" s="4"/>
      <c r="C479" s="4"/>
    </row>
    <row r="480" spans="2:3">
      <c r="B480" s="4"/>
      <c r="C480" s="4"/>
    </row>
    <row r="481" spans="2:3">
      <c r="B481" s="4"/>
      <c r="C481" s="4"/>
    </row>
    <row r="482" spans="2:3">
      <c r="B482" s="4"/>
      <c r="C482" s="4"/>
    </row>
    <row r="483" spans="2:3">
      <c r="B483" s="4"/>
      <c r="C483" s="4"/>
    </row>
    <row r="484" spans="2:3">
      <c r="B484" s="4"/>
      <c r="C484" s="4"/>
    </row>
    <row r="485" spans="2:3">
      <c r="B485" s="4"/>
      <c r="C485" s="4"/>
    </row>
    <row r="486" spans="2:3">
      <c r="B486" s="4"/>
      <c r="C486" s="4"/>
    </row>
    <row r="487" spans="2:3">
      <c r="B487" s="4"/>
      <c r="C487" s="4"/>
    </row>
    <row r="488" spans="2:3">
      <c r="B488" s="4"/>
      <c r="C488" s="4"/>
    </row>
    <row r="489" spans="2:3">
      <c r="B489" s="4"/>
      <c r="C489" s="4"/>
    </row>
    <row r="490" spans="2:3">
      <c r="B490" s="4"/>
      <c r="C490" s="4"/>
    </row>
    <row r="491" spans="2:3">
      <c r="B491" s="4"/>
      <c r="C491" s="4"/>
    </row>
    <row r="492" spans="2:3">
      <c r="B492" s="4"/>
      <c r="C492" s="4"/>
    </row>
    <row r="493" spans="2:3">
      <c r="B493" s="4"/>
      <c r="C493" s="4"/>
    </row>
    <row r="494" spans="2:3">
      <c r="B494" s="4"/>
      <c r="C494" s="4"/>
    </row>
    <row r="495" spans="2:3">
      <c r="B495" s="4"/>
      <c r="C495" s="4"/>
    </row>
    <row r="496" spans="2:3">
      <c r="B496" s="4"/>
      <c r="C496" s="4"/>
    </row>
    <row r="497" spans="2:3">
      <c r="B497" s="4"/>
      <c r="C497" s="4"/>
    </row>
    <row r="498" spans="2:3">
      <c r="B498" s="4"/>
      <c r="C498" s="4"/>
    </row>
    <row r="499" spans="2:3">
      <c r="B499" s="4"/>
      <c r="C499" s="4"/>
    </row>
    <row r="500" spans="2:3">
      <c r="B500" s="4"/>
      <c r="C500" s="4"/>
    </row>
    <row r="501" spans="2:3">
      <c r="B501" s="4"/>
      <c r="C501" s="4"/>
    </row>
    <row r="502" spans="2:3">
      <c r="B502" s="4"/>
      <c r="C502" s="4"/>
    </row>
    <row r="503" spans="2:3">
      <c r="B503" s="4"/>
      <c r="C503" s="4"/>
    </row>
    <row r="504" spans="2:3">
      <c r="B504" s="4"/>
      <c r="C504" s="4"/>
    </row>
    <row r="505" spans="2:3">
      <c r="B505" s="4"/>
      <c r="C505" s="4"/>
    </row>
    <row r="506" spans="2:3">
      <c r="B506" s="4"/>
      <c r="C506" s="4"/>
    </row>
    <row r="507" spans="2:3">
      <c r="B507" s="4"/>
      <c r="C507" s="4"/>
    </row>
    <row r="508" spans="2:3">
      <c r="B508" s="4"/>
      <c r="C508" s="4"/>
    </row>
    <row r="509" spans="2:3">
      <c r="B509" s="4"/>
      <c r="C509" s="4"/>
    </row>
    <row r="510" spans="2:3">
      <c r="B510" s="4"/>
      <c r="C510" s="4"/>
    </row>
    <row r="511" spans="2:3">
      <c r="B511" s="4"/>
      <c r="C511" s="4"/>
    </row>
    <row r="512" spans="2:3">
      <c r="B512" s="4"/>
      <c r="C512" s="4"/>
    </row>
    <row r="513" spans="2:3">
      <c r="B513" s="4"/>
      <c r="C513" s="4"/>
    </row>
    <row r="514" spans="2:3">
      <c r="B514" s="4"/>
      <c r="C514" s="4"/>
    </row>
    <row r="515" spans="2:3">
      <c r="B515" s="4"/>
      <c r="C515" s="4"/>
    </row>
    <row r="516" spans="2:3">
      <c r="B516" s="4"/>
      <c r="C516" s="4"/>
    </row>
    <row r="517" spans="2:3">
      <c r="B517" s="4"/>
      <c r="C517" s="4"/>
    </row>
    <row r="518" spans="2:3">
      <c r="B518" s="4"/>
      <c r="C518" s="4"/>
    </row>
    <row r="519" spans="2:3">
      <c r="B519" s="4"/>
      <c r="C519" s="4"/>
    </row>
    <row r="520" spans="2:3">
      <c r="B520" s="4"/>
      <c r="C520" s="4"/>
    </row>
    <row r="521" spans="2:3">
      <c r="B521" s="4"/>
      <c r="C521" s="4"/>
    </row>
    <row r="522" spans="2:3">
      <c r="B522" s="4"/>
      <c r="C522" s="4"/>
    </row>
    <row r="523" spans="2:3">
      <c r="B523" s="4"/>
      <c r="C523" s="4"/>
    </row>
    <row r="524" spans="2:3">
      <c r="B524" s="4"/>
      <c r="C524" s="4"/>
    </row>
    <row r="525" spans="2:3">
      <c r="B525" s="4"/>
      <c r="C525" s="4"/>
    </row>
    <row r="526" spans="2:3">
      <c r="B526" s="4"/>
      <c r="C526" s="4"/>
    </row>
    <row r="527" spans="2:3">
      <c r="B527" s="4"/>
      <c r="C527" s="4"/>
    </row>
    <row r="528" spans="2:3">
      <c r="B528" s="4"/>
      <c r="C528" s="4"/>
    </row>
    <row r="529" spans="2:3">
      <c r="B529" s="4"/>
      <c r="C529" s="4"/>
    </row>
    <row r="530" spans="2:3">
      <c r="B530" s="4"/>
      <c r="C530" s="4"/>
    </row>
    <row r="531" spans="2:3">
      <c r="B531" s="4"/>
      <c r="C531" s="4"/>
    </row>
    <row r="532" spans="2:3">
      <c r="B532" s="4"/>
      <c r="C532" s="4"/>
    </row>
    <row r="533" spans="2:3">
      <c r="B533" s="4"/>
      <c r="C533" s="4"/>
    </row>
    <row r="534" spans="2:3">
      <c r="B534" s="4"/>
      <c r="C534" s="4"/>
    </row>
    <row r="535" spans="2:3">
      <c r="B535" s="4"/>
      <c r="C535" s="4"/>
    </row>
    <row r="536" spans="2:3">
      <c r="B536" s="4"/>
      <c r="C536" s="4"/>
    </row>
    <row r="537" spans="2:3">
      <c r="B537" s="4"/>
      <c r="C537" s="4"/>
    </row>
    <row r="538" spans="2:3">
      <c r="B538" s="4"/>
      <c r="C538" s="4"/>
    </row>
    <row r="539" spans="2:3">
      <c r="B539" s="4"/>
      <c r="C539" s="4"/>
    </row>
    <row r="540" spans="2:3">
      <c r="B540" s="4"/>
      <c r="C540" s="4"/>
    </row>
    <row r="541" spans="2:3">
      <c r="B541" s="4"/>
      <c r="C541" s="4"/>
    </row>
    <row r="542" spans="2:3">
      <c r="B542" s="4"/>
      <c r="C542" s="4"/>
    </row>
    <row r="543" spans="2:3">
      <c r="B543" s="4"/>
      <c r="C543" s="4"/>
    </row>
    <row r="544" spans="2:3">
      <c r="B544" s="4"/>
      <c r="C544" s="4"/>
    </row>
    <row r="545" spans="2:3">
      <c r="B545" s="4"/>
      <c r="C545" s="4"/>
    </row>
    <row r="546" spans="2:3">
      <c r="B546" s="4"/>
      <c r="C546" s="4"/>
    </row>
    <row r="547" spans="2:3">
      <c r="B547" s="4"/>
      <c r="C547" s="4"/>
    </row>
    <row r="548" spans="2:3">
      <c r="B548" s="4"/>
      <c r="C548" s="4"/>
    </row>
    <row r="549" spans="2:3">
      <c r="B549" s="4"/>
      <c r="C549" s="4"/>
    </row>
    <row r="550" spans="2:3">
      <c r="B550" s="4"/>
      <c r="C550" s="4"/>
    </row>
    <row r="551" spans="2:3">
      <c r="B551" s="4"/>
      <c r="C551" s="4"/>
    </row>
    <row r="552" spans="2:3">
      <c r="B552" s="4"/>
      <c r="C552" s="4"/>
    </row>
    <row r="553" spans="2:3">
      <c r="B553" s="4"/>
      <c r="C553" s="4"/>
    </row>
    <row r="554" spans="2:3">
      <c r="B554" s="4"/>
      <c r="C554" s="4"/>
    </row>
    <row r="555" spans="2:3">
      <c r="B555" s="4"/>
      <c r="C555" s="4"/>
    </row>
    <row r="556" spans="2:3">
      <c r="B556" s="4"/>
      <c r="C556" s="4"/>
    </row>
    <row r="557" spans="2:3">
      <c r="B557" s="4"/>
      <c r="C557" s="4"/>
    </row>
    <row r="558" spans="2:3">
      <c r="B558" s="4"/>
      <c r="C558" s="4"/>
    </row>
    <row r="559" spans="2:3">
      <c r="B559" s="4"/>
      <c r="C559" s="4"/>
    </row>
    <row r="560" spans="2:3">
      <c r="B560" s="4"/>
      <c r="C560" s="4"/>
    </row>
    <row r="561" spans="2:3">
      <c r="B561" s="4"/>
      <c r="C561" s="4"/>
    </row>
    <row r="562" spans="2:3">
      <c r="B562" s="4"/>
      <c r="C562" s="4"/>
    </row>
    <row r="563" spans="2:3">
      <c r="B563" s="4"/>
      <c r="C563" s="4"/>
    </row>
    <row r="564" spans="2:3">
      <c r="B564" s="4"/>
      <c r="C564" s="4"/>
    </row>
    <row r="565" spans="2:3">
      <c r="B565" s="4"/>
      <c r="C565" s="4"/>
    </row>
    <row r="566" spans="2:3">
      <c r="B566" s="4"/>
      <c r="C566" s="4"/>
    </row>
    <row r="567" spans="2:3">
      <c r="B567" s="4"/>
      <c r="C567" s="4"/>
    </row>
    <row r="568" spans="2:3">
      <c r="B568" s="4"/>
      <c r="C568" s="4"/>
    </row>
    <row r="569" spans="2:3">
      <c r="B569" s="4"/>
      <c r="C569" s="4"/>
    </row>
    <row r="570" spans="2:3">
      <c r="B570" s="4"/>
      <c r="C570" s="4"/>
    </row>
    <row r="571" spans="2:3">
      <c r="B571" s="4"/>
      <c r="C571" s="4"/>
    </row>
    <row r="572" spans="2:3">
      <c r="B572" s="4"/>
      <c r="C572" s="4"/>
    </row>
    <row r="573" spans="2:3">
      <c r="B573" s="4"/>
      <c r="C573" s="4"/>
    </row>
    <row r="574" spans="2:3">
      <c r="B574" s="4"/>
      <c r="C574" s="4"/>
    </row>
    <row r="575" spans="2:3">
      <c r="B575" s="4"/>
      <c r="C575" s="4"/>
    </row>
    <row r="576" spans="2:3">
      <c r="B576" s="4"/>
      <c r="C576" s="4"/>
    </row>
    <row r="577" spans="2:3">
      <c r="B577" s="4"/>
      <c r="C577" s="4"/>
    </row>
    <row r="578" spans="2:3">
      <c r="B578" s="4"/>
      <c r="C578" s="4"/>
    </row>
    <row r="579" spans="2:3">
      <c r="B579" s="4"/>
      <c r="C579" s="4"/>
    </row>
    <row r="580" spans="2:3">
      <c r="B580" s="4"/>
      <c r="C580" s="4"/>
    </row>
    <row r="581" spans="2:3">
      <c r="B581" s="4"/>
      <c r="C581" s="4"/>
    </row>
    <row r="582" spans="2:3">
      <c r="B582" s="4"/>
      <c r="C582" s="4"/>
    </row>
    <row r="583" spans="2:3">
      <c r="B583" s="4"/>
      <c r="C583" s="4"/>
    </row>
    <row r="584" spans="2:3">
      <c r="B584" s="4"/>
      <c r="C584" s="4"/>
    </row>
    <row r="585" spans="2:3">
      <c r="B585" s="4"/>
      <c r="C585" s="4"/>
    </row>
    <row r="586" spans="2:3">
      <c r="B586" s="4"/>
      <c r="C586" s="4"/>
    </row>
    <row r="587" spans="2:3">
      <c r="B587" s="4"/>
      <c r="C587" s="4"/>
    </row>
    <row r="588" spans="2:3">
      <c r="B588" s="4"/>
      <c r="C588" s="4"/>
    </row>
    <row r="589" spans="2:3">
      <c r="B589" s="4"/>
      <c r="C589" s="4"/>
    </row>
    <row r="590" spans="2:3">
      <c r="B590" s="4"/>
      <c r="C590" s="4"/>
    </row>
    <row r="591" spans="2:3">
      <c r="B591" s="4"/>
      <c r="C591" s="4"/>
    </row>
    <row r="592" spans="2:3">
      <c r="B592" s="4"/>
      <c r="C592" s="4"/>
    </row>
    <row r="593" spans="2:3">
      <c r="B593" s="4"/>
      <c r="C593" s="4"/>
    </row>
    <row r="594" spans="2:3">
      <c r="B594" s="4"/>
      <c r="C594" s="4"/>
    </row>
    <row r="595" spans="2:3">
      <c r="B595" s="4"/>
      <c r="C595" s="4"/>
    </row>
    <row r="596" spans="2:3">
      <c r="B596" s="4"/>
      <c r="C596" s="4"/>
    </row>
    <row r="597" spans="2:3">
      <c r="B597" s="4"/>
      <c r="C597" s="4"/>
    </row>
    <row r="598" spans="2:3">
      <c r="B598" s="4"/>
      <c r="C598" s="4"/>
    </row>
    <row r="599" spans="2:3">
      <c r="B599" s="4"/>
      <c r="C599" s="4"/>
    </row>
    <row r="600" spans="2:3">
      <c r="B600" s="4"/>
      <c r="C600" s="4"/>
    </row>
    <row r="601" spans="2:3">
      <c r="B601" s="4"/>
      <c r="C601" s="4"/>
    </row>
    <row r="602" spans="2:3">
      <c r="B602" s="4"/>
      <c r="C602" s="4"/>
    </row>
    <row r="603" spans="2:3">
      <c r="B603" s="4"/>
      <c r="C603" s="4"/>
    </row>
    <row r="604" spans="2:3">
      <c r="B604" s="4"/>
      <c r="C604" s="4"/>
    </row>
    <row r="605" spans="2:3">
      <c r="B605" s="4"/>
      <c r="C605" s="4"/>
    </row>
    <row r="606" spans="2:3">
      <c r="B606" s="4"/>
      <c r="C606" s="4"/>
    </row>
    <row r="607" spans="2:3">
      <c r="B607" s="4"/>
      <c r="C607" s="4"/>
    </row>
    <row r="608" spans="2:3">
      <c r="B608" s="4"/>
      <c r="C608" s="4"/>
    </row>
    <row r="609" spans="2:3">
      <c r="B609" s="4"/>
      <c r="C609" s="4"/>
    </row>
    <row r="610" spans="2:3">
      <c r="B610" s="4"/>
      <c r="C610" s="4"/>
    </row>
    <row r="611" spans="2:3">
      <c r="B611" s="4"/>
      <c r="C611" s="4"/>
    </row>
    <row r="612" spans="2:3">
      <c r="B612" s="4"/>
      <c r="C612" s="4"/>
    </row>
    <row r="613" spans="2:3">
      <c r="B613" s="4"/>
      <c r="C613" s="4"/>
    </row>
    <row r="614" spans="2:3">
      <c r="B614" s="4"/>
      <c r="C614" s="4"/>
    </row>
    <row r="615" spans="2:3">
      <c r="B615" s="4"/>
      <c r="C615" s="4"/>
    </row>
    <row r="616" spans="2:3">
      <c r="B616" s="4"/>
      <c r="C616" s="4"/>
    </row>
    <row r="617" spans="2:3">
      <c r="B617" s="4"/>
      <c r="C617" s="4"/>
    </row>
    <row r="618" spans="2:3">
      <c r="B618" s="4"/>
      <c r="C618" s="4"/>
    </row>
    <row r="619" spans="2:3">
      <c r="B619" s="4"/>
      <c r="C619" s="4"/>
    </row>
    <row r="620" spans="2:3">
      <c r="B620" s="4"/>
      <c r="C620" s="4"/>
    </row>
    <row r="621" spans="2:3">
      <c r="B621" s="4"/>
      <c r="C621" s="4"/>
    </row>
    <row r="622" spans="2:3">
      <c r="B622" s="4"/>
      <c r="C622" s="4"/>
    </row>
    <row r="623" spans="2:3">
      <c r="B623" s="4"/>
      <c r="C623" s="4"/>
    </row>
    <row r="624" spans="2:3">
      <c r="B624" s="4"/>
      <c r="C624" s="4"/>
    </row>
    <row r="625" spans="2:3">
      <c r="B625" s="4"/>
      <c r="C625" s="4"/>
    </row>
    <row r="626" spans="2:3">
      <c r="B626" s="4"/>
      <c r="C626" s="4"/>
    </row>
    <row r="627" spans="2:3">
      <c r="B627" s="4"/>
      <c r="C627" s="4"/>
    </row>
    <row r="628" spans="2:3">
      <c r="B628" s="4"/>
      <c r="C628" s="4"/>
    </row>
    <row r="629" spans="2:3">
      <c r="B629" s="4"/>
      <c r="C629" s="4"/>
    </row>
    <row r="630" spans="2:3">
      <c r="B630" s="4"/>
      <c r="C630" s="4"/>
    </row>
    <row r="631" spans="2:3">
      <c r="B631" s="4"/>
      <c r="C631" s="4"/>
    </row>
    <row r="632" spans="2:3">
      <c r="B632" s="4"/>
      <c r="C632" s="4"/>
    </row>
    <row r="633" spans="2:3">
      <c r="B633" s="4"/>
      <c r="C633" s="4"/>
    </row>
    <row r="634" spans="2:3">
      <c r="B634" s="4"/>
      <c r="C634" s="4"/>
    </row>
    <row r="635" spans="2:3">
      <c r="B635" s="4"/>
      <c r="C635" s="4"/>
    </row>
    <row r="636" spans="2:3">
      <c r="B636" s="4"/>
      <c r="C636" s="4"/>
    </row>
    <row r="637" spans="2:3">
      <c r="B637" s="4"/>
      <c r="C637" s="4"/>
    </row>
    <row r="638" spans="2:3">
      <c r="B638" s="4"/>
      <c r="C638" s="4"/>
    </row>
    <row r="639" spans="2:3">
      <c r="B639" s="4"/>
      <c r="C639" s="4"/>
    </row>
    <row r="640" spans="2:3">
      <c r="B640" s="4"/>
      <c r="C640" s="4"/>
    </row>
    <row r="641" spans="2:3">
      <c r="B641" s="4"/>
      <c r="C641" s="4"/>
    </row>
    <row r="642" spans="2:3">
      <c r="B642" s="4"/>
      <c r="C642" s="4"/>
    </row>
    <row r="643" spans="2:3">
      <c r="B643" s="4"/>
      <c r="C643" s="4"/>
    </row>
    <row r="644" spans="2:3">
      <c r="B644" s="4"/>
      <c r="C644" s="4"/>
    </row>
    <row r="645" spans="2:3">
      <c r="B645" s="4"/>
      <c r="C645" s="4"/>
    </row>
    <row r="646" spans="2:3">
      <c r="B646" s="4"/>
      <c r="C646" s="4"/>
    </row>
    <row r="647" spans="2:3">
      <c r="B647" s="4"/>
      <c r="C647" s="4"/>
    </row>
    <row r="648" spans="2:3">
      <c r="B648" s="4"/>
      <c r="C648" s="4"/>
    </row>
    <row r="649" spans="2:3">
      <c r="B649" s="4"/>
      <c r="C649" s="4"/>
    </row>
    <row r="650" spans="2:3">
      <c r="B650" s="4"/>
      <c r="C650" s="4"/>
    </row>
    <row r="651" spans="2:3">
      <c r="B651" s="4"/>
      <c r="C651" s="4"/>
    </row>
    <row r="652" spans="2:3">
      <c r="B652" s="4"/>
      <c r="C652" s="4"/>
    </row>
    <row r="653" spans="2:3">
      <c r="B653" s="4"/>
      <c r="C653" s="4"/>
    </row>
    <row r="654" spans="2:3">
      <c r="B654" s="4"/>
      <c r="C654" s="4"/>
    </row>
    <row r="655" spans="2:3">
      <c r="B655" s="4"/>
      <c r="C655" s="4"/>
    </row>
    <row r="656" spans="2:3">
      <c r="B656" s="4"/>
      <c r="C656" s="4"/>
    </row>
    <row r="657" spans="2:3">
      <c r="B657" s="4"/>
      <c r="C657" s="4"/>
    </row>
    <row r="658" spans="2:3">
      <c r="B658" s="4"/>
      <c r="C658" s="4"/>
    </row>
    <row r="659" spans="2:3">
      <c r="B659" s="4"/>
      <c r="C659" s="4"/>
    </row>
    <row r="660" spans="2:3">
      <c r="B660" s="4"/>
      <c r="C660" s="4"/>
    </row>
    <row r="661" spans="2:3">
      <c r="B661" s="4"/>
      <c r="C661" s="4"/>
    </row>
    <row r="662" spans="2:3">
      <c r="B662" s="4"/>
      <c r="C662" s="4"/>
    </row>
    <row r="663" spans="2:3">
      <c r="B663" s="4"/>
      <c r="C663" s="4"/>
    </row>
    <row r="664" spans="2:3">
      <c r="B664" s="4"/>
      <c r="C664" s="4"/>
    </row>
    <row r="665" spans="2:3">
      <c r="B665" s="4"/>
      <c r="C665" s="4"/>
    </row>
    <row r="666" spans="2:3">
      <c r="B666" s="4"/>
      <c r="C666" s="4"/>
    </row>
    <row r="667" spans="2:3">
      <c r="B667" s="4"/>
      <c r="C667" s="4"/>
    </row>
    <row r="668" spans="2:3">
      <c r="B668" s="4"/>
      <c r="C668" s="4"/>
    </row>
    <row r="669" spans="2:3">
      <c r="B669" s="4"/>
      <c r="C669" s="4"/>
    </row>
    <row r="670" spans="2:3">
      <c r="B670" s="4"/>
      <c r="C670" s="4"/>
    </row>
    <row r="671" spans="2:3">
      <c r="B671" s="4"/>
      <c r="C671" s="4"/>
    </row>
    <row r="672" spans="2:3">
      <c r="B672" s="4"/>
      <c r="C672" s="4"/>
    </row>
    <row r="673" spans="2:3">
      <c r="B673" s="4"/>
      <c r="C673" s="4"/>
    </row>
    <row r="674" spans="2:3">
      <c r="B674" s="4"/>
      <c r="C674" s="4"/>
    </row>
    <row r="675" spans="2:3">
      <c r="B675" s="4"/>
      <c r="C675" s="4"/>
    </row>
    <row r="676" spans="2:3">
      <c r="B676" s="4"/>
      <c r="C676" s="4"/>
    </row>
    <row r="677" spans="2:3">
      <c r="B677" s="4"/>
      <c r="C677" s="4"/>
    </row>
    <row r="678" spans="2:3">
      <c r="B678" s="4"/>
      <c r="C678" s="4"/>
    </row>
    <row r="679" spans="2:3">
      <c r="B679" s="4"/>
      <c r="C679" s="4"/>
    </row>
    <row r="680" spans="2:3">
      <c r="B680" s="4"/>
      <c r="C680" s="4"/>
    </row>
    <row r="681" spans="2:3">
      <c r="B681" s="4"/>
      <c r="C681" s="4"/>
    </row>
    <row r="682" spans="2:3">
      <c r="B682" s="4"/>
      <c r="C682" s="4"/>
    </row>
    <row r="683" spans="2:3">
      <c r="B683" s="4"/>
      <c r="C683" s="4"/>
    </row>
    <row r="684" spans="2:3">
      <c r="B684" s="4"/>
      <c r="C684" s="4"/>
    </row>
    <row r="685" spans="2:3">
      <c r="B685" s="4"/>
      <c r="C685" s="4"/>
    </row>
    <row r="686" spans="2:3">
      <c r="B686" s="4"/>
      <c r="C686" s="4"/>
    </row>
    <row r="687" spans="2:3">
      <c r="B687" s="4"/>
      <c r="C687" s="4"/>
    </row>
    <row r="688" spans="2:3">
      <c r="B688" s="4"/>
      <c r="C688" s="4"/>
    </row>
    <row r="689" spans="2:3">
      <c r="B689" s="4"/>
      <c r="C689" s="4"/>
    </row>
    <row r="690" spans="2:3">
      <c r="B690" s="4"/>
      <c r="C690" s="4"/>
    </row>
    <row r="691" spans="2:3">
      <c r="B691" s="4"/>
      <c r="C691" s="4"/>
    </row>
    <row r="692" spans="2:3">
      <c r="B692" s="4"/>
      <c r="C692" s="4"/>
    </row>
    <row r="693" spans="2:3">
      <c r="B693" s="4"/>
      <c r="C693" s="4"/>
    </row>
    <row r="694" spans="2:3">
      <c r="B694" s="4"/>
      <c r="C694" s="4"/>
    </row>
    <row r="695" spans="2:3">
      <c r="B695" s="4"/>
      <c r="C695" s="4"/>
    </row>
    <row r="696" spans="2:3">
      <c r="B696" s="4"/>
      <c r="C696" s="4"/>
    </row>
    <row r="697" spans="2:3">
      <c r="B697" s="4"/>
      <c r="C697" s="4"/>
    </row>
    <row r="698" spans="2:3">
      <c r="B698" s="4"/>
      <c r="C698" s="4"/>
    </row>
    <row r="699" spans="2:3">
      <c r="B699" s="4"/>
      <c r="C699" s="4"/>
    </row>
    <row r="700" spans="2:3">
      <c r="B700" s="4"/>
      <c r="C700" s="4"/>
    </row>
    <row r="701" spans="2:3">
      <c r="B701" s="4"/>
      <c r="C701" s="4"/>
    </row>
    <row r="702" spans="2:3">
      <c r="B702" s="4"/>
      <c r="C702" s="4"/>
    </row>
    <row r="703" spans="2:3">
      <c r="B703" s="4"/>
      <c r="C703" s="4"/>
    </row>
    <row r="704" spans="2:3">
      <c r="B704" s="4"/>
      <c r="C704" s="4"/>
    </row>
    <row r="705" spans="2:3">
      <c r="B705" s="4"/>
      <c r="C705" s="4"/>
    </row>
    <row r="706" spans="2:3">
      <c r="B706" s="4"/>
      <c r="C706" s="4"/>
    </row>
    <row r="707" spans="2:3">
      <c r="B707" s="4"/>
      <c r="C707" s="4"/>
    </row>
    <row r="708" spans="2:3">
      <c r="B708" s="4"/>
      <c r="C708" s="4"/>
    </row>
    <row r="709" spans="2:3">
      <c r="B709" s="4"/>
      <c r="C709" s="4"/>
    </row>
    <row r="710" spans="2:3">
      <c r="B710" s="4"/>
      <c r="C710" s="4"/>
    </row>
    <row r="711" spans="2:3">
      <c r="B711" s="4"/>
      <c r="C711" s="4"/>
    </row>
    <row r="712" spans="2:3">
      <c r="B712" s="4"/>
      <c r="C712" s="4"/>
    </row>
    <row r="713" spans="2:3">
      <c r="B713" s="4"/>
      <c r="C713" s="4"/>
    </row>
    <row r="714" spans="2:3">
      <c r="B714" s="4"/>
      <c r="C714" s="4"/>
    </row>
    <row r="715" spans="2:3">
      <c r="B715" s="4"/>
      <c r="C715" s="4"/>
    </row>
    <row r="716" spans="2:3">
      <c r="B716" s="4"/>
      <c r="C716" s="4"/>
    </row>
    <row r="717" spans="2:3">
      <c r="B717" s="4"/>
      <c r="C717" s="4"/>
    </row>
    <row r="718" spans="2:3">
      <c r="B718" s="4"/>
      <c r="C718" s="4"/>
    </row>
    <row r="719" spans="2:3">
      <c r="B719" s="4"/>
      <c r="C719" s="4"/>
    </row>
    <row r="720" spans="2:3">
      <c r="B720" s="4"/>
      <c r="C720" s="4"/>
    </row>
    <row r="721" spans="2:3">
      <c r="B721" s="4"/>
      <c r="C721" s="4"/>
    </row>
    <row r="722" spans="2:3">
      <c r="B722" s="4"/>
      <c r="C722" s="4"/>
    </row>
    <row r="723" spans="2:3">
      <c r="B723" s="4"/>
      <c r="C723" s="4"/>
    </row>
    <row r="724" spans="2:3">
      <c r="B724" s="4"/>
      <c r="C724" s="4"/>
    </row>
    <row r="725" spans="2:3">
      <c r="B725" s="4"/>
      <c r="C725" s="4"/>
    </row>
    <row r="726" spans="2:3">
      <c r="B726" s="4"/>
      <c r="C726" s="4"/>
    </row>
    <row r="727" spans="2:3">
      <c r="B727" s="4"/>
      <c r="C727" s="4"/>
    </row>
    <row r="728" spans="2:3">
      <c r="B728" s="4"/>
      <c r="C728" s="4"/>
    </row>
    <row r="729" spans="2:3">
      <c r="B729" s="4"/>
      <c r="C729" s="4"/>
    </row>
    <row r="730" spans="2:3">
      <c r="B730" s="4"/>
      <c r="C730" s="4"/>
    </row>
    <row r="731" spans="2:3">
      <c r="B731" s="4"/>
      <c r="C731" s="4"/>
    </row>
    <row r="732" spans="2:3">
      <c r="B732" s="4"/>
      <c r="C732" s="4"/>
    </row>
    <row r="733" spans="2:3">
      <c r="B733" s="4"/>
      <c r="C733" s="4"/>
    </row>
    <row r="734" spans="2:3">
      <c r="B734" s="4"/>
      <c r="C734" s="4"/>
    </row>
    <row r="735" spans="2:3">
      <c r="B735" s="4"/>
      <c r="C735" s="4"/>
    </row>
    <row r="736" spans="2:3">
      <c r="B736" s="4"/>
      <c r="C736" s="4"/>
    </row>
    <row r="737" spans="2:3">
      <c r="B737" s="4"/>
      <c r="C737" s="4"/>
    </row>
    <row r="738" spans="2:3">
      <c r="B738" s="4"/>
      <c r="C738" s="4"/>
    </row>
    <row r="739" spans="2:3">
      <c r="B739" s="4"/>
      <c r="C739" s="4"/>
    </row>
    <row r="740" spans="2:3">
      <c r="B740" s="4"/>
      <c r="C740" s="4"/>
    </row>
    <row r="741" spans="2:3">
      <c r="B741" s="4"/>
      <c r="C741" s="4"/>
    </row>
    <row r="742" spans="2:3">
      <c r="B742" s="4"/>
      <c r="C742" s="4"/>
    </row>
    <row r="743" spans="2:3">
      <c r="B743" s="4"/>
      <c r="C743" s="4"/>
    </row>
    <row r="744" spans="2:3">
      <c r="B744" s="4"/>
      <c r="C744" s="4"/>
    </row>
    <row r="745" spans="2:3">
      <c r="B745" s="4"/>
      <c r="C745" s="4"/>
    </row>
    <row r="746" spans="2:3">
      <c r="B746" s="4"/>
      <c r="C746" s="4"/>
    </row>
    <row r="747" spans="2:3">
      <c r="B747" s="4"/>
      <c r="C747" s="4"/>
    </row>
    <row r="748" spans="2:3">
      <c r="B748" s="4"/>
      <c r="C748" s="4"/>
    </row>
    <row r="749" spans="2:3">
      <c r="B749" s="4"/>
      <c r="C749" s="4"/>
    </row>
    <row r="750" spans="2:3">
      <c r="B750" s="4"/>
      <c r="C750" s="4"/>
    </row>
    <row r="751" spans="2:3">
      <c r="B751" s="4"/>
      <c r="C751" s="4"/>
    </row>
    <row r="752" spans="2:3">
      <c r="B752" s="4"/>
      <c r="C752" s="4"/>
    </row>
    <row r="753" spans="2:3">
      <c r="B753" s="4"/>
      <c r="C753" s="4"/>
    </row>
    <row r="754" spans="2:3">
      <c r="B754" s="4"/>
      <c r="C754" s="4"/>
    </row>
    <row r="755" spans="2:3">
      <c r="B755" s="4"/>
      <c r="C755" s="4"/>
    </row>
    <row r="756" spans="2:3">
      <c r="B756" s="4"/>
      <c r="C756" s="4"/>
    </row>
    <row r="757" spans="2:3">
      <c r="B757" s="4"/>
      <c r="C757" s="4"/>
    </row>
    <row r="758" spans="2:3">
      <c r="B758" s="4"/>
      <c r="C758" s="4"/>
    </row>
    <row r="759" spans="2:3">
      <c r="B759" s="4"/>
      <c r="C759" s="4"/>
    </row>
    <row r="760" spans="2:3">
      <c r="B760" s="4"/>
      <c r="C760" s="4"/>
    </row>
    <row r="761" spans="2:3">
      <c r="B761" s="4"/>
      <c r="C761" s="4"/>
    </row>
    <row r="762" spans="2:3">
      <c r="B762" s="4"/>
      <c r="C762" s="4"/>
    </row>
    <row r="763" spans="2:3">
      <c r="B763" s="4"/>
      <c r="C763" s="4"/>
    </row>
    <row r="764" spans="2:3">
      <c r="B764" s="4"/>
      <c r="C764" s="4"/>
    </row>
    <row r="765" spans="2:3">
      <c r="B765" s="4"/>
      <c r="C765" s="4"/>
    </row>
    <row r="766" spans="2:3">
      <c r="B766" s="4"/>
      <c r="C766" s="4"/>
    </row>
    <row r="767" spans="2:3">
      <c r="B767" s="4"/>
      <c r="C767" s="4"/>
    </row>
    <row r="768" spans="2:3">
      <c r="B768" s="4"/>
      <c r="C768" s="4"/>
    </row>
    <row r="769" spans="2:3">
      <c r="B769" s="4"/>
      <c r="C769" s="4"/>
    </row>
    <row r="770" spans="2:3">
      <c r="B770" s="4"/>
      <c r="C770" s="4"/>
    </row>
    <row r="771" spans="2:3">
      <c r="B771" s="4"/>
      <c r="C771" s="4"/>
    </row>
    <row r="772" spans="2:3">
      <c r="B772" s="4"/>
      <c r="C772" s="4"/>
    </row>
    <row r="773" spans="2:3">
      <c r="B773" s="4"/>
      <c r="C773" s="4"/>
    </row>
    <row r="774" spans="2:3">
      <c r="B774" s="4"/>
      <c r="C774" s="4"/>
    </row>
    <row r="775" spans="2:3">
      <c r="B775" s="4"/>
      <c r="C775" s="4"/>
    </row>
    <row r="776" spans="2:3">
      <c r="B776" s="4"/>
      <c r="C776" s="4"/>
    </row>
    <row r="777" spans="2:3">
      <c r="B777" s="4"/>
      <c r="C777" s="4"/>
    </row>
    <row r="778" spans="2:3">
      <c r="B778" s="4"/>
      <c r="C778" s="4"/>
    </row>
    <row r="779" spans="2:3">
      <c r="B779" s="4"/>
      <c r="C779" s="4"/>
    </row>
    <row r="780" spans="2:3">
      <c r="B780" s="4"/>
      <c r="C780" s="4"/>
    </row>
    <row r="781" spans="2:3">
      <c r="B781" s="4"/>
      <c r="C781" s="4"/>
    </row>
    <row r="782" spans="2:3">
      <c r="B782" s="4"/>
      <c r="C782" s="4"/>
    </row>
    <row r="783" spans="2:3">
      <c r="B783" s="4"/>
      <c r="C783" s="4"/>
    </row>
    <row r="784" spans="2:3">
      <c r="B784" s="4"/>
      <c r="C784" s="4"/>
    </row>
    <row r="785" spans="2:3">
      <c r="B785" s="4"/>
      <c r="C785" s="4"/>
    </row>
    <row r="786" spans="2:3">
      <c r="B786" s="4"/>
      <c r="C786" s="4"/>
    </row>
    <row r="787" spans="2:3">
      <c r="B787" s="4"/>
      <c r="C787" s="4"/>
    </row>
    <row r="788" spans="2:3">
      <c r="B788" s="4"/>
      <c r="C788" s="4"/>
    </row>
    <row r="789" spans="2:3">
      <c r="B789" s="4"/>
      <c r="C789" s="4"/>
    </row>
    <row r="790" spans="2:3">
      <c r="B790" s="4"/>
      <c r="C790" s="4"/>
    </row>
    <row r="791" spans="2:3">
      <c r="B791" s="4"/>
      <c r="C791" s="4"/>
    </row>
    <row r="792" spans="2:3">
      <c r="B792" s="4"/>
      <c r="C792" s="4"/>
    </row>
    <row r="793" spans="2:3">
      <c r="B793" s="4"/>
      <c r="C793" s="4"/>
    </row>
    <row r="794" spans="2:3">
      <c r="B794" s="4"/>
      <c r="C794" s="4"/>
    </row>
    <row r="795" spans="2:3">
      <c r="B795" s="4"/>
      <c r="C795" s="4"/>
    </row>
    <row r="796" spans="2:3">
      <c r="B796" s="4"/>
      <c r="C796" s="4"/>
    </row>
    <row r="797" spans="2:3">
      <c r="B797" s="4"/>
      <c r="C797" s="4"/>
    </row>
    <row r="798" spans="2:3">
      <c r="B798" s="4"/>
      <c r="C798" s="4"/>
    </row>
    <row r="799" spans="2:3">
      <c r="B799" s="4"/>
      <c r="C799" s="4"/>
    </row>
    <row r="800" spans="2:3">
      <c r="B800" s="4"/>
      <c r="C800" s="4"/>
    </row>
    <row r="801" spans="2:3">
      <c r="B801" s="4"/>
      <c r="C801" s="4"/>
    </row>
    <row r="802" spans="2:3">
      <c r="B802" s="4"/>
      <c r="C802" s="4"/>
    </row>
    <row r="803" spans="2:3">
      <c r="B803" s="4"/>
      <c r="C803" s="4"/>
    </row>
    <row r="804" spans="2:3">
      <c r="B804" s="4"/>
      <c r="C804" s="4"/>
    </row>
    <row r="805" spans="2:3">
      <c r="B805" s="4"/>
      <c r="C805" s="4"/>
    </row>
    <row r="806" spans="2:3">
      <c r="B806" s="4"/>
      <c r="C806" s="4"/>
    </row>
    <row r="807" spans="2:3">
      <c r="B807" s="4"/>
      <c r="C807" s="4"/>
    </row>
    <row r="808" spans="2:3">
      <c r="B808" s="4"/>
      <c r="C808" s="4"/>
    </row>
    <row r="809" spans="2:3">
      <c r="B809" s="4"/>
      <c r="C809" s="4"/>
    </row>
    <row r="810" spans="2:3">
      <c r="B810" s="4"/>
      <c r="C810" s="4"/>
    </row>
    <row r="811" spans="2:3">
      <c r="B811" s="4"/>
      <c r="C811" s="4"/>
    </row>
    <row r="812" spans="2:3">
      <c r="B812" s="4"/>
      <c r="C812" s="4"/>
    </row>
    <row r="813" spans="2:3">
      <c r="B813" s="4"/>
      <c r="C813" s="4"/>
    </row>
    <row r="814" spans="2:3">
      <c r="B814" s="4"/>
      <c r="C814" s="4"/>
    </row>
    <row r="815" spans="2:3">
      <c r="B815" s="4"/>
      <c r="C815" s="4"/>
    </row>
    <row r="816" spans="2:3">
      <c r="B816" s="4"/>
      <c r="C816" s="4"/>
    </row>
    <row r="817" spans="2:3">
      <c r="B817" s="4"/>
      <c r="C817" s="4"/>
    </row>
    <row r="818" spans="2:3">
      <c r="B818" s="4"/>
      <c r="C818" s="4"/>
    </row>
    <row r="819" spans="2:3">
      <c r="B819" s="4"/>
      <c r="C819" s="4"/>
    </row>
    <row r="820" spans="2:3">
      <c r="B820" s="4"/>
      <c r="C820" s="4"/>
    </row>
    <row r="821" spans="2:3">
      <c r="B821" s="4"/>
      <c r="C821" s="4"/>
    </row>
    <row r="822" spans="2:3">
      <c r="B822" s="4"/>
      <c r="C822" s="4"/>
    </row>
    <row r="823" spans="2:3">
      <c r="B823" s="4"/>
      <c r="C823" s="4"/>
    </row>
    <row r="824" spans="2:3">
      <c r="B824" s="4"/>
      <c r="C824" s="4"/>
    </row>
    <row r="825" spans="2:3">
      <c r="B825" s="4"/>
      <c r="C825" s="4"/>
    </row>
    <row r="826" spans="2:3">
      <c r="B826" s="4"/>
      <c r="C826" s="4"/>
    </row>
    <row r="827" spans="2:3">
      <c r="B827" s="4"/>
      <c r="C827" s="4"/>
    </row>
    <row r="828" spans="2:3">
      <c r="B828" s="4"/>
      <c r="C828" s="4"/>
    </row>
    <row r="829" spans="2:3">
      <c r="B829" s="4"/>
      <c r="C829" s="4"/>
    </row>
    <row r="830" spans="2:3">
      <c r="B830" s="4"/>
      <c r="C830" s="4"/>
    </row>
    <row r="831" spans="2:3">
      <c r="B831" s="4"/>
      <c r="C831" s="4"/>
    </row>
    <row r="832" spans="2:3">
      <c r="B832" s="4"/>
      <c r="C832" s="4"/>
    </row>
    <row r="833" spans="2:3">
      <c r="B833" s="4"/>
      <c r="C833" s="4"/>
    </row>
    <row r="834" spans="2:3">
      <c r="B834" s="4"/>
      <c r="C834" s="4"/>
    </row>
    <row r="835" spans="2:3">
      <c r="B835" s="4"/>
      <c r="C835" s="4"/>
    </row>
    <row r="836" spans="2:3">
      <c r="B836" s="4"/>
      <c r="C836" s="4"/>
    </row>
    <row r="837" spans="2:3">
      <c r="B837" s="4"/>
      <c r="C837" s="4"/>
    </row>
    <row r="838" spans="2:3">
      <c r="B838" s="4"/>
      <c r="C838" s="4"/>
    </row>
    <row r="839" spans="2:3">
      <c r="B839" s="4"/>
      <c r="C839" s="4"/>
    </row>
    <row r="840" spans="2:3">
      <c r="B840" s="4"/>
      <c r="C840" s="4"/>
    </row>
    <row r="841" spans="2:3">
      <c r="B841" s="4"/>
      <c r="C841" s="4"/>
    </row>
    <row r="842" spans="2:3">
      <c r="B842" s="4"/>
      <c r="C842" s="4"/>
    </row>
    <row r="843" spans="2:3">
      <c r="B843" s="4"/>
      <c r="C843" s="4"/>
    </row>
    <row r="844" spans="2:3">
      <c r="B844" s="4"/>
      <c r="C844" s="4"/>
    </row>
    <row r="845" spans="2:3">
      <c r="B845" s="4"/>
      <c r="C845" s="4"/>
    </row>
    <row r="846" spans="2:3">
      <c r="B846" s="4"/>
      <c r="C846" s="4"/>
    </row>
    <row r="847" spans="2:3">
      <c r="B847" s="4"/>
      <c r="C847" s="4"/>
    </row>
    <row r="848" spans="2:3">
      <c r="B848" s="4"/>
      <c r="C848" s="4"/>
    </row>
    <row r="849" spans="2:3">
      <c r="B849" s="4"/>
      <c r="C849" s="4"/>
    </row>
    <row r="850" spans="2:3">
      <c r="B850" s="4"/>
      <c r="C850" s="4"/>
    </row>
    <row r="851" spans="2:3">
      <c r="B851" s="4"/>
      <c r="C851" s="4"/>
    </row>
    <row r="852" spans="2:3">
      <c r="B852" s="4"/>
      <c r="C852" s="4"/>
    </row>
    <row r="853" spans="2:3">
      <c r="B853" s="4"/>
      <c r="C853" s="4"/>
    </row>
    <row r="854" spans="2:3">
      <c r="B854" s="4"/>
      <c r="C854" s="4"/>
    </row>
    <row r="855" spans="2:3">
      <c r="B855" s="4"/>
      <c r="C855" s="4"/>
    </row>
    <row r="856" spans="2:3">
      <c r="B856" s="4"/>
      <c r="C856" s="4"/>
    </row>
    <row r="857" spans="2:3">
      <c r="B857" s="4"/>
      <c r="C857" s="4"/>
    </row>
    <row r="858" spans="2:3">
      <c r="B858" s="4"/>
      <c r="C858" s="4"/>
    </row>
    <row r="859" spans="2:3">
      <c r="B859" s="4"/>
      <c r="C859" s="4"/>
    </row>
    <row r="860" spans="2:3">
      <c r="B860" s="4"/>
      <c r="C860" s="4"/>
    </row>
    <row r="861" spans="2:3">
      <c r="B861" s="4"/>
      <c r="C861" s="4"/>
    </row>
    <row r="862" spans="2:3">
      <c r="B862" s="4"/>
      <c r="C862" s="4"/>
    </row>
    <row r="863" spans="2:3">
      <c r="B863" s="4"/>
      <c r="C863" s="4"/>
    </row>
    <row r="864" spans="2:3">
      <c r="B864" s="4"/>
      <c r="C864" s="4"/>
    </row>
    <row r="865" spans="2:3">
      <c r="B865" s="4"/>
      <c r="C865" s="4"/>
    </row>
    <row r="866" spans="2:3">
      <c r="B866" s="4"/>
      <c r="C866" s="4"/>
    </row>
    <row r="867" spans="2:3">
      <c r="B867" s="4"/>
      <c r="C867" s="4"/>
    </row>
    <row r="868" spans="2:3">
      <c r="B868" s="4"/>
      <c r="C868" s="4"/>
    </row>
    <row r="869" spans="2:3">
      <c r="B869" s="4"/>
      <c r="C869" s="4"/>
    </row>
    <row r="870" spans="2:3">
      <c r="B870" s="4"/>
      <c r="C870" s="4"/>
    </row>
    <row r="871" spans="2:3">
      <c r="B871" s="4"/>
      <c r="C871" s="4"/>
    </row>
    <row r="872" spans="2:3">
      <c r="B872" s="4"/>
      <c r="C872" s="4"/>
    </row>
    <row r="873" spans="2:3">
      <c r="B873" s="4"/>
      <c r="C873" s="4"/>
    </row>
    <row r="874" spans="2:3">
      <c r="B874" s="4"/>
      <c r="C874" s="4"/>
    </row>
    <row r="875" spans="2:3">
      <c r="B875" s="4"/>
      <c r="C875" s="4"/>
    </row>
    <row r="876" spans="2:3">
      <c r="B876" s="4"/>
      <c r="C876" s="4"/>
    </row>
    <row r="877" spans="2:3">
      <c r="B877" s="4"/>
      <c r="C877" s="4"/>
    </row>
    <row r="878" spans="2:3">
      <c r="B878" s="4"/>
      <c r="C878" s="4"/>
    </row>
    <row r="879" spans="2:3">
      <c r="B879" s="4"/>
      <c r="C879" s="4"/>
    </row>
    <row r="880" spans="2:3">
      <c r="B880" s="4"/>
      <c r="C880" s="4"/>
    </row>
    <row r="881" spans="2:3">
      <c r="B881" s="4"/>
      <c r="C881" s="4"/>
    </row>
    <row r="882" spans="2:3">
      <c r="B882" s="4"/>
      <c r="C882" s="4"/>
    </row>
    <row r="883" spans="2:3">
      <c r="B883" s="4"/>
      <c r="C883" s="4"/>
    </row>
    <row r="884" spans="2:3">
      <c r="B884" s="4"/>
      <c r="C884" s="4"/>
    </row>
    <row r="885" spans="2:3">
      <c r="B885" s="4"/>
      <c r="C885" s="4"/>
    </row>
    <row r="886" spans="2:3">
      <c r="B886" s="4"/>
      <c r="C886" s="4"/>
    </row>
    <row r="887" spans="2:3">
      <c r="B887" s="4"/>
      <c r="C887" s="4"/>
    </row>
    <row r="888" spans="2:3">
      <c r="B888" s="4"/>
      <c r="C888" s="4"/>
    </row>
    <row r="889" spans="2:3">
      <c r="B889" s="4"/>
      <c r="C889" s="4"/>
    </row>
    <row r="890" spans="2:3">
      <c r="B890" s="4"/>
      <c r="C890" s="4"/>
    </row>
    <row r="891" spans="2:3">
      <c r="B891" s="4"/>
      <c r="C891" s="4"/>
    </row>
    <row r="892" spans="2:3">
      <c r="B892" s="4"/>
      <c r="C892" s="4"/>
    </row>
    <row r="893" spans="2:3">
      <c r="B893" s="4"/>
      <c r="C893" s="4"/>
    </row>
    <row r="894" spans="2:3">
      <c r="B894" s="4"/>
      <c r="C894" s="4"/>
    </row>
    <row r="895" spans="2:3">
      <c r="B895" s="4"/>
      <c r="C895" s="4"/>
    </row>
    <row r="896" spans="2:3">
      <c r="B896" s="4"/>
      <c r="C896" s="4"/>
    </row>
    <row r="897" spans="2:3">
      <c r="B897" s="4"/>
      <c r="C897" s="4"/>
    </row>
    <row r="898" spans="2:3">
      <c r="B898" s="4"/>
      <c r="C898" s="4"/>
    </row>
    <row r="899" spans="2:3">
      <c r="B899" s="4"/>
      <c r="C899" s="4"/>
    </row>
    <row r="900" spans="2:3">
      <c r="B900" s="4"/>
      <c r="C900" s="4"/>
    </row>
    <row r="901" spans="2:3">
      <c r="B901" s="4"/>
      <c r="C901" s="4"/>
    </row>
    <row r="902" spans="2:3">
      <c r="B902" s="4"/>
      <c r="C902" s="4"/>
    </row>
    <row r="903" spans="2:3">
      <c r="B903" s="4"/>
      <c r="C903" s="4"/>
    </row>
    <row r="904" spans="2:3">
      <c r="B904" s="4"/>
      <c r="C904" s="4"/>
    </row>
    <row r="905" spans="2:3">
      <c r="B905" s="4"/>
      <c r="C905" s="4"/>
    </row>
    <row r="906" spans="2:3">
      <c r="B906" s="4"/>
      <c r="C906" s="4"/>
    </row>
    <row r="907" spans="2:3">
      <c r="B907" s="4"/>
      <c r="C907" s="4"/>
    </row>
    <row r="908" spans="2:3">
      <c r="B908" s="4"/>
      <c r="C908" s="4"/>
    </row>
    <row r="909" spans="2:3">
      <c r="B909" s="4"/>
      <c r="C909" s="4"/>
    </row>
    <row r="910" spans="2:3">
      <c r="B910" s="4"/>
      <c r="C910" s="4"/>
    </row>
    <row r="911" spans="2:3">
      <c r="B911" s="4"/>
      <c r="C911" s="4"/>
    </row>
    <row r="912" spans="2:3">
      <c r="B912" s="4"/>
      <c r="C912" s="4"/>
    </row>
    <row r="913" spans="2:3">
      <c r="B913" s="4"/>
      <c r="C913" s="4"/>
    </row>
    <row r="914" spans="2:3">
      <c r="B914" s="4"/>
      <c r="C914" s="4"/>
    </row>
    <row r="915" spans="2:3">
      <c r="B915" s="4"/>
      <c r="C915" s="4"/>
    </row>
    <row r="916" spans="2:3">
      <c r="B916" s="4"/>
      <c r="C916" s="4"/>
    </row>
    <row r="917" spans="2:3">
      <c r="B917" s="4"/>
      <c r="C917" s="4"/>
    </row>
    <row r="918" spans="2:3">
      <c r="B918" s="4"/>
      <c r="C918" s="4"/>
    </row>
    <row r="919" spans="2:3">
      <c r="B919" s="4"/>
      <c r="C919" s="4"/>
    </row>
    <row r="920" spans="2:3">
      <c r="B920" s="4"/>
      <c r="C920" s="4"/>
    </row>
    <row r="921" spans="2:3">
      <c r="B921" s="4"/>
      <c r="C921" s="4"/>
    </row>
    <row r="922" spans="2:3">
      <c r="B922" s="4"/>
      <c r="C922" s="4"/>
    </row>
    <row r="923" spans="2:3">
      <c r="B923" s="4"/>
      <c r="C923" s="4"/>
    </row>
    <row r="924" spans="2:3">
      <c r="B924" s="4"/>
      <c r="C924" s="4"/>
    </row>
    <row r="925" spans="2:3">
      <c r="B925" s="4"/>
      <c r="C925" s="4"/>
    </row>
    <row r="926" spans="2:3">
      <c r="B926" s="4"/>
      <c r="C926" s="4"/>
    </row>
    <row r="927" spans="2:3">
      <c r="B927" s="4"/>
      <c r="C927" s="4"/>
    </row>
    <row r="928" spans="2:3">
      <c r="B928" s="4"/>
      <c r="C928" s="4"/>
    </row>
    <row r="929" spans="2:3">
      <c r="B929" s="4"/>
      <c r="C929" s="4"/>
    </row>
    <row r="930" spans="2:3">
      <c r="B930" s="4"/>
      <c r="C930" s="4"/>
    </row>
    <row r="931" spans="2:3">
      <c r="B931" s="4"/>
      <c r="C931" s="4"/>
    </row>
    <row r="932" spans="2:3">
      <c r="B932" s="4"/>
      <c r="C932" s="4"/>
    </row>
    <row r="933" spans="2:3">
      <c r="B933" s="4"/>
      <c r="C933" s="4"/>
    </row>
    <row r="934" spans="2:3">
      <c r="B934" s="4"/>
      <c r="C934" s="4"/>
    </row>
    <row r="935" spans="2:3">
      <c r="B935" s="4"/>
      <c r="C935" s="4"/>
    </row>
    <row r="936" spans="2:3">
      <c r="B936" s="4"/>
      <c r="C936" s="4"/>
    </row>
    <row r="937" spans="2:3">
      <c r="B937" s="4"/>
      <c r="C937" s="4"/>
    </row>
    <row r="938" spans="2:3">
      <c r="B938" s="4"/>
      <c r="C938" s="4"/>
    </row>
    <row r="939" spans="2:3">
      <c r="B939" s="4"/>
      <c r="C939" s="4"/>
    </row>
    <row r="940" spans="2:3">
      <c r="B940" s="4"/>
      <c r="C940" s="4"/>
    </row>
    <row r="941" spans="2:3">
      <c r="B941" s="4"/>
      <c r="C941" s="4"/>
    </row>
    <row r="942" spans="2:3">
      <c r="B942" s="4"/>
      <c r="C942" s="4"/>
    </row>
    <row r="943" spans="2:3">
      <c r="B943" s="4"/>
      <c r="C943" s="4"/>
    </row>
    <row r="944" spans="2:3">
      <c r="B944" s="4"/>
      <c r="C944" s="4"/>
    </row>
    <row r="945" spans="2:3">
      <c r="B945" s="4"/>
      <c r="C945" s="4"/>
    </row>
    <row r="946" spans="2:3">
      <c r="B946" s="4"/>
      <c r="C946" s="4"/>
    </row>
    <row r="947" spans="2:3">
      <c r="B947" s="4"/>
      <c r="C947" s="4"/>
    </row>
    <row r="948" spans="2:3">
      <c r="B948" s="4"/>
      <c r="C948" s="4"/>
    </row>
    <row r="949" spans="2:3">
      <c r="B949" s="4"/>
      <c r="C949" s="4"/>
    </row>
    <row r="950" spans="2:3">
      <c r="B950" s="4"/>
      <c r="C950" s="4"/>
    </row>
    <row r="951" spans="2:3">
      <c r="B951" s="4"/>
      <c r="C951" s="4"/>
    </row>
    <row r="952" spans="2:3">
      <c r="B952" s="4"/>
      <c r="C952" s="4"/>
    </row>
    <row r="953" spans="2:3">
      <c r="B953" s="4"/>
      <c r="C953" s="4"/>
    </row>
    <row r="954" spans="2:3">
      <c r="B954" s="4"/>
      <c r="C954" s="4"/>
    </row>
    <row r="955" spans="2:3">
      <c r="B955" s="4"/>
      <c r="C955" s="4"/>
    </row>
    <row r="956" spans="2:3">
      <c r="B956" s="4"/>
      <c r="C956" s="4"/>
    </row>
    <row r="957" spans="2:3">
      <c r="B957" s="4"/>
      <c r="C957" s="4"/>
    </row>
    <row r="958" spans="2:3">
      <c r="B958" s="4"/>
      <c r="C958" s="4"/>
    </row>
    <row r="959" spans="2:3">
      <c r="B959" s="4"/>
      <c r="C959" s="4"/>
    </row>
    <row r="960" spans="2:3">
      <c r="B960" s="4"/>
      <c r="C960" s="4"/>
    </row>
    <row r="961" spans="2:3">
      <c r="B961" s="4"/>
      <c r="C961" s="4"/>
    </row>
    <row r="962" spans="2:3">
      <c r="B962" s="4"/>
      <c r="C962" s="4"/>
    </row>
    <row r="963" spans="2:3">
      <c r="B963" s="4"/>
      <c r="C963" s="4"/>
    </row>
    <row r="964" spans="2:3">
      <c r="B964" s="4"/>
      <c r="C964" s="4"/>
    </row>
    <row r="965" spans="2:3">
      <c r="B965" s="4"/>
      <c r="C965" s="4"/>
    </row>
    <row r="966" spans="2:3">
      <c r="B966" s="4"/>
      <c r="C966" s="4"/>
    </row>
    <row r="967" spans="2:3">
      <c r="B967" s="4"/>
      <c r="C967" s="4"/>
    </row>
    <row r="968" spans="2:3">
      <c r="B968" s="4"/>
      <c r="C968" s="4"/>
    </row>
    <row r="969" spans="2:3">
      <c r="B969" s="4"/>
      <c r="C969" s="4"/>
    </row>
    <row r="970" spans="2:3">
      <c r="B970" s="4"/>
      <c r="C970" s="4"/>
    </row>
    <row r="971" spans="2:3">
      <c r="B971" s="4"/>
      <c r="C971" s="4"/>
    </row>
    <row r="972" spans="2:3">
      <c r="B972" s="4"/>
      <c r="C972" s="4"/>
    </row>
    <row r="973" spans="2:3">
      <c r="B973" s="4"/>
      <c r="C973" s="4"/>
    </row>
    <row r="974" spans="2:3">
      <c r="B974" s="4"/>
      <c r="C974" s="4"/>
    </row>
    <row r="975" spans="2:3">
      <c r="B975" s="4"/>
      <c r="C975" s="4"/>
    </row>
    <row r="976" spans="2:3">
      <c r="B976" s="4"/>
      <c r="C976" s="4"/>
    </row>
    <row r="977" spans="2:3">
      <c r="B977" s="4"/>
      <c r="C977" s="4"/>
    </row>
    <row r="978" spans="2:3">
      <c r="B978" s="4"/>
      <c r="C978" s="4"/>
    </row>
    <row r="979" spans="2:3">
      <c r="B979" s="4"/>
      <c r="C979" s="4"/>
    </row>
    <row r="980" spans="2:3">
      <c r="B980" s="4"/>
      <c r="C980" s="4"/>
    </row>
    <row r="981" spans="2:3">
      <c r="B981" s="4"/>
      <c r="C981" s="4"/>
    </row>
    <row r="982" spans="2:3">
      <c r="B982" s="4"/>
      <c r="C982" s="4"/>
    </row>
    <row r="983" spans="2:3">
      <c r="B983" s="4"/>
      <c r="C983" s="4"/>
    </row>
    <row r="984" spans="2:3">
      <c r="B984" s="4"/>
      <c r="C984" s="4"/>
    </row>
    <row r="985" spans="2:3">
      <c r="B985" s="4"/>
      <c r="C985" s="4"/>
    </row>
    <row r="986" spans="2:3">
      <c r="B986" s="4"/>
      <c r="C986" s="4"/>
    </row>
    <row r="987" spans="2:3">
      <c r="B987" s="4"/>
      <c r="C987" s="4"/>
    </row>
    <row r="988" spans="2:3">
      <c r="B988" s="4"/>
      <c r="C988" s="4"/>
    </row>
    <row r="989" spans="2:3">
      <c r="B989" s="4"/>
      <c r="C989" s="4"/>
    </row>
    <row r="990" spans="2:3">
      <c r="B990" s="4"/>
      <c r="C990" s="4"/>
    </row>
    <row r="991" spans="2:3">
      <c r="B991" s="4"/>
      <c r="C991" s="4"/>
    </row>
    <row r="992" spans="2:3">
      <c r="B992" s="4"/>
      <c r="C992" s="4"/>
    </row>
    <row r="993" spans="2:3">
      <c r="B993" s="4"/>
      <c r="C993" s="4"/>
    </row>
    <row r="994" spans="2:3">
      <c r="B994" s="4"/>
      <c r="C994" s="4"/>
    </row>
    <row r="995" spans="2:3">
      <c r="B995" s="4"/>
      <c r="C995" s="4"/>
    </row>
    <row r="996" spans="2:3">
      <c r="B996" s="4"/>
      <c r="C996" s="4"/>
    </row>
    <row r="997" spans="2:3">
      <c r="B997" s="4"/>
      <c r="C997" s="4"/>
    </row>
    <row r="998" spans="2:3">
      <c r="B998" s="4"/>
      <c r="C998" s="4"/>
    </row>
    <row r="999" spans="2:3">
      <c r="B999" s="4"/>
      <c r="C999" s="4"/>
    </row>
    <row r="1000" spans="2:3">
      <c r="B1000" s="4"/>
      <c r="C1000" s="4"/>
    </row>
    <row r="1001" spans="2:3">
      <c r="B1001" s="4"/>
      <c r="C1001" s="4"/>
    </row>
    <row r="1002" spans="2:3">
      <c r="B1002" s="4"/>
      <c r="C1002" s="4"/>
    </row>
    <row r="1003" spans="2:3">
      <c r="B1003" s="4"/>
      <c r="C1003" s="4"/>
    </row>
    <row r="1004" spans="2:3">
      <c r="B1004" s="4"/>
      <c r="C1004" s="4"/>
    </row>
    <row r="1005" spans="2:3">
      <c r="B1005" s="4"/>
      <c r="C1005" s="4"/>
    </row>
    <row r="1006" spans="2:3">
      <c r="B1006" s="4"/>
      <c r="C1006" s="4"/>
    </row>
    <row r="1007" spans="2:3">
      <c r="B1007" s="4"/>
      <c r="C1007" s="4"/>
    </row>
    <row r="1008" spans="2:3">
      <c r="B1008" s="4"/>
      <c r="C1008" s="4"/>
    </row>
    <row r="1009" spans="2:3">
      <c r="B1009" s="4"/>
      <c r="C1009" s="4"/>
    </row>
    <row r="1010" spans="2:3">
      <c r="B1010" s="4"/>
      <c r="C1010" s="4"/>
    </row>
    <row r="1011" spans="2:3">
      <c r="B1011" s="4"/>
      <c r="C1011" s="4"/>
    </row>
    <row r="1012" spans="2:3">
      <c r="B1012" s="4"/>
      <c r="C1012" s="4"/>
    </row>
    <row r="1013" spans="2:3">
      <c r="B1013" s="4"/>
      <c r="C1013" s="4"/>
    </row>
    <row r="1014" spans="2:3">
      <c r="B1014" s="4"/>
      <c r="C1014" s="4"/>
    </row>
    <row r="1015" spans="2:3">
      <c r="B1015" s="4"/>
      <c r="C1015" s="4"/>
    </row>
    <row r="1016" spans="2:3">
      <c r="B1016" s="4"/>
      <c r="C1016" s="4"/>
    </row>
    <row r="1017" spans="2:3">
      <c r="B1017" s="4"/>
      <c r="C1017" s="4"/>
    </row>
    <row r="1018" spans="2:3">
      <c r="B1018" s="4"/>
      <c r="C1018" s="4"/>
    </row>
    <row r="1019" spans="2:3">
      <c r="B1019" s="4"/>
      <c r="C1019" s="4"/>
    </row>
    <row r="1020" spans="2:3">
      <c r="B1020" s="4"/>
      <c r="C1020" s="4"/>
    </row>
    <row r="1021" spans="2:3">
      <c r="B1021" s="4"/>
      <c r="C1021" s="4"/>
    </row>
    <row r="1022" spans="2:3">
      <c r="B1022" s="4"/>
      <c r="C1022" s="4"/>
    </row>
    <row r="1023" spans="2:3">
      <c r="B1023" s="4"/>
      <c r="C1023" s="4"/>
    </row>
    <row r="1024" spans="2:3">
      <c r="B1024" s="4"/>
      <c r="C1024" s="4"/>
    </row>
    <row r="1025" spans="2:3">
      <c r="B1025" s="4"/>
      <c r="C1025" s="4"/>
    </row>
    <row r="1026" spans="2:3">
      <c r="B1026" s="4"/>
      <c r="C1026" s="4"/>
    </row>
    <row r="1027" spans="2:3">
      <c r="B1027" s="4"/>
      <c r="C1027" s="4"/>
    </row>
    <row r="1028" spans="2:3">
      <c r="B1028" s="4"/>
      <c r="C1028" s="4"/>
    </row>
    <row r="1029" spans="2:3">
      <c r="B1029" s="4"/>
      <c r="C1029" s="4"/>
    </row>
    <row r="1030" spans="2:3">
      <c r="B1030" s="4"/>
      <c r="C1030" s="4"/>
    </row>
    <row r="1031" spans="2:3">
      <c r="B1031" s="4"/>
      <c r="C1031" s="4"/>
    </row>
    <row r="1032" spans="2:3">
      <c r="B1032" s="4"/>
      <c r="C1032" s="4"/>
    </row>
    <row r="1033" spans="2:3">
      <c r="B1033" s="4"/>
      <c r="C1033" s="4"/>
    </row>
    <row r="1034" spans="2:3">
      <c r="B1034" s="4"/>
      <c r="C1034" s="4"/>
    </row>
    <row r="1035" spans="2:3">
      <c r="B1035" s="4"/>
      <c r="C1035" s="4"/>
    </row>
    <row r="1036" spans="2:3">
      <c r="B1036" s="4"/>
      <c r="C1036" s="4"/>
    </row>
    <row r="1037" spans="2:3">
      <c r="B1037" s="4"/>
      <c r="C1037" s="4"/>
    </row>
    <row r="1038" spans="2:3">
      <c r="B1038" s="4"/>
      <c r="C1038" s="4"/>
    </row>
    <row r="1039" spans="2:3">
      <c r="B1039" s="4"/>
      <c r="C1039" s="4"/>
    </row>
    <row r="1040" spans="2:3">
      <c r="B1040" s="4"/>
      <c r="C1040" s="4"/>
    </row>
    <row r="1041" spans="2:3">
      <c r="B1041" s="4"/>
      <c r="C1041" s="4"/>
    </row>
    <row r="1042" spans="2:3">
      <c r="B1042" s="4"/>
      <c r="C1042" s="4"/>
    </row>
    <row r="1043" spans="2:3">
      <c r="B1043" s="4"/>
      <c r="C1043" s="4"/>
    </row>
    <row r="1044" spans="2:3">
      <c r="B1044" s="4"/>
      <c r="C1044" s="4"/>
    </row>
    <row r="1045" spans="2:3">
      <c r="B1045" s="4"/>
      <c r="C1045" s="4"/>
    </row>
    <row r="1046" spans="2:3">
      <c r="B1046" s="4"/>
      <c r="C1046" s="4"/>
    </row>
    <row r="1047" spans="2:3">
      <c r="B1047" s="4"/>
      <c r="C1047" s="4"/>
    </row>
    <row r="1048" spans="2:3">
      <c r="B1048" s="4"/>
      <c r="C1048" s="4"/>
    </row>
    <row r="1049" spans="2:3">
      <c r="B1049" s="4"/>
      <c r="C1049" s="4"/>
    </row>
    <row r="1050" spans="2:3">
      <c r="B1050" s="4"/>
      <c r="C1050" s="4"/>
    </row>
    <row r="1051" spans="2:3">
      <c r="B1051" s="4"/>
      <c r="C1051" s="4"/>
    </row>
    <row r="1052" spans="2:3">
      <c r="B1052" s="4"/>
      <c r="C1052" s="4"/>
    </row>
    <row r="1053" spans="2:3">
      <c r="B1053" s="4"/>
      <c r="C1053" s="4"/>
    </row>
    <row r="1054" spans="2:3">
      <c r="B1054" s="4"/>
      <c r="C1054" s="4"/>
    </row>
    <row r="1055" spans="2:3">
      <c r="B1055" s="4"/>
      <c r="C1055" s="4"/>
    </row>
    <row r="1056" spans="2:3">
      <c r="B1056" s="4"/>
      <c r="C1056" s="4"/>
    </row>
    <row r="1057" spans="2:3">
      <c r="B1057" s="4"/>
      <c r="C1057" s="4"/>
    </row>
    <row r="1058" spans="2:3">
      <c r="B1058" s="4"/>
      <c r="C1058" s="4"/>
    </row>
    <row r="1059" spans="2:3">
      <c r="B1059" s="4"/>
      <c r="C1059" s="4"/>
    </row>
    <row r="1060" spans="2:3">
      <c r="B1060" s="4"/>
      <c r="C1060" s="4"/>
    </row>
    <row r="1061" spans="2:3">
      <c r="B1061" s="4"/>
      <c r="C1061" s="4"/>
    </row>
    <row r="1062" spans="2:3">
      <c r="B1062" s="4"/>
      <c r="C1062" s="4"/>
    </row>
    <row r="1063" spans="2:3">
      <c r="B1063" s="4"/>
      <c r="C1063" s="4"/>
    </row>
    <row r="1064" spans="2:3">
      <c r="B1064" s="4"/>
      <c r="C1064" s="4"/>
    </row>
    <row r="1065" spans="2:3">
      <c r="B1065" s="4"/>
      <c r="C1065" s="4"/>
    </row>
  </sheetData>
  <sheetProtection password="C8CD" sheet="1" objects="1" scenarios="1" sort="0"/>
  <mergeCells count="20">
    <mergeCell ref="A1:K1"/>
    <mergeCell ref="A2:K3"/>
    <mergeCell ref="J30:K38"/>
    <mergeCell ref="A30:D30"/>
    <mergeCell ref="C37:D37"/>
    <mergeCell ref="A38:I38"/>
    <mergeCell ref="A31:D31"/>
    <mergeCell ref="E30:I35"/>
    <mergeCell ref="E36:I37"/>
    <mergeCell ref="A32:B32"/>
    <mergeCell ref="A37:B37"/>
    <mergeCell ref="C34:D34"/>
    <mergeCell ref="A33:B33"/>
    <mergeCell ref="C33:D33"/>
    <mergeCell ref="A36:B36"/>
    <mergeCell ref="C35:D35"/>
    <mergeCell ref="C36:D36"/>
    <mergeCell ref="A34:B34"/>
    <mergeCell ref="A35:B35"/>
    <mergeCell ref="C32:D32"/>
  </mergeCells>
  <pageMargins left="0.69930555555555596" right="0.69930555555555596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opLeftCell="C1" zoomScale="90" workbookViewId="0">
      <selection activeCell="B9" sqref="B9"/>
    </sheetView>
  </sheetViews>
  <sheetFormatPr defaultColWidth="8.7265625" defaultRowHeight="14"/>
  <cols>
    <col min="1" max="1" width="18.81640625" style="44" customWidth="1"/>
    <col min="2" max="2" width="15.54296875" style="44" customWidth="1"/>
    <col min="3" max="3" width="25" style="44" customWidth="1"/>
    <col min="4" max="4" width="15.453125" style="44" customWidth="1"/>
    <col min="5" max="6" width="25.453125" style="44" customWidth="1"/>
    <col min="7" max="7" width="16.54296875" style="44" customWidth="1"/>
    <col min="8" max="8" width="34.08984375" style="44" customWidth="1"/>
    <col min="9" max="16384" width="8.7265625" style="44"/>
  </cols>
  <sheetData>
    <row r="1" spans="1:8">
      <c r="A1" s="248" t="s">
        <v>42</v>
      </c>
      <c r="B1" s="249"/>
      <c r="C1" s="249"/>
      <c r="D1" s="249"/>
      <c r="E1" s="249"/>
      <c r="F1" s="249"/>
      <c r="G1" s="249"/>
      <c r="H1" s="250"/>
    </row>
    <row r="2" spans="1:8">
      <c r="A2" s="251"/>
      <c r="B2" s="252"/>
      <c r="C2" s="252"/>
      <c r="D2" s="252"/>
      <c r="E2" s="252"/>
      <c r="F2" s="252"/>
      <c r="G2" s="252"/>
      <c r="H2" s="253"/>
    </row>
    <row r="3" spans="1:8">
      <c r="A3" s="242" t="s">
        <v>43</v>
      </c>
      <c r="B3" s="243"/>
      <c r="C3" s="243"/>
      <c r="D3" s="243"/>
      <c r="E3" s="243"/>
      <c r="F3" s="243"/>
      <c r="G3" s="243"/>
      <c r="H3" s="244"/>
    </row>
    <row r="4" spans="1:8">
      <c r="A4" s="245"/>
      <c r="B4" s="246"/>
      <c r="C4" s="246"/>
      <c r="D4" s="246"/>
      <c r="E4" s="246"/>
      <c r="F4" s="246"/>
      <c r="G4" s="246"/>
      <c r="H4" s="247"/>
    </row>
    <row r="5" spans="1:8" ht="15">
      <c r="A5" s="45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48" t="s">
        <v>50</v>
      </c>
      <c r="B6" s="49"/>
      <c r="C6" s="165">
        <v>7670</v>
      </c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48" t="s">
        <v>51</v>
      </c>
      <c r="B7" s="49">
        <v>480</v>
      </c>
      <c r="C7" s="165">
        <v>4720</v>
      </c>
      <c r="D7" s="166"/>
      <c r="E7" s="50">
        <f t="shared" si="0"/>
        <v>2265600</v>
      </c>
      <c r="F7" s="50">
        <f t="shared" si="1"/>
        <v>345600</v>
      </c>
      <c r="G7" s="50">
        <f t="shared" si="2"/>
        <v>24000</v>
      </c>
      <c r="H7" s="51">
        <f t="shared" si="3"/>
        <v>369600</v>
      </c>
    </row>
    <row r="8" spans="1:8" ht="15">
      <c r="A8" s="52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52" t="s">
        <v>53</v>
      </c>
      <c r="B9" s="53">
        <v>561</v>
      </c>
      <c r="C9" s="127">
        <v>3304</v>
      </c>
      <c r="D9" s="128"/>
      <c r="E9" s="54">
        <f t="shared" si="0"/>
        <v>1853544</v>
      </c>
      <c r="F9" s="54">
        <f t="shared" si="1"/>
        <v>282744</v>
      </c>
      <c r="G9" s="54">
        <f t="shared" ref="G9:G12" si="4">PRODUCT(B9*30)</f>
        <v>16830</v>
      </c>
      <c r="H9" s="55">
        <f t="shared" si="3"/>
        <v>299574</v>
      </c>
    </row>
    <row r="10" spans="1:8" ht="15">
      <c r="A10" s="52" t="s">
        <v>54</v>
      </c>
      <c r="B10" s="53">
        <v>27362</v>
      </c>
      <c r="C10" s="127">
        <v>2124</v>
      </c>
      <c r="D10" s="128"/>
      <c r="E10" s="54">
        <f t="shared" si="0"/>
        <v>58116888</v>
      </c>
      <c r="F10" s="54">
        <f t="shared" si="1"/>
        <v>8865288</v>
      </c>
      <c r="G10" s="54">
        <f t="shared" si="4"/>
        <v>820860</v>
      </c>
      <c r="H10" s="55">
        <f t="shared" si="3"/>
        <v>9686148</v>
      </c>
    </row>
    <row r="11" spans="1:8" ht="15">
      <c r="A11" s="52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52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52" t="s">
        <v>56</v>
      </c>
      <c r="B13" s="53">
        <v>5567</v>
      </c>
      <c r="C13" s="127">
        <v>1357</v>
      </c>
      <c r="D13" s="128"/>
      <c r="E13" s="54">
        <f t="shared" si="0"/>
        <v>7554419</v>
      </c>
      <c r="F13" s="54">
        <f t="shared" si="1"/>
        <v>1152369</v>
      </c>
      <c r="G13" s="54">
        <f>PRODUCT(B13*20)</f>
        <v>111340</v>
      </c>
      <c r="H13" s="55">
        <f t="shared" si="3"/>
        <v>1263709</v>
      </c>
    </row>
    <row r="14" spans="1:8" ht="15">
      <c r="A14" s="56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69790451</v>
      </c>
      <c r="F37" s="80">
        <f t="shared" si="5"/>
        <v>10646001</v>
      </c>
      <c r="G37" s="81">
        <f t="shared" si="5"/>
        <v>973030</v>
      </c>
      <c r="H37" s="82">
        <f t="shared" si="5"/>
        <v>11619031</v>
      </c>
    </row>
    <row r="38" spans="1:8" s="83" customFormat="1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f>SUM(C39:C44)</f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15" customHeight="1">
      <c r="A48" s="105"/>
      <c r="B48" s="239" t="s">
        <v>78</v>
      </c>
      <c r="C48" s="240"/>
      <c r="D48" s="241"/>
      <c r="E48" s="239" t="s">
        <v>79</v>
      </c>
      <c r="F48" s="240"/>
      <c r="G48" s="240"/>
      <c r="H48" s="241"/>
    </row>
    <row r="49" spans="1:8" ht="22" customHeight="1">
      <c r="A49" s="105"/>
      <c r="B49" s="144" t="s">
        <v>80</v>
      </c>
      <c r="C49" s="145"/>
      <c r="D49" s="146"/>
      <c r="E49" s="141">
        <f>SUM(B9:B12)</f>
        <v>27923</v>
      </c>
      <c r="F49" s="142"/>
      <c r="G49" s="142"/>
      <c r="H49" s="143"/>
    </row>
    <row r="50" spans="1:8" ht="22.5" customHeight="1">
      <c r="A50" s="105"/>
      <c r="B50" s="144" t="s">
        <v>52</v>
      </c>
      <c r="C50" s="145"/>
      <c r="D50" s="146"/>
      <c r="E50" s="141">
        <f>SUM(B6:B8)</f>
        <v>480</v>
      </c>
      <c r="F50" s="142"/>
      <c r="G50" s="142"/>
      <c r="H50" s="143"/>
    </row>
    <row r="51" spans="1:8" ht="24.65" customHeight="1">
      <c r="A51" s="105"/>
      <c r="B51" s="144" t="s">
        <v>81</v>
      </c>
      <c r="C51" s="145"/>
      <c r="D51" s="146"/>
      <c r="E51" s="181">
        <f>SUM(B13:B14)</f>
        <v>5567</v>
      </c>
      <c r="F51" s="182"/>
      <c r="G51" s="182"/>
      <c r="H51" s="183"/>
    </row>
    <row r="52" spans="1:8" ht="22" customHeight="1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22" customHeight="1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22" customHeight="1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22" customHeight="1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22" customHeight="1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22" customHeight="1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24.65" customHeight="1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25" customHeight="1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27.5">
      <c r="B62" s="233" t="s">
        <v>82</v>
      </c>
      <c r="C62" s="234"/>
      <c r="D62" s="235"/>
      <c r="E62" s="236">
        <f>SUM(E49:H61)</f>
        <v>33970</v>
      </c>
      <c r="F62" s="237"/>
      <c r="G62" s="237"/>
      <c r="H62" s="238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31" sqref="C31:C34"/>
    </sheetView>
  </sheetViews>
  <sheetFormatPr defaultColWidth="9" defaultRowHeight="14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>
        <v>7670</v>
      </c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f>SUM(C31:C36)</f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topLeftCell="A59" workbookViewId="0">
      <selection activeCell="C83" sqref="C83"/>
    </sheetView>
  </sheetViews>
  <sheetFormatPr defaultColWidth="9" defaultRowHeight="14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83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>
        <v>15000</v>
      </c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>
        <v>9000</v>
      </c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>
        <v>7670</v>
      </c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>
        <v>4130</v>
      </c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>
        <v>3540</v>
      </c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>
        <v>2006</v>
      </c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4.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f>SUM(C39:C44)</f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118" t="s">
        <v>61</v>
      </c>
      <c r="C52" s="119"/>
      <c r="D52" s="120"/>
      <c r="E52" s="131">
        <f>SUM(B17:B18)</f>
        <v>0</v>
      </c>
      <c r="F52" s="114"/>
      <c r="G52" s="114"/>
      <c r="H52" s="115"/>
    </row>
    <row r="53" spans="1:8" ht="17.5">
      <c r="B53" s="118" t="s">
        <v>62</v>
      </c>
      <c r="C53" s="119"/>
      <c r="D53" s="120"/>
      <c r="E53" s="131">
        <f>SUM(B19:B20)</f>
        <v>0</v>
      </c>
      <c r="F53" s="114"/>
      <c r="G53" s="114"/>
      <c r="H53" s="115"/>
    </row>
    <row r="54" spans="1:8" ht="17.5">
      <c r="B54" s="118" t="s">
        <v>63</v>
      </c>
      <c r="C54" s="119"/>
      <c r="D54" s="120"/>
      <c r="E54" s="131">
        <f>B29</f>
        <v>0</v>
      </c>
      <c r="F54" s="156"/>
      <c r="G54" s="156"/>
      <c r="H54" s="157"/>
    </row>
    <row r="55" spans="1:8" ht="17.5">
      <c r="B55" s="118" t="s">
        <v>63</v>
      </c>
      <c r="C55" s="119"/>
      <c r="D55" s="120"/>
      <c r="E55" s="131">
        <f t="shared" ref="E55:E61" si="6">B30</f>
        <v>0</v>
      </c>
      <c r="F55" s="156"/>
      <c r="G55" s="156"/>
      <c r="H55" s="157"/>
    </row>
    <row r="56" spans="1:8" ht="17.5">
      <c r="B56" s="118" t="s">
        <v>63</v>
      </c>
      <c r="C56" s="119"/>
      <c r="D56" s="120"/>
      <c r="E56" s="131">
        <f t="shared" si="6"/>
        <v>0</v>
      </c>
      <c r="F56" s="156"/>
      <c r="G56" s="156"/>
      <c r="H56" s="157"/>
    </row>
    <row r="57" spans="1:8" ht="17.5">
      <c r="B57" s="118" t="s">
        <v>63</v>
      </c>
      <c r="C57" s="119"/>
      <c r="D57" s="120"/>
      <c r="E57" s="131">
        <f t="shared" si="6"/>
        <v>0</v>
      </c>
      <c r="F57" s="156"/>
      <c r="G57" s="156"/>
      <c r="H57" s="157"/>
    </row>
    <row r="58" spans="1:8" ht="17.5">
      <c r="B58" s="118" t="s">
        <v>63</v>
      </c>
      <c r="C58" s="119"/>
      <c r="D58" s="120"/>
      <c r="E58" s="131">
        <f t="shared" si="6"/>
        <v>0</v>
      </c>
      <c r="F58" s="156"/>
      <c r="G58" s="156"/>
      <c r="H58" s="157"/>
    </row>
    <row r="59" spans="1:8" ht="17.5">
      <c r="B59" s="118" t="s">
        <v>63</v>
      </c>
      <c r="C59" s="119"/>
      <c r="D59" s="120"/>
      <c r="E59" s="131">
        <f t="shared" si="6"/>
        <v>0</v>
      </c>
      <c r="F59" s="156"/>
      <c r="G59" s="156"/>
      <c r="H59" s="157"/>
    </row>
    <row r="60" spans="1:8" ht="17.5">
      <c r="B60" s="118" t="s">
        <v>63</v>
      </c>
      <c r="C60" s="119"/>
      <c r="D60" s="120"/>
      <c r="E60" s="131">
        <f t="shared" si="6"/>
        <v>0</v>
      </c>
      <c r="F60" s="156"/>
      <c r="G60" s="156"/>
      <c r="H60" s="157"/>
    </row>
    <row r="61" spans="1:8" ht="17.5">
      <c r="B61" s="118" t="s">
        <v>63</v>
      </c>
      <c r="C61" s="119"/>
      <c r="D61" s="120"/>
      <c r="E61" s="131">
        <f t="shared" si="6"/>
        <v>0</v>
      </c>
      <c r="F61" s="156"/>
      <c r="G61" s="156"/>
      <c r="H61" s="157"/>
    </row>
    <row r="62" spans="1:8" ht="23">
      <c r="B62" s="118" t="s">
        <v>82</v>
      </c>
      <c r="C62" s="119"/>
      <c r="D62" s="120"/>
      <c r="E62" s="254">
        <f>SUM(E49:H61)</f>
        <v>0</v>
      </c>
      <c r="F62" s="255"/>
      <c r="G62" s="255"/>
      <c r="H62" s="256"/>
    </row>
    <row r="63" spans="1:8" ht="17.5">
      <c r="B63" s="118"/>
      <c r="C63" s="119"/>
      <c r="D63" s="120"/>
      <c r="E63" s="172"/>
      <c r="F63" s="173"/>
      <c r="G63" s="173"/>
      <c r="H63" s="174"/>
    </row>
  </sheetData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112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tabSelected="1" zoomScale="91" workbookViewId="0">
      <selection activeCell="A3" sqref="A3:H4"/>
    </sheetView>
  </sheetViews>
  <sheetFormatPr defaultColWidth="9" defaultRowHeight="14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92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>
        <v>7670</v>
      </c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>
        <v>250</v>
      </c>
      <c r="C7" s="165">
        <v>4720</v>
      </c>
      <c r="D7" s="166"/>
      <c r="E7" s="50">
        <f t="shared" si="0"/>
        <v>1180000</v>
      </c>
      <c r="F7" s="50">
        <f t="shared" si="1"/>
        <v>180000</v>
      </c>
      <c r="G7" s="50">
        <f t="shared" si="2"/>
        <v>12500</v>
      </c>
      <c r="H7" s="51">
        <f t="shared" si="3"/>
        <v>192500</v>
      </c>
    </row>
    <row r="8" spans="1:8" ht="14.5">
      <c r="A8" s="108" t="s">
        <v>84</v>
      </c>
      <c r="B8" s="53"/>
      <c r="C8" s="127">
        <v>2006</v>
      </c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>
        <v>3304</v>
      </c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>
        <v>6135</v>
      </c>
      <c r="C10" s="127">
        <v>2124</v>
      </c>
      <c r="D10" s="128"/>
      <c r="E10" s="54">
        <f t="shared" si="0"/>
        <v>13030740</v>
      </c>
      <c r="F10" s="54">
        <f t="shared" si="1"/>
        <v>1987740</v>
      </c>
      <c r="G10" s="54">
        <f t="shared" si="4"/>
        <v>184050</v>
      </c>
      <c r="H10" s="55">
        <f t="shared" si="3"/>
        <v>2171790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>
        <v>1155</v>
      </c>
      <c r="C13" s="127">
        <v>1357</v>
      </c>
      <c r="D13" s="128"/>
      <c r="E13" s="54">
        <f t="shared" si="0"/>
        <v>1567335</v>
      </c>
      <c r="F13" s="54">
        <f t="shared" si="1"/>
        <v>239085</v>
      </c>
      <c r="G13" s="54">
        <f>PRODUCT(B13*20)</f>
        <v>23100</v>
      </c>
      <c r="H13" s="55">
        <f t="shared" si="3"/>
        <v>262185</v>
      </c>
    </row>
    <row r="14" spans="1:8" ht="14.5">
      <c r="A14" s="109" t="s">
        <v>56</v>
      </c>
      <c r="B14" s="53"/>
      <c r="C14" s="127">
        <v>1357</v>
      </c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85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>
        <v>2360</v>
      </c>
      <c r="D19" s="70">
        <v>30</v>
      </c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>
        <v>3540</v>
      </c>
      <c r="D20" s="70">
        <v>50</v>
      </c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86</v>
      </c>
      <c r="B21" s="70"/>
      <c r="C21" s="70">
        <v>3304</v>
      </c>
      <c r="D21" s="70">
        <v>40</v>
      </c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85</v>
      </c>
      <c r="B22" s="70"/>
      <c r="C22" s="70">
        <v>2006</v>
      </c>
      <c r="D22" s="70">
        <v>25</v>
      </c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87</v>
      </c>
      <c r="B23" s="71"/>
      <c r="C23" s="71">
        <v>2006</v>
      </c>
      <c r="D23" s="71">
        <v>30</v>
      </c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88</v>
      </c>
      <c r="B24" s="66"/>
      <c r="C24" s="66">
        <v>1770</v>
      </c>
      <c r="D24" s="66">
        <v>50</v>
      </c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89</v>
      </c>
      <c r="B25" s="70"/>
      <c r="C25" s="70">
        <v>1298</v>
      </c>
      <c r="D25" s="70">
        <v>30</v>
      </c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90</v>
      </c>
      <c r="B26" s="70"/>
      <c r="C26" s="70">
        <v>2360</v>
      </c>
      <c r="D26" s="70">
        <v>30</v>
      </c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91</v>
      </c>
      <c r="B27" s="70"/>
      <c r="C27" s="70"/>
      <c r="D27" s="70">
        <v>10000</v>
      </c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91</v>
      </c>
      <c r="B28" s="73"/>
      <c r="C28" s="73">
        <v>11800</v>
      </c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15778075</v>
      </c>
      <c r="F29" s="80">
        <f t="shared" si="12"/>
        <v>2406825</v>
      </c>
      <c r="G29" s="81">
        <f t="shared" si="12"/>
        <v>219650</v>
      </c>
      <c r="H29" s="82">
        <f t="shared" si="11"/>
        <v>2626475</v>
      </c>
    </row>
    <row r="30" spans="1:8" ht="14.5">
      <c r="A30" s="116" t="s">
        <v>66</v>
      </c>
      <c r="B30" s="117"/>
      <c r="C30" s="84"/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>
        <v>2408853</v>
      </c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>
        <v>217622</v>
      </c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6135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250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1155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7540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27" workbookViewId="0">
      <selection activeCell="C37" activeCellId="3" sqref="E6:H14 E17:H29 E41:H54 C37"/>
    </sheetView>
  </sheetViews>
  <sheetFormatPr defaultColWidth="9" defaultRowHeight="14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C32" sqref="C32"/>
    </sheetView>
  </sheetViews>
  <sheetFormatPr defaultColWidth="9" defaultRowHeight="14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B12" sqref="B12"/>
    </sheetView>
  </sheetViews>
  <sheetFormatPr defaultColWidth="8.7265625" defaultRowHeight="14"/>
  <cols>
    <col min="1" max="1" width="24" style="44" customWidth="1"/>
    <col min="2" max="2" width="15.81640625" style="44" customWidth="1"/>
    <col min="3" max="3" width="18.54296875" style="44" customWidth="1"/>
    <col min="4" max="4" width="11.7265625" style="44" customWidth="1"/>
    <col min="5" max="5" width="24.08984375" style="44" customWidth="1"/>
    <col min="6" max="6" width="18.453125" style="44" customWidth="1"/>
    <col min="7" max="7" width="15.81640625" style="44" customWidth="1"/>
    <col min="8" max="8" width="15.726562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27">
        <v>2124</v>
      </c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topLeftCell="A25" workbookViewId="0">
      <selection activeCell="E37" sqref="E37"/>
    </sheetView>
  </sheetViews>
  <sheetFormatPr defaultColWidth="9" defaultRowHeight="14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>
        <v>1357</v>
      </c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267" t="s">
        <v>68</v>
      </c>
      <c r="F38" s="268"/>
      <c r="G38" s="86" t="s">
        <v>69</v>
      </c>
      <c r="H38" s="87" t="s">
        <v>67</v>
      </c>
    </row>
    <row r="39" spans="1:8" ht="14.5">
      <c r="A39" s="259" t="s">
        <v>70</v>
      </c>
      <c r="B39" s="260"/>
      <c r="C39" s="88"/>
      <c r="D39" s="89"/>
      <c r="E39" s="264"/>
      <c r="F39" s="265"/>
      <c r="G39" s="90"/>
      <c r="H39" s="91"/>
    </row>
    <row r="40" spans="1:8" ht="14.5">
      <c r="A40" s="160" t="s">
        <v>71</v>
      </c>
      <c r="B40" s="161"/>
      <c r="C40" s="92"/>
      <c r="D40" s="93"/>
      <c r="E40" s="127"/>
      <c r="F40" s="128"/>
      <c r="G40" s="94"/>
      <c r="H40" s="95"/>
    </row>
    <row r="41" spans="1:8" ht="14.5">
      <c r="A41" s="160" t="s">
        <v>72</v>
      </c>
      <c r="B41" s="161"/>
      <c r="C41" s="96"/>
      <c r="D41" s="89"/>
      <c r="E41" s="261"/>
      <c r="F41" s="132"/>
      <c r="G41" s="94"/>
      <c r="H41" s="95"/>
    </row>
    <row r="42" spans="1:8" ht="14.5">
      <c r="A42" s="160" t="s">
        <v>73</v>
      </c>
      <c r="B42" s="161"/>
      <c r="C42" s="97"/>
      <c r="D42" s="98"/>
      <c r="E42" s="266"/>
      <c r="F42" s="132"/>
      <c r="G42" s="53"/>
      <c r="H42" s="95"/>
    </row>
    <row r="43" spans="1:8" ht="14.5">
      <c r="A43" s="160" t="s">
        <v>74</v>
      </c>
      <c r="B43" s="161"/>
      <c r="C43" s="99"/>
      <c r="D43" s="98"/>
      <c r="E43" s="262"/>
      <c r="F43" s="134"/>
      <c r="G43" s="53"/>
      <c r="H43" s="95"/>
    </row>
    <row r="44" spans="1:8" ht="14.5">
      <c r="A44" s="160" t="s">
        <v>75</v>
      </c>
      <c r="B44" s="161"/>
      <c r="C44" s="100"/>
      <c r="D44" s="48"/>
      <c r="E44" s="262"/>
      <c r="F44" s="134"/>
      <c r="G44" s="53"/>
      <c r="H44" s="95"/>
    </row>
    <row r="45" spans="1:8" ht="14.5">
      <c r="A45" s="160" t="s">
        <v>76</v>
      </c>
      <c r="B45" s="161"/>
      <c r="C45" s="101">
        <v>0</v>
      </c>
      <c r="D45" s="102"/>
      <c r="E45" s="263"/>
      <c r="F45" s="139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257"/>
      <c r="G49" s="257"/>
      <c r="H49" s="258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257"/>
      <c r="G50" s="257"/>
      <c r="H50" s="258"/>
    </row>
    <row r="51" spans="1:8" ht="18.5">
      <c r="A51" s="105"/>
      <c r="B51" s="144" t="s">
        <v>81</v>
      </c>
      <c r="C51" s="145"/>
      <c r="D51" s="146"/>
      <c r="E51" s="141">
        <f>SUM(B13:B14)</f>
        <v>0</v>
      </c>
      <c r="F51" s="257"/>
      <c r="G51" s="257"/>
      <c r="H51" s="258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56"/>
      <c r="G52" s="156"/>
      <c r="H52" s="157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56"/>
      <c r="G53" s="156"/>
      <c r="H53" s="157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topLeftCell="A19" workbookViewId="0">
      <selection activeCell="D28" sqref="D28"/>
    </sheetView>
  </sheetViews>
  <sheetFormatPr defaultColWidth="9" defaultRowHeight="14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4.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4.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4.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4.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4.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4.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4.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4.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4.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4.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4.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4.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4.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4.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4.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4.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4.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4.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4.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4.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4.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4.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topLeftCell="A28" workbookViewId="0">
      <selection activeCell="H37" sqref="H37"/>
    </sheetView>
  </sheetViews>
  <sheetFormatPr defaultColWidth="8.7265625" defaultRowHeight="14"/>
  <cols>
    <col min="1" max="1" width="19.81640625" style="44" customWidth="1"/>
    <col min="2" max="2" width="14.453125" style="44" customWidth="1"/>
    <col min="3" max="3" width="20" style="44" customWidth="1"/>
    <col min="4" max="4" width="14.08984375" style="44" customWidth="1"/>
    <col min="5" max="5" width="20.08984375" style="44" customWidth="1"/>
    <col min="6" max="6" width="15.26953125" style="44" customWidth="1"/>
    <col min="7" max="7" width="16.08984375" style="44" customWidth="1"/>
    <col min="8" max="8" width="19.8164062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topLeftCell="A25" workbookViewId="0">
      <selection activeCell="E38" sqref="E38:F38"/>
    </sheetView>
  </sheetViews>
  <sheetFormatPr defaultColWidth="9" defaultRowHeight="14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SUM(B11:B14)</f>
        <v>0</v>
      </c>
      <c r="F49" s="257"/>
      <c r="G49" s="257"/>
      <c r="H49" s="258"/>
    </row>
    <row r="50" spans="1:8" ht="18.5">
      <c r="A50" s="44"/>
      <c r="B50" s="144" t="s">
        <v>52</v>
      </c>
      <c r="C50" s="145"/>
      <c r="D50" s="146"/>
      <c r="E50" s="141">
        <f>SUM(B8:B10)</f>
        <v>0</v>
      </c>
      <c r="F50" s="257"/>
      <c r="G50" s="257"/>
      <c r="H50" s="258"/>
    </row>
    <row r="51" spans="1:8" ht="18.5">
      <c r="A51" s="44"/>
      <c r="B51" s="144" t="s">
        <v>81</v>
      </c>
      <c r="C51" s="145"/>
      <c r="D51" s="146"/>
      <c r="E51" s="141">
        <f>SUM(B15:B16)</f>
        <v>0</v>
      </c>
      <c r="F51" s="257"/>
      <c r="G51" s="257"/>
      <c r="H51" s="258"/>
    </row>
    <row r="52" spans="1:8" ht="17.5">
      <c r="A52" s="44"/>
      <c r="B52" s="227" t="s">
        <v>61</v>
      </c>
      <c r="C52" s="228"/>
      <c r="D52" s="229"/>
      <c r="E52" s="131">
        <f>SUM(B19:B20)</f>
        <v>0</v>
      </c>
      <c r="F52" s="156"/>
      <c r="G52" s="156"/>
      <c r="H52" s="157"/>
    </row>
    <row r="53" spans="1:8" ht="17.5">
      <c r="A53" s="44"/>
      <c r="B53" s="227" t="s">
        <v>62</v>
      </c>
      <c r="C53" s="228"/>
      <c r="D53" s="229"/>
      <c r="E53" s="131">
        <f>SUM(B29:B30)</f>
        <v>0</v>
      </c>
      <c r="F53" s="156"/>
      <c r="G53" s="156"/>
      <c r="H53" s="157"/>
    </row>
    <row r="54" spans="1:8" ht="17.5">
      <c r="A54" s="44"/>
      <c r="B54" s="227" t="s">
        <v>63</v>
      </c>
      <c r="C54" s="228"/>
      <c r="D54" s="229"/>
      <c r="E54" s="131">
        <f t="shared" ref="E54:E60" si="6">B31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si="6"/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ref="E61" si="7">B45</f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topLeftCell="A16" workbookViewId="0">
      <selection activeCell="C32" sqref="C32"/>
    </sheetView>
  </sheetViews>
  <sheetFormatPr defaultColWidth="9" defaultRowHeight="14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9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9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28" workbookViewId="0">
      <selection activeCell="D33" sqref="D33"/>
    </sheetView>
  </sheetViews>
  <sheetFormatPr defaultColWidth="9" defaultRowHeight="14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opLeftCell="A28" workbookViewId="0">
      <selection activeCell="C20" sqref="C20"/>
    </sheetView>
  </sheetViews>
  <sheetFormatPr defaultColWidth="9" defaultRowHeight="14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19" workbookViewId="0">
      <selection activeCell="C35" sqref="C35"/>
    </sheetView>
  </sheetViews>
  <sheetFormatPr defaultColWidth="9" defaultRowHeight="14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270">
        <f>SUM(B9:B12)</f>
        <v>0</v>
      </c>
      <c r="F41" s="271"/>
      <c r="G41" s="271"/>
      <c r="H41" s="272"/>
    </row>
    <row r="42" spans="1:8" ht="18.5">
      <c r="A42" s="105"/>
      <c r="B42" s="144" t="s">
        <v>52</v>
      </c>
      <c r="C42" s="145"/>
      <c r="D42" s="146"/>
      <c r="E42" s="270">
        <f>SUM(B6:B8)</f>
        <v>0</v>
      </c>
      <c r="F42" s="271"/>
      <c r="G42" s="271"/>
      <c r="H42" s="272"/>
    </row>
    <row r="43" spans="1:8" ht="18.5">
      <c r="A43" s="105"/>
      <c r="B43" s="144" t="s">
        <v>81</v>
      </c>
      <c r="C43" s="145"/>
      <c r="D43" s="146"/>
      <c r="E43" s="275">
        <f>SUM(B13:B14)</f>
        <v>0</v>
      </c>
      <c r="F43" s="276"/>
      <c r="G43" s="276"/>
      <c r="H43" s="277"/>
    </row>
    <row r="44" spans="1:8" ht="17.5">
      <c r="B44" s="118" t="s">
        <v>61</v>
      </c>
      <c r="C44" s="119"/>
      <c r="D44" s="120"/>
      <c r="E44" s="269">
        <f>SUM(B17:B18)</f>
        <v>0</v>
      </c>
      <c r="F44" s="173"/>
      <c r="G44" s="173"/>
      <c r="H44" s="174"/>
    </row>
    <row r="45" spans="1:8" ht="17.5">
      <c r="B45" s="118" t="s">
        <v>62</v>
      </c>
      <c r="C45" s="119"/>
      <c r="D45" s="120"/>
      <c r="E45" s="269">
        <f>SUM(B19:B20)</f>
        <v>0</v>
      </c>
      <c r="F45" s="173"/>
      <c r="G45" s="173"/>
      <c r="H45" s="174"/>
    </row>
    <row r="46" spans="1:8" ht="17.5">
      <c r="B46" s="118" t="s">
        <v>63</v>
      </c>
      <c r="C46" s="119"/>
      <c r="D46" s="120"/>
      <c r="E46" s="269">
        <f>B21</f>
        <v>0</v>
      </c>
      <c r="F46" s="273"/>
      <c r="G46" s="273"/>
      <c r="H46" s="274"/>
    </row>
    <row r="47" spans="1:8" ht="17.5">
      <c r="B47" s="118" t="s">
        <v>63</v>
      </c>
      <c r="C47" s="119"/>
      <c r="D47" s="120"/>
      <c r="E47" s="269">
        <f t="shared" ref="E47:E53" si="13">B22</f>
        <v>0</v>
      </c>
      <c r="F47" s="273"/>
      <c r="G47" s="273"/>
      <c r="H47" s="274"/>
    </row>
    <row r="48" spans="1:8" ht="17.5">
      <c r="B48" s="118" t="s">
        <v>63</v>
      </c>
      <c r="C48" s="119"/>
      <c r="D48" s="120"/>
      <c r="E48" s="269">
        <f t="shared" si="13"/>
        <v>0</v>
      </c>
      <c r="F48" s="273"/>
      <c r="G48" s="273"/>
      <c r="H48" s="274"/>
    </row>
    <row r="49" spans="2:8" ht="17.5">
      <c r="B49" s="118" t="s">
        <v>63</v>
      </c>
      <c r="C49" s="119"/>
      <c r="D49" s="120"/>
      <c r="E49" s="269">
        <f t="shared" si="13"/>
        <v>0</v>
      </c>
      <c r="F49" s="273"/>
      <c r="G49" s="273"/>
      <c r="H49" s="274"/>
    </row>
    <row r="50" spans="2:8" ht="17.5">
      <c r="B50" s="118" t="s">
        <v>63</v>
      </c>
      <c r="C50" s="119"/>
      <c r="D50" s="120"/>
      <c r="E50" s="269">
        <f t="shared" si="13"/>
        <v>0</v>
      </c>
      <c r="F50" s="273"/>
      <c r="G50" s="273"/>
      <c r="H50" s="274"/>
    </row>
    <row r="51" spans="2:8" ht="17.5">
      <c r="B51" s="118" t="s">
        <v>63</v>
      </c>
      <c r="C51" s="119"/>
      <c r="D51" s="120"/>
      <c r="E51" s="269">
        <f t="shared" si="13"/>
        <v>0</v>
      </c>
      <c r="F51" s="273"/>
      <c r="G51" s="273"/>
      <c r="H51" s="274"/>
    </row>
    <row r="52" spans="2:8" ht="17.5">
      <c r="B52" s="118" t="s">
        <v>63</v>
      </c>
      <c r="C52" s="119"/>
      <c r="D52" s="120"/>
      <c r="E52" s="269">
        <f t="shared" si="13"/>
        <v>0</v>
      </c>
      <c r="F52" s="273"/>
      <c r="G52" s="273"/>
      <c r="H52" s="274"/>
    </row>
    <row r="53" spans="2:8" ht="17.5">
      <c r="B53" s="118" t="s">
        <v>63</v>
      </c>
      <c r="C53" s="119"/>
      <c r="D53" s="120"/>
      <c r="E53" s="269">
        <f t="shared" si="13"/>
        <v>0</v>
      </c>
      <c r="F53" s="273"/>
      <c r="G53" s="273"/>
      <c r="H53" s="274"/>
    </row>
    <row r="54" spans="2:8" ht="17.5">
      <c r="B54" s="118" t="s">
        <v>82</v>
      </c>
      <c r="C54" s="119"/>
      <c r="D54" s="120"/>
      <c r="E54" s="172">
        <f>SUM(E41:H53)</f>
        <v>0</v>
      </c>
      <c r="F54" s="173"/>
      <c r="G54" s="173"/>
      <c r="H54" s="174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24" workbookViewId="0">
      <selection activeCell="A30" sqref="A30:H39"/>
    </sheetView>
  </sheetViews>
  <sheetFormatPr defaultColWidth="9" defaultRowHeight="14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A30" sqref="A30:H39"/>
    </sheetView>
  </sheetViews>
  <sheetFormatPr defaultColWidth="9" defaultRowHeight="14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270">
        <f>SUM(B9:B12)</f>
        <v>0</v>
      </c>
      <c r="F41" s="271"/>
      <c r="G41" s="271"/>
      <c r="H41" s="272"/>
    </row>
    <row r="42" spans="1:8" ht="18.5">
      <c r="A42" s="105"/>
      <c r="B42" s="144" t="s">
        <v>52</v>
      </c>
      <c r="C42" s="145"/>
      <c r="D42" s="146"/>
      <c r="E42" s="270">
        <f>SUM(B6:B8)</f>
        <v>0</v>
      </c>
      <c r="F42" s="271"/>
      <c r="G42" s="271"/>
      <c r="H42" s="272"/>
    </row>
    <row r="43" spans="1:8" ht="18.5">
      <c r="A43" s="105"/>
      <c r="B43" s="144" t="s">
        <v>81</v>
      </c>
      <c r="C43" s="145"/>
      <c r="D43" s="146"/>
      <c r="E43" s="275">
        <f>SUM(B13:B14)</f>
        <v>0</v>
      </c>
      <c r="F43" s="276"/>
      <c r="G43" s="276"/>
      <c r="H43" s="277"/>
    </row>
    <row r="44" spans="1:8" ht="17.5">
      <c r="B44" s="118" t="s">
        <v>61</v>
      </c>
      <c r="C44" s="119"/>
      <c r="D44" s="120"/>
      <c r="E44" s="269">
        <f>SUM(B17:B18)</f>
        <v>0</v>
      </c>
      <c r="F44" s="173"/>
      <c r="G44" s="173"/>
      <c r="H44" s="174"/>
    </row>
    <row r="45" spans="1:8" ht="17.5">
      <c r="B45" s="118" t="s">
        <v>62</v>
      </c>
      <c r="C45" s="119"/>
      <c r="D45" s="120"/>
      <c r="E45" s="269">
        <f>SUM(B19:B20)</f>
        <v>0</v>
      </c>
      <c r="F45" s="173"/>
      <c r="G45" s="173"/>
      <c r="H45" s="174"/>
    </row>
    <row r="46" spans="1:8" ht="17.5">
      <c r="B46" s="118" t="s">
        <v>63</v>
      </c>
      <c r="C46" s="119"/>
      <c r="D46" s="120"/>
      <c r="E46" s="269">
        <f>B21</f>
        <v>0</v>
      </c>
      <c r="F46" s="273"/>
      <c r="G46" s="273"/>
      <c r="H46" s="274"/>
    </row>
    <row r="47" spans="1:8" ht="17.5">
      <c r="B47" s="118" t="s">
        <v>63</v>
      </c>
      <c r="C47" s="119"/>
      <c r="D47" s="120"/>
      <c r="E47" s="269">
        <f t="shared" ref="E47:E53" si="13">B22</f>
        <v>0</v>
      </c>
      <c r="F47" s="273"/>
      <c r="G47" s="273"/>
      <c r="H47" s="274"/>
    </row>
    <row r="48" spans="1:8" ht="17.5">
      <c r="B48" s="118" t="s">
        <v>63</v>
      </c>
      <c r="C48" s="119"/>
      <c r="D48" s="120"/>
      <c r="E48" s="269">
        <f t="shared" si="13"/>
        <v>0</v>
      </c>
      <c r="F48" s="273"/>
      <c r="G48" s="273"/>
      <c r="H48" s="274"/>
    </row>
    <row r="49" spans="2:8" ht="17.5">
      <c r="B49" s="118" t="s">
        <v>63</v>
      </c>
      <c r="C49" s="119"/>
      <c r="D49" s="120"/>
      <c r="E49" s="269">
        <f t="shared" si="13"/>
        <v>0</v>
      </c>
      <c r="F49" s="273"/>
      <c r="G49" s="273"/>
      <c r="H49" s="274"/>
    </row>
    <row r="50" spans="2:8" ht="17.5">
      <c r="B50" s="118" t="s">
        <v>63</v>
      </c>
      <c r="C50" s="119"/>
      <c r="D50" s="120"/>
      <c r="E50" s="269">
        <f t="shared" si="13"/>
        <v>0</v>
      </c>
      <c r="F50" s="273"/>
      <c r="G50" s="273"/>
      <c r="H50" s="274"/>
    </row>
    <row r="51" spans="2:8" ht="17.5">
      <c r="B51" s="118" t="s">
        <v>63</v>
      </c>
      <c r="C51" s="119"/>
      <c r="D51" s="120"/>
      <c r="E51" s="269">
        <f t="shared" si="13"/>
        <v>0</v>
      </c>
      <c r="F51" s="273"/>
      <c r="G51" s="273"/>
      <c r="H51" s="274"/>
    </row>
    <row r="52" spans="2:8" ht="17.5">
      <c r="B52" s="118" t="s">
        <v>63</v>
      </c>
      <c r="C52" s="119"/>
      <c r="D52" s="120"/>
      <c r="E52" s="269">
        <f t="shared" si="13"/>
        <v>0</v>
      </c>
      <c r="F52" s="273"/>
      <c r="G52" s="273"/>
      <c r="H52" s="274"/>
    </row>
    <row r="53" spans="2:8" ht="17.5">
      <c r="B53" s="118" t="s">
        <v>63</v>
      </c>
      <c r="C53" s="119"/>
      <c r="D53" s="120"/>
      <c r="E53" s="269">
        <f t="shared" si="13"/>
        <v>0</v>
      </c>
      <c r="F53" s="273"/>
      <c r="G53" s="273"/>
      <c r="H53" s="274"/>
    </row>
    <row r="54" spans="2:8" ht="17.5">
      <c r="B54" s="118" t="s">
        <v>82</v>
      </c>
      <c r="C54" s="119"/>
      <c r="D54" s="120"/>
      <c r="E54" s="172">
        <f>SUM(E41:H53)</f>
        <v>0</v>
      </c>
      <c r="F54" s="173"/>
      <c r="G54" s="173"/>
      <c r="H54" s="174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7" workbookViewId="0">
      <selection activeCell="C25" sqref="C25"/>
    </sheetView>
  </sheetViews>
  <sheetFormatPr defaultColWidth="8.7265625" defaultRowHeight="14"/>
  <cols>
    <col min="1" max="1" width="22.81640625" style="44" customWidth="1"/>
    <col min="2" max="2" width="16.08984375" style="44" customWidth="1"/>
    <col min="3" max="3" width="23.81640625" style="44" customWidth="1"/>
    <col min="4" max="4" width="18.26953125" style="44" customWidth="1"/>
    <col min="5" max="5" width="16.81640625" style="44" customWidth="1"/>
    <col min="6" max="6" width="20.54296875" style="44" customWidth="1"/>
    <col min="7" max="7" width="18.81640625" style="44" customWidth="1"/>
    <col min="8" max="8" width="24.5429687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v>0</v>
      </c>
      <c r="F6" s="50">
        <v>0</v>
      </c>
      <c r="G6" s="50">
        <v>0</v>
      </c>
      <c r="H6" s="51">
        <v>0</v>
      </c>
    </row>
    <row r="7" spans="1:8" ht="15">
      <c r="A7" s="107" t="s">
        <v>51</v>
      </c>
      <c r="B7" s="49"/>
      <c r="C7" s="165"/>
      <c r="D7" s="166"/>
      <c r="E7" s="50">
        <v>0</v>
      </c>
      <c r="F7" s="50">
        <v>0</v>
      </c>
      <c r="G7" s="50">
        <v>0</v>
      </c>
      <c r="H7" s="51">
        <v>0</v>
      </c>
    </row>
    <row r="8" spans="1:8" ht="15">
      <c r="A8" s="108" t="s">
        <v>52</v>
      </c>
      <c r="B8" s="53"/>
      <c r="C8" s="127"/>
      <c r="D8" s="128"/>
      <c r="E8" s="54">
        <v>0</v>
      </c>
      <c r="F8" s="54">
        <v>0</v>
      </c>
      <c r="G8" s="54">
        <v>0</v>
      </c>
      <c r="H8" s="55">
        <v>0</v>
      </c>
    </row>
    <row r="9" spans="1:8" ht="15">
      <c r="A9" s="108" t="s">
        <v>53</v>
      </c>
      <c r="B9" s="53"/>
      <c r="C9" s="127"/>
      <c r="D9" s="128"/>
      <c r="E9" s="54">
        <v>0</v>
      </c>
      <c r="F9" s="54">
        <v>0</v>
      </c>
      <c r="G9" s="54">
        <v>0</v>
      </c>
      <c r="H9" s="55">
        <v>0</v>
      </c>
    </row>
    <row r="10" spans="1:8" ht="15">
      <c r="A10" s="108" t="s">
        <v>54</v>
      </c>
      <c r="B10" s="53"/>
      <c r="C10" s="127"/>
      <c r="D10" s="128"/>
      <c r="E10" s="54">
        <v>0</v>
      </c>
      <c r="F10" s="54">
        <v>0</v>
      </c>
      <c r="G10" s="54">
        <v>0</v>
      </c>
      <c r="H10" s="55">
        <v>0</v>
      </c>
    </row>
    <row r="11" spans="1:8" ht="15">
      <c r="A11" s="108" t="s">
        <v>55</v>
      </c>
      <c r="B11" s="53"/>
      <c r="C11" s="127"/>
      <c r="D11" s="128"/>
      <c r="E11" s="54">
        <v>0</v>
      </c>
      <c r="F11" s="54">
        <v>0</v>
      </c>
      <c r="G11" s="54">
        <v>0</v>
      </c>
      <c r="H11" s="55">
        <v>0</v>
      </c>
    </row>
    <row r="12" spans="1:8" ht="15">
      <c r="A12" s="108" t="s">
        <v>55</v>
      </c>
      <c r="B12" s="53"/>
      <c r="C12" s="127"/>
      <c r="D12" s="128"/>
      <c r="E12" s="54">
        <v>0</v>
      </c>
      <c r="F12" s="54">
        <v>0</v>
      </c>
      <c r="G12" s="54">
        <v>0</v>
      </c>
      <c r="H12" s="55">
        <v>0</v>
      </c>
    </row>
    <row r="13" spans="1:8" ht="15">
      <c r="A13" s="108" t="s">
        <v>56</v>
      </c>
      <c r="B13" s="53"/>
      <c r="C13" s="127"/>
      <c r="D13" s="128"/>
      <c r="E13" s="54">
        <v>0</v>
      </c>
      <c r="F13" s="54">
        <v>0</v>
      </c>
      <c r="G13" s="54">
        <v>0</v>
      </c>
      <c r="H13" s="55">
        <v>0</v>
      </c>
    </row>
    <row r="14" spans="1:8" ht="15">
      <c r="A14" s="109" t="s">
        <v>56</v>
      </c>
      <c r="B14" s="53"/>
      <c r="C14" s="127"/>
      <c r="D14" s="128"/>
      <c r="E14" s="54">
        <v>0</v>
      </c>
      <c r="F14" s="54">
        <v>0</v>
      </c>
      <c r="G14" s="54">
        <v>0</v>
      </c>
      <c r="H14" s="55"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64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64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64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64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64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64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64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72" t="s">
        <v>64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spans="1:8" ht="15">
      <c r="A29" s="77" t="s">
        <v>65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spans="1:8" ht="1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227" t="s">
        <v>61</v>
      </c>
      <c r="C44" s="228"/>
      <c r="D44" s="229"/>
      <c r="E44" s="131">
        <f>SUM(B17:B18)</f>
        <v>0</v>
      </c>
      <c r="F44" s="114"/>
      <c r="G44" s="114"/>
      <c r="H44" s="115"/>
    </row>
    <row r="45" spans="1:8" ht="17.5">
      <c r="B45" s="227" t="s">
        <v>62</v>
      </c>
      <c r="C45" s="228"/>
      <c r="D45" s="229"/>
      <c r="E45" s="131">
        <f>SUM(B19:B20)</f>
        <v>0</v>
      </c>
      <c r="F45" s="114"/>
      <c r="G45" s="114"/>
      <c r="H45" s="115"/>
    </row>
    <row r="46" spans="1:8" ht="17.5">
      <c r="B46" s="227" t="s">
        <v>63</v>
      </c>
      <c r="C46" s="228"/>
      <c r="D46" s="229"/>
      <c r="E46" s="131">
        <f>B21</f>
        <v>0</v>
      </c>
      <c r="F46" s="156"/>
      <c r="G46" s="156"/>
      <c r="H46" s="157"/>
    </row>
    <row r="47" spans="1:8" ht="17.5">
      <c r="B47" s="227" t="s">
        <v>63</v>
      </c>
      <c r="C47" s="228"/>
      <c r="D47" s="229"/>
      <c r="E47" s="131">
        <f t="shared" ref="E47:E53" si="0">B22</f>
        <v>0</v>
      </c>
      <c r="F47" s="156"/>
      <c r="G47" s="156"/>
      <c r="H47" s="157"/>
    </row>
    <row r="48" spans="1:8" ht="17.5">
      <c r="B48" s="227" t="s">
        <v>63</v>
      </c>
      <c r="C48" s="228"/>
      <c r="D48" s="229"/>
      <c r="E48" s="131">
        <f t="shared" si="0"/>
        <v>0</v>
      </c>
      <c r="F48" s="156"/>
      <c r="G48" s="156"/>
      <c r="H48" s="157"/>
    </row>
    <row r="49" spans="2:8" ht="17.5">
      <c r="B49" s="227" t="s">
        <v>63</v>
      </c>
      <c r="C49" s="228"/>
      <c r="D49" s="229"/>
      <c r="E49" s="131">
        <f t="shared" si="0"/>
        <v>0</v>
      </c>
      <c r="F49" s="156"/>
      <c r="G49" s="156"/>
      <c r="H49" s="157"/>
    </row>
    <row r="50" spans="2:8" ht="17.5">
      <c r="B50" s="227" t="s">
        <v>63</v>
      </c>
      <c r="C50" s="228"/>
      <c r="D50" s="229"/>
      <c r="E50" s="131">
        <f t="shared" si="0"/>
        <v>0</v>
      </c>
      <c r="F50" s="156"/>
      <c r="G50" s="156"/>
      <c r="H50" s="157"/>
    </row>
    <row r="51" spans="2:8" ht="17.5">
      <c r="B51" s="227" t="s">
        <v>63</v>
      </c>
      <c r="C51" s="228"/>
      <c r="D51" s="229"/>
      <c r="E51" s="131">
        <f t="shared" si="0"/>
        <v>0</v>
      </c>
      <c r="F51" s="156"/>
      <c r="G51" s="156"/>
      <c r="H51" s="157"/>
    </row>
    <row r="52" spans="2:8" ht="17.5">
      <c r="B52" s="227" t="s">
        <v>63</v>
      </c>
      <c r="C52" s="228"/>
      <c r="D52" s="229"/>
      <c r="E52" s="131">
        <f t="shared" si="0"/>
        <v>0</v>
      </c>
      <c r="F52" s="156"/>
      <c r="G52" s="156"/>
      <c r="H52" s="157"/>
    </row>
    <row r="53" spans="2:8" ht="17.5">
      <c r="B53" s="227" t="s">
        <v>63</v>
      </c>
      <c r="C53" s="228"/>
      <c r="D53" s="229"/>
      <c r="E53" s="131">
        <f t="shared" si="0"/>
        <v>0</v>
      </c>
      <c r="F53" s="156"/>
      <c r="G53" s="156"/>
      <c r="H53" s="157"/>
    </row>
    <row r="54" spans="2:8" ht="21">
      <c r="B54" s="227" t="s">
        <v>82</v>
      </c>
      <c r="C54" s="228"/>
      <c r="D54" s="229"/>
      <c r="E54" s="278">
        <f>SUM(E41:H53)</f>
        <v>0</v>
      </c>
      <c r="F54" s="279"/>
      <c r="G54" s="279"/>
      <c r="H54" s="280"/>
    </row>
    <row r="55" spans="2:8" ht="17.5">
      <c r="B55" s="227"/>
      <c r="C55" s="228"/>
      <c r="D55" s="229"/>
      <c r="E55" s="230"/>
      <c r="F55" s="231"/>
      <c r="G55" s="231"/>
      <c r="H55" s="232"/>
    </row>
  </sheetData>
  <sheetProtection password="C8CD" sheet="1" objects="1" scenarios="1" formatCells="0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  <pageSetup fitToWidth="0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7"/>
  <sheetViews>
    <sheetView workbookViewId="0">
      <selection activeCell="D5" sqref="D5:G5"/>
    </sheetView>
  </sheetViews>
  <sheetFormatPr defaultColWidth="9" defaultRowHeight="14"/>
  <cols>
    <col min="3" max="3" width="53" customWidth="1"/>
    <col min="7" max="7" width="47.54296875" customWidth="1"/>
  </cols>
  <sheetData>
    <row r="1" spans="1:7">
      <c r="A1" s="175" t="s">
        <v>77</v>
      </c>
      <c r="B1" s="176"/>
      <c r="C1" s="176"/>
      <c r="D1" s="176"/>
      <c r="E1" s="176"/>
      <c r="F1" s="176"/>
      <c r="G1" s="177"/>
    </row>
    <row r="2" spans="1:7">
      <c r="A2" s="178"/>
      <c r="B2" s="179"/>
      <c r="C2" s="179"/>
      <c r="D2" s="179"/>
      <c r="E2" s="179"/>
      <c r="F2" s="179"/>
      <c r="G2" s="180"/>
    </row>
    <row r="3" spans="1:7" ht="28">
      <c r="A3" s="290" t="s">
        <v>78</v>
      </c>
      <c r="B3" s="291"/>
      <c r="C3" s="292"/>
      <c r="D3" s="290" t="s">
        <v>79</v>
      </c>
      <c r="E3" s="291"/>
      <c r="F3" s="291"/>
      <c r="G3" s="292"/>
    </row>
    <row r="4" spans="1:7" ht="41.5" customHeight="1">
      <c r="A4" s="293" t="s">
        <v>80</v>
      </c>
      <c r="B4" s="294"/>
      <c r="C4" s="295"/>
      <c r="D4" s="2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34058</v>
      </c>
      <c r="E4" s="282"/>
      <c r="F4" s="282"/>
      <c r="G4" s="283"/>
    </row>
    <row r="5" spans="1:7" ht="37" customHeight="1">
      <c r="A5" s="293" t="s">
        <v>52</v>
      </c>
      <c r="B5" s="294"/>
      <c r="C5" s="295"/>
      <c r="D5" s="2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730</v>
      </c>
      <c r="E5" s="282"/>
      <c r="F5" s="282"/>
      <c r="G5" s="283"/>
    </row>
    <row r="6" spans="1:7" ht="40" customHeight="1">
      <c r="A6" s="293" t="s">
        <v>56</v>
      </c>
      <c r="B6" s="294"/>
      <c r="C6" s="295"/>
      <c r="D6" s="2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6722</v>
      </c>
      <c r="E6" s="282"/>
      <c r="F6" s="282"/>
      <c r="G6" s="283"/>
    </row>
    <row r="7" spans="1:7" ht="38.5" customHeight="1">
      <c r="A7" s="284" t="s">
        <v>61</v>
      </c>
      <c r="B7" s="285"/>
      <c r="C7" s="286"/>
      <c r="D7" s="2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82"/>
      <c r="F7" s="282"/>
      <c r="G7" s="283"/>
    </row>
    <row r="8" spans="1:7" ht="40" customHeight="1">
      <c r="A8" s="284" t="s">
        <v>62</v>
      </c>
      <c r="B8" s="285"/>
      <c r="C8" s="286"/>
      <c r="D8" s="2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82"/>
      <c r="F8" s="282"/>
      <c r="G8" s="283"/>
    </row>
    <row r="9" spans="1:7" ht="38.5" customHeight="1">
      <c r="A9" s="284" t="s">
        <v>63</v>
      </c>
      <c r="B9" s="285"/>
      <c r="C9" s="286"/>
      <c r="D9" s="2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82"/>
      <c r="F9" s="282"/>
      <c r="G9" s="283"/>
    </row>
    <row r="10" spans="1:7" ht="38.15" customHeight="1">
      <c r="A10" s="284" t="s">
        <v>63</v>
      </c>
      <c r="B10" s="285"/>
      <c r="C10" s="286"/>
      <c r="D10" s="2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82"/>
      <c r="F10" s="282"/>
      <c r="G10" s="283"/>
    </row>
    <row r="11" spans="1:7" ht="38.5" customHeight="1">
      <c r="A11" s="284" t="s">
        <v>63</v>
      </c>
      <c r="B11" s="285"/>
      <c r="C11" s="286"/>
      <c r="D11" s="2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82"/>
      <c r="F11" s="282"/>
      <c r="G11" s="283"/>
    </row>
    <row r="12" spans="1:7" ht="36.65" customHeight="1">
      <c r="A12" s="284" t="s">
        <v>63</v>
      </c>
      <c r="B12" s="285"/>
      <c r="C12" s="286"/>
      <c r="D12" s="2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82"/>
      <c r="F12" s="282"/>
      <c r="G12" s="283"/>
    </row>
    <row r="13" spans="1:7" ht="38.15" customHeight="1">
      <c r="A13" s="284" t="s">
        <v>63</v>
      </c>
      <c r="B13" s="285"/>
      <c r="C13" s="286"/>
      <c r="D13" s="2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82"/>
      <c r="F13" s="282"/>
      <c r="G13" s="283"/>
    </row>
    <row r="14" spans="1:7" ht="28">
      <c r="A14" s="284" t="s">
        <v>63</v>
      </c>
      <c r="B14" s="285"/>
      <c r="C14" s="286"/>
      <c r="D14" s="2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82"/>
      <c r="F14" s="282"/>
      <c r="G14" s="283"/>
    </row>
    <row r="15" spans="1:7" ht="28">
      <c r="A15" s="284" t="s">
        <v>63</v>
      </c>
      <c r="B15" s="285"/>
      <c r="C15" s="286"/>
      <c r="D15" s="2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82"/>
      <c r="F15" s="282"/>
      <c r="G15" s="283"/>
    </row>
    <row r="16" spans="1:7" ht="28">
      <c r="A16" s="284" t="s">
        <v>63</v>
      </c>
      <c r="B16" s="285"/>
      <c r="C16" s="286"/>
      <c r="D16" s="2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82"/>
      <c r="F16" s="282"/>
      <c r="G16" s="283"/>
    </row>
    <row r="17" spans="1:7" ht="27.5">
      <c r="A17" s="284" t="s">
        <v>82</v>
      </c>
      <c r="B17" s="285"/>
      <c r="C17" s="286"/>
      <c r="D17" s="287">
        <f>SUM(D4:D16)</f>
        <v>41510</v>
      </c>
      <c r="E17" s="288"/>
      <c r="F17" s="288"/>
      <c r="G17" s="289"/>
    </row>
  </sheetData>
  <sheetProtection password="C8CD" sheet="1" objects="1" scenarios="1"/>
  <mergeCells count="31">
    <mergeCell ref="D14:G14"/>
    <mergeCell ref="A12:C12"/>
    <mergeCell ref="A9:C9"/>
    <mergeCell ref="D4:G4"/>
    <mergeCell ref="A3:C3"/>
    <mergeCell ref="D3:G3"/>
    <mergeCell ref="A6:C6"/>
    <mergeCell ref="D8:G8"/>
    <mergeCell ref="A8:C8"/>
    <mergeCell ref="D5:G5"/>
    <mergeCell ref="A4:C4"/>
    <mergeCell ref="D7:G7"/>
    <mergeCell ref="A5:C5"/>
    <mergeCell ref="D6:G6"/>
    <mergeCell ref="A7:C7"/>
    <mergeCell ref="A1:G2"/>
    <mergeCell ref="D9:G9"/>
    <mergeCell ref="A17:C17"/>
    <mergeCell ref="D11:G11"/>
    <mergeCell ref="A10:C10"/>
    <mergeCell ref="D17:G17"/>
    <mergeCell ref="D10:G10"/>
    <mergeCell ref="A15:C15"/>
    <mergeCell ref="D16:G16"/>
    <mergeCell ref="A16:C16"/>
    <mergeCell ref="D13:G13"/>
    <mergeCell ref="A11:C11"/>
    <mergeCell ref="D12:G12"/>
    <mergeCell ref="A14:C14"/>
    <mergeCell ref="D15:G15"/>
    <mergeCell ref="A13:C13"/>
  </mergeCells>
  <pageMargins left="0.69930555555555596" right="0.69930555555555596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FINACHIAL REPORT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2023-12-27T00:10:15Z</dcterms:created>
  <dcterms:modified xsi:type="dcterms:W3CDTF">2026-03-22T19:57:42Z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af31bc16b28e49d9bb5176c47fe6bcc8</vt:lpwstr>
  </property>
  <property fmtid="{D5CDD505-2E9C-101B-9397-08002B2CF9AE}" pid="4" name="KSOProductBuildVer">
    <vt:lpwstr>3081-11.37.10</vt:lpwstr>
  </property>
</Properties>
</file>