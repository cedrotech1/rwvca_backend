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765E709-33C3-48F4-BA9C-6E405D79F76E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<sst xmlns="http://schemas.openxmlformats.org/spreadsheetml/2006/main" count="1779" uniqueCount="86">
  <si>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</si>
  <si>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</si>
  <si>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</si>
  <si>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</si>
  <si>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</si>
  <si>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</si>
  <si>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</si>
  <si>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</si>
  <si>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</si>
  <si>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</si>
  <si>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</si>
  <si>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</si>
  <si>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</si>
  <si>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</si>
  <si>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</si>
  <si>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</si>
  <si>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</si>
  <si>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</si>
  <si>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</si>
  <si>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</si>
  <si>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</si>
  <si>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</si>
  <si>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</si>
  <si>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</si>
  <si>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</si>
  <si>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</si>
  <si>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</si>
  <si>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</si>
  <si>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</si>
  <si>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</si>
  <si>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</si>
  <si>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</si>
  <si>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</si>
  <si>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</si>
  <si>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</si>
  <si>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</si>
  <si>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</si>
  <si>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</si>
  <si>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</si>
  <si>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</si>
  <si>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</si>
  <si>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</si>
  <si>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</si>
  <si>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</si>
  <si>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</si>
  <si>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</si>
  <si>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</si>
  <si>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</si>
  <si>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</si>
  <si>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</si>
  <si>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</si>
  <si>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</si>
  <si>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</si>
  <si>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</si>
  <si>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</si>
  <si>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</si>
  <si>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</si>
  <si>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</si>
  <si>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</si>
  <si>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</si>
  <si>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</si>
  <si>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</si>
  <si>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</si>
  <si>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</si>
  <si>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</si>
  <si>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</si>
  <si>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</si>
  <si>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</si>
  <si>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</si>
  <si>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</si>
  <si>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</si>
  <si>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</si>
  <si>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</si>
  <si>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</si>
  <si>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</si>
  <si>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</si>
  <si>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</si>
  <si>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</si>
  <si>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</si>
  <si>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</si>
  <si>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</si>
  <si>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</si>
  <si>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</si>
  <si>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</si>
  <si>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</si>
  <si>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20APRIL2026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</si>
</sst>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589680</v>
      </c>
      <c r="C10" s="18">
        <f>BUGESERA!G29</f>
        <v>54600</v>
      </c>
      <c r="D10" s="19"/>
      <c r="E10" s="18"/>
      <c r="F10" s="14">
        <f t="shared" si="0"/>
        <v>644280</v>
      </c>
      <c r="G10" s="17">
        <f>BUGESERA!C33</f>
        <v>0</v>
      </c>
      <c r="H10" s="18">
        <f>BUGESERA!C31</f>
        <v>644280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8257302</v>
      </c>
      <c r="C29" s="33">
        <f t="shared" si="1"/>
        <v>750300</v>
      </c>
      <c r="D29" s="34">
        <f t="shared" si="1"/>
        <v>0</v>
      </c>
      <c r="E29" s="33">
        <f t="shared" si="1"/>
        <v>0</v>
      </c>
      <c r="F29" s="33">
        <f t="shared" si="1"/>
        <v>9007602</v>
      </c>
      <c r="G29" s="34">
        <f t="shared" si="1"/>
        <v>0</v>
      </c>
      <c r="H29" s="34">
        <f t="shared" si="1"/>
        <v>9007602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29"/>
      <c r="C30" s="129"/>
      <c r="D30" s="113"/>
      <c r="E30" s="156" t="s">
        <v>32</v>
      </c>
      <c r="F30" s="126"/>
      <c r="G30" s="126"/>
      <c r="H30" s="126"/>
      <c r="I30" s="127"/>
      <c r="J30" s="152"/>
      <c r="K30" s="127"/>
      <c r="L30" s="1"/>
      <c r="M30" s="1"/>
      <c r="N30" s="1"/>
      <c r="O30" s="1"/>
    </row>
    <row r="31" spans="1:15" ht="18" customHeight="1">
      <c r="A31" s="158" t="s">
        <v>33</v>
      </c>
      <c r="B31" s="129"/>
      <c r="C31" s="129"/>
      <c r="D31" s="159"/>
      <c r="E31" s="153"/>
      <c r="F31" s="137"/>
      <c r="G31" s="137"/>
      <c r="H31" s="137"/>
      <c r="I31" s="138"/>
      <c r="J31" s="153"/>
      <c r="K31" s="138"/>
      <c r="L31" s="1"/>
      <c r="M31" s="1"/>
      <c r="N31" s="1"/>
      <c r="O31" s="1"/>
    </row>
    <row r="32" spans="1:15" ht="18" customHeight="1">
      <c r="A32" s="161" t="s">
        <v>34</v>
      </c>
      <c r="B32" s="113"/>
      <c r="C32" s="157">
        <f>SUM(B29:C29)</f>
        <v>9007602</v>
      </c>
      <c r="D32" s="126"/>
      <c r="E32" s="153"/>
      <c r="F32" s="137"/>
      <c r="G32" s="137"/>
      <c r="H32" s="137"/>
      <c r="I32" s="138"/>
      <c r="J32" s="153"/>
      <c r="K32" s="138"/>
      <c r="L32" s="1"/>
      <c r="M32" s="1"/>
      <c r="N32" s="1"/>
      <c r="O32" s="1"/>
    </row>
    <row r="33" spans="1:15" ht="18" customHeight="1">
      <c r="A33" s="161" t="s">
        <v>35</v>
      </c>
      <c r="B33" s="113"/>
      <c r="C33" s="140">
        <f>SUM(F29,G29)</f>
        <v>9007602</v>
      </c>
      <c r="D33" s="129"/>
      <c r="E33" s="153"/>
      <c r="F33" s="137"/>
      <c r="G33" s="137"/>
      <c r="H33" s="137"/>
      <c r="I33" s="138"/>
      <c r="J33" s="153"/>
      <c r="K33" s="138"/>
      <c r="L33" s="1"/>
      <c r="M33" s="1"/>
      <c r="N33" s="1"/>
      <c r="O33" s="1"/>
    </row>
    <row r="34" spans="1:15" ht="18" customHeight="1">
      <c r="A34" s="161" t="s">
        <v>36</v>
      </c>
      <c r="B34" s="113"/>
      <c r="C34" s="140">
        <f>SUM(H29,J29,I29)</f>
        <v>9007602</v>
      </c>
      <c r="D34" s="113"/>
      <c r="E34" s="153"/>
      <c r="F34" s="137"/>
      <c r="G34" s="137"/>
      <c r="H34" s="137"/>
      <c r="I34" s="138"/>
      <c r="J34" s="153"/>
      <c r="K34" s="138"/>
      <c r="L34" s="1"/>
      <c r="M34" s="1"/>
      <c r="N34" s="1"/>
      <c r="O34" s="1"/>
    </row>
    <row r="35" spans="1:15" ht="18" customHeight="1">
      <c r="A35" s="161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3"/>
      <c r="K35" s="138"/>
      <c r="L35" s="1"/>
      <c r="M35" s="1"/>
      <c r="N35" s="1"/>
      <c r="O35" s="1"/>
    </row>
    <row r="36" spans="1:15" ht="18" customHeight="1">
      <c r="A36" s="161" t="s">
        <v>38</v>
      </c>
      <c r="B36" s="113"/>
      <c r="C36" s="140">
        <f>SUM(C33,C35)</f>
        <v>9007602</v>
      </c>
      <c r="D36" s="113"/>
      <c r="E36" s="154" t="s">
        <v>39</v>
      </c>
      <c r="F36" s="126"/>
      <c r="G36" s="126"/>
      <c r="H36" s="126"/>
      <c r="I36" s="127"/>
      <c r="J36" s="153"/>
      <c r="K36" s="138"/>
      <c r="L36" s="1"/>
      <c r="M36" s="1"/>
      <c r="N36" s="1"/>
      <c r="O36" s="1"/>
    </row>
    <row r="37" spans="1:15" ht="18" customHeight="1">
      <c r="A37" s="162" t="s">
        <v>40</v>
      </c>
      <c r="B37" s="111"/>
      <c r="C37" s="140">
        <f>SUM(C34:C35)</f>
        <v>9007602</v>
      </c>
      <c r="D37" s="113"/>
      <c r="E37" s="109"/>
      <c r="F37" s="110"/>
      <c r="G37" s="110"/>
      <c r="H37" s="110"/>
      <c r="I37" s="111"/>
      <c r="J37" s="153"/>
      <c r="K37" s="138"/>
      <c r="L37" s="1"/>
      <c r="M37" s="1"/>
      <c r="N37" s="1"/>
      <c r="O37" s="1"/>
    </row>
    <row r="38" spans="1:15" ht="18" customHeight="1">
      <c r="A38" s="155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D33" sqref="D33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1820</v>
      </c>
      <c r="C10" s="115">
        <v>2124</v>
      </c>
      <c r="D10" s="116"/>
      <c r="E10" s="48">
        <f t="shared" si="0"/>
        <v>3865680</v>
      </c>
      <c r="F10" s="48">
        <f t="shared" si="1"/>
        <v>589680</v>
      </c>
      <c r="G10" s="48">
        <f t="shared" si="4"/>
        <v>54600</v>
      </c>
      <c r="H10" s="49">
        <f t="shared" si="3"/>
        <v>644280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3865680</v>
      </c>
      <c r="F29" s="74">
        <f t="shared" si="10"/>
        <v>589680</v>
      </c>
      <c r="G29" s="75">
        <f t="shared" si="10"/>
        <v>54600</v>
      </c>
      <c r="H29" s="76">
        <f t="shared" si="9"/>
        <v>644280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644280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1820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1820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22072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26104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2026-04-20T16:51:46Z</dcterms:modified>
</cp:coreProperties>
</file>