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3" i="17"/>
  <c r="H20" i="17"/>
  <c r="H35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<sst xmlns="http://schemas.openxmlformats.org/spreadsheetml/2006/main" count="1699" uniqueCount="90">
  <si>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</si>
  <si>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</si>
  <si>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</si>
  <si>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</si>
  <si>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</si>
  <si>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</si>
  <si>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</si>
  <si>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</si>
  <si>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</si>
  <si>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</si>
  <si>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</si>
  <si>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</si>
  <si>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</si>
  <si>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</si>
  <si>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</si>
  <si>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</si>
  <si>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</si>
  <si>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</si>
  <si>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</si>
  <si>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</si>
  <si>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</si>
  <si>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</si>
  <si>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</si>
  <si>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</si>
  <si>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</si>
  <si>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</si>
  <si>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</si>
  <si>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</si>
  <si>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</si>
  <si>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</si>
  <si>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</si>
  <si>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</si>
  <si>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</si>
  <si>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</si>
  <si>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</si>
  <si>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</si>
  <si>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</si>
  <si>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</si>
  <si>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</si>
  <si>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</si>
  <si>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</si>
  <si>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</si>
  <si>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</si>
  <si>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</si>
  <si>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</si>
  <si>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</si>
  <si>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</si>
  <si>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</si>
  <si>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</si>
  <si>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</si>
  <si>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</si>
  <si>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</si>
  <si>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</si>
  <si>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</si>
  <si>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</si>
  <si>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</si>
  <si>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</si>
  <si>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</si>
  <si>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</si>
  <si>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</si>
  <si>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</si>
  <si>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</si>
  <si>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</si>
  <si>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</si>
  <si>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</si>
  <si>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</si>
  <si>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</si>
  <si>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</si>
  <si>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</si>
  <si>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</si>
  <si>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</si>
  <si>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</si>
  <si>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</si>
  <si>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</si>
  <si>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</si>
  <si>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</si>
  <si>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</si>
  <si>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</si>
  <si>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</si>
  <si>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</si>
  <si>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</si>
  <si>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</si>
  <si>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</si>
  <si>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</si>
  <si>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</si>
  <si>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</si>
  <si>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ALL THOSE MONEY WAS DEPOSITED  ON MOMO 052004</t>
  </si>
  <si>
    <t xml:space="preserve">MADIRIYE </t>
  </si>
  <si>
    <t>GREVERIE</t>
  </si>
  <si>
    <t>MONTHLY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</si>
</sst>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1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7" t="s">
        <v>37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82"/>
      <c r="M1" s="82"/>
      <c r="N1" s="82"/>
    </row>
    <row r="2" spans="1:15" ht="31" customHeight="1">
      <c r="A2" s="139" t="s">
        <v>36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82"/>
      <c r="M2" s="82"/>
      <c r="N2" s="82"/>
    </row>
    <row r="3" spans="1:15" ht="15" customHeight="1" thickBot="1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1168554.6610169492</v>
      </c>
      <c r="C21" s="48">
        <f>KIREHE!G37</f>
        <v>303435</v>
      </c>
      <c r="D21" s="48">
        <f>KIREHE!C43</f>
        <v>0</v>
      </c>
      <c r="E21" s="48">
        <f>KIREHE!C44</f>
        <v>0</v>
      </c>
      <c r="F21" s="50">
        <f t="shared" si="0"/>
        <v>1471989.6610169492</v>
      </c>
      <c r="G21" s="47">
        <f>KIREHE!C41</f>
        <v>0</v>
      </c>
      <c r="H21" s="48">
        <f>KIREHE!C39</f>
        <v>1471989.6610169492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1168554.6610169492</v>
      </c>
      <c r="C29" s="70">
        <f t="shared" si="1"/>
        <v>303435</v>
      </c>
      <c r="D29" s="71">
        <f t="shared" si="1"/>
        <v>0</v>
      </c>
      <c r="E29" s="70">
        <f t="shared" si="1"/>
        <v>0</v>
      </c>
      <c r="F29" s="70">
        <f>SUM(F5:F28)</f>
        <v>1471989.6610169492</v>
      </c>
      <c r="G29" s="71">
        <f>SUM(G5:G28)</f>
        <v>0</v>
      </c>
      <c r="H29" s="71">
        <f>SUM(H5:H28)</f>
        <v>1471989.6610169492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1"/>
      <c r="B30" s="131"/>
      <c r="C30" s="131"/>
      <c r="D30" s="132"/>
      <c r="E30" s="122" t="s">
        <v>11</v>
      </c>
      <c r="F30" s="123"/>
      <c r="G30" s="123"/>
      <c r="H30" s="123"/>
      <c r="I30" s="124"/>
      <c r="J30" s="141"/>
      <c r="K30" s="142"/>
      <c r="L30" s="82"/>
    </row>
    <row r="31" spans="1:15" ht="19" thickBot="1">
      <c r="A31" s="118" t="s">
        <v>9</v>
      </c>
      <c r="B31" s="119"/>
      <c r="C31" s="119"/>
      <c r="D31" s="119"/>
      <c r="E31" s="125"/>
      <c r="F31" s="126"/>
      <c r="G31" s="126"/>
      <c r="H31" s="126"/>
      <c r="I31" s="127"/>
      <c r="J31" s="143"/>
      <c r="K31" s="144"/>
      <c r="L31" s="82"/>
    </row>
    <row r="32" spans="1:15" ht="15" thickBot="1">
      <c r="A32" s="133" t="s">
        <v>12</v>
      </c>
      <c r="B32" s="134"/>
      <c r="C32" s="135">
        <f>SUM(B29+C29)</f>
        <v>1471989.6610169492</v>
      </c>
      <c r="D32" s="136"/>
      <c r="E32" s="125"/>
      <c r="F32" s="126"/>
      <c r="G32" s="126"/>
      <c r="H32" s="126"/>
      <c r="I32" s="127"/>
      <c r="J32" s="143"/>
      <c r="K32" s="144"/>
      <c r="L32" s="82"/>
    </row>
    <row r="33" spans="1:12" ht="15" thickBot="1">
      <c r="A33" s="133" t="s">
        <v>13</v>
      </c>
      <c r="B33" s="134"/>
      <c r="C33" s="120">
        <f>SUM(F29,G29)</f>
        <v>1471989.6610169492</v>
      </c>
      <c r="D33" s="121"/>
      <c r="E33" s="125"/>
      <c r="F33" s="126"/>
      <c r="G33" s="126"/>
      <c r="H33" s="126"/>
      <c r="I33" s="127"/>
      <c r="J33" s="143"/>
      <c r="K33" s="144"/>
      <c r="L33" s="82"/>
    </row>
    <row r="34" spans="1:12" ht="15" thickBot="1">
      <c r="A34" s="157" t="s">
        <v>81</v>
      </c>
      <c r="B34" s="158"/>
      <c r="C34" s="120">
        <f>SUM(H29,J29,I29+G29)</f>
        <v>1471989.6610169492</v>
      </c>
      <c r="D34" s="156"/>
      <c r="E34" s="125"/>
      <c r="F34" s="126"/>
      <c r="G34" s="126"/>
      <c r="H34" s="126"/>
      <c r="I34" s="127"/>
      <c r="J34" s="143"/>
      <c r="K34" s="144"/>
      <c r="L34" s="82"/>
    </row>
    <row r="35" spans="1:12" ht="15" thickBot="1">
      <c r="A35" s="133" t="s">
        <v>10</v>
      </c>
      <c r="B35" s="134"/>
      <c r="C35" s="120">
        <f>SUM(D29:E29)</f>
        <v>0</v>
      </c>
      <c r="D35" s="156"/>
      <c r="E35" s="128"/>
      <c r="F35" s="129"/>
      <c r="G35" s="129"/>
      <c r="H35" s="129"/>
      <c r="I35" s="130"/>
      <c r="J35" s="143"/>
      <c r="K35" s="144"/>
      <c r="L35" s="82"/>
    </row>
    <row r="36" spans="1:12" ht="15" thickBot="1">
      <c r="A36" s="133" t="s">
        <v>83</v>
      </c>
      <c r="B36" s="134"/>
      <c r="C36" s="120">
        <f>SUM(H29+I29+J29+C35)</f>
        <v>1471989.6610169492</v>
      </c>
      <c r="D36" s="156"/>
      <c r="E36" s="147" t="s">
        <v>35</v>
      </c>
      <c r="F36" s="148"/>
      <c r="G36" s="148"/>
      <c r="H36" s="148"/>
      <c r="I36" s="149"/>
      <c r="J36" s="143"/>
      <c r="K36" s="144"/>
      <c r="L36" s="82"/>
    </row>
    <row r="37" spans="1:12" ht="15" thickBot="1">
      <c r="A37" s="116" t="s">
        <v>14</v>
      </c>
      <c r="B37" s="117"/>
      <c r="C37" s="120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1471989.6610169492</v>
      </c>
      <c r="D37" s="156"/>
      <c r="E37" s="150"/>
      <c r="F37" s="151"/>
      <c r="G37" s="151"/>
      <c r="H37" s="151"/>
      <c r="I37" s="152"/>
      <c r="J37" s="143"/>
      <c r="K37" s="144"/>
      <c r="L37" s="82"/>
    </row>
    <row r="38" spans="1:12" ht="26.5" thickBot="1">
      <c r="A38" s="153" t="s">
        <v>15</v>
      </c>
      <c r="B38" s="154"/>
      <c r="C38" s="154"/>
      <c r="D38" s="154"/>
      <c r="E38" s="154"/>
      <c r="F38" s="154"/>
      <c r="G38" s="154"/>
      <c r="H38" s="154"/>
      <c r="I38" s="155"/>
      <c r="J38" s="145"/>
      <c r="K38" s="14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6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8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s="89" customFormat="1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9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20.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3" customHeight="1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22" customHeight="1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22.5" customHeight="1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24.5" customHeight="1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22" customHeight="1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22" customHeight="1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22" customHeight="1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22" customHeight="1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4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3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>
        <v>2124</v>
      </c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4.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1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3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6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4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1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3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0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s="43" customFormat="1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4.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customHeight="1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1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5.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9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9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2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2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s="43" customFormat="1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34.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7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4.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customHeight="1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9" customHeight="1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5" customHeight="1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customHeight="1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customHeight="1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customHeight="1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customHeight="1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customHeight="1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customHeight="1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customHeight="1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customHeight="1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customHeight="1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customHeight="1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customHeight="1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customHeight="1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customHeight="1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4.5" customHeight="1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1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4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4.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customHeight="1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19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1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0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0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B23" workbookViewId="0">
      <selection activeCell="C26" sqref="C26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4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89</v>
      </c>
      <c r="B3" s="172"/>
      <c r="C3" s="172"/>
      <c r="D3" s="172"/>
      <c r="E3" s="172"/>
      <c r="F3" s="172"/>
      <c r="G3" s="172"/>
      <c r="H3" s="173"/>
      <c r="I3" s="213"/>
    </row>
    <row r="4" spans="1:9" ht="21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87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>
        <v>2637</v>
      </c>
      <c r="C10" s="165">
        <v>2124</v>
      </c>
      <c r="D10" s="166"/>
      <c r="E10" s="12">
        <f t="shared" si="0"/>
        <v>5600988</v>
      </c>
      <c r="F10" s="12">
        <f t="shared" si="1"/>
        <v>854388</v>
      </c>
      <c r="G10" s="12">
        <f>PRODUCT(B10*30)</f>
        <v>79110</v>
      </c>
      <c r="H10" s="100">
        <f t="shared" si="2"/>
        <v>933498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>
        <v>1310</v>
      </c>
      <c r="C17" s="26">
        <v>1000</v>
      </c>
      <c r="D17" s="26">
        <v>30</v>
      </c>
      <c r="E17" s="19">
        <f>PRODUCT(B17*C17)</f>
        <v>1310000</v>
      </c>
      <c r="F17" s="16">
        <f t="shared" ref="F17:F36" si="3">PRODUCT(E17*18)/118</f>
        <v>199830.50847457626</v>
      </c>
      <c r="G17" s="94">
        <f>PRODUCT(B17*D17)</f>
        <v>39300</v>
      </c>
      <c r="H17" s="102">
        <f>SUM(F17:G17)</f>
        <v>239130.50847457626</v>
      </c>
      <c r="I17" s="213"/>
    </row>
    <row r="18" spans="1:9" ht="15" thickBot="1">
      <c r="A18" s="34" t="s">
        <v>85</v>
      </c>
      <c r="B18" s="27"/>
      <c r="C18" s="27">
        <v>2000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88</v>
      </c>
      <c r="B19" s="13">
        <v>136</v>
      </c>
      <c r="C19" s="13">
        <v>1180</v>
      </c>
      <c r="D19" s="13">
        <v>30</v>
      </c>
      <c r="E19" s="20">
        <f t="shared" si="4"/>
        <v>160480</v>
      </c>
      <c r="F19" s="17">
        <f t="shared" si="3"/>
        <v>24480</v>
      </c>
      <c r="G19" s="15">
        <f t="shared" si="5"/>
        <v>4080</v>
      </c>
      <c r="H19" s="103">
        <f t="shared" si="6"/>
        <v>28560</v>
      </c>
      <c r="I19" s="213"/>
    </row>
    <row r="20" spans="1:9" ht="15" thickBot="1">
      <c r="A20" s="35" t="s">
        <v>60</v>
      </c>
      <c r="B20" s="13">
        <v>384</v>
      </c>
      <c r="C20" s="13">
        <v>1534</v>
      </c>
      <c r="D20" s="13">
        <v>30</v>
      </c>
      <c r="E20" s="20">
        <f t="shared" si="4"/>
        <v>589056</v>
      </c>
      <c r="F20" s="17">
        <f t="shared" si="3"/>
        <v>89856</v>
      </c>
      <c r="G20" s="95">
        <f t="shared" si="5"/>
        <v>11520</v>
      </c>
      <c r="H20" s="104">
        <f t="shared" si="6"/>
        <v>101376</v>
      </c>
      <c r="I20" s="213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>
        <v>1</v>
      </c>
      <c r="C22" s="13">
        <v>1</v>
      </c>
      <c r="D22" s="13">
        <v>169425</v>
      </c>
      <c r="E22" s="20">
        <f t="shared" si="4"/>
        <v>1</v>
      </c>
      <c r="F22" s="17">
        <f t="shared" si="3"/>
        <v>0.15254237288135594</v>
      </c>
      <c r="G22" s="95">
        <f t="shared" si="5"/>
        <v>169425</v>
      </c>
      <c r="H22" s="104">
        <f t="shared" si="6"/>
        <v>169425.15254237287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7660525</v>
      </c>
      <c r="F37" s="24">
        <f>SUM(F5:F36)</f>
        <v>1168554.6610169492</v>
      </c>
      <c r="G37" s="24">
        <f t="shared" ref="G37:H37" si="10">SUM(G5:G36)</f>
        <v>303435</v>
      </c>
      <c r="H37" s="24">
        <f t="shared" si="10"/>
        <v>1471989.6610169492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>
        <f>H37</f>
        <v>1471989.6610169492</v>
      </c>
      <c r="D39" s="58"/>
      <c r="E39" s="182"/>
      <c r="F39" s="182"/>
      <c r="G39" s="114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115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115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1471989.6610169492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 t="s">
        <v>86</v>
      </c>
      <c r="B49" s="222"/>
      <c r="C49" s="196" t="s">
        <v>61</v>
      </c>
      <c r="D49" s="197"/>
      <c r="E49" s="206">
        <f>SUM(B9:B12)</f>
        <v>2637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1310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520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4467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7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1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0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2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9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30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84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84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84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84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84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84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84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84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2" t="s">
        <v>57</v>
      </c>
      <c r="B1" s="203"/>
      <c r="C1" s="203"/>
      <c r="D1" s="203"/>
      <c r="E1" s="203"/>
      <c r="F1" s="203"/>
      <c r="G1" s="246"/>
    </row>
    <row r="2" spans="1:7" ht="15" thickBot="1">
      <c r="A2" s="204"/>
      <c r="B2" s="205"/>
      <c r="C2" s="205"/>
      <c r="D2" s="205"/>
      <c r="E2" s="205"/>
      <c r="F2" s="205"/>
      <c r="G2" s="247"/>
    </row>
    <row r="3" spans="1:7" ht="28.5" thickBot="1">
      <c r="A3" s="248" t="s">
        <v>58</v>
      </c>
      <c r="B3" s="249"/>
      <c r="C3" s="250"/>
      <c r="D3" s="248" t="s">
        <v>59</v>
      </c>
      <c r="E3" s="249"/>
      <c r="F3" s="249"/>
      <c r="G3" s="250"/>
    </row>
    <row r="4" spans="1:7" ht="41.5" customHeight="1" thickBot="1">
      <c r="A4" s="243" t="s">
        <v>61</v>
      </c>
      <c r="B4" s="244"/>
      <c r="C4" s="245"/>
      <c r="D4" s="234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2637</v>
      </c>
      <c r="E4" s="235"/>
      <c r="F4" s="235"/>
      <c r="G4" s="236"/>
    </row>
    <row r="5" spans="1:7" ht="37" customHeight="1" thickBot="1">
      <c r="A5" s="243" t="s">
        <v>46</v>
      </c>
      <c r="B5" s="244"/>
      <c r="C5" s="245"/>
      <c r="D5" s="234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5"/>
      <c r="F5" s="235"/>
      <c r="G5" s="236"/>
    </row>
    <row r="6" spans="1:7" ht="40" customHeight="1" thickBot="1">
      <c r="A6" s="243" t="s">
        <v>60</v>
      </c>
      <c r="B6" s="244"/>
      <c r="C6" s="245"/>
      <c r="D6" s="234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5"/>
      <c r="F6" s="235"/>
      <c r="G6" s="236"/>
    </row>
    <row r="7" spans="1:7" ht="38.5" customHeight="1" thickBot="1">
      <c r="A7" s="237" t="s">
        <v>63</v>
      </c>
      <c r="B7" s="238"/>
      <c r="C7" s="239"/>
      <c r="D7" s="234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1310</v>
      </c>
      <c r="E7" s="235"/>
      <c r="F7" s="235"/>
      <c r="G7" s="236"/>
    </row>
    <row r="8" spans="1:7" ht="40" customHeight="1" thickBot="1">
      <c r="A8" s="237" t="s">
        <v>64</v>
      </c>
      <c r="B8" s="238"/>
      <c r="C8" s="239"/>
      <c r="D8" s="234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520</v>
      </c>
      <c r="E8" s="235"/>
      <c r="F8" s="235"/>
      <c r="G8" s="236"/>
    </row>
    <row r="9" spans="1:7" ht="38.5" customHeight="1" thickBot="1">
      <c r="A9" s="237" t="s">
        <v>84</v>
      </c>
      <c r="B9" s="238"/>
      <c r="C9" s="239"/>
      <c r="D9" s="234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5"/>
      <c r="F9" s="235"/>
      <c r="G9" s="236"/>
    </row>
    <row r="10" spans="1:7" ht="38" customHeight="1" thickBot="1">
      <c r="A10" s="237" t="s">
        <v>84</v>
      </c>
      <c r="B10" s="238"/>
      <c r="C10" s="239"/>
      <c r="D10" s="234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5"/>
      <c r="F10" s="235"/>
      <c r="G10" s="236"/>
    </row>
    <row r="11" spans="1:7" ht="38.5" customHeight="1" thickBot="1">
      <c r="A11" s="237" t="s">
        <v>84</v>
      </c>
      <c r="B11" s="238"/>
      <c r="C11" s="239"/>
      <c r="D11" s="234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5"/>
      <c r="F11" s="235"/>
      <c r="G11" s="236"/>
    </row>
    <row r="12" spans="1:7" ht="36.5" customHeight="1" thickBot="1">
      <c r="A12" s="237" t="s">
        <v>84</v>
      </c>
      <c r="B12" s="238"/>
      <c r="C12" s="239"/>
      <c r="D12" s="234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5"/>
      <c r="F12" s="235"/>
      <c r="G12" s="236"/>
    </row>
    <row r="13" spans="1:7" ht="38" customHeight="1" thickBot="1">
      <c r="A13" s="237" t="s">
        <v>84</v>
      </c>
      <c r="B13" s="238"/>
      <c r="C13" s="239"/>
      <c r="D13" s="234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5"/>
      <c r="F13" s="235"/>
      <c r="G13" s="236"/>
    </row>
    <row r="14" spans="1:7" ht="29" thickBot="1">
      <c r="A14" s="237" t="s">
        <v>84</v>
      </c>
      <c r="B14" s="238"/>
      <c r="C14" s="239"/>
      <c r="D14" s="234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5"/>
      <c r="F14" s="235"/>
      <c r="G14" s="236"/>
    </row>
    <row r="15" spans="1:7" ht="29" thickBot="1">
      <c r="A15" s="237" t="s">
        <v>84</v>
      </c>
      <c r="B15" s="238"/>
      <c r="C15" s="239"/>
      <c r="D15" s="234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5"/>
      <c r="F15" s="235"/>
      <c r="G15" s="236"/>
    </row>
    <row r="16" spans="1:7" ht="29" thickBot="1">
      <c r="A16" s="237" t="s">
        <v>84</v>
      </c>
      <c r="B16" s="238"/>
      <c r="C16" s="239"/>
      <c r="D16" s="234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5"/>
      <c r="F16" s="235"/>
      <c r="G16" s="236"/>
    </row>
    <row r="17" spans="1:7" ht="29" thickBot="1">
      <c r="A17" s="237" t="s">
        <v>65</v>
      </c>
      <c r="B17" s="238"/>
      <c r="C17" s="239"/>
      <c r="D17" s="240">
        <f>SUM(D4:D16)</f>
        <v>4467</v>
      </c>
      <c r="E17" s="241"/>
      <c r="F17" s="241"/>
      <c r="G17" s="242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2026-03-31T18:05:52Z</dcterms:modified>
</cp:coreProperties>
</file>