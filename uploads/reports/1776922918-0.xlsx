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<sst xmlns="http://schemas.openxmlformats.org/spreadsheetml/2006/main" count="1785" uniqueCount="92">
  <si>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</si>
  <si>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</si>
  <si>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</si>
  <si>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</si>
  <si>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</si>
  <si>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</si>
  <si>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</si>
  <si>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</si>
  <si>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</si>
  <si>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</si>
  <si>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</si>
  <si>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</si>
  <si>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</si>
  <si>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</si>
  <si>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</si>
  <si>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</si>
  <si>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</si>
  <si>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</si>
  <si>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</si>
  <si>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</si>
  <si>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</si>
  <si>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</si>
  <si>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</si>
  <si>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</si>
  <si>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</si>
  <si>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</si>
  <si>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</si>
  <si>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</si>
  <si>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</si>
  <si>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</si>
  <si>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</si>
  <si>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</si>
  <si>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</si>
  <si>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</si>
  <si>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</si>
  <si>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</si>
  <si>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</si>
  <si>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</si>
  <si>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</si>
  <si>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</si>
  <si>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</si>
  <si>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</si>
  <si>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</si>
  <si>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</si>
  <si>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</si>
  <si>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</si>
  <si>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</si>
  <si>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</si>
  <si>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</si>
  <si>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</si>
  <si>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</si>
  <si>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</si>
  <si>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</si>
  <si>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</si>
  <si>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</si>
  <si>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</si>
  <si>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</si>
  <si>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</si>
  <si>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</si>
  <si>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</si>
  <si>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</si>
  <si>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</si>
  <si>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</si>
  <si>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</si>
  <si>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</si>
  <si>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</si>
  <si>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</si>
  <si>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</si>
  <si>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</si>
  <si>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</si>
  <si>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</si>
  <si>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</si>
  <si>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</si>
  <si>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</si>
  <si>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</si>
  <si>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</si>
  <si>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</si>
  <si>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</si>
  <si>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</si>
  <si>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</si>
  <si>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</si>
  <si>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</si>
  <si>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</si>
  <si>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</si>
  <si>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</si>
  <si>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22/04 /2026</t>
  </si>
  <si>
    <t>MUSHIMIYIMANA ISABELLE</t>
  </si>
  <si>
    <t>0783978338</t>
  </si>
  <si>
    <t>NIYIREMA GERMAINE</t>
  </si>
  <si>
    <t>MUTAMBUKA J PAUL</t>
  </si>
  <si>
    <t>0783251212</t>
  </si>
  <si>
    <t>0788770675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</si>
</sst>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0.15254237288135594</v>
      </c>
      <c r="C21" s="18">
        <f>KIREHE!G29</f>
        <v>11100</v>
      </c>
      <c r="D21" s="20"/>
      <c r="E21" s="21"/>
      <c r="F21" s="14">
        <f t="shared" si="0"/>
        <v>11100.152542372882</v>
      </c>
      <c r="G21" s="17">
        <f>KIREHE!C33</f>
        <v>0</v>
      </c>
      <c r="H21" s="18">
        <f>KIREHE!C31</f>
        <v>11100.152542372882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0.15254237288135594</v>
      </c>
      <c r="C29" s="33">
        <f t="shared" si="1"/>
        <v>11100</v>
      </c>
      <c r="D29" s="34">
        <f t="shared" si="1"/>
        <v>0</v>
      </c>
      <c r="E29" s="33">
        <f t="shared" si="1"/>
        <v>0</v>
      </c>
      <c r="F29" s="33">
        <f t="shared" si="1"/>
        <v>11100.152542372882</v>
      </c>
      <c r="G29" s="34">
        <f t="shared" si="1"/>
        <v>0</v>
      </c>
      <c r="H29" s="34">
        <f t="shared" si="1"/>
        <v>8374422.1525423732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11100.152542372882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10">
        <f>SUM(F29,G29)</f>
        <v>11100.152542372882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10">
        <f>SUM(H29,J29,I29)</f>
        <v>8374422.1525423732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10">
        <f>SUM(D29:E29)</f>
        <v>0</v>
      </c>
      <c r="D35" s="107"/>
      <c r="E35" s="124"/>
      <c r="F35" s="127"/>
      <c r="G35" s="127"/>
      <c r="H35" s="127"/>
      <c r="I35" s="109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10">
        <f>SUM(C33,C35)</f>
        <v>11100.152542372882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8" t="s">
        <v>40</v>
      </c>
      <c r="B37" s="109"/>
      <c r="C37" s="110">
        <f>SUM(C34:C35)</f>
        <v>8374422.1525423732</v>
      </c>
      <c r="D37" s="107"/>
      <c r="E37" s="124"/>
      <c r="F37" s="127"/>
      <c r="G37" s="127"/>
      <c r="H37" s="127"/>
      <c r="I37" s="109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0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6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4" t="s">
        <v>82</v>
      </c>
      <c r="C62" s="129"/>
      <c r="D62" s="107"/>
      <c r="E62" s="165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83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B62" s="136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07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63">
        <f>SUM(B13:B14)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8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8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SUM(B11:B14)</f>
        <v>0</v>
      </c>
      <c r="F49" s="129"/>
      <c r="G49" s="129"/>
      <c r="H49" s="107"/>
    </row>
    <row r="50" spans="1:8" ht="14.25" customHeight="1">
      <c r="A50" s="37"/>
      <c r="B50" s="143" t="s">
        <v>52</v>
      </c>
      <c r="C50" s="129"/>
      <c r="D50" s="107"/>
      <c r="E50" s="163">
        <f>SUM(B8:B10)</f>
        <v>0</v>
      </c>
      <c r="F50" s="129"/>
      <c r="G50" s="129"/>
      <c r="H50" s="107"/>
    </row>
    <row r="51" spans="1:8" ht="14.25" customHeight="1">
      <c r="A51" s="37"/>
      <c r="B51" s="143" t="s">
        <v>80</v>
      </c>
      <c r="C51" s="129"/>
      <c r="D51" s="107"/>
      <c r="E51" s="163">
        <f>SUM(B15:B16)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10">
        <f>SUM(B19:B20)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SUM(B29:B30)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0" si="7">B31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>B45</f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09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24" workbookViewId="0">
      <selection activeCell="E34" sqref="E34:F3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85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1">
        <v>2360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11100</v>
      </c>
      <c r="E22" s="61">
        <f t="shared" si="6"/>
        <v>1</v>
      </c>
      <c r="F22" s="62">
        <f t="shared" si="7"/>
        <v>0.15254237288135594</v>
      </c>
      <c r="G22" s="62">
        <f t="shared" si="8"/>
        <v>11100</v>
      </c>
      <c r="H22" s="62">
        <f t="shared" si="9"/>
        <v>11100.152542372882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</v>
      </c>
      <c r="F29" s="74">
        <f t="shared" si="10"/>
        <v>0.15254237288135594</v>
      </c>
      <c r="G29" s="75">
        <f t="shared" si="10"/>
        <v>11100</v>
      </c>
      <c r="H29" s="76">
        <f t="shared" si="9"/>
        <v>11100.152542372882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>
        <f>H29</f>
        <v>11100.152542372882</v>
      </c>
      <c r="D31" s="82"/>
      <c r="E31" s="150" t="s">
        <v>86</v>
      </c>
      <c r="F31" s="151"/>
      <c r="G31" s="103" t="s">
        <v>87</v>
      </c>
      <c r="H31" s="84">
        <v>5000</v>
      </c>
    </row>
    <row r="32" spans="1:8" ht="15" customHeight="1">
      <c r="A32" s="146" t="s">
        <v>70</v>
      </c>
      <c r="B32" s="107"/>
      <c r="C32" s="85"/>
      <c r="D32" s="86"/>
      <c r="E32" s="141" t="s">
        <v>89</v>
      </c>
      <c r="F32" s="142"/>
      <c r="G32" s="104" t="s">
        <v>90</v>
      </c>
      <c r="H32" s="88">
        <v>2600</v>
      </c>
    </row>
    <row r="33" spans="1:8" ht="14.25" customHeight="1">
      <c r="A33" s="146" t="s">
        <v>71</v>
      </c>
      <c r="B33" s="107"/>
      <c r="C33" s="89"/>
      <c r="D33" s="82"/>
      <c r="E33" s="157" t="s">
        <v>88</v>
      </c>
      <c r="F33" s="142"/>
      <c r="G33" s="104" t="s">
        <v>91</v>
      </c>
      <c r="H33" s="88">
        <v>3500</v>
      </c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105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102">
        <f>C31</f>
        <v>11100.152542372882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1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1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09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9"/>
    </row>
    <row r="3" spans="1:7" ht="14.25" customHeight="1">
      <c r="A3" s="183" t="s">
        <v>77</v>
      </c>
      <c r="B3" s="129"/>
      <c r="C3" s="107"/>
      <c r="D3" s="183" t="s">
        <v>78</v>
      </c>
      <c r="E3" s="129"/>
      <c r="F3" s="129"/>
      <c r="G3" s="107"/>
    </row>
    <row r="4" spans="1:7" ht="41.25" customHeight="1">
      <c r="A4" s="181" t="s">
        <v>79</v>
      </c>
      <c r="B4" s="129"/>
      <c r="C4" s="107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81" t="s">
        <v>52</v>
      </c>
      <c r="B5" s="129"/>
      <c r="C5" s="107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81" t="s">
        <v>56</v>
      </c>
      <c r="B6" s="129"/>
      <c r="C6" s="107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0">
        <f>SUM(D4:D16)</f>
        <v>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2026-04-23T05:37:32Z</dcterms:modified>
</cp:coreProperties>
</file>