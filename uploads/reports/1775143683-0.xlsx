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C37" i="23" l="1"/>
  <c r="C31" i="23"/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F17" i="23"/>
  <c r="E17" i="23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H29" i="1" s="1"/>
  <c r="C34" i="1" s="1"/>
  <c r="C37" i="1" s="1"/>
  <c r="G5" i="1"/>
  <c r="G29" i="1" s="1"/>
  <c r="H19" i="23" l="1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<sst xmlns="http://schemas.openxmlformats.org/spreadsheetml/2006/main" count="1779" uniqueCount="85">
  <si>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</si>
  <si>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</si>
  <si>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</si>
  <si>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</si>
  <si>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</si>
  <si>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</si>
  <si>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</si>
  <si>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</si>
  <si>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</si>
  <si>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</si>
  <si>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</si>
  <si>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</si>
  <si>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</si>
  <si>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</si>
  <si>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</si>
  <si>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</si>
  <si>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</si>
  <si>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</si>
  <si>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</si>
  <si>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</si>
  <si>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</si>
  <si>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</si>
  <si>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</si>
  <si>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</si>
  <si>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</si>
  <si>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</si>
  <si>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</si>
  <si>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</si>
  <si>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</si>
  <si>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</si>
  <si>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</si>
  <si>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</si>
  <si>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</si>
  <si>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</si>
  <si>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</si>
  <si>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</si>
  <si>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</si>
  <si>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</si>
  <si>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</si>
  <si>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</si>
  <si>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</si>
  <si>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</si>
  <si>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</si>
  <si>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</si>
  <si>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</si>
  <si>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</si>
  <si>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</si>
  <si>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</si>
  <si>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</si>
  <si>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</si>
  <si>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</si>
  <si>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</si>
  <si>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</si>
  <si>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</si>
  <si>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</si>
  <si>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</si>
  <si>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</si>
  <si>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</si>
  <si>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</si>
  <si>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</si>
  <si>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</si>
  <si>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</si>
  <si>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</si>
  <si>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</si>
  <si>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</si>
  <si>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</si>
  <si>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</si>
  <si>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</si>
  <si>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</si>
  <si>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</si>
  <si>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</si>
  <si>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</si>
  <si>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</si>
  <si>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</si>
  <si>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</si>
  <si>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</si>
  <si>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</si>
  <si>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</si>
  <si>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</si>
  <si>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</si>
  <si>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</si>
  <si>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</si>
  <si>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</si>
  <si>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</si>
  <si>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MONTH'S REPORT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</si>
</sst>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  <xf numFmtId="43" fontId="15" fillId="0" borderId="4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1168554.6610169492</v>
      </c>
      <c r="C21" s="18">
        <f>KIREHE!G29</f>
        <v>303435</v>
      </c>
      <c r="D21" s="20"/>
      <c r="E21" s="21"/>
      <c r="F21" s="14">
        <f t="shared" si="0"/>
        <v>1471989.6610169492</v>
      </c>
      <c r="G21" s="17">
        <f>KIREHE!C33</f>
        <v>0</v>
      </c>
      <c r="H21" s="18">
        <f>KIREHE!C31</f>
        <v>1471989.6610169492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1168554.6610169492</v>
      </c>
      <c r="C29" s="33">
        <f t="shared" si="1"/>
        <v>303435</v>
      </c>
      <c r="D29" s="34">
        <f t="shared" si="1"/>
        <v>0</v>
      </c>
      <c r="E29" s="33">
        <f t="shared" si="1"/>
        <v>0</v>
      </c>
      <c r="F29" s="33">
        <f t="shared" si="1"/>
        <v>1471989.6610169492</v>
      </c>
      <c r="G29" s="34">
        <f t="shared" si="1"/>
        <v>0</v>
      </c>
      <c r="H29" s="34">
        <f t="shared" si="1"/>
        <v>9835311.6610169485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1471989.6610169492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1471989.6610169492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9835311.6610169485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1471989.6610169492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9835311.6610169485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>
        <v>7670</v>
      </c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>
        <v>4130</v>
      </c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C7" sqref="C7:D7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2637</v>
      </c>
      <c r="C10" s="144">
        <v>2124</v>
      </c>
      <c r="D10" s="139"/>
      <c r="E10" s="48">
        <f t="shared" si="0"/>
        <v>5600988</v>
      </c>
      <c r="F10" s="48">
        <f t="shared" si="1"/>
        <v>854388</v>
      </c>
      <c r="G10" s="48">
        <f t="shared" si="4"/>
        <v>79110</v>
      </c>
      <c r="H10" s="49">
        <f t="shared" si="3"/>
        <v>933498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1310</v>
      </c>
      <c r="C17" s="56">
        <v>1000</v>
      </c>
      <c r="D17" s="56">
        <v>30</v>
      </c>
      <c r="E17" s="57">
        <f t="shared" ref="E17:E28" si="6">PRODUCT(B17*C17)</f>
        <v>1310000</v>
      </c>
      <c r="F17" s="58">
        <f t="shared" ref="F17:F28" si="7">PRODUCT(E17*18)/118</f>
        <v>199830.50847457626</v>
      </c>
      <c r="G17" s="58">
        <f t="shared" ref="G17:G28" si="8">PRODUCT(B17*D17)</f>
        <v>39300</v>
      </c>
      <c r="H17" s="58">
        <f t="shared" ref="H17:H29" si="9">SUM(F17:G17)</f>
        <v>239130.50847457626</v>
      </c>
    </row>
    <row r="18" spans="1:8" ht="14.25" customHeight="1">
      <c r="A18" s="59" t="s">
        <v>61</v>
      </c>
      <c r="B18" s="60">
        <v>136</v>
      </c>
      <c r="C18" s="60">
        <v>1180</v>
      </c>
      <c r="D18" s="60">
        <v>30</v>
      </c>
      <c r="E18" s="61">
        <f t="shared" si="6"/>
        <v>160480</v>
      </c>
      <c r="F18" s="62">
        <f t="shared" si="7"/>
        <v>24480</v>
      </c>
      <c r="G18" s="62">
        <f t="shared" si="8"/>
        <v>4080</v>
      </c>
      <c r="H18" s="62">
        <f t="shared" si="9"/>
        <v>28560</v>
      </c>
    </row>
    <row r="19" spans="1:8" ht="14.25" customHeight="1">
      <c r="A19" s="63" t="s">
        <v>56</v>
      </c>
      <c r="B19" s="64">
        <v>384</v>
      </c>
      <c r="C19" s="64">
        <v>1534</v>
      </c>
      <c r="D19" s="64">
        <v>30</v>
      </c>
      <c r="E19" s="61">
        <f t="shared" si="6"/>
        <v>589056</v>
      </c>
      <c r="F19" s="62">
        <f t="shared" si="7"/>
        <v>89856</v>
      </c>
      <c r="G19" s="62">
        <f t="shared" si="8"/>
        <v>11520</v>
      </c>
      <c r="H19" s="62">
        <f t="shared" si="9"/>
        <v>101376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169425</v>
      </c>
      <c r="E22" s="61">
        <f t="shared" si="6"/>
        <v>1</v>
      </c>
      <c r="F22" s="62">
        <f t="shared" si="7"/>
        <v>0.15254237288135594</v>
      </c>
      <c r="G22" s="62">
        <f t="shared" si="8"/>
        <v>169425</v>
      </c>
      <c r="H22" s="62">
        <f t="shared" si="9"/>
        <v>169425.15254237287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7660525</v>
      </c>
      <c r="F29" s="74">
        <f t="shared" si="10"/>
        <v>1168554.6610169492</v>
      </c>
      <c r="G29" s="75">
        <f t="shared" si="10"/>
        <v>303435</v>
      </c>
      <c r="H29" s="76">
        <f t="shared" si="9"/>
        <v>1471989.6610169492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f>H29</f>
        <v>1471989.6610169492</v>
      </c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180">
        <f>C34+C31+C35</f>
        <v>1471989.6610169492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2637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1446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384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1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4468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2637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1446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384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4468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2026-04-02T15:21:51Z</dcterms:modified>
</cp:coreProperties>
</file>