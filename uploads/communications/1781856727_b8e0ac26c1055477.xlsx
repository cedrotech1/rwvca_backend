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my RWVCA\Desktop\REQUISITIONS 2026\"/>
    </mc:Choice>
  </mc:AlternateContent>
  <bookViews>
    <workbookView xWindow="0" yWindow="0" windowWidth="20490" windowHeight="7500" tabRatio="313"/>
  </bookViews>
  <sheets>
    <sheet name="Sheet1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8" l="1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11" i="8" l="1"/>
  <c r="E12" i="8"/>
  <c r="E13" i="8"/>
  <c r="E14" i="8"/>
  <c r="E15" i="8"/>
  <c r="E16" i="8"/>
  <c r="E17" i="8"/>
  <c r="E18" i="8"/>
  <c r="E48" i="8" l="1"/>
</calcChain>
</file>

<file path=xl/sharedStrings.xml><?xml version="1.0" encoding="utf-8"?>
<sst xmlns="http://schemas.openxmlformats.org/spreadsheetml/2006/main" count="99" uniqueCount="67">
  <si>
    <t>PURCHASE ORDER</t>
  </si>
  <si>
    <t>supplier : NYIRASAFARI JEMIMA</t>
  </si>
  <si>
    <t>No</t>
  </si>
  <si>
    <t>ITEM</t>
  </si>
  <si>
    <t>QTY</t>
  </si>
  <si>
    <t>UNIT PRICE</t>
  </si>
  <si>
    <t>Water-inyanye, box of 12pcs</t>
  </si>
  <si>
    <t>Water-inyanye, bottle 20L</t>
  </si>
  <si>
    <t>Igitoki</t>
  </si>
  <si>
    <t>Ibirayi, kinigi itoranije</t>
  </si>
  <si>
    <t>Ibijumba</t>
  </si>
  <si>
    <t xml:space="preserve">Fish - Tirapia </t>
  </si>
  <si>
    <t>Viande rouge -Imvange</t>
  </si>
  <si>
    <t>Ubunyobwa buseye-ubunyarwanda</t>
  </si>
  <si>
    <t>Ibitunguru byumye bitukura</t>
  </si>
  <si>
    <t>Inyanya</t>
  </si>
  <si>
    <t>Intoryi</t>
  </si>
  <si>
    <t>Carotte</t>
  </si>
  <si>
    <t>Pavuro nini</t>
  </si>
  <si>
    <t>Avoka</t>
  </si>
  <si>
    <t>Inanasi</t>
  </si>
  <si>
    <t>Prepared by:</t>
  </si>
  <si>
    <t>Emmanuel BIZUMUREMYI</t>
  </si>
  <si>
    <t xml:space="preserve">Membership coordinator </t>
  </si>
  <si>
    <t>VERIFIED AND APROVED BY:</t>
  </si>
  <si>
    <t>MUKANDAYAMBAJE CLAUDINE</t>
  </si>
  <si>
    <t>TOTAL PRICE</t>
  </si>
  <si>
    <t>ASSISTANT OF THE ACCOUNTANT</t>
  </si>
  <si>
    <t xml:space="preserve">                                                    RWANDA WOOD VALUE CHAIN ASSOCIATION</t>
  </si>
  <si>
    <t>Inkoko, inyarwanda</t>
  </si>
  <si>
    <t>Esui-tout, package of 2pcs</t>
  </si>
  <si>
    <t>1</t>
  </si>
  <si>
    <t>5</t>
  </si>
  <si>
    <t>Corn flour</t>
  </si>
  <si>
    <t>Amatunda</t>
  </si>
  <si>
    <t>Kill dents</t>
  </si>
  <si>
    <t>Gikukuro</t>
  </si>
  <si>
    <t>Tangawize</t>
  </si>
  <si>
    <t>Spaghettini (santa lucia), 500g 20pcs</t>
  </si>
  <si>
    <t xml:space="preserve">Viande - Liver </t>
  </si>
  <si>
    <t>Vinegar, 700ml, made in Rwanda</t>
  </si>
  <si>
    <t>Ibitunguru byumye by'umweru</t>
  </si>
  <si>
    <t>Maggie, 39cubes</t>
  </si>
  <si>
    <t>Cocombre, inzungu</t>
  </si>
  <si>
    <t>Imboga (dodo)</t>
  </si>
  <si>
    <t>Imboga (Epinard)</t>
  </si>
  <si>
    <t>Umuneke, kamara nini</t>
  </si>
  <si>
    <t>Gas, 12kg</t>
  </si>
  <si>
    <t>Serviette, supa</t>
  </si>
  <si>
    <t>Liquid soap -Simba or supa, 5l</t>
  </si>
  <si>
    <t>Handwash soap</t>
  </si>
  <si>
    <t>Cassava (Fresh)</t>
  </si>
  <si>
    <t>Lemons fresh fruit</t>
  </si>
  <si>
    <t>Red &amp; Green Apples</t>
  </si>
  <si>
    <t>Oliver oil, extra virgin, Bertini</t>
  </si>
  <si>
    <t>4</t>
  </si>
  <si>
    <t>3</t>
  </si>
  <si>
    <t>2</t>
  </si>
  <si>
    <t>7</t>
  </si>
  <si>
    <t>10</t>
  </si>
  <si>
    <t>AMASASHE</t>
  </si>
  <si>
    <t>Requisition Date: 19June 2026</t>
  </si>
  <si>
    <t xml:space="preserve">Delively date: 22 JUNE 2026 at 9h30' morning </t>
  </si>
  <si>
    <t>Details PO: RWVCA/POK/004/2026</t>
  </si>
  <si>
    <t>IBITARI MWISOKO</t>
  </si>
  <si>
    <t>0.5KG</t>
  </si>
  <si>
    <t>S/TOTAL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</si>
</sst>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43" formatCode="_-* #,##0.00_-;\-* #,##0.00_-;_-* &quot;-&quot;??_-;_-@_-"/>
    <numFmt numFmtId="164" formatCode="_ * #,##0_ ;_ * \-#,##0_ ;_ * &quot;-&quot;??_ ;_ 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b/>
      <sz val="11"/>
      <color theme="4" tint="-0.499984740745262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2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6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0" fillId="0" borderId="1" xfId="0" applyBorder="1"/>
    <xf numFmtId="0" fontId="0" fillId="0" borderId="2" xfId="0" applyBorder="1" applyAlignment="1">
      <alignment vertical="top"/>
    </xf>
    <xf numFmtId="0" fontId="0" fillId="0" borderId="0" xfId="0" applyBorder="1"/>
    <xf numFmtId="49" fontId="0" fillId="0" borderId="0" xfId="0" applyNumberFormat="1" applyBorder="1" applyAlignment="1">
      <alignment horizontal="right"/>
    </xf>
    <xf numFmtId="0" fontId="3" fillId="0" borderId="0" xfId="0" applyFont="1" applyBorder="1"/>
    <xf numFmtId="0" fontId="0" fillId="0" borderId="0" xfId="0" applyBorder="1" applyAlignment="1">
      <alignment horizontal="right"/>
    </xf>
    <xf numFmtId="49" fontId="0" fillId="0" borderId="0" xfId="0" applyNumberFormat="1" applyBorder="1"/>
    <xf numFmtId="0" fontId="0" fillId="0" borderId="4" xfId="0" applyBorder="1"/>
    <xf numFmtId="41" fontId="7" fillId="3" borderId="6" xfId="2" applyFont="1" applyFill="1" applyBorder="1" applyAlignment="1">
      <alignment vertical="center"/>
    </xf>
    <xf numFmtId="41" fontId="0" fillId="0" borderId="6" xfId="0" applyNumberFormat="1" applyBorder="1"/>
    <xf numFmtId="41" fontId="8" fillId="3" borderId="6" xfId="2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164" fontId="7" fillId="3" borderId="6" xfId="1" applyNumberFormat="1" applyFont="1" applyFill="1" applyBorder="1" applyAlignment="1">
      <alignment vertical="center"/>
    </xf>
    <xf numFmtId="0" fontId="7" fillId="3" borderId="6" xfId="0" applyFont="1" applyFill="1" applyBorder="1" applyAlignment="1">
      <alignment horizontal="left" vertical="center"/>
    </xf>
    <xf numFmtId="49" fontId="11" fillId="0" borderId="0" xfId="4" applyNumberFormat="1" applyFont="1" applyBorder="1" applyAlignment="1">
      <alignment horizontal="left"/>
    </xf>
    <xf numFmtId="0" fontId="12" fillId="0" borderId="0" xfId="4" applyFont="1" applyBorder="1" applyAlignment="1">
      <alignment vertical="top"/>
    </xf>
    <xf numFmtId="0" fontId="0" fillId="0" borderId="7" xfId="0" applyBorder="1"/>
    <xf numFmtId="0" fontId="2" fillId="0" borderId="0" xfId="0" applyFont="1" applyBorder="1"/>
    <xf numFmtId="0" fontId="6" fillId="3" borderId="6" xfId="2" applyNumberFormat="1" applyFont="1" applyFill="1" applyBorder="1" applyAlignment="1"/>
    <xf numFmtId="0" fontId="6" fillId="3" borderId="6" xfId="0" applyFont="1" applyFill="1" applyBorder="1"/>
    <xf numFmtId="0" fontId="13" fillId="0" borderId="3" xfId="4" applyFont="1" applyBorder="1"/>
    <xf numFmtId="49" fontId="0" fillId="0" borderId="0" xfId="0" applyNumberFormat="1"/>
    <xf numFmtId="0" fontId="0" fillId="0" borderId="0" xfId="0" applyBorder="1" applyAlignment="1">
      <alignment vertical="top"/>
    </xf>
    <xf numFmtId="0" fontId="2" fillId="0" borderId="2" xfId="0" applyFont="1" applyBorder="1" applyAlignment="1">
      <alignment vertical="top"/>
    </xf>
    <xf numFmtId="49" fontId="2" fillId="0" borderId="0" xfId="0" applyNumberFormat="1" applyFont="1" applyBorder="1" applyAlignment="1">
      <alignment horizontal="right"/>
    </xf>
    <xf numFmtId="0" fontId="15" fillId="2" borderId="5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right"/>
    </xf>
    <xf numFmtId="49" fontId="0" fillId="2" borderId="5" xfId="0" applyNumberFormat="1" applyFill="1" applyBorder="1"/>
    <xf numFmtId="0" fontId="0" fillId="2" borderId="0" xfId="0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right"/>
    </xf>
    <xf numFmtId="49" fontId="0" fillId="2" borderId="0" xfId="0" applyNumberFormat="1" applyFill="1" applyBorder="1"/>
    <xf numFmtId="0" fontId="4" fillId="2" borderId="0" xfId="0" applyFont="1" applyFill="1" applyBorder="1"/>
    <xf numFmtId="0" fontId="10" fillId="0" borderId="0" xfId="4" applyFont="1" applyBorder="1" applyAlignment="1">
      <alignment vertical="top"/>
    </xf>
    <xf numFmtId="0" fontId="9" fillId="0" borderId="0" xfId="0" applyFont="1" applyBorder="1" applyAlignment="1">
      <alignment horizontal="left" vertical="top"/>
    </xf>
    <xf numFmtId="49" fontId="12" fillId="0" borderId="0" xfId="4" applyNumberFormat="1" applyFont="1" applyBorder="1" applyAlignment="1">
      <alignment horizontal="left" vertical="top"/>
    </xf>
    <xf numFmtId="0" fontId="9" fillId="0" borderId="3" xfId="4" applyFont="1" applyBorder="1" applyAlignment="1">
      <alignment horizontal="left" vertical="top"/>
    </xf>
    <xf numFmtId="49" fontId="0" fillId="0" borderId="6" xfId="0" applyNumberFormat="1" applyBorder="1"/>
    <xf numFmtId="49" fontId="2" fillId="3" borderId="6" xfId="0" applyNumberFormat="1" applyFont="1" applyFill="1" applyBorder="1"/>
    <xf numFmtId="164" fontId="8" fillId="3" borderId="6" xfId="1" applyNumberFormat="1" applyFont="1" applyFill="1" applyBorder="1" applyAlignment="1">
      <alignment vertical="center"/>
    </xf>
    <xf numFmtId="0" fontId="8" fillId="3" borderId="6" xfId="0" applyFont="1" applyFill="1" applyBorder="1" applyAlignment="1">
      <alignment horizontal="left" vertical="center" wrapText="1"/>
    </xf>
    <xf numFmtId="0" fontId="7" fillId="4" borderId="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top"/>
    </xf>
    <xf numFmtId="0" fontId="5" fillId="2" borderId="12" xfId="0" applyFont="1" applyFill="1" applyBorder="1" applyAlignment="1">
      <alignment horizontal="left" vertical="top"/>
    </xf>
    <xf numFmtId="164" fontId="5" fillId="2" borderId="12" xfId="1" applyNumberFormat="1" applyFont="1" applyFill="1" applyBorder="1" applyAlignment="1" applyProtection="1">
      <alignment horizontal="left" vertical="top" wrapText="1"/>
    </xf>
    <xf numFmtId="49" fontId="9" fillId="2" borderId="12" xfId="0" applyNumberFormat="1" applyFont="1" applyFill="1" applyBorder="1"/>
    <xf numFmtId="0" fontId="9" fillId="2" borderId="13" xfId="0" applyFont="1" applyFill="1" applyBorder="1"/>
    <xf numFmtId="41" fontId="0" fillId="0" borderId="3" xfId="0" applyNumberFormat="1" applyBorder="1"/>
    <xf numFmtId="0" fontId="0" fillId="0" borderId="1" xfId="0" applyBorder="1" applyAlignment="1">
      <alignment vertical="top"/>
    </xf>
    <xf numFmtId="0" fontId="0" fillId="0" borderId="3" xfId="0" applyBorder="1"/>
    <xf numFmtId="0" fontId="12" fillId="0" borderId="8" xfId="4" applyFont="1" applyBorder="1" applyAlignment="1">
      <alignment vertical="top"/>
    </xf>
    <xf numFmtId="0" fontId="2" fillId="0" borderId="8" xfId="0" applyFont="1" applyBorder="1"/>
    <xf numFmtId="49" fontId="11" fillId="0" borderId="8" xfId="4" applyNumberFormat="1" applyFont="1" applyBorder="1" applyAlignment="1">
      <alignment horizontal="left"/>
    </xf>
    <xf numFmtId="0" fontId="13" fillId="0" borderId="9" xfId="4" applyFont="1" applyBorder="1"/>
    <xf numFmtId="49" fontId="11" fillId="0" borderId="6" xfId="4" applyNumberFormat="1" applyFont="1" applyBorder="1" applyAlignment="1">
      <alignment horizontal="left"/>
    </xf>
    <xf numFmtId="0" fontId="2" fillId="0" borderId="1" xfId="0" applyFont="1" applyBorder="1"/>
    <xf numFmtId="0" fontId="14" fillId="3" borderId="10" xfId="0" applyFont="1" applyFill="1" applyBorder="1" applyAlignment="1">
      <alignment horizontal="left" vertical="center"/>
    </xf>
    <xf numFmtId="49" fontId="2" fillId="0" borderId="0" xfId="0" applyNumberFormat="1" applyFont="1" applyBorder="1"/>
    <xf numFmtId="41" fontId="2" fillId="0" borderId="3" xfId="0" applyNumberFormat="1" applyFont="1" applyBorder="1"/>
  </cellXfs>
  <cellStyles count="5">
    <cellStyle name="Comma" xfId="1" builtinId="3"/>
    <cellStyle name="Comma [0]" xfId="2" builtinId="6"/>
    <cellStyle name="Comma [0] 2" xfId="3"/>
    <cellStyle name="Normal" xfId="0" builtinId="0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0</xdr:rowOff>
    </xdr:from>
    <xdr:ext cx="1240790" cy="746760"/>
    <xdr:pic>
      <xdr:nvPicPr>
        <xdr:cNvPr id="2" name="Picture 1" descr="D:\RWCA documents\Logo\RWVCA logo.jpe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38125" y="0"/>
          <a:ext cx="1240790" cy="74676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4</xdr:col>
      <xdr:colOff>933450</xdr:colOff>
      <xdr:row>0</xdr:row>
      <xdr:rowOff>47625</xdr:rowOff>
    </xdr:from>
    <xdr:ext cx="1028700" cy="727710"/>
    <xdr:pic>
      <xdr:nvPicPr>
        <xdr:cNvPr id="3" name="Picture 2" descr="C:\Users\HP\Downloads\psf_logo_.png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43500" y="47625"/>
          <a:ext cx="1028700" cy="72771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</xdr:col>
      <xdr:colOff>1343025</xdr:colOff>
      <xdr:row>3</xdr:row>
      <xdr:rowOff>28575</xdr:rowOff>
    </xdr:from>
    <xdr:to>
      <xdr:col>4</xdr:col>
      <xdr:colOff>723900</xdr:colOff>
      <xdr:row>3</xdr:row>
      <xdr:rowOff>28575</xdr:rowOff>
    </xdr:to>
    <xdr:cxnSp macro="">
      <xdr:nvCxnSpPr>
        <xdr:cNvPr id="4" name="AutoShape 1"/>
        <xdr:cNvCxnSpPr>
          <a:cxnSpLocks noChangeShapeType="1"/>
        </xdr:cNvCxnSpPr>
      </xdr:nvCxnSpPr>
      <xdr:spPr bwMode="auto">
        <a:xfrm>
          <a:off x="1724025" y="638175"/>
          <a:ext cx="3209925" cy="0"/>
        </a:xfrm>
        <a:prstGeom prst="straightConnector1">
          <a:avLst/>
        </a:prstGeom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topLeftCell="A2" workbookViewId="0">
      <selection activeCell="G9" sqref="G9"/>
    </sheetView>
  </sheetViews>
  <sheetFormatPr defaultRowHeight="15" x14ac:dyDescent="0.25"/>
  <cols>
    <col min="1" max="1" width="5.7109375" customWidth="1"/>
    <col min="2" max="2" width="36.42578125" customWidth="1"/>
    <col min="3" max="3" width="11.85546875" customWidth="1"/>
    <col min="4" max="4" width="9.140625" style="22"/>
    <col min="5" max="5" width="27.28515625" customWidth="1"/>
  </cols>
  <sheetData>
    <row r="1" spans="1:5" x14ac:dyDescent="0.25">
      <c r="A1" s="1"/>
      <c r="B1" s="2"/>
      <c r="C1" s="3"/>
      <c r="D1" s="4"/>
      <c r="E1" s="3"/>
    </row>
    <row r="2" spans="1:5" ht="16.5" x14ac:dyDescent="0.25">
      <c r="A2" s="1"/>
      <c r="B2" s="5"/>
      <c r="C2" s="6"/>
      <c r="D2" s="7"/>
      <c r="E2" s="8"/>
    </row>
    <row r="3" spans="1:5" ht="16.5" x14ac:dyDescent="0.25">
      <c r="A3" s="1"/>
      <c r="B3" s="24" t="s">
        <v>28</v>
      </c>
      <c r="C3" s="5"/>
      <c r="D3" s="25"/>
      <c r="E3" s="18"/>
    </row>
    <row r="4" spans="1:5" ht="16.5" x14ac:dyDescent="0.25">
      <c r="A4" s="1"/>
      <c r="B4" s="23"/>
      <c r="C4" s="5"/>
      <c r="D4" s="4"/>
      <c r="E4" s="3"/>
    </row>
    <row r="5" spans="1:5" ht="20.25" x14ac:dyDescent="0.25">
      <c r="A5" s="1"/>
      <c r="B5" s="26" t="s">
        <v>0</v>
      </c>
      <c r="C5" s="27"/>
      <c r="D5" s="28"/>
      <c r="E5" s="29"/>
    </row>
    <row r="6" spans="1:5" x14ac:dyDescent="0.25">
      <c r="A6" s="1"/>
      <c r="B6" s="30" t="s">
        <v>1</v>
      </c>
      <c r="C6" s="31"/>
      <c r="D6" s="32"/>
      <c r="E6" s="29"/>
    </row>
    <row r="7" spans="1:5" x14ac:dyDescent="0.25">
      <c r="A7" s="1"/>
      <c r="B7" s="30" t="s">
        <v>61</v>
      </c>
      <c r="C7" s="31"/>
      <c r="D7" s="32"/>
      <c r="E7" s="29"/>
    </row>
    <row r="8" spans="1:5" x14ac:dyDescent="0.25">
      <c r="A8" s="1"/>
      <c r="B8" s="30" t="s">
        <v>62</v>
      </c>
      <c r="C8" s="31"/>
      <c r="D8" s="32"/>
      <c r="E8" s="29"/>
    </row>
    <row r="9" spans="1:5" ht="15.75" thickBot="1" x14ac:dyDescent="0.3">
      <c r="A9" s="1"/>
      <c r="B9" s="33" t="s">
        <v>63</v>
      </c>
      <c r="C9" s="31"/>
      <c r="D9" s="32"/>
      <c r="E9" s="29"/>
    </row>
    <row r="10" spans="1:5" ht="31.5" x14ac:dyDescent="0.25">
      <c r="A10" s="43" t="s">
        <v>2</v>
      </c>
      <c r="B10" s="44" t="s">
        <v>3</v>
      </c>
      <c r="C10" s="45" t="s">
        <v>5</v>
      </c>
      <c r="D10" s="46" t="s">
        <v>4</v>
      </c>
      <c r="E10" s="47" t="s">
        <v>26</v>
      </c>
    </row>
    <row r="11" spans="1:5" ht="15.75" x14ac:dyDescent="0.25">
      <c r="A11" s="19">
        <v>2</v>
      </c>
      <c r="B11" s="9" t="s">
        <v>6</v>
      </c>
      <c r="C11" s="9">
        <v>5994</v>
      </c>
      <c r="D11" s="38" t="s">
        <v>55</v>
      </c>
      <c r="E11" s="10">
        <f t="shared" ref="E11:E28" si="0">C11*D11</f>
        <v>23976</v>
      </c>
    </row>
    <row r="12" spans="1:5" ht="15.75" x14ac:dyDescent="0.25">
      <c r="A12" s="19">
        <v>3</v>
      </c>
      <c r="B12" s="9" t="s">
        <v>7</v>
      </c>
      <c r="C12" s="9">
        <v>5328</v>
      </c>
      <c r="D12" s="38" t="s">
        <v>56</v>
      </c>
      <c r="E12" s="10">
        <f t="shared" si="0"/>
        <v>15984</v>
      </c>
    </row>
    <row r="13" spans="1:5" ht="15.75" x14ac:dyDescent="0.25">
      <c r="A13" s="19">
        <v>12</v>
      </c>
      <c r="B13" s="9" t="s">
        <v>37</v>
      </c>
      <c r="C13" s="9">
        <v>4800</v>
      </c>
      <c r="D13" s="38" t="s">
        <v>31</v>
      </c>
      <c r="E13" s="10">
        <f t="shared" si="0"/>
        <v>4800</v>
      </c>
    </row>
    <row r="14" spans="1:5" ht="15.75" x14ac:dyDescent="0.25">
      <c r="A14" s="19">
        <v>18</v>
      </c>
      <c r="B14" s="9" t="s">
        <v>38</v>
      </c>
      <c r="C14" s="9">
        <v>33600</v>
      </c>
      <c r="D14" s="38" t="s">
        <v>31</v>
      </c>
      <c r="E14" s="10">
        <f t="shared" si="0"/>
        <v>33600</v>
      </c>
    </row>
    <row r="15" spans="1:5" ht="15.75" x14ac:dyDescent="0.25">
      <c r="A15" s="19">
        <v>21</v>
      </c>
      <c r="B15" s="9" t="s">
        <v>8</v>
      </c>
      <c r="C15" s="9">
        <v>905.76</v>
      </c>
      <c r="D15" s="38" t="s">
        <v>32</v>
      </c>
      <c r="E15" s="10">
        <f t="shared" si="0"/>
        <v>4528.8</v>
      </c>
    </row>
    <row r="16" spans="1:5" ht="15.75" x14ac:dyDescent="0.25">
      <c r="A16" s="19">
        <v>22</v>
      </c>
      <c r="B16" s="9" t="s">
        <v>9</v>
      </c>
      <c r="C16" s="9">
        <v>1731.6</v>
      </c>
      <c r="D16" s="38" t="s">
        <v>59</v>
      </c>
      <c r="E16" s="10">
        <f t="shared" si="0"/>
        <v>17316</v>
      </c>
    </row>
    <row r="17" spans="1:5" ht="15.75" x14ac:dyDescent="0.25">
      <c r="A17" s="19">
        <v>23</v>
      </c>
      <c r="B17" s="9" t="s">
        <v>10</v>
      </c>
      <c r="C17" s="9">
        <v>1110</v>
      </c>
      <c r="D17" s="38" t="s">
        <v>55</v>
      </c>
      <c r="E17" s="10">
        <f t="shared" si="0"/>
        <v>4440</v>
      </c>
    </row>
    <row r="18" spans="1:5" ht="15.75" x14ac:dyDescent="0.25">
      <c r="A18" s="19">
        <v>31</v>
      </c>
      <c r="B18" s="9" t="s">
        <v>29</v>
      </c>
      <c r="C18" s="9">
        <v>12800</v>
      </c>
      <c r="D18" s="38" t="s">
        <v>57</v>
      </c>
      <c r="E18" s="10">
        <f t="shared" si="0"/>
        <v>25600</v>
      </c>
    </row>
    <row r="19" spans="1:5" ht="15.75" x14ac:dyDescent="0.25">
      <c r="A19" s="19">
        <v>33</v>
      </c>
      <c r="B19" s="9" t="s">
        <v>11</v>
      </c>
      <c r="C19" s="9">
        <v>9990</v>
      </c>
      <c r="D19" s="39" t="s">
        <v>57</v>
      </c>
      <c r="E19" s="10">
        <f t="shared" si="0"/>
        <v>19980</v>
      </c>
    </row>
    <row r="20" spans="1:5" ht="15.75" x14ac:dyDescent="0.25">
      <c r="A20" s="19">
        <v>37</v>
      </c>
      <c r="B20" s="9" t="s">
        <v>12</v>
      </c>
      <c r="C20" s="9">
        <v>9600</v>
      </c>
      <c r="D20" s="55" t="s">
        <v>31</v>
      </c>
      <c r="E20" s="10">
        <f t="shared" si="0"/>
        <v>9600</v>
      </c>
    </row>
    <row r="21" spans="1:5" ht="15.75" x14ac:dyDescent="0.25">
      <c r="A21" s="19">
        <v>39</v>
      </c>
      <c r="B21" s="9" t="s">
        <v>39</v>
      </c>
      <c r="C21" s="9">
        <v>8400</v>
      </c>
      <c r="D21" s="55" t="s">
        <v>31</v>
      </c>
      <c r="E21" s="10">
        <f t="shared" si="0"/>
        <v>8400</v>
      </c>
    </row>
    <row r="22" spans="1:5" ht="15.75" x14ac:dyDescent="0.25">
      <c r="A22" s="19">
        <v>43</v>
      </c>
      <c r="B22" s="9" t="s">
        <v>40</v>
      </c>
      <c r="C22" s="9">
        <v>1332</v>
      </c>
      <c r="D22" s="38" t="s">
        <v>31</v>
      </c>
      <c r="E22" s="10">
        <f t="shared" si="0"/>
        <v>1332</v>
      </c>
    </row>
    <row r="23" spans="1:5" ht="15.75" x14ac:dyDescent="0.25">
      <c r="A23" s="19">
        <v>47</v>
      </c>
      <c r="B23" s="9" t="s">
        <v>13</v>
      </c>
      <c r="C23" s="9">
        <v>5400</v>
      </c>
      <c r="D23" s="38" t="s">
        <v>31</v>
      </c>
      <c r="E23" s="10">
        <f t="shared" si="0"/>
        <v>5400</v>
      </c>
    </row>
    <row r="24" spans="1:5" ht="15.75" x14ac:dyDescent="0.25">
      <c r="A24" s="19">
        <v>49</v>
      </c>
      <c r="B24" s="9" t="s">
        <v>14</v>
      </c>
      <c r="C24" s="9">
        <v>2080</v>
      </c>
      <c r="D24" s="38" t="s">
        <v>31</v>
      </c>
      <c r="E24" s="10">
        <f t="shared" si="0"/>
        <v>2080</v>
      </c>
    </row>
    <row r="25" spans="1:5" ht="15.75" x14ac:dyDescent="0.25">
      <c r="A25" s="19">
        <v>50</v>
      </c>
      <c r="B25" s="9" t="s">
        <v>41</v>
      </c>
      <c r="C25" s="9">
        <v>2720</v>
      </c>
      <c r="D25" s="38" t="s">
        <v>31</v>
      </c>
      <c r="E25" s="10">
        <f t="shared" si="0"/>
        <v>2720</v>
      </c>
    </row>
    <row r="26" spans="1:5" ht="15.75" x14ac:dyDescent="0.25">
      <c r="A26" s="19">
        <v>52</v>
      </c>
      <c r="B26" s="9" t="s">
        <v>42</v>
      </c>
      <c r="C26" s="9">
        <v>3330</v>
      </c>
      <c r="D26" s="38" t="s">
        <v>31</v>
      </c>
      <c r="E26" s="10">
        <f t="shared" si="0"/>
        <v>3330</v>
      </c>
    </row>
    <row r="27" spans="1:5" ht="15.75" x14ac:dyDescent="0.25">
      <c r="A27" s="19">
        <v>61</v>
      </c>
      <c r="B27" s="9" t="s">
        <v>15</v>
      </c>
      <c r="C27" s="9">
        <v>2720</v>
      </c>
      <c r="D27" s="38" t="s">
        <v>57</v>
      </c>
      <c r="E27" s="10">
        <f t="shared" si="0"/>
        <v>5440</v>
      </c>
    </row>
    <row r="28" spans="1:5" ht="15.75" x14ac:dyDescent="0.25">
      <c r="A28" s="19">
        <v>62</v>
      </c>
      <c r="B28" s="9" t="s">
        <v>16</v>
      </c>
      <c r="C28" s="9">
        <v>2080</v>
      </c>
      <c r="D28" s="38" t="s">
        <v>31</v>
      </c>
      <c r="E28" s="10">
        <f t="shared" si="0"/>
        <v>2080</v>
      </c>
    </row>
    <row r="29" spans="1:5" ht="15.75" x14ac:dyDescent="0.25">
      <c r="A29" s="19">
        <v>65</v>
      </c>
      <c r="B29" s="9" t="s">
        <v>17</v>
      </c>
      <c r="C29" s="9">
        <v>2080</v>
      </c>
      <c r="D29" s="38" t="s">
        <v>31</v>
      </c>
      <c r="E29" s="10">
        <f t="shared" ref="E29:E47" si="1">C29*D29</f>
        <v>2080</v>
      </c>
    </row>
    <row r="30" spans="1:5" ht="15.75" x14ac:dyDescent="0.25">
      <c r="A30" s="19">
        <v>68</v>
      </c>
      <c r="B30" s="9" t="s">
        <v>18</v>
      </c>
      <c r="C30" s="9">
        <v>480</v>
      </c>
      <c r="D30" s="38" t="s">
        <v>32</v>
      </c>
      <c r="E30" s="10">
        <f t="shared" si="1"/>
        <v>2400</v>
      </c>
    </row>
    <row r="31" spans="1:5" ht="15.75" x14ac:dyDescent="0.25">
      <c r="A31" s="19">
        <v>69</v>
      </c>
      <c r="B31" s="9" t="s">
        <v>43</v>
      </c>
      <c r="C31" s="9">
        <v>777</v>
      </c>
      <c r="D31" s="38" t="s">
        <v>55</v>
      </c>
      <c r="E31" s="10">
        <f t="shared" si="1"/>
        <v>3108</v>
      </c>
    </row>
    <row r="32" spans="1:5" ht="15.75" x14ac:dyDescent="0.25">
      <c r="A32" s="19">
        <v>71</v>
      </c>
      <c r="B32" s="9" t="s">
        <v>44</v>
      </c>
      <c r="C32" s="9">
        <v>840</v>
      </c>
      <c r="D32" s="38" t="s">
        <v>31</v>
      </c>
      <c r="E32" s="10">
        <f t="shared" si="1"/>
        <v>840</v>
      </c>
    </row>
    <row r="33" spans="1:5" ht="15.75" x14ac:dyDescent="0.25">
      <c r="A33" s="19">
        <v>73</v>
      </c>
      <c r="B33" s="9" t="s">
        <v>45</v>
      </c>
      <c r="C33" s="9">
        <v>1332</v>
      </c>
      <c r="D33" s="38" t="s">
        <v>31</v>
      </c>
      <c r="E33" s="10">
        <f t="shared" si="1"/>
        <v>1332</v>
      </c>
    </row>
    <row r="34" spans="1:5" ht="15.75" x14ac:dyDescent="0.25">
      <c r="A34" s="19">
        <v>80</v>
      </c>
      <c r="B34" s="9" t="s">
        <v>19</v>
      </c>
      <c r="C34" s="11">
        <v>888</v>
      </c>
      <c r="D34" s="38" t="s">
        <v>32</v>
      </c>
      <c r="E34" s="10">
        <f t="shared" si="1"/>
        <v>4440</v>
      </c>
    </row>
    <row r="35" spans="1:5" ht="15.75" x14ac:dyDescent="0.25">
      <c r="A35" s="19">
        <v>83</v>
      </c>
      <c r="B35" s="9" t="s">
        <v>34</v>
      </c>
      <c r="C35" s="9">
        <v>3600</v>
      </c>
      <c r="D35" s="38" t="s">
        <v>31</v>
      </c>
      <c r="E35" s="10">
        <f t="shared" si="1"/>
        <v>3600</v>
      </c>
    </row>
    <row r="36" spans="1:5" ht="15.75" x14ac:dyDescent="0.25">
      <c r="A36" s="19">
        <v>84</v>
      </c>
      <c r="B36" s="9" t="s">
        <v>20</v>
      </c>
      <c r="C36" s="9">
        <v>2220</v>
      </c>
      <c r="D36" s="38" t="s">
        <v>31</v>
      </c>
      <c r="E36" s="10">
        <f t="shared" si="1"/>
        <v>2220</v>
      </c>
    </row>
    <row r="37" spans="1:5" ht="15.75" x14ac:dyDescent="0.25">
      <c r="A37" s="19">
        <v>87</v>
      </c>
      <c r="B37" s="9" t="s">
        <v>46</v>
      </c>
      <c r="C37" s="9">
        <v>3600</v>
      </c>
      <c r="D37" s="38" t="s">
        <v>57</v>
      </c>
      <c r="E37" s="10">
        <f t="shared" si="1"/>
        <v>7200</v>
      </c>
    </row>
    <row r="38" spans="1:5" ht="15.75" x14ac:dyDescent="0.25">
      <c r="A38" s="20">
        <v>90</v>
      </c>
      <c r="B38" s="12" t="s">
        <v>47</v>
      </c>
      <c r="C38" s="13">
        <v>27600</v>
      </c>
      <c r="D38" s="38" t="s">
        <v>31</v>
      </c>
      <c r="E38" s="10">
        <f t="shared" si="1"/>
        <v>27600</v>
      </c>
    </row>
    <row r="39" spans="1:5" ht="15.75" x14ac:dyDescent="0.25">
      <c r="A39" s="20">
        <v>95</v>
      </c>
      <c r="B39" s="12" t="s">
        <v>30</v>
      </c>
      <c r="C39" s="13">
        <v>4440</v>
      </c>
      <c r="D39" s="38" t="s">
        <v>31</v>
      </c>
      <c r="E39" s="10">
        <f t="shared" si="1"/>
        <v>4440</v>
      </c>
    </row>
    <row r="40" spans="1:5" ht="15.75" x14ac:dyDescent="0.25">
      <c r="A40" s="20">
        <v>96</v>
      </c>
      <c r="B40" s="12" t="s">
        <v>48</v>
      </c>
      <c r="C40" s="13">
        <v>1598.4</v>
      </c>
      <c r="D40" s="38" t="s">
        <v>57</v>
      </c>
      <c r="E40" s="10">
        <f t="shared" si="1"/>
        <v>3196.8</v>
      </c>
    </row>
    <row r="41" spans="1:5" ht="15.75" x14ac:dyDescent="0.25">
      <c r="A41" s="20">
        <v>99</v>
      </c>
      <c r="B41" s="12" t="s">
        <v>49</v>
      </c>
      <c r="C41" s="13">
        <v>5328</v>
      </c>
      <c r="D41" s="38" t="s">
        <v>31</v>
      </c>
      <c r="E41" s="10">
        <f t="shared" si="1"/>
        <v>5328</v>
      </c>
    </row>
    <row r="42" spans="1:5" ht="15.75" x14ac:dyDescent="0.25">
      <c r="A42" s="20">
        <v>103</v>
      </c>
      <c r="B42" s="12" t="s">
        <v>50</v>
      </c>
      <c r="C42" s="40">
        <v>3330</v>
      </c>
      <c r="D42" s="38" t="s">
        <v>57</v>
      </c>
      <c r="E42" s="10">
        <f t="shared" si="1"/>
        <v>6660</v>
      </c>
    </row>
    <row r="43" spans="1:5" ht="15.75" x14ac:dyDescent="0.25">
      <c r="A43" s="20">
        <v>117</v>
      </c>
      <c r="B43" s="14" t="s">
        <v>33</v>
      </c>
      <c r="C43" s="12">
        <v>3000</v>
      </c>
      <c r="D43" s="38" t="s">
        <v>31</v>
      </c>
      <c r="E43" s="10">
        <f t="shared" si="1"/>
        <v>3000</v>
      </c>
    </row>
    <row r="44" spans="1:5" ht="15.75" x14ac:dyDescent="0.25">
      <c r="A44" s="20">
        <v>118</v>
      </c>
      <c r="B44" s="14" t="s">
        <v>51</v>
      </c>
      <c r="C44" s="12">
        <v>960</v>
      </c>
      <c r="D44" s="38" t="s">
        <v>56</v>
      </c>
      <c r="E44" s="10">
        <f t="shared" si="1"/>
        <v>2880</v>
      </c>
    </row>
    <row r="45" spans="1:5" ht="15.75" x14ac:dyDescent="0.25">
      <c r="A45" s="20">
        <v>120</v>
      </c>
      <c r="B45" s="14" t="s">
        <v>52</v>
      </c>
      <c r="C45" s="12">
        <v>3000</v>
      </c>
      <c r="D45" s="38" t="s">
        <v>31</v>
      </c>
      <c r="E45" s="10">
        <f t="shared" si="1"/>
        <v>3000</v>
      </c>
    </row>
    <row r="46" spans="1:5" ht="15.75" x14ac:dyDescent="0.25">
      <c r="A46" s="20">
        <v>123</v>
      </c>
      <c r="B46" s="14" t="s">
        <v>53</v>
      </c>
      <c r="C46" s="12">
        <v>960</v>
      </c>
      <c r="D46" s="38" t="s">
        <v>58</v>
      </c>
      <c r="E46" s="10">
        <f t="shared" si="1"/>
        <v>6720</v>
      </c>
    </row>
    <row r="47" spans="1:5" ht="15.75" x14ac:dyDescent="0.25">
      <c r="A47" s="20">
        <v>124</v>
      </c>
      <c r="B47" s="41" t="s">
        <v>54</v>
      </c>
      <c r="C47" s="12">
        <v>19200</v>
      </c>
      <c r="D47" s="38" t="s">
        <v>31</v>
      </c>
      <c r="E47" s="10">
        <f t="shared" si="1"/>
        <v>19200</v>
      </c>
    </row>
    <row r="48" spans="1:5" x14ac:dyDescent="0.25">
      <c r="A48" s="56"/>
      <c r="B48" s="57" t="s">
        <v>66</v>
      </c>
      <c r="C48" s="18"/>
      <c r="D48" s="58"/>
      <c r="E48" s="59">
        <f>SUM(E11:E47)</f>
        <v>299851.59999999998</v>
      </c>
    </row>
    <row r="49" spans="1:5" x14ac:dyDescent="0.25">
      <c r="A49" s="1"/>
      <c r="B49" s="42" t="s">
        <v>64</v>
      </c>
      <c r="C49" s="3"/>
      <c r="D49" s="7"/>
      <c r="E49" s="48"/>
    </row>
    <row r="50" spans="1:5" x14ac:dyDescent="0.25">
      <c r="A50" s="49">
        <v>1</v>
      </c>
      <c r="B50" s="23" t="s">
        <v>35</v>
      </c>
      <c r="C50" s="3"/>
      <c r="D50" s="7" t="s">
        <v>31</v>
      </c>
      <c r="E50" s="50"/>
    </row>
    <row r="51" spans="1:5" x14ac:dyDescent="0.25">
      <c r="A51" s="49">
        <v>2</v>
      </c>
      <c r="B51" s="23" t="s">
        <v>36</v>
      </c>
      <c r="C51" s="3"/>
      <c r="D51" s="7" t="s">
        <v>65</v>
      </c>
      <c r="E51" s="50"/>
    </row>
    <row r="52" spans="1:5" x14ac:dyDescent="0.25">
      <c r="A52" s="49">
        <v>3</v>
      </c>
      <c r="B52" s="3" t="s">
        <v>60</v>
      </c>
      <c r="C52" s="3"/>
      <c r="D52" s="7" t="s">
        <v>31</v>
      </c>
      <c r="E52" s="50"/>
    </row>
    <row r="53" spans="1:5" x14ac:dyDescent="0.25">
      <c r="A53" s="1"/>
      <c r="B53" s="3"/>
      <c r="C53" s="3"/>
      <c r="D53" s="7"/>
      <c r="E53" s="50"/>
    </row>
    <row r="54" spans="1:5" ht="15.75" x14ac:dyDescent="0.25">
      <c r="A54" s="1"/>
      <c r="B54" s="34" t="s">
        <v>21</v>
      </c>
      <c r="C54" s="35" t="s">
        <v>24</v>
      </c>
      <c r="D54" s="36"/>
      <c r="E54" s="37"/>
    </row>
    <row r="55" spans="1:5" ht="15.75" x14ac:dyDescent="0.25">
      <c r="A55" s="1"/>
      <c r="B55" s="16" t="s">
        <v>22</v>
      </c>
      <c r="C55" s="18" t="s">
        <v>25</v>
      </c>
      <c r="D55" s="15"/>
      <c r="E55" s="21"/>
    </row>
    <row r="56" spans="1:5" ht="15.75" x14ac:dyDescent="0.25">
      <c r="A56" s="1"/>
      <c r="B56" s="16"/>
      <c r="C56" s="18"/>
      <c r="D56" s="15"/>
      <c r="E56" s="21"/>
    </row>
    <row r="57" spans="1:5" ht="16.5" thickBot="1" x14ac:dyDescent="0.3">
      <c r="A57" s="17"/>
      <c r="B57" s="51" t="s">
        <v>23</v>
      </c>
      <c r="C57" s="52" t="s">
        <v>27</v>
      </c>
      <c r="D57" s="53"/>
      <c r="E57" s="54"/>
    </row>
  </sheetData>
  <sortState ref="A11:E40">
    <sortCondition ref="A11:A40"/>
  </sortState>
  <pageMargins left="0.7" right="0.7" top="0.75" bottom="0.75" header="0.3" footer="0.3"/>
  <pageSetup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 RWVCA</dc:creator>
  <cp:lastModifiedBy>Emmy RWVCA</cp:lastModifiedBy>
  <cp:lastPrinted>2026-06-01T10:14:29Z</cp:lastPrinted>
  <dcterms:created xsi:type="dcterms:W3CDTF">2026-02-20T04:42:49Z</dcterms:created>
  <dcterms:modified xsi:type="dcterms:W3CDTF">2026-06-19T08:03:49Z</dcterms:modified>
</cp:coreProperties>
</file>