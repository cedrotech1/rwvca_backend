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20490" windowHeight="75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82" i="1" l="1"/>
  <c r="AB79" i="1"/>
  <c r="AB200" i="1" l="1"/>
  <c r="AB85" i="1"/>
  <c r="AB162" i="1"/>
  <c r="AB103" i="1"/>
  <c r="AB258" i="1"/>
  <c r="AB88" i="1"/>
  <c r="AB148" i="1" l="1"/>
  <c r="AB227" i="1"/>
  <c r="AB44" i="1"/>
  <c r="AB156" i="1"/>
  <c r="AB185" i="1"/>
  <c r="AB213" i="1"/>
  <c r="AB168" i="1"/>
  <c r="AB186" i="1"/>
  <c r="AB135" i="1"/>
  <c r="AB111" i="1" l="1"/>
  <c r="AB45" i="1" l="1"/>
  <c r="AB105" i="1" l="1"/>
  <c r="AB161" i="1" l="1"/>
  <c r="AB33" i="1"/>
  <c r="AB142" i="1" l="1"/>
  <c r="AB244" i="1"/>
  <c r="AB16" i="1"/>
  <c r="AB26" i="1"/>
  <c r="AB189" i="1"/>
  <c r="AB84" i="1"/>
  <c r="AB53" i="1"/>
  <c r="AB136" i="1"/>
  <c r="AB47" i="1"/>
  <c r="AB54" i="1"/>
  <c r="AB90" i="1"/>
  <c r="AB73" i="1"/>
  <c r="AB109" i="1"/>
  <c r="AB179" i="1"/>
  <c r="AB210" i="1"/>
  <c r="AB233" i="1"/>
  <c r="AB27" i="1"/>
  <c r="AB70" i="1"/>
  <c r="AB145" i="1"/>
  <c r="AB150" i="1"/>
  <c r="AB36" i="1"/>
  <c r="AB178" i="1"/>
  <c r="AB64" i="1"/>
  <c r="AB147" i="1"/>
  <c r="AB37" i="1"/>
  <c r="AB71" i="1"/>
  <c r="AB24" i="1"/>
  <c r="AB32" i="1"/>
  <c r="AB171" i="1"/>
  <c r="AB214" i="1"/>
  <c r="AB215" i="1"/>
  <c r="AB220" i="1"/>
  <c r="AB231" i="1"/>
  <c r="AB232" i="1"/>
  <c r="AB245" i="1"/>
  <c r="AB151" i="1"/>
  <c r="AB6" i="1"/>
  <c r="AB59" i="1"/>
  <c r="AB236" i="1"/>
  <c r="AB20" i="1"/>
  <c r="AB31" i="1"/>
  <c r="AB43" i="1"/>
  <c r="AB60" i="1"/>
  <c r="AB98" i="1"/>
  <c r="AB108" i="1"/>
  <c r="AB141" i="1"/>
  <c r="AB177" i="1"/>
  <c r="AB182" i="1"/>
  <c r="AB205" i="1"/>
  <c r="AB217" i="1"/>
  <c r="AB219" i="1"/>
  <c r="AB221" i="1"/>
  <c r="AB222" i="1"/>
  <c r="AB230" i="1"/>
  <c r="AB235" i="1"/>
  <c r="AB68" i="1"/>
  <c r="AB259" i="1"/>
  <c r="AB169" i="1"/>
  <c r="AB203" i="1"/>
  <c r="AB34" i="1"/>
  <c r="AB61" i="1"/>
  <c r="AB63" i="1"/>
  <c r="AB100" i="1"/>
  <c r="AB110" i="1"/>
  <c r="AB137" i="1"/>
  <c r="AB146" i="1"/>
  <c r="AB149" i="1"/>
  <c r="AB173" i="1"/>
  <c r="AB229" i="1"/>
  <c r="AB243" i="1"/>
  <c r="AB246" i="1"/>
  <c r="AB247" i="1"/>
  <c r="AB199" i="1"/>
  <c r="AB133" i="1"/>
  <c r="AB255" i="1"/>
  <c r="AB89" i="1"/>
  <c r="AB92" i="1"/>
  <c r="AB209" i="1"/>
  <c r="AB260" i="1"/>
  <c r="AB3" i="1"/>
  <c r="AB127" i="1"/>
  <c r="AB226" i="1"/>
  <c r="AB125" i="1"/>
  <c r="AB160" i="1"/>
  <c r="AB257" i="1"/>
  <c r="AB69" i="1"/>
  <c r="AB228" i="1"/>
  <c r="AB190" i="1"/>
  <c r="AB140" i="1"/>
  <c r="AB117" i="1"/>
  <c r="AB4" i="1"/>
  <c r="AB52" i="1"/>
  <c r="AB176" i="1"/>
  <c r="AB74" i="1"/>
  <c r="AB184" i="1"/>
  <c r="AB249" i="1"/>
  <c r="AB7" i="1"/>
  <c r="AB38" i="1"/>
  <c r="AB193" i="1"/>
  <c r="AB183" i="1"/>
  <c r="AB187" i="1"/>
  <c r="AB194" i="1"/>
  <c r="AB206" i="1"/>
  <c r="AB93" i="1"/>
  <c r="AB77" i="1"/>
  <c r="AB40" i="1"/>
  <c r="AB48" i="1"/>
  <c r="AB87" i="1"/>
  <c r="AB116" i="1"/>
  <c r="AB254" i="1"/>
  <c r="AB123" i="1"/>
  <c r="AB39" i="1"/>
  <c r="AB72" i="1"/>
  <c r="AB97" i="1"/>
  <c r="AB50" i="1"/>
  <c r="AB157" i="1"/>
  <c r="AB158" i="1"/>
  <c r="AB195" i="1"/>
  <c r="AB102" i="1"/>
  <c r="AB224" i="1"/>
  <c r="AB10" i="1"/>
  <c r="AB8" i="1"/>
  <c r="AB42" i="1"/>
  <c r="AB80" i="1"/>
  <c r="AB225" i="1"/>
  <c r="AB211" i="1"/>
  <c r="AB208" i="1"/>
  <c r="AB78" i="1"/>
  <c r="AB163" i="1"/>
  <c r="AB253" i="1"/>
  <c r="AB65" i="1"/>
  <c r="AB104" i="1"/>
  <c r="AB120" i="1"/>
  <c r="AB129" i="1"/>
  <c r="AB30" i="1"/>
  <c r="AB121" i="1"/>
  <c r="AB55" i="1"/>
  <c r="AB81" i="1"/>
  <c r="AB96" i="1"/>
  <c r="AB152" i="1"/>
  <c r="AB5" i="1"/>
  <c r="AB66" i="1"/>
  <c r="AB12" i="1"/>
  <c r="AB49" i="1"/>
  <c r="AB56" i="1"/>
  <c r="AB128" i="1"/>
  <c r="AB143" i="1"/>
  <c r="AB250" i="1"/>
  <c r="AB94" i="1"/>
  <c r="AB122" i="1"/>
  <c r="AB170" i="1"/>
  <c r="AB101" i="1"/>
  <c r="AB14" i="1"/>
  <c r="AB22" i="1"/>
  <c r="AB51" i="1"/>
  <c r="AB106" i="1"/>
  <c r="AB192" i="1"/>
  <c r="AB9" i="1"/>
  <c r="AB248" i="1"/>
  <c r="AB164" i="1"/>
  <c r="AB207" i="1"/>
  <c r="AB138" i="1"/>
  <c r="AB21" i="1"/>
  <c r="AB58" i="1"/>
  <c r="AB86" i="1"/>
  <c r="AB115" i="1"/>
  <c r="AB212" i="1"/>
  <c r="AB28" i="1"/>
  <c r="AB29" i="1"/>
  <c r="AB99" i="1"/>
  <c r="AB144" i="1"/>
  <c r="AB218" i="1"/>
  <c r="AB159" i="1"/>
  <c r="AB188" i="1"/>
  <c r="AB62" i="1"/>
  <c r="AB41" i="1"/>
  <c r="AB17" i="1"/>
  <c r="AB124" i="1"/>
  <c r="AB76" i="1"/>
  <c r="AB239" i="1"/>
  <c r="AB23" i="1"/>
  <c r="AB11" i="1"/>
  <c r="AB25" i="1"/>
  <c r="AB112" i="1"/>
  <c r="AB119" i="1"/>
  <c r="AB153" i="1"/>
  <c r="AB57" i="1"/>
  <c r="AB67" i="1"/>
  <c r="AB237" i="1"/>
  <c r="AB241" i="1"/>
  <c r="AB46" i="1"/>
  <c r="AB15" i="1"/>
  <c r="AB251" i="1"/>
  <c r="AB83" i="1"/>
  <c r="AB95" i="1"/>
  <c r="AB113" i="1"/>
  <c r="AB154" i="1"/>
  <c r="AB172" i="1"/>
  <c r="AB174" i="1"/>
  <c r="AB175" i="1"/>
  <c r="AB191" i="1"/>
  <c r="AB216" i="1"/>
  <c r="AB223" i="1"/>
  <c r="AB234" i="1"/>
  <c r="AB252" i="1"/>
  <c r="AB262" i="1"/>
  <c r="AB196" i="1"/>
  <c r="AB197" i="1"/>
  <c r="AB201" i="1"/>
  <c r="AB202" i="1"/>
  <c r="AB204" i="1"/>
  <c r="AB2" i="1"/>
  <c r="AB166" i="1"/>
  <c r="AB198" i="1"/>
  <c r="AB181" i="1"/>
  <c r="AB107" i="1"/>
  <c r="AB139" i="1"/>
  <c r="AB155" i="1"/>
  <c r="AB180" i="1"/>
  <c r="AB134" i="1"/>
  <c r="AB13" i="1"/>
  <c r="AB75" i="1"/>
  <c r="AB165" i="1"/>
  <c r="AB261" i="1"/>
  <c r="AB130" i="1"/>
  <c r="AB126" i="1"/>
  <c r="AB167" i="1"/>
  <c r="AB91" i="1"/>
  <c r="AB256" i="1"/>
  <c r="AB118" i="1"/>
  <c r="AB35" i="1"/>
  <c r="AB242" i="1"/>
  <c r="AB240" i="1"/>
  <c r="AB114" i="1"/>
  <c r="AB263" i="1"/>
  <c r="AB238" i="1"/>
  <c r="AB19" i="1"/>
  <c r="AB132" i="1"/>
  <c r="AB18" i="1"/>
  <c r="AB131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3" i="1"/>
  <c r="AB315" i="1"/>
  <c r="AB317" i="1"/>
  <c r="AB319" i="1"/>
  <c r="AB321" i="1"/>
  <c r="AB323" i="1"/>
  <c r="AB325" i="1"/>
  <c r="AB327" i="1"/>
  <c r="AB329" i="1"/>
  <c r="AB331" i="1"/>
  <c r="AB333" i="1"/>
  <c r="AB312" i="1"/>
  <c r="AB314" i="1"/>
  <c r="AB316" i="1"/>
  <c r="AB318" i="1"/>
  <c r="AB320" i="1"/>
  <c r="AB322" i="1"/>
  <c r="AB324" i="1"/>
  <c r="AB326" i="1"/>
  <c r="AB328" i="1"/>
  <c r="AB330" i="1"/>
  <c r="AB332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</calcChain>
</file>

<file path=xl/sharedStrings.xml><?xml version="1.0" encoding="utf-8"?>
<sst xmlns="http://schemas.openxmlformats.org/spreadsheetml/2006/main" count="2143" uniqueCount="923">
  <si>
    <t>Gender / Igitsina</t>
  </si>
  <si>
    <t>Province / Intara</t>
  </si>
  <si>
    <t>District / Akarere</t>
  </si>
  <si>
    <t>Role/Position / Inshingano</t>
  </si>
  <si>
    <t>Forestry Management</t>
  </si>
  <si>
    <t>Furniture Production</t>
  </si>
  <si>
    <t>shareholder/umunyamigabane</t>
  </si>
  <si>
    <t>ID</t>
  </si>
  <si>
    <t>Membership Category/ICYICIRO CY'UMUNYAMURYANGO</t>
  </si>
  <si>
    <t>Membership Status/Uko ahagaze mu kwishyura umusanzu</t>
  </si>
  <si>
    <t>Employees (Women / Abakozi b'Abagore)</t>
  </si>
  <si>
    <t>Employees (Men / Abakozi b'Abagabo)</t>
  </si>
  <si>
    <t>Employees (PWD / Abakozi bafite Ubumuga)</t>
  </si>
  <si>
    <t>Telefoni</t>
  </si>
  <si>
    <t>Email</t>
  </si>
  <si>
    <t>Date Joined/Itariki yinjiriye muri Association</t>
  </si>
  <si>
    <t>C/N</t>
  </si>
  <si>
    <t>Full Name / AMAZINA YA NYIRI COMPANY</t>
  </si>
  <si>
    <t>Company ; COOPERATIVE Name / Izina ry’Ikigo</t>
  </si>
  <si>
    <t xml:space="preserve">CLUSTER/Ubucuruzi akora </t>
  </si>
  <si>
    <t>Harvesting, Sawmill and supply</t>
  </si>
  <si>
    <t>MUHIRE FAMILY CO. LTD</t>
  </si>
  <si>
    <t xml:space="preserve">NABAHIRE THEOPHILE </t>
  </si>
  <si>
    <t xml:space="preserve">UWEGI LTD </t>
  </si>
  <si>
    <t xml:space="preserve">UWIZEYIMANA Egide </t>
  </si>
  <si>
    <t>Atelie MAGNIFICAT</t>
  </si>
  <si>
    <t>NTAKIRUTIMANA MARIE ROSE</t>
  </si>
  <si>
    <t>Hakizimana Aloys</t>
  </si>
  <si>
    <t xml:space="preserve">Hakizimana Aloys </t>
  </si>
  <si>
    <t>COOPERATIVE ABABAJI TUZAMURANE</t>
  </si>
  <si>
    <t>MANZI RAMADHAN</t>
  </si>
  <si>
    <t>MEDIA WOODS AND FURNITURES COMPANY Ltd</t>
  </si>
  <si>
    <t xml:space="preserve">MUKAMURINDA MEDIATRICE </t>
  </si>
  <si>
    <t>COMEBUR COOPERATIVE</t>
  </si>
  <si>
    <t>KALISA CHRISTOPHE</t>
  </si>
  <si>
    <t>Coopromega</t>
  </si>
  <si>
    <t>Twizerimanaxxx</t>
  </si>
  <si>
    <t>HILL ENERGY CO Ltd</t>
  </si>
  <si>
    <t>RUKUNDO THEOGENE</t>
  </si>
  <si>
    <t>GAMECO LTD</t>
  </si>
  <si>
    <t>GASHAYIJA JUSTIN</t>
  </si>
  <si>
    <t>ISUBYO ART CENTER LTD</t>
  </si>
  <si>
    <t>MBARUSHIMANA OLIVIER</t>
  </si>
  <si>
    <t xml:space="preserve">NPJ wood Ltd </t>
  </si>
  <si>
    <t xml:space="preserve">Nsengiyumva jean Damascene </t>
  </si>
  <si>
    <t>PINUS Gisozi</t>
  </si>
  <si>
    <t>NTIGURA FRANCOIS</t>
  </si>
  <si>
    <t>UHAJI CONSTRUCTION</t>
  </si>
  <si>
    <t>UWAYO IRENE</t>
  </si>
  <si>
    <t>BASINGIZE CLEMENCE</t>
  </si>
  <si>
    <t>FERAN LTD&amp;GRATIATIBI LTD</t>
  </si>
  <si>
    <t>UMUBYEYI ANGELIQUE</t>
  </si>
  <si>
    <t xml:space="preserve">MUKABARANGA FLORENCE </t>
  </si>
  <si>
    <t>MUKATETE HYLARIE</t>
  </si>
  <si>
    <t>MUKESHIMANA FRANCINE</t>
  </si>
  <si>
    <t xml:space="preserve">CAP DECO LTD </t>
  </si>
  <si>
    <t>Nova empresa fotest ltd</t>
  </si>
  <si>
    <t>Musabyimana chantal</t>
  </si>
  <si>
    <t>UMUBYEYI DIANE</t>
  </si>
  <si>
    <t>ECOBE TRADING COMPANY LTD</t>
  </si>
  <si>
    <t>MUKANSANGA PASCASIE</t>
  </si>
  <si>
    <t xml:space="preserve">MUTESI RUTH </t>
  </si>
  <si>
    <t>ATERIER MENUISERIE ET VENTE DE BOIS</t>
  </si>
  <si>
    <t>XAVIO PILOTE</t>
  </si>
  <si>
    <t>BIZIYAREMYE TELESPHOLE</t>
  </si>
  <si>
    <t>NDB Ltd</t>
  </si>
  <si>
    <t>NKUBITO YVES</t>
  </si>
  <si>
    <t>ROSEWOOD FURNITURE RWANDA</t>
  </si>
  <si>
    <t>MEHRETABSIMON SIMON</t>
  </si>
  <si>
    <t>RWAMIGABO THEOPHILE</t>
  </si>
  <si>
    <t>SOBANUKIRWA Ltd</t>
  </si>
  <si>
    <t>NIYONTEZE LAURENT</t>
  </si>
  <si>
    <t>TWAGIRAYEZU THADEE</t>
  </si>
  <si>
    <t xml:space="preserve">TWUBAKE U RWANDA </t>
  </si>
  <si>
    <t>NGAMIJE DAMIEN</t>
  </si>
  <si>
    <t>UWEGI WOOD STORE LTD</t>
  </si>
  <si>
    <t>UWIZEYIMANA EGIDE</t>
  </si>
  <si>
    <t>MULTISERVITECH</t>
  </si>
  <si>
    <t>HAKIZIMANA SEFF</t>
  </si>
  <si>
    <t>ACTIVE INVESTMENT LTD</t>
  </si>
  <si>
    <t>UWAMAHORO CLAUDINE</t>
  </si>
  <si>
    <t>D-A BLESSED CO. LTD</t>
  </si>
  <si>
    <t>BAYERA KALISA ALICE</t>
  </si>
  <si>
    <t>UMUBYEYI ANGE DIDIEE</t>
  </si>
  <si>
    <t>NYIRIGIRA JEAN AIME&amp;UMUBYEYI ANGE DIDIEE</t>
  </si>
  <si>
    <t>ATELIER DE MENUISERIE KAGARA</t>
  </si>
  <si>
    <t>MUNYANEZA WENCESLAS</t>
  </si>
  <si>
    <t>BEST WOOD LEONCE LTD</t>
  </si>
  <si>
    <t>MUSABIREMA LEONCE</t>
  </si>
  <si>
    <t>CK BUSINESS LTD</t>
  </si>
  <si>
    <t>GASANA DANIEL</t>
  </si>
  <si>
    <t>DANY BUSINESS STORE SUPPLY LTD</t>
  </si>
  <si>
    <t>NSHIMIYIMANA DANY</t>
  </si>
  <si>
    <t>IGITEGO RAPID SERVICES LTD</t>
  </si>
  <si>
    <t>ISIMBI WOOD LTD</t>
  </si>
  <si>
    <t>MUSENGAMANA Eugene</t>
  </si>
  <si>
    <t>MUFU LTD</t>
  </si>
  <si>
    <t>NTABANGANYIMANA RICHARD</t>
  </si>
  <si>
    <t>NO STRESS COMPANY LTD</t>
  </si>
  <si>
    <t>UWIZEYE JANVIER &amp; NIYIGENA ADRIEN</t>
  </si>
  <si>
    <t>NSENGIMANA Pierre</t>
  </si>
  <si>
    <t>NZEYIMANA DAMIEN</t>
  </si>
  <si>
    <t>SHABA HARDWARE LTD</t>
  </si>
  <si>
    <t>NSENGIYUMVA VALENS</t>
  </si>
  <si>
    <t>SHUMBUSHO PFRIMIEN</t>
  </si>
  <si>
    <t>SHUMBUSHO PRIMIEN</t>
  </si>
  <si>
    <t>SOFA LIGTH BUSINESS LTD</t>
  </si>
  <si>
    <t>SONGA FRED</t>
  </si>
  <si>
    <t>SUCO LTD</t>
  </si>
  <si>
    <t>MUKESHIMANA CELESTIN</t>
  </si>
  <si>
    <t xml:space="preserve">TUYISENGE WILFRAM </t>
  </si>
  <si>
    <t xml:space="preserve">ULTRA BUSINESS COMPANY LTD </t>
  </si>
  <si>
    <t>TWIZEYIMANA FAUSTIN</t>
  </si>
  <si>
    <t>WOOD HABITAT LTD</t>
  </si>
  <si>
    <t>NISHIMWE PARADIS IMFURA</t>
  </si>
  <si>
    <t>NARVE ONE STOP Ltd</t>
  </si>
  <si>
    <t>RUZIBIZA LOUIS</t>
  </si>
  <si>
    <t>NYIRAZUBA Germaine (DANIEL)</t>
  </si>
  <si>
    <t>BONGL CONSSTRUCTION SERVICES LTD</t>
  </si>
  <si>
    <t>NYIRABONGERE CHRISTINE</t>
  </si>
  <si>
    <t>DORINE WOOD</t>
  </si>
  <si>
    <t>NYIRARUKUNDO JACQUELINE</t>
  </si>
  <si>
    <t>DUKUZIMANA Felicite</t>
  </si>
  <si>
    <t>IMELO SUPPLY LTD</t>
  </si>
  <si>
    <t>NIYONZIMA ELODIE</t>
  </si>
  <si>
    <t>IZERE VISION LTD</t>
  </si>
  <si>
    <t>BENEGUSENGA DARIUS</t>
  </si>
  <si>
    <t>MG ISHEMA</t>
  </si>
  <si>
    <t>MBABAZI ALICE</t>
  </si>
  <si>
    <t>MUKAMBARAGA Josephine</t>
  </si>
  <si>
    <t>MUKARIBERA Dancille</t>
  </si>
  <si>
    <t>NEZA WOODS WORKING SHOP</t>
  </si>
  <si>
    <t>UWIMANA JACQUES &amp; UMUGWANEZA DANCILLE</t>
  </si>
  <si>
    <t>TUGRR COMPANY LTD</t>
  </si>
  <si>
    <t>NYIRATUNGA BERNADETTE</t>
  </si>
  <si>
    <t>UWAPACIS LTD</t>
  </si>
  <si>
    <t>UMUTONIWASE PACIFIQUE</t>
  </si>
  <si>
    <t>UWEMEYE Azaria</t>
  </si>
  <si>
    <t>UWIMBABAZI Doline</t>
  </si>
  <si>
    <t>NYIRABIZIMANA Speciose</t>
  </si>
  <si>
    <t>Masejo. ltd</t>
  </si>
  <si>
    <t xml:space="preserve">Masengesho Josiane </t>
  </si>
  <si>
    <t>Wood  M &amp; k  L T D</t>
  </si>
  <si>
    <t>Niyomufasha Kereniya</t>
  </si>
  <si>
    <t>HARINDINTWARI Silas</t>
  </si>
  <si>
    <t>RWANDA ENERGY SOLUTION</t>
  </si>
  <si>
    <t>HITAMO WOOD LTD</t>
  </si>
  <si>
    <t xml:space="preserve"> NSENGIMANA Pierre</t>
  </si>
  <si>
    <t>PEREGRINE SERVICES</t>
  </si>
  <si>
    <t>WOOD PRODUCT MANUFACTURES</t>
  </si>
  <si>
    <t>BWIMBA PACIFIQUE</t>
  </si>
  <si>
    <t xml:space="preserve"> MUKANGARAMBE Leonille</t>
  </si>
  <si>
    <t>Leonille MUKANGARAMBE</t>
  </si>
  <si>
    <t>Leoncie NIYONSABA</t>
  </si>
  <si>
    <t xml:space="preserve"> NIYONSABA Leoncie</t>
  </si>
  <si>
    <t>TGIB  LTD</t>
  </si>
  <si>
    <t>TETA HYGUETTE</t>
  </si>
  <si>
    <t>K-WOOD COMPANY LTD</t>
  </si>
  <si>
    <t>NYIRANDATIRA FRANCINE</t>
  </si>
  <si>
    <t>MUTONGORO COMPANY LTD</t>
  </si>
  <si>
    <t>NIYONSABA Elias</t>
  </si>
  <si>
    <t xml:space="preserve">Wood designers Ltd </t>
  </si>
  <si>
    <t xml:space="preserve">Gasigwa jean paul </t>
  </si>
  <si>
    <t>ETABLISSENT G.I LTD</t>
  </si>
  <si>
    <t xml:space="preserve">Umutoni emmaculee </t>
  </si>
  <si>
    <t>TRUSTED TIMBER SUPPLIER LTD</t>
  </si>
  <si>
    <t>BABALINANI PHILIPPE</t>
  </si>
  <si>
    <t>NTAKIYIMANA Emmanuel</t>
  </si>
  <si>
    <t>MPAGAZEHE ANASTASE</t>
  </si>
  <si>
    <t xml:space="preserve">KARISANA company Ltd </t>
  </si>
  <si>
    <t>Gisubizo sumaya &amp;SHEMUSSA</t>
  </si>
  <si>
    <t>A.U CONSTRUCTION COMPANY</t>
  </si>
  <si>
    <t>NTEZIMANA APHRODIS</t>
  </si>
  <si>
    <t>COOPERATIVE (KOPZAMU )</t>
  </si>
  <si>
    <t>NKUNDINEZA VALENS</t>
  </si>
  <si>
    <t>GAMMA PROFESSIONAL COMPANY LTD</t>
  </si>
  <si>
    <t>KABAYIZA NEPOMUSCENE</t>
  </si>
  <si>
    <t>NSHIMIYIMANA JEAN MARIE</t>
  </si>
  <si>
    <t>VIENS CHEZ TOI LTD</t>
  </si>
  <si>
    <t>MUREKAMBANZE VINCENT</t>
  </si>
  <si>
    <t>AGENCE MULTIMENTION INTERNATIONAL</t>
  </si>
  <si>
    <t>NDASUBIRA VIATEUR</t>
  </si>
  <si>
    <t>CAPACITY BUILDING INVESTMENTS LTD</t>
  </si>
  <si>
    <t>SAFARI EDMOND</t>
  </si>
  <si>
    <t>NTIRUSHWA DIEUDONNE</t>
  </si>
  <si>
    <t>H&amp;J INVESTMENT LTD</t>
  </si>
  <si>
    <t xml:space="preserve">HAVUGIMANA Juvenal </t>
  </si>
  <si>
    <t>NSENGIYUMVA VICENT</t>
  </si>
  <si>
    <t>NSENGIYUMVA VINCENT</t>
  </si>
  <si>
    <t>NSHOGOZABAHIZI Theogene</t>
  </si>
  <si>
    <t>NTOGORAMA FELICIEN</t>
  </si>
  <si>
    <t>ODIROC WOOD LTD</t>
  </si>
  <si>
    <t>HITIMANA BENJAMIN</t>
  </si>
  <si>
    <t>HITIMANA BENJAMIN&amp;RANGIRA MUHOZA JEANNINE</t>
  </si>
  <si>
    <t>GASIGWA JEAN PAUL</t>
  </si>
  <si>
    <t>CCFD COMPANY LTD</t>
  </si>
  <si>
    <t xml:space="preserve">NIYITEGEKA CLAUDE </t>
  </si>
  <si>
    <t xml:space="preserve">Confiance furniture business company ltd </t>
  </si>
  <si>
    <t xml:space="preserve">Niyitegeka Innocent </t>
  </si>
  <si>
    <t>HAPPY WOOD BUSINESSES LTD</t>
  </si>
  <si>
    <t>HABIMANA EVARISTE</t>
  </si>
  <si>
    <t>KARIBU IWACU COMPANY LTD</t>
  </si>
  <si>
    <t>NIYIGENA JEAN PAUL</t>
  </si>
  <si>
    <t>WISDOM PALACE GROUP</t>
  </si>
  <si>
    <t>SIKUBWABO THEONESTE</t>
  </si>
  <si>
    <t xml:space="preserve">MBARAGA Celestin </t>
  </si>
  <si>
    <t>CAPENTRY GOOD SERVICE LTD</t>
  </si>
  <si>
    <t>NDAHAYO THEODOMILE</t>
  </si>
  <si>
    <t>GAKENYERI COMPANT LTD</t>
  </si>
  <si>
    <t>MUHUTU FRANCOIS</t>
  </si>
  <si>
    <t>ICPC KAYONZA-KCJC</t>
  </si>
  <si>
    <t>NGOGA DIOGENE</t>
  </si>
  <si>
    <t>Construction Renewable Trade Energy Ltd</t>
  </si>
  <si>
    <t>Mukatwizere Fredaus</t>
  </si>
  <si>
    <t>MUSHIMIYIMANA REBECCA</t>
  </si>
  <si>
    <t>MUTESI DINAH</t>
  </si>
  <si>
    <t xml:space="preserve">NTWALI Callixte </t>
  </si>
  <si>
    <t>IN WOOD LTD</t>
  </si>
  <si>
    <t>UFIMWUNGERI EMMANUEL</t>
  </si>
  <si>
    <t>SUPER DESIGN LTD</t>
  </si>
  <si>
    <t>NDAHAYO PIERRE CLAVER</t>
  </si>
  <si>
    <t>AMEGERWA LTD</t>
  </si>
  <si>
    <t>MAKUZA ROBERT</t>
  </si>
  <si>
    <t>AIDO GROUP COMPANY LTD</t>
  </si>
  <si>
    <t>NIYONSENGA AIMABLE</t>
  </si>
  <si>
    <t>Ciffo ltd</t>
  </si>
  <si>
    <t>Ntidendereza jean claude</t>
  </si>
  <si>
    <t>GREENTRANSFORM LTD</t>
  </si>
  <si>
    <t>BIGIRIMANA CLEMENT</t>
  </si>
  <si>
    <t>TECHNICO TRADING</t>
  </si>
  <si>
    <t>KANANGA EMMANUEL</t>
  </si>
  <si>
    <t>Olivier KANAKUZE</t>
  </si>
  <si>
    <t xml:space="preserve"> KANAKUZE Olivier</t>
  </si>
  <si>
    <t>GITI BUYE ART Ltd</t>
  </si>
  <si>
    <t>NSENGIYUMVA Beatrice</t>
  </si>
  <si>
    <t>MUYANGO NEPOMUSCENE</t>
  </si>
  <si>
    <t>WILFRAN TUYISENGE</t>
  </si>
  <si>
    <t>Emmanuel Ntakiyimana</t>
  </si>
  <si>
    <t xml:space="preserve">Ntakiyimana Emmanuel </t>
  </si>
  <si>
    <t>INO Trading Campany ltd</t>
  </si>
  <si>
    <t>Nyiranziza Ange</t>
  </si>
  <si>
    <t>KICACO</t>
  </si>
  <si>
    <t>RUGEMA ALOYS</t>
  </si>
  <si>
    <t>MAHIRANE CEL. COMPANY LTD</t>
  </si>
  <si>
    <t xml:space="preserve">MAHIRANANE CELESTIN </t>
  </si>
  <si>
    <t>BELISE INGABIRE</t>
  </si>
  <si>
    <t xml:space="preserve">INGABIRE BELYSE </t>
  </si>
  <si>
    <t>KIREHE ICPCs TRAINING CENTER Ltd</t>
  </si>
  <si>
    <t>MUNGARAKARAMA Samuel</t>
  </si>
  <si>
    <t>COPEHOPE</t>
  </si>
  <si>
    <t>POLEPOLE PIERRE</t>
  </si>
  <si>
    <t>H&amp;I TRADE COMPANY LTD</t>
  </si>
  <si>
    <t>HAKIZIMANA IRENE</t>
  </si>
  <si>
    <t>IBARIZO SS LTD</t>
  </si>
  <si>
    <t>SIBOMANA SYLVAIN</t>
  </si>
  <si>
    <t>MUNDERERE MARIE GRACE</t>
  </si>
  <si>
    <t>ABBE UWIMANA ANNACLET</t>
  </si>
  <si>
    <t xml:space="preserve">ATELIERS ECONOMAT GENERAL DE RUHENGELI </t>
  </si>
  <si>
    <t>ENFIN FAST LTD</t>
  </si>
  <si>
    <t>KAREMIRE Thierry</t>
  </si>
  <si>
    <t>NDAYAMBAJE DEOGRATIAS</t>
  </si>
  <si>
    <t>AMSK COMPANY LTD</t>
  </si>
  <si>
    <t>Construction And Energies Enterprise Ltd</t>
  </si>
  <si>
    <t>Munyabugingo Abdulkarim</t>
  </si>
  <si>
    <t>COPROMESOANGO</t>
  </si>
  <si>
    <t xml:space="preserve">NIYONSENGA SAMUEL </t>
  </si>
  <si>
    <t>M.G&amp; H SUPPLLY ltd</t>
  </si>
  <si>
    <t>Masengengesho Gaston</t>
  </si>
  <si>
    <t>MUHORORO BUSINESS COMPANY</t>
  </si>
  <si>
    <t xml:space="preserve">NIYONSENGA ANASTASE </t>
  </si>
  <si>
    <t>VISION 20250 UNITED LTD</t>
  </si>
  <si>
    <t>TUYISHIMIRE Alice</t>
  </si>
  <si>
    <t>HK BREAKDOWN&amp; FURNITURE LTD</t>
  </si>
  <si>
    <t>KAREMERA ABDUL</t>
  </si>
  <si>
    <t>Kiyombe Polytechnical Pomotion (KIPOTEPRO Ltd)</t>
  </si>
  <si>
    <t>NSENGIMANA Felicien</t>
  </si>
  <si>
    <t>NDAYISENGA EDOUARD</t>
  </si>
  <si>
    <t>NDAYISENGA EDUARD</t>
  </si>
  <si>
    <t xml:space="preserve"> Nsengimana Félicien</t>
  </si>
  <si>
    <t>Imena&amp; kelia inter traders</t>
  </si>
  <si>
    <t>Munganyinka Teddy</t>
  </si>
  <si>
    <t>ARTDECOR POSTAL BONNE QUALITE LTD</t>
  </si>
  <si>
    <t>KUNDIMANA ANGE MICHEL</t>
  </si>
  <si>
    <t>ATEMUGI BUSINESS CENTER LTD</t>
  </si>
  <si>
    <t>RWAGAKIGA Tharcisse</t>
  </si>
  <si>
    <t>COOANYA</t>
  </si>
  <si>
    <t xml:space="preserve">ISARO INVESTMENT </t>
  </si>
  <si>
    <t>NDAYISHIMIYE Jean Felix</t>
  </si>
  <si>
    <t xml:space="preserve">Ntezimana Augustin </t>
  </si>
  <si>
    <t>ALPHRANCO BUSINESS COMPANY LTD</t>
  </si>
  <si>
    <t>MUKESHIMANA ALPHONSINE</t>
  </si>
  <si>
    <t>UWIMBABAZI JEANNETTE</t>
  </si>
  <si>
    <t>N. SPEED WORK LTD</t>
  </si>
  <si>
    <t>NIYITEGEKA BASILE</t>
  </si>
  <si>
    <t>OLIGA LTD</t>
  </si>
  <si>
    <t>GAKURU FRANCOIS</t>
  </si>
  <si>
    <t>ATELIER MULTI TECHNIQUE DE NYAKABANDA</t>
  </si>
  <si>
    <t>NSHIMIYIMANA MAXIMILIER</t>
  </si>
  <si>
    <t>CUKWE LTD</t>
  </si>
  <si>
    <t>MBARUSHIMANA Abdul</t>
  </si>
  <si>
    <t>HAKIZIMANA RABAN</t>
  </si>
  <si>
    <t>KARAMA Ange Albert</t>
  </si>
  <si>
    <t>PKM SUPPLY LTD</t>
  </si>
  <si>
    <t>KATABOGAMA PATRICK</t>
  </si>
  <si>
    <t>BATAM BUSINESS COMPANY LTD</t>
  </si>
  <si>
    <t>BATAMURIZA PRAISE</t>
  </si>
  <si>
    <t xml:space="preserve">BAZA ATELIER LTD </t>
  </si>
  <si>
    <t>MURUNGI Sarah</t>
  </si>
  <si>
    <t xml:space="preserve">IJURU NI UBUNTU </t>
  </si>
  <si>
    <t xml:space="preserve"> Nyabyenda  Jean De Dieu</t>
  </si>
  <si>
    <t xml:space="preserve">MUJYABWAMI Fidele </t>
  </si>
  <si>
    <t>SHEKMDO Investment Ltd</t>
  </si>
  <si>
    <t xml:space="preserve">SHUMBUSHAA Eliezer </t>
  </si>
  <si>
    <t>NTAGORAMA Felecien</t>
  </si>
  <si>
    <t>Ntagorama felecient</t>
  </si>
  <si>
    <t>DUKORANUMURAVA LTD</t>
  </si>
  <si>
    <t>RUKEBESHA EMMANUEL</t>
  </si>
  <si>
    <t>CCFD VISION LTD</t>
  </si>
  <si>
    <t>ATELIER DE COUTURE ET DE MENUISERIE NYUNDO (ACMN) LTDLTD</t>
  </si>
  <si>
    <t>DIOCESE CATHOLIQUE DE NYUNDO</t>
  </si>
  <si>
    <t>Koperatibe twitezimbere banyabukorikori ba Ruhango</t>
  </si>
  <si>
    <t>HARERIMANA Theoneste</t>
  </si>
  <si>
    <t>GASANA Eustache</t>
  </si>
  <si>
    <t>Umuhoza Olive</t>
  </si>
  <si>
    <t>Aterier Ihirwe</t>
  </si>
  <si>
    <t>Gasana Eustache</t>
  </si>
  <si>
    <t>AMESER</t>
  </si>
  <si>
    <t>NSENGIMANA PASCAL</t>
  </si>
  <si>
    <t>BAHATI justin</t>
  </si>
  <si>
    <t>JUBECO Ltd</t>
  </si>
  <si>
    <t>MUKAMURERA cansilde</t>
  </si>
  <si>
    <t>KE DUKUNDUMURIMO</t>
  </si>
  <si>
    <t>KAGABO EMMANUEL</t>
  </si>
  <si>
    <t>MUNYAMPUNDU JEAN BOSCO</t>
  </si>
  <si>
    <t xml:space="preserve"> MUNYAMPUNDU Jean Bosco</t>
  </si>
  <si>
    <t>CRAFT EASY</t>
  </si>
  <si>
    <t>HAVUGIMANA EMMANUEL</t>
  </si>
  <si>
    <t xml:space="preserve">ENIZANTO GENERAL SERVICES LTD </t>
  </si>
  <si>
    <t>NIZEYIMANA Erneste</t>
  </si>
  <si>
    <t xml:space="preserve">UMUCYO BEST TECHNICAL CAMPANY LTD </t>
  </si>
  <si>
    <t xml:space="preserve">NDAYAMBAJE Jamvier </t>
  </si>
  <si>
    <t>Umuzi w'Akazi company LTD</t>
  </si>
  <si>
    <t>RUDKUBANA Jean Baptiste</t>
  </si>
  <si>
    <t xml:space="preserve">COMEBUR </t>
  </si>
  <si>
    <t>KALISA CHRYSTOPHE</t>
  </si>
  <si>
    <t>ATATRADE LTD</t>
  </si>
  <si>
    <t>HABUMUREMYI EMMANUEL</t>
  </si>
  <si>
    <t>VISION GARDEN COMPANY LTD</t>
  </si>
  <si>
    <t>SIBOMANA EMMANUEL</t>
  </si>
  <si>
    <t>HAGENIMANA JEAN BAPTISTE</t>
  </si>
  <si>
    <t>HOPE WOOD COMPANY</t>
  </si>
  <si>
    <t>KWIHANGANA ABEL</t>
  </si>
  <si>
    <t>JULIAS FURNITURE&amp;PRODUCTS LTD</t>
  </si>
  <si>
    <t>MIHIGO MINANI CHRISTOPHE</t>
  </si>
  <si>
    <t>MUNYESINE JEAN BOSCO</t>
  </si>
  <si>
    <t>NDI FURN TECH</t>
  </si>
  <si>
    <t>NDAYISABA ILDEPHONSE</t>
  </si>
  <si>
    <t>NGORORUWANGA GERVAIS</t>
  </si>
  <si>
    <t>NGORORUWANGA</t>
  </si>
  <si>
    <t>NIYITEGEKA ISMAEL</t>
  </si>
  <si>
    <t>NTAYOMBA COMPANY</t>
  </si>
  <si>
    <t>NTAYOMBA THEOGENE</t>
  </si>
  <si>
    <t>SENDABYE PIERRE</t>
  </si>
  <si>
    <t>SUNNY DAWN COMPANY</t>
  </si>
  <si>
    <t>NTABARA JEAN</t>
  </si>
  <si>
    <t xml:space="preserve">UJN LTD  </t>
  </si>
  <si>
    <t>NKURUNZIZA WELLARS</t>
  </si>
  <si>
    <t>WEJADOTECH LTD</t>
  </si>
  <si>
    <t>NDAYIRINGIYE JEAN DE DIEU</t>
  </si>
  <si>
    <t>WORK AND GROW COMP LTD</t>
  </si>
  <si>
    <t>NGOGA B. INNOCENT</t>
  </si>
  <si>
    <t>NTWARABASHI SYLVAN</t>
  </si>
  <si>
    <t>NYIRABEMERA COSTASIEN</t>
  </si>
  <si>
    <t>NYIRAHABIMANA CHANTAL</t>
  </si>
  <si>
    <t>NYIRANDUHURA</t>
  </si>
  <si>
    <t>NZAYISENGA EPHREM</t>
  </si>
  <si>
    <t xml:space="preserve"> MUGALINE LTD</t>
  </si>
  <si>
    <t>UMUTONI ALINE</t>
  </si>
  <si>
    <t>NAHOZE ALICE</t>
  </si>
  <si>
    <t>NYIRABEZA MARIE AGNES</t>
  </si>
  <si>
    <t>NSANZIMANA ERIC</t>
  </si>
  <si>
    <t>ISHIMWE JEAN DE DIEU</t>
  </si>
  <si>
    <t>MN LUCK LTD</t>
  </si>
  <si>
    <t>MUGABO EGIDE</t>
  </si>
  <si>
    <t>MUREKATETE HILARIE</t>
  </si>
  <si>
    <t>NYIRANDAMIRA JULIENNE</t>
  </si>
  <si>
    <t xml:space="preserve">NSABIMANA JOEL </t>
  </si>
  <si>
    <t xml:space="preserve">MBABAZI YVONNE </t>
  </si>
  <si>
    <t>ARO GROUP LTD</t>
  </si>
  <si>
    <t>KABERA RONALD</t>
  </si>
  <si>
    <t>GARAGARANEZA COMPANY LTD</t>
  </si>
  <si>
    <t>KAYISHEMA PLATIN</t>
  </si>
  <si>
    <t>NAHIMANA BRIGITTE</t>
  </si>
  <si>
    <t>WOOD WORKERS FRIENDS LTD</t>
  </si>
  <si>
    <t>NDAMUKUNDA ELISE</t>
  </si>
  <si>
    <t>MANIRARORA LEONARD</t>
  </si>
  <si>
    <t>L &amp; T WOOD LTD</t>
  </si>
  <si>
    <t>SHYAKA EUGENE &amp; TUNEZERWE LYDIA</t>
  </si>
  <si>
    <t>NAJM LTD COMPANY</t>
  </si>
  <si>
    <t>KAMAGAJU CALVINE</t>
  </si>
  <si>
    <t>BIZIMANA APHRODIS</t>
  </si>
  <si>
    <t>Male</t>
  </si>
  <si>
    <t>Female</t>
  </si>
  <si>
    <t>Femele</t>
  </si>
  <si>
    <t>male</t>
  </si>
  <si>
    <t>female</t>
  </si>
  <si>
    <t>MALE</t>
  </si>
  <si>
    <t>0788309965</t>
  </si>
  <si>
    <t>0788416684</t>
  </si>
  <si>
    <t>0788684284</t>
  </si>
  <si>
    <t>0789045709</t>
  </si>
  <si>
    <t>0788884092</t>
  </si>
  <si>
    <t>0788681870</t>
  </si>
  <si>
    <t>0789502535</t>
  </si>
  <si>
    <t>0788703261</t>
  </si>
  <si>
    <t>0788951388</t>
  </si>
  <si>
    <t>0 786 486 079</t>
  </si>
  <si>
    <t>0788303988</t>
  </si>
  <si>
    <t>0787912258</t>
  </si>
  <si>
    <t>0788521891</t>
  </si>
  <si>
    <t>0788566543</t>
  </si>
  <si>
    <t>0788204650</t>
  </si>
  <si>
    <t>0788570368</t>
  </si>
  <si>
    <t>0788853112</t>
  </si>
  <si>
    <t>0788838446</t>
  </si>
  <si>
    <t>0788710510</t>
  </si>
  <si>
    <t>0788740022</t>
  </si>
  <si>
    <t>078585875</t>
  </si>
  <si>
    <t>0788807888</t>
  </si>
  <si>
    <t>0788510208</t>
  </si>
  <si>
    <t>0788434838</t>
  </si>
  <si>
    <t>0788507619</t>
  </si>
  <si>
    <t>0788435959</t>
  </si>
  <si>
    <t>0790005672</t>
  </si>
  <si>
    <t>0784380908</t>
  </si>
  <si>
    <t>0787998225</t>
  </si>
  <si>
    <t>0788499764</t>
  </si>
  <si>
    <t>0788528974</t>
  </si>
  <si>
    <t>0783724868</t>
  </si>
  <si>
    <t>0782774979</t>
  </si>
  <si>
    <t>0788404301 0788730105</t>
  </si>
  <si>
    <t>0788758466</t>
  </si>
  <si>
    <t>0788592322</t>
  </si>
  <si>
    <t>0788613986</t>
  </si>
  <si>
    <t>0788762473</t>
  </si>
  <si>
    <t>0782542442</t>
  </si>
  <si>
    <t>0788229017</t>
  </si>
  <si>
    <t>0788303981</t>
  </si>
  <si>
    <t>'0788422846/ 0788911709</t>
  </si>
  <si>
    <t>0788810403</t>
  </si>
  <si>
    <t>0783410878</t>
  </si>
  <si>
    <t>0788687184</t>
  </si>
  <si>
    <t>0788689926</t>
  </si>
  <si>
    <t>0783001311</t>
  </si>
  <si>
    <t>0782529971</t>
  </si>
  <si>
    <t>0788462792</t>
  </si>
  <si>
    <t>0788315583</t>
  </si>
  <si>
    <t>0788570634</t>
  </si>
  <si>
    <t>0788630702</t>
  </si>
  <si>
    <t>0787256620</t>
  </si>
  <si>
    <t>0780850001</t>
  </si>
  <si>
    <t>0780523398</t>
  </si>
  <si>
    <t>0788251605</t>
  </si>
  <si>
    <t>0783465355</t>
  </si>
  <si>
    <t>0785473626</t>
  </si>
  <si>
    <t>0783108686</t>
  </si>
  <si>
    <t>0787183322</t>
  </si>
  <si>
    <t>0788497015</t>
  </si>
  <si>
    <t>0780045957</t>
  </si>
  <si>
    <t>0788767039</t>
  </si>
  <si>
    <t>0784981661</t>
  </si>
  <si>
    <t>0788830818</t>
  </si>
  <si>
    <t>0788863786</t>
  </si>
  <si>
    <t>0788610871</t>
  </si>
  <si>
    <t>0788805552</t>
  </si>
  <si>
    <t>0785673546</t>
  </si>
  <si>
    <t>0783328897</t>
  </si>
  <si>
    <t>0787692661</t>
  </si>
  <si>
    <t>0788696814</t>
  </si>
  <si>
    <t>0783247960</t>
  </si>
  <si>
    <t>0788749566</t>
  </si>
  <si>
    <t>0788231702</t>
  </si>
  <si>
    <t>0788460986</t>
  </si>
  <si>
    <t>0788843305</t>
  </si>
  <si>
    <t>0788464493</t>
  </si>
  <si>
    <t>078336552</t>
  </si>
  <si>
    <t>0788839764</t>
  </si>
  <si>
    <t>0788429215</t>
  </si>
  <si>
    <t>788854116/ 0780007782</t>
  </si>
  <si>
    <t>0783329392</t>
  </si>
  <si>
    <t>0727196228/0788416684</t>
  </si>
  <si>
    <t>0788753298, 0784539500</t>
  </si>
  <si>
    <t>0786421877</t>
  </si>
  <si>
    <t>0784153913</t>
  </si>
  <si>
    <t>0 726 642 627</t>
  </si>
  <si>
    <t>0788533108</t>
  </si>
  <si>
    <t>0786486074</t>
  </si>
  <si>
    <t>0785292973</t>
  </si>
  <si>
    <t>0788511951</t>
  </si>
  <si>
    <t>0788610148</t>
  </si>
  <si>
    <t>0788813815</t>
  </si>
  <si>
    <t>0788607415</t>
  </si>
  <si>
    <t>0785508220</t>
  </si>
  <si>
    <t>0788377768</t>
  </si>
  <si>
    <t>0788230388</t>
  </si>
  <si>
    <t>0788545249</t>
  </si>
  <si>
    <t>0788305921</t>
  </si>
  <si>
    <t>0788301372</t>
  </si>
  <si>
    <t>0780407093</t>
  </si>
  <si>
    <t>0788591420</t>
  </si>
  <si>
    <t>0788359396</t>
  </si>
  <si>
    <t>0788944560</t>
  </si>
  <si>
    <t>0788405447</t>
  </si>
  <si>
    <t>0788692150</t>
  </si>
  <si>
    <t>0781109772</t>
  </si>
  <si>
    <t>0788874712</t>
  </si>
  <si>
    <t>0788450640</t>
  </si>
  <si>
    <t>0783635335</t>
  </si>
  <si>
    <t>0785469675</t>
  </si>
  <si>
    <t>0788432110</t>
  </si>
  <si>
    <t>0789730302</t>
  </si>
  <si>
    <t>0788461006</t>
  </si>
  <si>
    <t>0788596978</t>
  </si>
  <si>
    <t>788673194</t>
  </si>
  <si>
    <t>0788469661</t>
  </si>
  <si>
    <t>0784468428</t>
  </si>
  <si>
    <t>0788896288</t>
  </si>
  <si>
    <t>0783532764</t>
  </si>
  <si>
    <t>0788924897</t>
  </si>
  <si>
    <t>0788306355</t>
  </si>
  <si>
    <t>0784346959</t>
  </si>
  <si>
    <t>0783653550</t>
  </si>
  <si>
    <t>0788409383</t>
  </si>
  <si>
    <t>0788816635, 0728816635</t>
  </si>
  <si>
    <t>0788417903</t>
  </si>
  <si>
    <t>0788769831</t>
  </si>
  <si>
    <t>0783299171</t>
  </si>
  <si>
    <t>0788802202</t>
  </si>
  <si>
    <t>0 783 167 103</t>
  </si>
  <si>
    <t xml:space="preserve">0788521652 </t>
  </si>
  <si>
    <t>0783822196</t>
  </si>
  <si>
    <t>0788594081</t>
  </si>
  <si>
    <t>0788802011</t>
  </si>
  <si>
    <t>0788355719</t>
  </si>
  <si>
    <t>0788438917</t>
  </si>
  <si>
    <t>0786186532</t>
  </si>
  <si>
    <t>0788352933</t>
  </si>
  <si>
    <t>0784638326</t>
  </si>
  <si>
    <t>0788684217</t>
  </si>
  <si>
    <t>0788849218</t>
  </si>
  <si>
    <t>0788448341</t>
  </si>
  <si>
    <t>0788859769</t>
  </si>
  <si>
    <t>0788790568</t>
  </si>
  <si>
    <t>0788853087</t>
  </si>
  <si>
    <t>0783019807</t>
  </si>
  <si>
    <t>0788357364</t>
  </si>
  <si>
    <t>0785359450</t>
  </si>
  <si>
    <t>0788843398</t>
  </si>
  <si>
    <t>0782710525</t>
  </si>
  <si>
    <t>0789627910</t>
  </si>
  <si>
    <t>0783659059</t>
  </si>
  <si>
    <t>0782057403</t>
  </si>
  <si>
    <t>0788259258</t>
  </si>
  <si>
    <t>0783218973</t>
  </si>
  <si>
    <t>0783354414</t>
  </si>
  <si>
    <t>0785157331</t>
  </si>
  <si>
    <t>0788505296</t>
  </si>
  <si>
    <t>0788762021</t>
  </si>
  <si>
    <t>0788513333</t>
  </si>
  <si>
    <t>0788511391</t>
  </si>
  <si>
    <t>783078757/0783137641</t>
  </si>
  <si>
    <t>0788219107</t>
  </si>
  <si>
    <t>0788774035</t>
  </si>
  <si>
    <t>0788310266</t>
  </si>
  <si>
    <t>0783108077</t>
  </si>
  <si>
    <t>0785213320; 0786742224</t>
  </si>
  <si>
    <t>0788610739</t>
  </si>
  <si>
    <t>0788416052</t>
  </si>
  <si>
    <t>0788649662</t>
  </si>
  <si>
    <t>0781818810</t>
  </si>
  <si>
    <t>0782040965</t>
  </si>
  <si>
    <t>0788980419; '0788496895</t>
  </si>
  <si>
    <t>0781093058</t>
  </si>
  <si>
    <t>NIYONSENGA Ildephonse;HAGENIMANA Marcel;UWIMBABAZI Emmanuel</t>
  </si>
  <si>
    <t>Estern Province</t>
  </si>
  <si>
    <t>BUGESERA</t>
  </si>
  <si>
    <t>Daphrose NYIRABINENWA</t>
  </si>
  <si>
    <t>1194870011316030</t>
  </si>
  <si>
    <t>SOUTHERN PROVINCE</t>
  </si>
  <si>
    <t>KAMONYI</t>
  </si>
  <si>
    <t>MANAGING DIRECTOR</t>
  </si>
  <si>
    <t>ACTIVE</t>
  </si>
  <si>
    <t>egideuwizeyimana19@gmail.com</t>
  </si>
  <si>
    <t>1198370010642476</t>
  </si>
  <si>
    <t>KIGALI CITY</t>
  </si>
  <si>
    <t>GASABO</t>
  </si>
  <si>
    <t>ndatirafa83@yahoo.com</t>
  </si>
  <si>
    <t>sales and Distribution;furniture production and distribution</t>
  </si>
  <si>
    <t>2024</t>
  </si>
  <si>
    <t>2023</t>
  </si>
  <si>
    <t>2025</t>
  </si>
  <si>
    <t>2022</t>
  </si>
  <si>
    <t>2019</t>
  </si>
  <si>
    <t>2021</t>
  </si>
  <si>
    <t>2020</t>
  </si>
  <si>
    <t>1200470020162006</t>
  </si>
  <si>
    <t>tegibltd@gmail.com</t>
  </si>
  <si>
    <t>1198980168394196</t>
  </si>
  <si>
    <t>RWAMAGANA</t>
  </si>
  <si>
    <t>BUSINESS OWNER</t>
  </si>
  <si>
    <t>havugimanaemmanuel3@gmail.com</t>
  </si>
  <si>
    <t>passport:000000000</t>
  </si>
  <si>
    <t>NYARUGENGE</t>
  </si>
  <si>
    <t>Gold/300K</t>
  </si>
  <si>
    <t>Slver/100K</t>
  </si>
  <si>
    <t>Bronze/60K</t>
  </si>
  <si>
    <t>GOLDEN100K</t>
  </si>
  <si>
    <t>GOLD300K</t>
  </si>
  <si>
    <t>SILVER 100K</t>
  </si>
  <si>
    <t>SILVER100K</t>
  </si>
  <si>
    <t>faithfulmu12@gmail.com</t>
  </si>
  <si>
    <t>GATSIBO</t>
  </si>
  <si>
    <t>HABAMENSHI AUGUSTIN</t>
  </si>
  <si>
    <t>WESTERN PROVINCE</t>
  </si>
  <si>
    <t>RUBAVU</t>
  </si>
  <si>
    <t>HILLROCK COMPANY LTD</t>
  </si>
  <si>
    <t>1198580199644378</t>
  </si>
  <si>
    <t>GOLD/300K</t>
  </si>
  <si>
    <t>0787767067</t>
  </si>
  <si>
    <t>1197480085017049</t>
  </si>
  <si>
    <t>NGOMA</t>
  </si>
  <si>
    <t>1199080208348277</t>
  </si>
  <si>
    <t>PLATINUM/500K500K</t>
  </si>
  <si>
    <t>MUHANGA</t>
  </si>
  <si>
    <t>MUTUYIMANA OLIVE</t>
  </si>
  <si>
    <t>KICUKIRO</t>
  </si>
  <si>
    <t>0788697656</t>
  </si>
  <si>
    <t>2026</t>
  </si>
  <si>
    <t>0</t>
  </si>
  <si>
    <t>NDEKWE GILBERT</t>
  </si>
  <si>
    <t>ntidendereza980@gmail.com</t>
  </si>
  <si>
    <t>1197580051651075</t>
  </si>
  <si>
    <t>RUTSIRO</t>
  </si>
  <si>
    <t>PLATINUM/500K</t>
  </si>
  <si>
    <t>BAHATI JUSTIN</t>
  </si>
  <si>
    <t>17251   31/12/2009</t>
  </si>
  <si>
    <t>KAYONZA</t>
  </si>
  <si>
    <t>PRESIDENT</t>
  </si>
  <si>
    <t>11986801311411129</t>
  </si>
  <si>
    <t>TOTAL</t>
  </si>
  <si>
    <t>babalinaniphilippe@gmail.com</t>
  </si>
  <si>
    <t>2YEARS UNPAID</t>
  </si>
  <si>
    <t>RUSIZI</t>
  </si>
  <si>
    <t>umuhozaolover4@gmail.com</t>
  </si>
  <si>
    <t>NZITABIMFURA JEROME</t>
  </si>
  <si>
    <t>1199980021310068</t>
  </si>
  <si>
    <t>benegusengadarus@gmail.com</t>
  </si>
  <si>
    <t>nabahiretheo@gmail.com</t>
  </si>
  <si>
    <t>UWINEZA RUTH</t>
  </si>
  <si>
    <t>1199470123258030</t>
  </si>
  <si>
    <t>1197880001564065</t>
  </si>
  <si>
    <t>nsengahonore20@gmail.com</t>
  </si>
  <si>
    <t>BLESSED HARVEST CO</t>
  </si>
  <si>
    <t>NYAGATARE</t>
  </si>
  <si>
    <t>munganyinkat@gmail.com</t>
  </si>
  <si>
    <t>1198370163797013</t>
  </si>
  <si>
    <t>rntabanganyimana@yahoo.com</t>
  </si>
  <si>
    <t>KARONGI</t>
  </si>
  <si>
    <t>1198480076820035</t>
  </si>
  <si>
    <t>NYAMASHEKE</t>
  </si>
  <si>
    <t>basileniyitegeka123@gmail.com</t>
  </si>
  <si>
    <t>1199170199283051</t>
  </si>
  <si>
    <t>inactive</t>
  </si>
  <si>
    <t>batamurizapraise1@gmail.com</t>
  </si>
  <si>
    <t>1196480038869094</t>
  </si>
  <si>
    <t>shalindintali@yahoo.fr</t>
  </si>
  <si>
    <t>KIREHE</t>
  </si>
  <si>
    <t>1199370160454059</t>
  </si>
  <si>
    <t>woodhabitatrwanda@gmail.com</t>
  </si>
  <si>
    <t>NYIRASAFARI ANCILE</t>
  </si>
  <si>
    <t>KAREL CLEMENT E.JANSEN</t>
  </si>
  <si>
    <t>1197180004562096</t>
  </si>
  <si>
    <t>mukeshimanacelestin@gmail.com</t>
  </si>
  <si>
    <t>GASIRABO Pierre celestin</t>
  </si>
  <si>
    <t>KAMPIRE MONIQUE</t>
  </si>
  <si>
    <t>1198480167014160</t>
  </si>
  <si>
    <t>rudakubanajeanba1@gmail.com</t>
  </si>
  <si>
    <t>NORTHERN PROVINCE</t>
  </si>
  <si>
    <t>MUSANZE</t>
  </si>
  <si>
    <t>hakizimanalaban16@gmail.com</t>
  </si>
  <si>
    <t>KANANI ELIAB</t>
  </si>
  <si>
    <t>1198280118315073</t>
  </si>
  <si>
    <t>INGABIRE ANTOINETTE</t>
  </si>
  <si>
    <t>1198980159648084</t>
  </si>
  <si>
    <t>GOLG/300K</t>
  </si>
  <si>
    <t>ernestenizeye@gmail.com</t>
  </si>
  <si>
    <t>1198380110766031</t>
  </si>
  <si>
    <t>BURERA</t>
  </si>
  <si>
    <t>thierryka@gmail.com</t>
  </si>
  <si>
    <t>119898006563169</t>
  </si>
  <si>
    <t>NYAMAGABE</t>
  </si>
  <si>
    <t>1198080021155026</t>
  </si>
  <si>
    <t>abudulmbarushimana89@gmail.com</t>
  </si>
  <si>
    <t>1198280181366007</t>
  </si>
  <si>
    <t>feliciennengimana@yahoo.fr</t>
  </si>
  <si>
    <t>1200070001157167</t>
  </si>
  <si>
    <t>smurungibusiness@gmail.com</t>
  </si>
  <si>
    <t>Jean Marie Vianney NSABIMANA;Evase NSENGIMANA;Beatrice NSENGIYUMVA</t>
  </si>
  <si>
    <t>1198470018975125</t>
  </si>
  <si>
    <t>MEMBER</t>
  </si>
  <si>
    <t>gitibuye@gmail.com</t>
  </si>
  <si>
    <t>Kundimana Michel;Mugabekazi Angelique</t>
  </si>
  <si>
    <t>1195580014740003</t>
  </si>
  <si>
    <t>NYARUGURU</t>
  </si>
  <si>
    <t>silver/100k</t>
  </si>
  <si>
    <t>shumbushaeliezar@gmail.com</t>
  </si>
  <si>
    <t>1198580039905084</t>
  </si>
  <si>
    <t>1196480066054052</t>
  </si>
  <si>
    <t>Enviroment Innovation value chain ltd</t>
  </si>
  <si>
    <t>Eric MUROKORE</t>
  </si>
  <si>
    <t>1196180053460002</t>
  </si>
  <si>
    <t>Mmurokore1@gmail.com</t>
  </si>
  <si>
    <t>RWAMIGABO DANIEL</t>
  </si>
  <si>
    <t>1199370162375013</t>
  </si>
  <si>
    <t>gasanaeustache@gmail.com</t>
  </si>
  <si>
    <t>nsengimanapierre97@gmail.com</t>
  </si>
  <si>
    <t xml:space="preserve"> NDAYISENGA Theoneste</t>
  </si>
  <si>
    <t>1197480000422252</t>
  </si>
  <si>
    <t>nsengatheos@yahoo.fr</t>
  </si>
  <si>
    <t>HABIMANA JEROME NDAMAGE</t>
  </si>
  <si>
    <t>CHANTAL TUYISHIME;NTAKIRUTIMANA DAMIER</t>
  </si>
  <si>
    <t>1198980118747032</t>
  </si>
  <si>
    <t>CHAIRPERSON</t>
  </si>
  <si>
    <t>jeromendamage88@gmail.com</t>
  </si>
  <si>
    <t>HUYE</t>
  </si>
  <si>
    <t>hajuve09@gmail.com</t>
  </si>
  <si>
    <t>RCA/0174/2016</t>
  </si>
  <si>
    <t>NSEKANABO OLIVIER</t>
  </si>
  <si>
    <t>INYAMIBWA WOOD LTD</t>
  </si>
  <si>
    <t>MUKANGOBOKA JOSIANE</t>
  </si>
  <si>
    <t>Iyamuremye Jean Marie Vianney</t>
  </si>
  <si>
    <t>1198370074151094</t>
  </si>
  <si>
    <t>josianemukangoboka@gmail.com</t>
  </si>
  <si>
    <t>0783440477</t>
  </si>
  <si>
    <t>1196680052761041</t>
  </si>
  <si>
    <t>agakirirokirehe2024@gmail.com</t>
  </si>
  <si>
    <t>1198480017611186</t>
  </si>
  <si>
    <t>ntezimanaaphrodice@gmail.com</t>
  </si>
  <si>
    <t>mukamurindam5@gmail.com</t>
  </si>
  <si>
    <t>1198370132372083</t>
  </si>
  <si>
    <t>ntakirutimanarosemarie@gmail.com</t>
  </si>
  <si>
    <t>1198070020314081</t>
  </si>
  <si>
    <t>ebarebereho@gmail.com</t>
  </si>
  <si>
    <t>BAREBEREHO Emelienne</t>
  </si>
  <si>
    <t>CODENYA KOTANIRUBWIYUNGE</t>
  </si>
  <si>
    <t>SENGA SANDRINE</t>
  </si>
  <si>
    <t>NGIRINSHUTI FIDEL; ISHIMWE JEAN DE DIEU</t>
  </si>
  <si>
    <t>RCA/0130/2014</t>
  </si>
  <si>
    <t>0786081871</t>
  </si>
  <si>
    <t>codeanyacop@gmail.com</t>
  </si>
  <si>
    <t>119837005556093</t>
  </si>
  <si>
    <t>NTAWIYANGA FRANCOIS</t>
  </si>
  <si>
    <t>1199770190089141</t>
  </si>
  <si>
    <t>uwimbabazi1jeanette@gmail.com</t>
  </si>
  <si>
    <t>mukeshalpha3@gmail.com</t>
  </si>
  <si>
    <t>Uwimbabazi Odette</t>
  </si>
  <si>
    <t>MUKAMUGANGA LUCIE</t>
  </si>
  <si>
    <t>seeds nd nurseries</t>
  </si>
  <si>
    <t>sibomanaemmanuel@gmail.com</t>
  </si>
  <si>
    <t>ISHIMWE Donathille</t>
  </si>
  <si>
    <t>0783478871</t>
  </si>
  <si>
    <t>NSHIMIYIMANA THACIEN</t>
  </si>
  <si>
    <t>0788870438</t>
  </si>
  <si>
    <t>NSHIMIYIMANA T COMPANY LTD</t>
  </si>
  <si>
    <t>1198380136231009</t>
  </si>
  <si>
    <t>tnshimiyimana06@gmail.com</t>
  </si>
  <si>
    <t>J2D SERVICES AND SUPPLYERS Ltd</t>
  </si>
  <si>
    <t>jonsenga3@gmail.com</t>
  </si>
  <si>
    <t>1199170143076051</t>
  </si>
  <si>
    <t>MUKANYABYENDA CHRISTINE</t>
  </si>
  <si>
    <t>1199070035136176</t>
  </si>
  <si>
    <t>0783765134</t>
  </si>
  <si>
    <t>mukanyabyendachristine65@gmail.com</t>
  </si>
  <si>
    <t>ramadhanmanzi522@gmail.com</t>
  </si>
  <si>
    <t>1197880010284075</t>
  </si>
  <si>
    <t>eliasniyonsaba2@gmail.com</t>
  </si>
  <si>
    <t>1196380042725061</t>
  </si>
  <si>
    <t>NEW</t>
  </si>
  <si>
    <t>RCA/0485/2017/109121337</t>
  </si>
  <si>
    <t>RDB Certificate / TIN &amp; RCA</t>
  </si>
  <si>
    <t>1198780109298023</t>
  </si>
  <si>
    <t>habumuremyiemma889@gmail.com</t>
  </si>
  <si>
    <t>1197780092732105</t>
  </si>
  <si>
    <t>TIMBER BENEFIT COMPANY LTD</t>
  </si>
  <si>
    <t>MUTESI CLARISSE</t>
  </si>
  <si>
    <t>mutesicl3@gmail.com</t>
  </si>
  <si>
    <t>1198770155684044</t>
  </si>
  <si>
    <t>CLITIVATE AND HAVEST LTD</t>
  </si>
  <si>
    <t>HABUMUGISHA GERMAIN</t>
  </si>
  <si>
    <t>1199280005246078</t>
  </si>
  <si>
    <t>germaingisha@gmail.com</t>
  </si>
  <si>
    <t>MUSHA SHEMA COMPANY LTD</t>
  </si>
  <si>
    <t>MURUNGA SHADRACK</t>
  </si>
  <si>
    <t>mushashadrack@gmail.com</t>
  </si>
  <si>
    <t>1197480076246003</t>
  </si>
  <si>
    <t>aloys2005agro@gmail.com</t>
  </si>
  <si>
    <t>NSHIMIYIMANA JOSEPH</t>
  </si>
  <si>
    <t>josephnshimiye1989@gmail.com</t>
  </si>
  <si>
    <t>GUMIRA PATRICK</t>
  </si>
  <si>
    <t>0784694185</t>
  </si>
  <si>
    <t>PLATINUM/500</t>
  </si>
  <si>
    <t>1198180006189001</t>
  </si>
  <si>
    <t>polarisgroup21@gmail.com</t>
  </si>
  <si>
    <t>POLARIS GROUP LTD</t>
  </si>
  <si>
    <t>NAMUHORANYE ASSIEL</t>
  </si>
  <si>
    <t>MUHIRWA THADEE</t>
  </si>
  <si>
    <t>HARERIMANA THEONESTE</t>
  </si>
  <si>
    <t>RUHANGO</t>
  </si>
  <si>
    <t>NYIRAHABIMANA BEATRICE</t>
  </si>
  <si>
    <t>1199170079596093</t>
  </si>
  <si>
    <t>0784038765</t>
  </si>
  <si>
    <t>KNG TREE NURSERY COMPANY LTD</t>
  </si>
  <si>
    <t>mbaragac9@gmail.com</t>
  </si>
  <si>
    <t>1199280171650069</t>
  </si>
  <si>
    <t>0788422895</t>
  </si>
  <si>
    <t>1198380101098217</t>
  </si>
  <si>
    <t>NGORORERO</t>
  </si>
  <si>
    <t>0788687905</t>
  </si>
  <si>
    <t>1197580056918026</t>
  </si>
  <si>
    <t>1196880045375090</t>
  </si>
  <si>
    <t>HAKIZIMANA MICHEL</t>
  </si>
  <si>
    <t>1198580100686003</t>
  </si>
  <si>
    <t>FIRARU LTD</t>
  </si>
  <si>
    <t>MURORUNKWERE ASSINATH</t>
  </si>
  <si>
    <t>MUVURA WOOD LTD</t>
  </si>
  <si>
    <t>MUHAWENIMANA MARIE CLAIRE</t>
  </si>
  <si>
    <t>1196970002803012</t>
  </si>
  <si>
    <t>0788426787</t>
  </si>
  <si>
    <t>muclaire2014@gmail.com</t>
  </si>
  <si>
    <t>MCM FRESH COMPANY LTD</t>
  </si>
  <si>
    <t>thadeemuhirwa@gmail.com</t>
  </si>
  <si>
    <t>MGRF COMPANY LTD</t>
  </si>
  <si>
    <t>NIYOYITA THEOGENE</t>
  </si>
  <si>
    <t>INNOVA COMPANNY LTD</t>
  </si>
  <si>
    <t>NYANZA</t>
  </si>
  <si>
    <t>NTIVUGURUZWA Silas,UWITONZE Diane</t>
  </si>
  <si>
    <t>1199080007448020</t>
  </si>
  <si>
    <t>paulsigwa@gmail.com</t>
  </si>
  <si>
    <t xml:space="preserve">Gafunzi Sammy </t>
  </si>
  <si>
    <t>1197470005531026</t>
  </si>
  <si>
    <t>etablissentglltd@gmail.com</t>
  </si>
  <si>
    <t>1198980202220149</t>
  </si>
  <si>
    <t xml:space="preserve">Gisubizo sumaya ,Gihozo shemsa </t>
  </si>
  <si>
    <t>1199970032412104</t>
  </si>
  <si>
    <t>shemsagihozo1999@gmail.com</t>
  </si>
  <si>
    <t>KCJC</t>
  </si>
  <si>
    <t xml:space="preserve">GREEN IMPACT SOLUTIONS (GIS CO) LTD </t>
  </si>
  <si>
    <t xml:space="preserve">C.k business ltd </t>
  </si>
  <si>
    <t xml:space="preserve">Kanakuze Olivier </t>
  </si>
  <si>
    <t>Yannick Byiza Ngabo</t>
  </si>
  <si>
    <t>ATELIER DE COUTURE ET DE MENUISERIE NYUNDO(ACMN)LTD</t>
  </si>
  <si>
    <t xml:space="preserve">MARIE ROSE NTAKIRUTIMANA </t>
  </si>
  <si>
    <t>MANTOVANI WOOD DESIGN Ltd</t>
  </si>
  <si>
    <t>1198280020469115</t>
  </si>
  <si>
    <t>1199280024631003</t>
  </si>
  <si>
    <t>1198180015950067</t>
  </si>
  <si>
    <t>1199070142585198</t>
  </si>
  <si>
    <t>1197370002737061</t>
  </si>
  <si>
    <t>1198480169924043</t>
  </si>
  <si>
    <t>1197570007340024</t>
  </si>
  <si>
    <t>1196380020993019</t>
  </si>
  <si>
    <t>1197980105142006</t>
  </si>
  <si>
    <t>1198280181366193</t>
  </si>
  <si>
    <t>1195880012442015</t>
  </si>
  <si>
    <t>1197880086186098</t>
  </si>
  <si>
    <t>1198780138405117</t>
  </si>
  <si>
    <t>1198870078811186</t>
  </si>
  <si>
    <t>1197870005949132</t>
  </si>
  <si>
    <t>1196870069766093</t>
  </si>
  <si>
    <t>1198670131915127</t>
  </si>
  <si>
    <t>1198270073905029</t>
  </si>
  <si>
    <t>1199270159159051</t>
  </si>
  <si>
    <t>1199780069172086</t>
  </si>
  <si>
    <t>1200380087930055</t>
  </si>
  <si>
    <t>1198670083865483</t>
  </si>
  <si>
    <t>1197080037040135</t>
  </si>
  <si>
    <t>1198480092377233</t>
  </si>
  <si>
    <t>1198280195710138</t>
  </si>
  <si>
    <t>1198280003013099</t>
  </si>
  <si>
    <t>1197970109880073</t>
  </si>
  <si>
    <t>1198280201657037</t>
  </si>
  <si>
    <t>1199380128145127</t>
  </si>
  <si>
    <t>UMUJYI WA KIGALI/ KIGALI CITY</t>
  </si>
  <si>
    <t xml:space="preserve">Gasabo </t>
  </si>
  <si>
    <t>UBURENGERAZUBA/ WESTERN</t>
  </si>
  <si>
    <t>UBURASIRAZUBA/ EASTERN</t>
  </si>
  <si>
    <t xml:space="preserve">BUGESERA </t>
  </si>
  <si>
    <t>Gasabo</t>
  </si>
  <si>
    <t>Kayonza</t>
  </si>
  <si>
    <t>Nyagatare</t>
  </si>
  <si>
    <t xml:space="preserve">Kicukiro </t>
  </si>
  <si>
    <t xml:space="preserve">RWAMAGANA </t>
  </si>
  <si>
    <t>Rusizi</t>
  </si>
  <si>
    <t>greentransformltd@gmail.com</t>
  </si>
  <si>
    <t>mukansangapaci@gmail.com</t>
  </si>
  <si>
    <t>oligalimited1@gmail.com</t>
  </si>
  <si>
    <t>Clenieniyomufasha00@gmail.com</t>
  </si>
  <si>
    <t>tharcicerwagakiga@gmail.com</t>
  </si>
  <si>
    <t>ngogene79@gmail.com</t>
  </si>
  <si>
    <t>felecius82@gmail.com</t>
  </si>
  <si>
    <t>Ckbusinessltd3@gmail.com</t>
  </si>
  <si>
    <t>martinesesonga25@gmail.com</t>
  </si>
  <si>
    <t>rehobo96@gmail.com</t>
  </si>
  <si>
    <t>rudakubanajeanbaptiste@gmail.com</t>
  </si>
  <si>
    <t>mchantal509@gmail.com</t>
  </si>
  <si>
    <t>UmuhozaOliver@gmail.com</t>
  </si>
  <si>
    <t>blessedharvesttrades@gmail.com</t>
  </si>
  <si>
    <t>ndayajamvier2025@gmail.com</t>
  </si>
  <si>
    <t>acmnyundo1@gmail.com</t>
  </si>
  <si>
    <t>harerimanatheoneste3@gmail.com</t>
  </si>
  <si>
    <t>gasanaeustache7@gmail.com</t>
  </si>
  <si>
    <t>justinbahati64@gmail.com</t>
  </si>
  <si>
    <t>habumugishaericeee@gmail.com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</si>
</sst>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 Rounded MT Bold"/>
      <family val="2"/>
    </font>
    <font>
      <sz val="12"/>
      <name val="Calibri"/>
      <family val="2"/>
      <scheme val="minor"/>
    </font>
    <font>
      <sz val="16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Calibri"/>
      <family val="2"/>
      <scheme val="minor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sz val="9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Times New Roman"/>
      <family val="1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00">
    <xf numFmtId="0" fontId="0" fillId="0" borderId="0" xfId="0"/>
    <xf numFmtId="0" fontId="0" fillId="0" borderId="0" xfId="0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2" fillId="3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 wrapText="1"/>
    </xf>
    <xf numFmtId="0" fontId="5" fillId="4" borderId="1" xfId="0" applyFont="1" applyFill="1" applyBorder="1" applyAlignment="1">
      <alignment horizontal="left" vertical="top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0" borderId="1" xfId="0" quotePrefix="1" applyFont="1" applyBorder="1" applyAlignment="1">
      <alignment horizontal="left" vertical="top" wrapText="1"/>
    </xf>
    <xf numFmtId="41" fontId="5" fillId="0" borderId="1" xfId="1" applyFont="1" applyBorder="1" applyAlignment="1">
      <alignment vertical="top" wrapText="1"/>
    </xf>
    <xf numFmtId="49" fontId="2" fillId="3" borderId="2" xfId="0" applyNumberFormat="1" applyFont="1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vertical="center" wrapText="1"/>
    </xf>
    <xf numFmtId="49" fontId="0" fillId="0" borderId="1" xfId="0" applyNumberFormat="1" applyBorder="1"/>
    <xf numFmtId="49" fontId="0" fillId="0" borderId="0" xfId="0" applyNumberFormat="1"/>
    <xf numFmtId="0" fontId="8" fillId="2" borderId="1" xfId="2" applyFill="1" applyBorder="1" applyAlignment="1">
      <alignment vertical="center" wrapText="1"/>
    </xf>
    <xf numFmtId="0" fontId="7" fillId="0" borderId="1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0" fillId="2" borderId="1" xfId="0" quotePrefix="1" applyFill="1" applyBorder="1" applyAlignment="1">
      <alignment vertical="center" wrapText="1"/>
    </xf>
    <xf numFmtId="41" fontId="2" fillId="3" borderId="2" xfId="1" applyFont="1" applyFill="1" applyBorder="1" applyAlignment="1">
      <alignment horizontal="left" vertical="top" wrapText="1"/>
    </xf>
    <xf numFmtId="41" fontId="2" fillId="3" borderId="1" xfId="1" applyFont="1" applyFill="1" applyBorder="1" applyAlignment="1">
      <alignment horizontal="left" vertical="top" wrapText="1"/>
    </xf>
    <xf numFmtId="41" fontId="5" fillId="0" borderId="1" xfId="1" applyFont="1" applyBorder="1" applyAlignment="1">
      <alignment horizontal="left" vertical="top"/>
    </xf>
    <xf numFmtId="41" fontId="0" fillId="2" borderId="1" xfId="1" applyFont="1" applyFill="1" applyBorder="1" applyAlignment="1">
      <alignment vertical="center" wrapText="1"/>
    </xf>
    <xf numFmtId="41" fontId="6" fillId="0" borderId="1" xfId="1" applyFont="1" applyBorder="1" applyAlignment="1">
      <alignment horizontal="left" vertical="top"/>
    </xf>
    <xf numFmtId="41" fontId="5" fillId="0" borderId="0" xfId="1" applyFont="1" applyBorder="1" applyAlignment="1">
      <alignment horizontal="left" vertical="top"/>
    </xf>
    <xf numFmtId="41" fontId="0" fillId="2" borderId="0" xfId="1" applyFont="1" applyFill="1" applyAlignment="1">
      <alignment vertical="center" wrapText="1"/>
    </xf>
    <xf numFmtId="41" fontId="0" fillId="0" borderId="1" xfId="1" applyFont="1" applyBorder="1"/>
    <xf numFmtId="41" fontId="0" fillId="0" borderId="0" xfId="1" applyFont="1"/>
    <xf numFmtId="0" fontId="0" fillId="5" borderId="1" xfId="0" applyFill="1" applyBorder="1" applyAlignment="1">
      <alignment vertical="center" wrapText="1"/>
    </xf>
    <xf numFmtId="0" fontId="5" fillId="5" borderId="1" xfId="0" applyFont="1" applyFill="1" applyBorder="1" applyAlignment="1">
      <alignment horizontal="left" vertical="top"/>
    </xf>
    <xf numFmtId="49" fontId="0" fillId="5" borderId="1" xfId="0" applyNumberFormat="1" applyFill="1" applyBorder="1" applyAlignment="1">
      <alignment vertical="center" wrapText="1"/>
    </xf>
    <xf numFmtId="41" fontId="5" fillId="5" borderId="1" xfId="1" applyFont="1" applyFill="1" applyBorder="1" applyAlignment="1">
      <alignment horizontal="left" vertical="top"/>
    </xf>
    <xf numFmtId="41" fontId="0" fillId="5" borderId="1" xfId="1" applyFont="1" applyFill="1" applyBorder="1" applyAlignment="1">
      <alignment vertical="center" wrapText="1"/>
    </xf>
    <xf numFmtId="0" fontId="0" fillId="5" borderId="0" xfId="0" applyFill="1"/>
    <xf numFmtId="0" fontId="0" fillId="2" borderId="1" xfId="0" applyFill="1" applyBorder="1" applyAlignment="1">
      <alignment horizontal="left" vertical="top" wrapText="1"/>
    </xf>
    <xf numFmtId="49" fontId="0" fillId="2" borderId="1" xfId="0" applyNumberFormat="1" applyFill="1" applyBorder="1" applyAlignment="1">
      <alignment horizontal="left" vertical="top" wrapText="1"/>
    </xf>
    <xf numFmtId="0" fontId="8" fillId="2" borderId="1" xfId="2" applyFill="1" applyBorder="1" applyAlignment="1">
      <alignment horizontal="left" vertical="top" wrapText="1"/>
    </xf>
    <xf numFmtId="41" fontId="0" fillId="2" borderId="1" xfId="1" applyFont="1" applyFill="1" applyBorder="1" applyAlignment="1">
      <alignment horizontal="left" vertical="top" wrapText="1"/>
    </xf>
    <xf numFmtId="41" fontId="0" fillId="2" borderId="0" xfId="1" applyFont="1" applyFill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5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0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41" fontId="0" fillId="2" borderId="0" xfId="1" applyNumberFormat="1" applyFont="1" applyFill="1" applyAlignment="1">
      <alignment vertical="center" wrapText="1"/>
    </xf>
    <xf numFmtId="41" fontId="11" fillId="2" borderId="1" xfId="1" applyFont="1" applyFill="1" applyBorder="1"/>
    <xf numFmtId="0" fontId="0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0" fillId="0" borderId="1" xfId="0" quotePrefix="1" applyFont="1" applyBorder="1" applyAlignment="1">
      <alignment horizontal="left" vertical="top" wrapText="1"/>
    </xf>
    <xf numFmtId="0" fontId="0" fillId="2" borderId="0" xfId="0" applyFill="1" applyBorder="1" applyAlignment="1">
      <alignment vertical="center" wrapText="1"/>
    </xf>
    <xf numFmtId="0" fontId="4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14" fillId="0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top"/>
    </xf>
    <xf numFmtId="0" fontId="0" fillId="2" borderId="1" xfId="0" applyFill="1" applyBorder="1" applyAlignment="1">
      <alignment vertical="top" wrapText="1"/>
    </xf>
    <xf numFmtId="49" fontId="0" fillId="2" borderId="1" xfId="0" applyNumberFormat="1" applyFill="1" applyBorder="1" applyAlignment="1">
      <alignment vertical="top" wrapText="1"/>
    </xf>
    <xf numFmtId="41" fontId="0" fillId="2" borderId="1" xfId="1" applyFont="1" applyFill="1" applyBorder="1" applyAlignment="1">
      <alignment vertical="top" wrapText="1"/>
    </xf>
    <xf numFmtId="41" fontId="0" fillId="2" borderId="0" xfId="1" applyFont="1" applyFill="1" applyAlignment="1">
      <alignment vertical="top" wrapText="1"/>
    </xf>
    <xf numFmtId="0" fontId="0" fillId="0" borderId="0" xfId="0" applyAlignment="1">
      <alignment vertical="top"/>
    </xf>
    <xf numFmtId="0" fontId="0" fillId="2" borderId="1" xfId="0" quotePrefix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5" fillId="6" borderId="1" xfId="0" applyFont="1" applyFill="1" applyBorder="1" applyAlignment="1">
      <alignment horizontal="left" vertical="top"/>
    </xf>
    <xf numFmtId="49" fontId="15" fillId="6" borderId="1" xfId="0" applyNumberFormat="1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top"/>
    </xf>
    <xf numFmtId="49" fontId="15" fillId="4" borderId="1" xfId="0" applyNumberFormat="1" applyFont="1" applyFill="1" applyBorder="1" applyAlignment="1">
      <alignment horizontal="left" vertical="top"/>
    </xf>
    <xf numFmtId="0" fontId="16" fillId="6" borderId="1" xfId="0" applyFont="1" applyFill="1" applyBorder="1" applyAlignment="1">
      <alignment horizontal="left" vertical="top"/>
    </xf>
    <xf numFmtId="0" fontId="16" fillId="4" borderId="1" xfId="0" applyFont="1" applyFill="1" applyBorder="1" applyAlignment="1">
      <alignment horizontal="left" vertical="top"/>
    </xf>
    <xf numFmtId="0" fontId="13" fillId="6" borderId="1" xfId="0" applyFont="1" applyFill="1" applyBorder="1" applyAlignment="1">
      <alignment horizontal="left" vertical="top"/>
    </xf>
    <xf numFmtId="0" fontId="13" fillId="4" borderId="1" xfId="0" applyFont="1" applyFill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left" vertical="top" wrapText="1"/>
    </xf>
    <xf numFmtId="0" fontId="15" fillId="0" borderId="1" xfId="0" applyFont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0" borderId="1" xfId="0" applyBorder="1" applyAlignment="1">
      <alignment vertical="top"/>
    </xf>
    <xf numFmtId="0" fontId="17" fillId="4" borderId="1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vertical="center" wrapText="1"/>
    </xf>
    <xf numFmtId="0" fontId="14" fillId="0" borderId="1" xfId="0" applyFont="1" applyBorder="1" applyAlignment="1">
      <alignment horizontal="left" vertical="top" wrapText="1"/>
    </xf>
    <xf numFmtId="49" fontId="17" fillId="4" borderId="1" xfId="0" applyNumberFormat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49" fontId="18" fillId="2" borderId="1" xfId="0" applyNumberFormat="1" applyFont="1" applyFill="1" applyBorder="1" applyAlignment="1">
      <alignment vertical="center" wrapText="1"/>
    </xf>
    <xf numFmtId="41" fontId="18" fillId="2" borderId="1" xfId="1" applyFont="1" applyFill="1" applyBorder="1" applyAlignment="1">
      <alignment vertical="center" wrapText="1"/>
    </xf>
    <xf numFmtId="41" fontId="18" fillId="2" borderId="0" xfId="1" applyFont="1" applyFill="1" applyAlignment="1">
      <alignment vertical="center" wrapText="1"/>
    </xf>
    <xf numFmtId="0" fontId="18" fillId="0" borderId="0" xfId="0" applyFont="1"/>
    <xf numFmtId="0" fontId="17" fillId="6" borderId="1" xfId="0" applyFont="1" applyFill="1" applyBorder="1" applyAlignment="1">
      <alignment horizontal="left" vertical="top"/>
    </xf>
    <xf numFmtId="49" fontId="17" fillId="6" borderId="1" xfId="0" applyNumberFormat="1" applyFont="1" applyFill="1" applyBorder="1" applyAlignment="1">
      <alignment horizontal="left" vertical="top"/>
    </xf>
  </cellXfs>
  <cellStyles count="3">
    <cellStyle name="Comma [0]" xfId="1" builtinId="6"/>
    <cellStyle name="Hyperlink" xfId="2" builtinId="8"/>
    <cellStyle name="Normal" xfId="0" builtinId="0"/>
  </cellStyles>
  <dxfs count="32">
    <dxf>
      <fill>
        <patternFill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3" formatCode="_-* #,##0_-;\-* #,##0_-;_-* &quot;-&quot;_-;_-@_-"/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0" formatCode="@"/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fill>
        <patternFill>
          <fgColor indexed="64"/>
          <bgColor theme="0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Rounded MT Bold"/>
        <scheme val="none"/>
      </font>
      <fill>
        <patternFill patternType="solid">
          <fgColor indexed="64"/>
          <bgColor theme="5" tint="0.39997558519241921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B471" totalsRowShown="0" headerRowDxfId="31" dataDxfId="29" headerRowBorderDxfId="30" tableBorderDxfId="28">
  <autoFilter ref="A1:AB471"/>
  <sortState ref="A2:AB507">
    <sortCondition ref="B2:B507"/>
  </sortState>
  <tableColumns count="28">
    <tableColumn id="1" name="C/N" dataDxfId="27"/>
    <tableColumn id="2" name="Company ; COOPERATIVE Name / Izina ry’Ikigo" dataDxfId="26"/>
    <tableColumn id="3" name="Full Name / AMAZINA YA NYIRI COMPANY" dataDxfId="25"/>
    <tableColumn id="4" name="shareholder/umunyamigabane" dataDxfId="24"/>
    <tableColumn id="5" name="Gender / Igitsina" dataDxfId="23"/>
    <tableColumn id="6" name="RDB Certificate / TIN &amp; RCA" dataDxfId="0"/>
    <tableColumn id="7" name="ID" dataDxfId="22"/>
    <tableColumn id="8" name="Province / Intara" dataDxfId="21"/>
    <tableColumn id="9" name="District / Akarere" dataDxfId="20"/>
    <tableColumn id="10" name="CLUSTER/Ubucuruzi akora " dataDxfId="19"/>
    <tableColumn id="11" name="Role/Position / Inshingano" dataDxfId="18"/>
    <tableColumn id="12" name="Membership Category/ICYICIRO CY'UMUNYAMURYANGO" dataDxfId="17"/>
    <tableColumn id="13" name="Membership Status/Uko ahagaze mu kwishyura umusanzu" dataDxfId="16"/>
    <tableColumn id="14" name="Employees (Women / Abakozi b'Abagore)" dataDxfId="15"/>
    <tableColumn id="15" name="Employees (Men / Abakozi b'Abagabo)" dataDxfId="14"/>
    <tableColumn id="16" name="Employees (PWD / Abakozi bafite Ubumuga)" dataDxfId="13"/>
    <tableColumn id="17" name="Telefoni" dataDxfId="12"/>
    <tableColumn id="18" name="Email" dataDxfId="11"/>
    <tableColumn id="19" name="Date Joined/Itariki yinjiriye muri Association" dataDxfId="10"/>
    <tableColumn id="24" name="2019" dataDxfId="9" dataCellStyle="Comma [0]"/>
    <tableColumn id="20" name="2020" dataDxfId="8" dataCellStyle="Comma [0]"/>
    <tableColumn id="21" name="2021" dataDxfId="7" dataCellStyle="Comma [0]"/>
    <tableColumn id="25" name="2022" dataDxfId="6" dataCellStyle="Comma [0]"/>
    <tableColumn id="26" name="2023" dataDxfId="5" dataCellStyle="Comma [0]"/>
    <tableColumn id="27" name="2024" dataDxfId="4" dataCellStyle="Comma [0]"/>
    <tableColumn id="28" name="2025" dataDxfId="3" dataCellStyle="Comma [0]"/>
    <tableColumn id="29" name="2026" dataDxfId="2" dataCellStyle="Comma [0]"/>
    <tableColumn id="30" name="TOTAL" dataDxfId="1" dataCellStyle="Comma [0]">
      <calculatedColumnFormula>Table1[[#This Row],[2019]]+Table1[[#This Row],[2020]]+Table1[[#This Row],[2021]]+Table1[[#This Row],[2022]]+Table1[[#This Row],[2023]]+Table1[[#This Row],[2024]]+Table1[[#This Row],[2025]]+Table1[[#This Row],[2026]]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asileniyitegeka123@gmail.com" TargetMode="External"/><Relationship Id="rId18" Type="http://schemas.openxmlformats.org/officeDocument/2006/relationships/hyperlink" Target="mailto:rudakubanajeanba1@gmail.com" TargetMode="External"/><Relationship Id="rId26" Type="http://schemas.openxmlformats.org/officeDocument/2006/relationships/hyperlink" Target="mailto:shumbushaeliezar@gmail.com" TargetMode="External"/><Relationship Id="rId39" Type="http://schemas.openxmlformats.org/officeDocument/2006/relationships/hyperlink" Target="mailto:codeanyacop@gmail.com" TargetMode="External"/><Relationship Id="rId21" Type="http://schemas.openxmlformats.org/officeDocument/2006/relationships/hyperlink" Target="mailto:thierryka@gmail.com" TargetMode="External"/><Relationship Id="rId34" Type="http://schemas.openxmlformats.org/officeDocument/2006/relationships/hyperlink" Target="mailto:agakirirokirehe2024@gmail.com" TargetMode="External"/><Relationship Id="rId42" Type="http://schemas.openxmlformats.org/officeDocument/2006/relationships/hyperlink" Target="mailto:sibomanaemmanuel@gmail.com" TargetMode="External"/><Relationship Id="rId47" Type="http://schemas.openxmlformats.org/officeDocument/2006/relationships/hyperlink" Target="mailto:habumuremyiemma889@gmail.com" TargetMode="External"/><Relationship Id="rId50" Type="http://schemas.openxmlformats.org/officeDocument/2006/relationships/hyperlink" Target="mailto:mushashadrack@gmail.com" TargetMode="External"/><Relationship Id="rId55" Type="http://schemas.openxmlformats.org/officeDocument/2006/relationships/table" Target="../tables/table1.xml"/><Relationship Id="rId7" Type="http://schemas.openxmlformats.org/officeDocument/2006/relationships/hyperlink" Target="mailto:umuhozaolover4@gmail.com" TargetMode="External"/><Relationship Id="rId12" Type="http://schemas.openxmlformats.org/officeDocument/2006/relationships/hyperlink" Target="mailto:rntabanganyimana@yahoo.com" TargetMode="External"/><Relationship Id="rId17" Type="http://schemas.openxmlformats.org/officeDocument/2006/relationships/hyperlink" Target="mailto:mukeshimanacelestin@gmail.com" TargetMode="External"/><Relationship Id="rId25" Type="http://schemas.openxmlformats.org/officeDocument/2006/relationships/hyperlink" Target="mailto:gitibuye@gmail.com" TargetMode="External"/><Relationship Id="rId33" Type="http://schemas.openxmlformats.org/officeDocument/2006/relationships/hyperlink" Target="mailto:josianemukangoboka@gmail.com" TargetMode="External"/><Relationship Id="rId38" Type="http://schemas.openxmlformats.org/officeDocument/2006/relationships/hyperlink" Target="mailto:ebarebereho@gmail.com" TargetMode="External"/><Relationship Id="rId46" Type="http://schemas.openxmlformats.org/officeDocument/2006/relationships/hyperlink" Target="mailto:eliasniyonsaba2@gmail.com" TargetMode="External"/><Relationship Id="rId2" Type="http://schemas.openxmlformats.org/officeDocument/2006/relationships/hyperlink" Target="mailto:tegibltd@gmail.com" TargetMode="External"/><Relationship Id="rId16" Type="http://schemas.openxmlformats.org/officeDocument/2006/relationships/hyperlink" Target="mailto:woodhabitatrwanda@gmail.com" TargetMode="External"/><Relationship Id="rId20" Type="http://schemas.openxmlformats.org/officeDocument/2006/relationships/hyperlink" Target="mailto:ernestenizeye@gmail.com" TargetMode="External"/><Relationship Id="rId29" Type="http://schemas.openxmlformats.org/officeDocument/2006/relationships/hyperlink" Target="mailto:nsengimanapierre97@gmail.com" TargetMode="External"/><Relationship Id="rId41" Type="http://schemas.openxmlformats.org/officeDocument/2006/relationships/hyperlink" Target="mailto:mukeshalpha3@gmail.com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mailto:ndatirafa83@yahoo.com" TargetMode="External"/><Relationship Id="rId6" Type="http://schemas.openxmlformats.org/officeDocument/2006/relationships/hyperlink" Target="mailto:babalinaniphilippe@gmail.com" TargetMode="External"/><Relationship Id="rId11" Type="http://schemas.openxmlformats.org/officeDocument/2006/relationships/hyperlink" Target="mailto:munganyinkat@gmail.com" TargetMode="External"/><Relationship Id="rId24" Type="http://schemas.openxmlformats.org/officeDocument/2006/relationships/hyperlink" Target="mailto:smurungibusiness@gmail.com" TargetMode="External"/><Relationship Id="rId32" Type="http://schemas.openxmlformats.org/officeDocument/2006/relationships/hyperlink" Target="mailto:hajuve09@gmail.com" TargetMode="External"/><Relationship Id="rId37" Type="http://schemas.openxmlformats.org/officeDocument/2006/relationships/hyperlink" Target="mailto:ntakirutimanarosemarie@gmail.com" TargetMode="External"/><Relationship Id="rId40" Type="http://schemas.openxmlformats.org/officeDocument/2006/relationships/hyperlink" Target="mailto:uwimbabazi1jeanette@gmail.com" TargetMode="External"/><Relationship Id="rId45" Type="http://schemas.openxmlformats.org/officeDocument/2006/relationships/hyperlink" Target="mailto:ramadhanmanzi522@gmail.com" TargetMode="External"/><Relationship Id="rId53" Type="http://schemas.openxmlformats.org/officeDocument/2006/relationships/hyperlink" Target="mailto:mbaragac9@gmail.com" TargetMode="External"/><Relationship Id="rId5" Type="http://schemas.openxmlformats.org/officeDocument/2006/relationships/hyperlink" Target="mailto:ntidendereza980@gmail.com" TargetMode="External"/><Relationship Id="rId15" Type="http://schemas.openxmlformats.org/officeDocument/2006/relationships/hyperlink" Target="mailto:shalindintali@yahoo.fr" TargetMode="External"/><Relationship Id="rId23" Type="http://schemas.openxmlformats.org/officeDocument/2006/relationships/hyperlink" Target="mailto:feliciennengimana@yahoo.fr" TargetMode="External"/><Relationship Id="rId28" Type="http://schemas.openxmlformats.org/officeDocument/2006/relationships/hyperlink" Target="mailto:gasanaeustache@gmail.com" TargetMode="External"/><Relationship Id="rId36" Type="http://schemas.openxmlformats.org/officeDocument/2006/relationships/hyperlink" Target="mailto:mukamurindam5@gmail.com" TargetMode="External"/><Relationship Id="rId49" Type="http://schemas.openxmlformats.org/officeDocument/2006/relationships/hyperlink" Target="mailto:germaingisha@gmail.com" TargetMode="External"/><Relationship Id="rId10" Type="http://schemas.openxmlformats.org/officeDocument/2006/relationships/hyperlink" Target="mailto:nsengahonore20@gmail.com" TargetMode="External"/><Relationship Id="rId19" Type="http://schemas.openxmlformats.org/officeDocument/2006/relationships/hyperlink" Target="mailto:hakizimanalaban16@gmail.com" TargetMode="External"/><Relationship Id="rId31" Type="http://schemas.openxmlformats.org/officeDocument/2006/relationships/hyperlink" Target="mailto:jeromendamage88@gmail.com" TargetMode="External"/><Relationship Id="rId44" Type="http://schemas.openxmlformats.org/officeDocument/2006/relationships/hyperlink" Target="mailto:mukanyabyendachristine65@gmail.com" TargetMode="External"/><Relationship Id="rId52" Type="http://schemas.openxmlformats.org/officeDocument/2006/relationships/hyperlink" Target="mailto:josephnshimiye1989@gmail.com" TargetMode="External"/><Relationship Id="rId4" Type="http://schemas.openxmlformats.org/officeDocument/2006/relationships/hyperlink" Target="mailto:faithfulmu12@gmail.com" TargetMode="External"/><Relationship Id="rId9" Type="http://schemas.openxmlformats.org/officeDocument/2006/relationships/hyperlink" Target="mailto:nabahiretheo@gmail.com" TargetMode="External"/><Relationship Id="rId14" Type="http://schemas.openxmlformats.org/officeDocument/2006/relationships/hyperlink" Target="mailto:batamurizapraise1@gmail.com" TargetMode="External"/><Relationship Id="rId22" Type="http://schemas.openxmlformats.org/officeDocument/2006/relationships/hyperlink" Target="mailto:abudulmbarushimana89@gmail.com" TargetMode="External"/><Relationship Id="rId27" Type="http://schemas.openxmlformats.org/officeDocument/2006/relationships/hyperlink" Target="mailto:Mmurokore1@gmail.com" TargetMode="External"/><Relationship Id="rId30" Type="http://schemas.openxmlformats.org/officeDocument/2006/relationships/hyperlink" Target="mailto:nsengatheos@yahoo.fr" TargetMode="External"/><Relationship Id="rId35" Type="http://schemas.openxmlformats.org/officeDocument/2006/relationships/hyperlink" Target="mailto:ntezimanaaphrodice@gmail.com" TargetMode="External"/><Relationship Id="rId43" Type="http://schemas.openxmlformats.org/officeDocument/2006/relationships/hyperlink" Target="mailto:tnshimiyimana06@gmail.com" TargetMode="External"/><Relationship Id="rId48" Type="http://schemas.openxmlformats.org/officeDocument/2006/relationships/hyperlink" Target="mailto:mutesicl3@gmail.com" TargetMode="External"/><Relationship Id="rId8" Type="http://schemas.openxmlformats.org/officeDocument/2006/relationships/hyperlink" Target="mailto:benegusengadarus@gmail.com" TargetMode="External"/><Relationship Id="rId51" Type="http://schemas.openxmlformats.org/officeDocument/2006/relationships/hyperlink" Target="mailto:aloys2005agro@gmail.com" TargetMode="External"/><Relationship Id="rId3" Type="http://schemas.openxmlformats.org/officeDocument/2006/relationships/hyperlink" Target="mailto:havugimanaemmanuel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03"/>
  <sheetViews>
    <sheetView tabSelected="1" workbookViewId="0">
      <pane ySplit="1" topLeftCell="A126" activePane="bottomLeft" state="frozen"/>
      <selection pane="bottomLeft" activeCell="F114" sqref="F114:G114"/>
    </sheetView>
  </sheetViews>
  <sheetFormatPr defaultRowHeight="15" x14ac:dyDescent="0.25"/>
  <cols>
    <col min="1" max="1" width="7.5703125" customWidth="1"/>
    <col min="2" max="2" width="39.42578125" style="8" customWidth="1"/>
    <col min="3" max="3" width="36" style="8" customWidth="1"/>
    <col min="4" max="4" width="25.85546875" customWidth="1"/>
    <col min="5" max="5" width="12.85546875" bestFit="1" customWidth="1"/>
    <col min="6" max="6" width="16.5703125" style="73" customWidth="1"/>
    <col min="7" max="7" width="19.140625" style="24" customWidth="1"/>
    <col min="8" max="8" width="24.28515625" customWidth="1"/>
    <col min="9" max="9" width="25" customWidth="1"/>
    <col min="10" max="10" width="26.7109375" style="8" customWidth="1"/>
    <col min="11" max="11" width="36" customWidth="1"/>
    <col min="12" max="12" width="28.7109375" customWidth="1"/>
    <col min="13" max="13" width="22.28515625" customWidth="1"/>
    <col min="14" max="14" width="26.85546875" customWidth="1"/>
    <col min="15" max="15" width="29" customWidth="1"/>
    <col min="16" max="16" width="28.85546875" customWidth="1"/>
    <col min="17" max="17" width="23.7109375" customWidth="1"/>
    <col min="18" max="18" width="28.5703125" customWidth="1"/>
    <col min="19" max="19" width="21.5703125" style="24" customWidth="1"/>
    <col min="20" max="20" width="21.5703125" style="38" customWidth="1"/>
    <col min="21" max="21" width="20.7109375" style="38" customWidth="1"/>
    <col min="22" max="22" width="23.140625" style="38" customWidth="1"/>
    <col min="23" max="24" width="12.85546875" style="38" bestFit="1" customWidth="1"/>
    <col min="25" max="25" width="16.85546875" style="38" bestFit="1" customWidth="1"/>
    <col min="26" max="26" width="10" style="38" bestFit="1" customWidth="1"/>
    <col min="27" max="27" width="9.140625" style="38"/>
    <col min="28" max="28" width="16.85546875" bestFit="1" customWidth="1"/>
  </cols>
  <sheetData>
    <row r="1" spans="1:28" s="2" customFormat="1" ht="82.5" customHeight="1" x14ac:dyDescent="0.25">
      <c r="A1" s="6" t="s">
        <v>16</v>
      </c>
      <c r="B1" s="6" t="s">
        <v>18</v>
      </c>
      <c r="C1" s="6" t="s">
        <v>17</v>
      </c>
      <c r="D1" s="6" t="s">
        <v>6</v>
      </c>
      <c r="E1" s="6" t="s">
        <v>0</v>
      </c>
      <c r="F1" s="74" t="s">
        <v>789</v>
      </c>
      <c r="G1" s="21" t="s">
        <v>7</v>
      </c>
      <c r="H1" s="6" t="s">
        <v>1</v>
      </c>
      <c r="I1" s="6" t="s">
        <v>2</v>
      </c>
      <c r="J1" s="6" t="s">
        <v>19</v>
      </c>
      <c r="K1" s="6" t="s">
        <v>3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  <c r="Q1" s="6" t="s">
        <v>13</v>
      </c>
      <c r="R1" s="6" t="s">
        <v>14</v>
      </c>
      <c r="S1" s="21" t="s">
        <v>15</v>
      </c>
      <c r="T1" s="30" t="s">
        <v>602</v>
      </c>
      <c r="U1" s="30" t="s">
        <v>604</v>
      </c>
      <c r="V1" s="30" t="s">
        <v>603</v>
      </c>
      <c r="W1" s="31" t="s">
        <v>601</v>
      </c>
      <c r="X1" s="31" t="s">
        <v>599</v>
      </c>
      <c r="Y1" s="31" t="s">
        <v>598</v>
      </c>
      <c r="Z1" s="31" t="s">
        <v>600</v>
      </c>
      <c r="AA1" s="31" t="s">
        <v>637</v>
      </c>
      <c r="AB1" s="6" t="s">
        <v>649</v>
      </c>
    </row>
    <row r="2" spans="1:28" s="3" customFormat="1" ht="15.75" x14ac:dyDescent="0.25">
      <c r="A2" s="4">
        <v>231</v>
      </c>
      <c r="B2" s="16" t="s">
        <v>376</v>
      </c>
      <c r="C2" s="16" t="s">
        <v>377</v>
      </c>
      <c r="D2" s="4"/>
      <c r="E2" s="10" t="s">
        <v>402</v>
      </c>
      <c r="F2" s="65"/>
      <c r="G2" s="22"/>
      <c r="H2" s="4"/>
      <c r="I2" s="4"/>
      <c r="J2" s="60"/>
      <c r="K2" s="7"/>
      <c r="L2" s="10"/>
      <c r="M2" s="4"/>
      <c r="N2" s="4"/>
      <c r="O2" s="4"/>
      <c r="P2" s="4"/>
      <c r="Q2" s="16" t="s">
        <v>572</v>
      </c>
      <c r="R2" s="4"/>
      <c r="S2" s="10" t="s">
        <v>602</v>
      </c>
      <c r="T2" s="32"/>
      <c r="U2" s="33"/>
      <c r="V2" s="33"/>
      <c r="W2" s="33"/>
      <c r="X2" s="33"/>
      <c r="Y2" s="33"/>
      <c r="Z2" s="33"/>
      <c r="AA2" s="33"/>
      <c r="AB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" spans="1:28" s="3" customFormat="1" ht="15.75" x14ac:dyDescent="0.25">
      <c r="A3" s="4">
        <v>134</v>
      </c>
      <c r="B3" s="16" t="s">
        <v>151</v>
      </c>
      <c r="C3" s="16" t="s">
        <v>152</v>
      </c>
      <c r="D3" s="4"/>
      <c r="E3" s="10" t="s">
        <v>402</v>
      </c>
      <c r="F3" s="65"/>
      <c r="G3" s="22"/>
      <c r="H3" s="4"/>
      <c r="I3" s="4"/>
      <c r="J3" s="60"/>
      <c r="K3" s="4"/>
      <c r="L3" s="10" t="s">
        <v>613</v>
      </c>
      <c r="M3" s="4"/>
      <c r="N3" s="4"/>
      <c r="O3" s="4"/>
      <c r="P3" s="4"/>
      <c r="Q3" s="16" t="s">
        <v>469</v>
      </c>
      <c r="R3" s="4"/>
      <c r="S3" s="10">
        <v>2025</v>
      </c>
      <c r="T3" s="32"/>
      <c r="U3" s="33"/>
      <c r="V3" s="33"/>
      <c r="W3" s="33"/>
      <c r="X3" s="33"/>
      <c r="Y3" s="33"/>
      <c r="Z3" s="33"/>
      <c r="AA3" s="33"/>
      <c r="AB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" spans="1:28" ht="30" x14ac:dyDescent="0.25">
      <c r="A4" s="4">
        <v>38</v>
      </c>
      <c r="B4" s="16" t="s">
        <v>171</v>
      </c>
      <c r="C4" s="16" t="s">
        <v>172</v>
      </c>
      <c r="D4" s="4" t="s">
        <v>765</v>
      </c>
      <c r="E4" s="10" t="s">
        <v>401</v>
      </c>
      <c r="F4" s="65">
        <v>111724491</v>
      </c>
      <c r="G4" s="22" t="s">
        <v>746</v>
      </c>
      <c r="H4" s="4" t="s">
        <v>584</v>
      </c>
      <c r="I4" s="4" t="s">
        <v>621</v>
      </c>
      <c r="J4" s="60" t="s">
        <v>5</v>
      </c>
      <c r="K4" s="4" t="s">
        <v>590</v>
      </c>
      <c r="L4" s="10" t="s">
        <v>613</v>
      </c>
      <c r="M4" s="4"/>
      <c r="N4" s="4"/>
      <c r="O4" s="4"/>
      <c r="P4" s="4"/>
      <c r="Q4" s="16" t="s">
        <v>478</v>
      </c>
      <c r="R4" s="25" t="s">
        <v>747</v>
      </c>
      <c r="S4" s="10" t="s">
        <v>600</v>
      </c>
      <c r="T4" s="32"/>
      <c r="U4" s="33"/>
      <c r="V4" s="33"/>
      <c r="W4" s="33"/>
      <c r="X4" s="33"/>
      <c r="Y4" s="33"/>
      <c r="Z4" s="33">
        <v>350000</v>
      </c>
      <c r="AA4" s="33"/>
      <c r="AB4" s="36">
        <f>Table1[[#This Row],[2019]]+Table1[[#This Row],[2020]]+Table1[[#This Row],[2021]]+Table1[[#This Row],[2022]]+Table1[[#This Row],[2023]]+Table1[[#This Row],[2024]]+Table1[[#This Row],[2025]]+Table1[[#This Row],[2026]]</f>
        <v>350000</v>
      </c>
    </row>
    <row r="5" spans="1:28" ht="31.5" x14ac:dyDescent="0.25">
      <c r="A5" s="4">
        <v>182</v>
      </c>
      <c r="B5" s="16" t="s">
        <v>256</v>
      </c>
      <c r="C5" s="16" t="s">
        <v>257</v>
      </c>
      <c r="D5" s="4"/>
      <c r="E5" s="10" t="s">
        <v>401</v>
      </c>
      <c r="F5" s="65"/>
      <c r="G5" s="22"/>
      <c r="H5" s="4" t="s">
        <v>687</v>
      </c>
      <c r="I5" s="4" t="s">
        <v>688</v>
      </c>
      <c r="J5" s="60"/>
      <c r="K5" s="4"/>
      <c r="L5" s="10" t="s">
        <v>643</v>
      </c>
      <c r="M5" s="4"/>
      <c r="N5" s="4"/>
      <c r="O5" s="4"/>
      <c r="P5" s="4"/>
      <c r="Q5" s="16">
        <v>784399430</v>
      </c>
      <c r="R5" s="4"/>
      <c r="S5" s="10" t="s">
        <v>602</v>
      </c>
      <c r="T5" s="32"/>
      <c r="U5" s="33"/>
      <c r="V5" s="33"/>
      <c r="W5" s="33"/>
      <c r="X5" s="33"/>
      <c r="Y5" s="33"/>
      <c r="Z5" s="33"/>
      <c r="AA5" s="33"/>
      <c r="AB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6" spans="1:28" ht="15.75" x14ac:dyDescent="0.25">
      <c r="A6" s="4">
        <v>102</v>
      </c>
      <c r="B6" s="16" t="s">
        <v>79</v>
      </c>
      <c r="C6" s="16" t="s">
        <v>80</v>
      </c>
      <c r="D6" s="4"/>
      <c r="E6" s="10" t="s">
        <v>402</v>
      </c>
      <c r="F6" s="65"/>
      <c r="G6" s="22"/>
      <c r="H6" s="4"/>
      <c r="I6" s="4"/>
      <c r="J6" s="60"/>
      <c r="K6" s="4"/>
      <c r="L6" s="10"/>
      <c r="M6" s="4"/>
      <c r="N6" s="4"/>
      <c r="O6" s="4"/>
      <c r="P6" s="4"/>
      <c r="Q6" s="16" t="s">
        <v>438</v>
      </c>
      <c r="R6" s="4"/>
      <c r="S6" s="10" t="s">
        <v>599</v>
      </c>
      <c r="T6" s="32"/>
      <c r="U6" s="33"/>
      <c r="V6" s="33"/>
      <c r="W6" s="33"/>
      <c r="X6" s="33"/>
      <c r="Y6" s="33"/>
      <c r="Z6" s="33"/>
      <c r="AA6" s="33"/>
      <c r="AB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7" spans="1:28" ht="31.5" x14ac:dyDescent="0.25">
      <c r="A7" s="4">
        <v>145</v>
      </c>
      <c r="B7" s="16" t="s">
        <v>180</v>
      </c>
      <c r="C7" s="16" t="s">
        <v>181</v>
      </c>
      <c r="D7" s="4"/>
      <c r="E7" s="10" t="s">
        <v>404</v>
      </c>
      <c r="F7" s="65"/>
      <c r="G7" s="22"/>
      <c r="H7" s="4"/>
      <c r="I7" s="4"/>
      <c r="J7" s="4"/>
      <c r="K7" s="4"/>
      <c r="L7" s="10" t="s">
        <v>613</v>
      </c>
      <c r="M7" s="4"/>
      <c r="N7" s="4"/>
      <c r="O7" s="4"/>
      <c r="P7" s="4"/>
      <c r="Q7" s="16" t="s">
        <v>483</v>
      </c>
      <c r="R7" s="4"/>
      <c r="S7" s="10" t="s">
        <v>598</v>
      </c>
      <c r="T7" s="32"/>
      <c r="U7" s="33"/>
      <c r="V7" s="33"/>
      <c r="W7" s="33"/>
      <c r="X7" s="33"/>
      <c r="Y7" s="33"/>
      <c r="Z7" s="33"/>
      <c r="AA7" s="33"/>
      <c r="AB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8" spans="1:28" ht="15.75" x14ac:dyDescent="0.25">
      <c r="A8" s="4">
        <v>166</v>
      </c>
      <c r="B8" s="16" t="s">
        <v>223</v>
      </c>
      <c r="C8" s="16" t="s">
        <v>224</v>
      </c>
      <c r="D8" s="4"/>
      <c r="E8" s="10" t="s">
        <v>401</v>
      </c>
      <c r="F8" s="89">
        <v>121226338</v>
      </c>
      <c r="G8" s="79" t="s">
        <v>875</v>
      </c>
      <c r="H8" s="4" t="s">
        <v>594</v>
      </c>
      <c r="I8" s="4" t="s">
        <v>635</v>
      </c>
      <c r="J8" s="4"/>
      <c r="K8" s="4"/>
      <c r="L8" s="10" t="s">
        <v>643</v>
      </c>
      <c r="M8" s="4"/>
      <c r="N8" s="4"/>
      <c r="O8" s="4"/>
      <c r="P8" s="4"/>
      <c r="Q8" s="16" t="s">
        <v>508</v>
      </c>
      <c r="R8" s="4"/>
      <c r="S8" s="10" t="s">
        <v>599</v>
      </c>
      <c r="T8" s="32"/>
      <c r="U8" s="33"/>
      <c r="V8" s="33"/>
      <c r="W8" s="33"/>
      <c r="X8" s="33"/>
      <c r="Y8" s="33"/>
      <c r="Z8" s="33"/>
      <c r="AA8" s="33"/>
      <c r="AB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9" spans="1:28" ht="45" x14ac:dyDescent="0.25">
      <c r="A9" s="4">
        <v>49</v>
      </c>
      <c r="B9" s="16" t="s">
        <v>289</v>
      </c>
      <c r="C9" s="16" t="s">
        <v>290</v>
      </c>
      <c r="D9" s="4" t="s">
        <v>761</v>
      </c>
      <c r="E9" s="10" t="s">
        <v>402</v>
      </c>
      <c r="F9" s="65">
        <v>120125465</v>
      </c>
      <c r="G9" s="22" t="s">
        <v>760</v>
      </c>
      <c r="H9" s="4" t="s">
        <v>588</v>
      </c>
      <c r="I9" s="4" t="s">
        <v>700</v>
      </c>
      <c r="J9" s="4" t="s">
        <v>597</v>
      </c>
      <c r="K9" s="4" t="s">
        <v>590</v>
      </c>
      <c r="L9" s="10" t="s">
        <v>618</v>
      </c>
      <c r="M9" s="4"/>
      <c r="N9" s="4">
        <v>1</v>
      </c>
      <c r="O9" s="4">
        <v>1</v>
      </c>
      <c r="P9" s="4"/>
      <c r="Q9" s="16" t="s">
        <v>536</v>
      </c>
      <c r="R9" s="25" t="s">
        <v>764</v>
      </c>
      <c r="S9" s="10" t="s">
        <v>600</v>
      </c>
      <c r="T9" s="32"/>
      <c r="U9" s="33"/>
      <c r="V9" s="33"/>
      <c r="W9" s="33"/>
      <c r="X9" s="33"/>
      <c r="Y9" s="33"/>
      <c r="Z9" s="33">
        <v>150000</v>
      </c>
      <c r="AA9" s="33"/>
      <c r="AB9" s="36">
        <f>Table1[[#This Row],[2019]]+Table1[[#This Row],[2020]]+Table1[[#This Row],[2021]]+Table1[[#This Row],[2022]]+Table1[[#This Row],[2023]]+Table1[[#This Row],[2024]]+Table1[[#This Row],[2025]]+Table1[[#This Row],[2026]]</f>
        <v>150000</v>
      </c>
    </row>
    <row r="10" spans="1:28" ht="15.75" x14ac:dyDescent="0.25">
      <c r="A10" s="4">
        <v>164</v>
      </c>
      <c r="B10" s="16" t="s">
        <v>221</v>
      </c>
      <c r="C10" s="16" t="s">
        <v>222</v>
      </c>
      <c r="D10" s="4"/>
      <c r="E10" s="10" t="s">
        <v>406</v>
      </c>
      <c r="F10" s="65"/>
      <c r="G10" s="22"/>
      <c r="H10" s="4"/>
      <c r="I10" s="4"/>
      <c r="J10" s="4"/>
      <c r="K10" s="4"/>
      <c r="L10" s="10" t="s">
        <v>632</v>
      </c>
      <c r="M10" s="4"/>
      <c r="N10" s="4"/>
      <c r="O10" s="4"/>
      <c r="P10" s="4"/>
      <c r="Q10" s="16" t="s">
        <v>507</v>
      </c>
      <c r="R10" s="4"/>
      <c r="S10" s="10">
        <v>2019</v>
      </c>
      <c r="T10" s="32"/>
      <c r="U10" s="33"/>
      <c r="V10" s="33"/>
      <c r="W10" s="33"/>
      <c r="X10" s="33"/>
      <c r="Y10" s="33"/>
      <c r="Z10" s="33"/>
      <c r="AA10" s="33"/>
      <c r="AB1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1" spans="1:28" ht="15.75" x14ac:dyDescent="0.25">
      <c r="A11" s="4">
        <v>5</v>
      </c>
      <c r="B11" s="18" t="s">
        <v>326</v>
      </c>
      <c r="C11" s="18" t="s">
        <v>327</v>
      </c>
      <c r="D11" s="39"/>
      <c r="E11" s="40" t="s">
        <v>401</v>
      </c>
      <c r="F11" s="71">
        <v>102050877</v>
      </c>
      <c r="G11" s="41" t="s">
        <v>641</v>
      </c>
      <c r="H11" s="39" t="s">
        <v>623</v>
      </c>
      <c r="I11" s="39" t="s">
        <v>642</v>
      </c>
      <c r="J11" s="39" t="s">
        <v>5</v>
      </c>
      <c r="K11" s="39" t="s">
        <v>609</v>
      </c>
      <c r="L11" s="40" t="s">
        <v>643</v>
      </c>
      <c r="M11" s="39"/>
      <c r="N11" s="39">
        <v>6</v>
      </c>
      <c r="O11" s="39">
        <v>24</v>
      </c>
      <c r="P11" s="39"/>
      <c r="Q11" s="18" t="s">
        <v>555</v>
      </c>
      <c r="R11" s="39"/>
      <c r="S11" s="40" t="s">
        <v>598</v>
      </c>
      <c r="T11" s="42">
        <v>0</v>
      </c>
      <c r="U11" s="43">
        <v>0</v>
      </c>
      <c r="V11" s="43">
        <v>0</v>
      </c>
      <c r="W11" s="43">
        <v>0</v>
      </c>
      <c r="X11" s="43">
        <v>0</v>
      </c>
      <c r="Y11" s="43">
        <v>500000</v>
      </c>
      <c r="Z11" s="43"/>
      <c r="AA11" s="43"/>
      <c r="AB11" s="36">
        <f>Table1[[#This Row],[2019]]+Table1[[#This Row],[2020]]+Table1[[#This Row],[2021]]+Table1[[#This Row],[2022]]+Table1[[#This Row],[2023]]+Table1[[#This Row],[2024]]+Table1[[#This Row],[2025]]+Table1[[#This Row],[2026]]</f>
        <v>500000</v>
      </c>
    </row>
    <row r="12" spans="1:28" ht="30" x14ac:dyDescent="0.25">
      <c r="A12" s="4">
        <v>183</v>
      </c>
      <c r="B12" s="16" t="s">
        <v>261</v>
      </c>
      <c r="C12" s="51" t="s">
        <v>260</v>
      </c>
      <c r="D12" s="4"/>
      <c r="E12" s="10" t="s">
        <v>401</v>
      </c>
      <c r="F12" s="65"/>
      <c r="G12" s="22"/>
      <c r="H12" s="4" t="s">
        <v>687</v>
      </c>
      <c r="I12" s="4" t="s">
        <v>688</v>
      </c>
      <c r="J12" s="4" t="s">
        <v>20</v>
      </c>
      <c r="K12" s="4"/>
      <c r="L12" s="10" t="s">
        <v>613</v>
      </c>
      <c r="M12" s="4"/>
      <c r="N12" s="4"/>
      <c r="O12" s="4"/>
      <c r="P12" s="4"/>
      <c r="Q12" s="16" t="s">
        <v>523</v>
      </c>
      <c r="R12" s="4"/>
      <c r="S12" s="10" t="s">
        <v>600</v>
      </c>
      <c r="T12" s="32"/>
      <c r="U12" s="33"/>
      <c r="V12" s="33"/>
      <c r="W12" s="33"/>
      <c r="X12" s="33"/>
      <c r="Y12" s="33"/>
      <c r="Z12" s="33"/>
      <c r="AA12" s="33"/>
      <c r="AB1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3" spans="1:28" ht="15.75" x14ac:dyDescent="0.25">
      <c r="A13" s="4">
        <v>240</v>
      </c>
      <c r="B13" s="16" t="s">
        <v>388</v>
      </c>
      <c r="C13" s="16" t="s">
        <v>389</v>
      </c>
      <c r="D13" s="4"/>
      <c r="E13" s="10" t="s">
        <v>401</v>
      </c>
      <c r="F13" s="65"/>
      <c r="G13" s="22"/>
      <c r="H13" s="4"/>
      <c r="I13" s="4"/>
      <c r="J13" s="4"/>
      <c r="K13" s="4"/>
      <c r="L13" s="10"/>
      <c r="M13" s="4"/>
      <c r="N13" s="4"/>
      <c r="O13" s="4"/>
      <c r="P13" s="4"/>
      <c r="Q13" s="16" t="s">
        <v>576</v>
      </c>
      <c r="R13" s="4"/>
      <c r="S13" s="10" t="s">
        <v>599</v>
      </c>
      <c r="T13" s="32"/>
      <c r="U13" s="33"/>
      <c r="V13" s="33"/>
      <c r="W13" s="33"/>
      <c r="X13" s="33"/>
      <c r="Y13" s="33"/>
      <c r="Z13" s="33"/>
      <c r="AA13" s="33"/>
      <c r="AB1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4" spans="1:28" ht="31.5" x14ac:dyDescent="0.25">
      <c r="A14" s="4">
        <v>192</v>
      </c>
      <c r="B14" s="16" t="s">
        <v>281</v>
      </c>
      <c r="C14" s="16" t="s">
        <v>282</v>
      </c>
      <c r="D14" s="4"/>
      <c r="E14" s="10" t="s">
        <v>401</v>
      </c>
      <c r="F14" s="65"/>
      <c r="G14" s="22"/>
      <c r="H14" s="4"/>
      <c r="I14" s="4"/>
      <c r="J14" s="4"/>
      <c r="K14" s="4"/>
      <c r="L14" s="10"/>
      <c r="M14" s="4"/>
      <c r="N14" s="4"/>
      <c r="O14" s="4"/>
      <c r="P14" s="4"/>
      <c r="Q14" s="16" t="s">
        <v>533</v>
      </c>
      <c r="R14" s="4"/>
      <c r="S14" s="10" t="s">
        <v>598</v>
      </c>
      <c r="T14" s="32"/>
      <c r="U14" s="33"/>
      <c r="V14" s="33"/>
      <c r="W14" s="33"/>
      <c r="X14" s="33"/>
      <c r="Y14" s="33"/>
      <c r="Z14" s="33"/>
      <c r="AA14" s="33"/>
      <c r="AB1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5" spans="1:28" ht="30" x14ac:dyDescent="0.25">
      <c r="A15" s="4">
        <v>43</v>
      </c>
      <c r="B15" s="17" t="s">
        <v>345</v>
      </c>
      <c r="C15" s="17" t="s">
        <v>346</v>
      </c>
      <c r="D15" s="4"/>
      <c r="E15" s="4" t="s">
        <v>401</v>
      </c>
      <c r="F15" s="75">
        <v>118858179</v>
      </c>
      <c r="G15" s="22" t="s">
        <v>790</v>
      </c>
      <c r="H15" s="4" t="s">
        <v>687</v>
      </c>
      <c r="I15" s="4" t="s">
        <v>697</v>
      </c>
      <c r="J15" s="4" t="s">
        <v>20</v>
      </c>
      <c r="K15" s="4" t="s">
        <v>590</v>
      </c>
      <c r="L15" s="14" t="s">
        <v>714</v>
      </c>
      <c r="M15" s="4" t="s">
        <v>787</v>
      </c>
      <c r="N15" s="4">
        <v>8</v>
      </c>
      <c r="O15" s="4">
        <v>2</v>
      </c>
      <c r="P15" s="4"/>
      <c r="Q15" s="14">
        <v>788934784</v>
      </c>
      <c r="R15" s="25" t="s">
        <v>791</v>
      </c>
      <c r="S15" s="14">
        <v>2026</v>
      </c>
      <c r="T15" s="34"/>
      <c r="U15" s="33"/>
      <c r="V15" s="33"/>
      <c r="W15" s="33"/>
      <c r="X15" s="33"/>
      <c r="Y15" s="33"/>
      <c r="Z15" s="33"/>
      <c r="AA15" s="33">
        <v>50000</v>
      </c>
      <c r="AB15" s="36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16" spans="1:28" ht="15.75" x14ac:dyDescent="0.25">
      <c r="A16" s="4">
        <v>71</v>
      </c>
      <c r="B16" s="16" t="s">
        <v>25</v>
      </c>
      <c r="C16" s="16" t="s">
        <v>400</v>
      </c>
      <c r="D16" s="4"/>
      <c r="E16" s="10" t="s">
        <v>402</v>
      </c>
      <c r="F16" s="81">
        <v>101629918</v>
      </c>
      <c r="G16" s="79" t="s">
        <v>877</v>
      </c>
      <c r="H16" s="4" t="s">
        <v>584</v>
      </c>
      <c r="I16" s="4" t="s">
        <v>585</v>
      </c>
      <c r="J16" s="4" t="s">
        <v>5</v>
      </c>
      <c r="K16" s="4" t="s">
        <v>590</v>
      </c>
      <c r="L16" s="10" t="s">
        <v>643</v>
      </c>
      <c r="M16" s="4"/>
      <c r="N16" s="4"/>
      <c r="O16" s="4"/>
      <c r="P16" s="4"/>
      <c r="Q16" s="16" t="s">
        <v>409</v>
      </c>
      <c r="R16" s="81" t="s">
        <v>911</v>
      </c>
      <c r="S16" s="10" t="s">
        <v>599</v>
      </c>
      <c r="T16" s="32"/>
      <c r="U16" s="33"/>
      <c r="V16" s="33"/>
      <c r="W16" s="33"/>
      <c r="X16" s="33">
        <v>520000</v>
      </c>
      <c r="Y16" s="33">
        <v>520000</v>
      </c>
      <c r="Z16" s="33">
        <v>520000</v>
      </c>
      <c r="AA16" s="33"/>
      <c r="AB16" s="36">
        <f>Table1[[#This Row],[2019]]+Table1[[#This Row],[2020]]+Table1[[#This Row],[2021]]+Table1[[#This Row],[2022]]+Table1[[#This Row],[2023]]+Table1[[#This Row],[2024]]+Table1[[#This Row],[2025]]+Table1[[#This Row],[2026]]</f>
        <v>1560000</v>
      </c>
    </row>
    <row r="17" spans="1:28" ht="47.25" x14ac:dyDescent="0.25">
      <c r="A17" s="4">
        <v>206</v>
      </c>
      <c r="B17" s="16" t="s">
        <v>318</v>
      </c>
      <c r="C17" s="16" t="s">
        <v>319</v>
      </c>
      <c r="D17" s="4"/>
      <c r="E17" s="10" t="s">
        <v>401</v>
      </c>
      <c r="F17" s="81">
        <v>109788210</v>
      </c>
      <c r="G17" s="79" t="s">
        <v>887</v>
      </c>
      <c r="H17" s="4" t="s">
        <v>623</v>
      </c>
      <c r="I17" s="4" t="s">
        <v>624</v>
      </c>
      <c r="J17" s="4" t="s">
        <v>5</v>
      </c>
      <c r="K17" s="4" t="s">
        <v>590</v>
      </c>
      <c r="L17" s="10" t="s">
        <v>643</v>
      </c>
      <c r="M17" s="4"/>
      <c r="N17" s="4"/>
      <c r="O17" s="4"/>
      <c r="P17" s="4"/>
      <c r="Q17" s="70" t="s">
        <v>551</v>
      </c>
      <c r="R17" s="4"/>
      <c r="S17" s="10" t="s">
        <v>600</v>
      </c>
      <c r="T17" s="32"/>
      <c r="U17" s="33"/>
      <c r="V17" s="33"/>
      <c r="W17" s="33"/>
      <c r="X17" s="33"/>
      <c r="Y17" s="33"/>
      <c r="Z17" s="33"/>
      <c r="AA17" s="33"/>
      <c r="AB1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8" spans="1:28" x14ac:dyDescent="0.25">
      <c r="A18" s="4">
        <v>302</v>
      </c>
      <c r="B18" s="81" t="s">
        <v>318</v>
      </c>
      <c r="C18" s="4"/>
      <c r="D18" s="4"/>
      <c r="E18" s="4"/>
      <c r="F18" s="65"/>
      <c r="G18" s="22"/>
      <c r="H18" s="81" t="s">
        <v>894</v>
      </c>
      <c r="I18" s="81" t="s">
        <v>624</v>
      </c>
      <c r="J18" s="4"/>
      <c r="K18" s="4"/>
      <c r="L18" s="4"/>
      <c r="M18" s="4"/>
      <c r="N18" s="4"/>
      <c r="O18" s="4"/>
      <c r="P18" s="4"/>
      <c r="Q18" s="4"/>
      <c r="R18" s="81" t="s">
        <v>918</v>
      </c>
      <c r="S18" s="22"/>
      <c r="T18" s="33"/>
      <c r="U18" s="33"/>
      <c r="V18" s="33"/>
      <c r="W18" s="33"/>
      <c r="X18" s="33"/>
      <c r="Y18" s="33"/>
      <c r="Z18" s="33"/>
      <c r="AA18" s="33"/>
      <c r="AB1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" spans="1:28" x14ac:dyDescent="0.25">
      <c r="A19" s="4">
        <v>292</v>
      </c>
      <c r="B19" s="81" t="s">
        <v>860</v>
      </c>
      <c r="C19" s="4"/>
      <c r="D19" s="4"/>
      <c r="E19" s="4"/>
      <c r="F19" s="81">
        <v>109788210</v>
      </c>
      <c r="G19" s="79" t="s">
        <v>887</v>
      </c>
      <c r="H19" s="81" t="s">
        <v>894</v>
      </c>
      <c r="I19" s="81" t="s">
        <v>624</v>
      </c>
      <c r="J19" s="4"/>
      <c r="K19" s="4"/>
      <c r="L19" s="4"/>
      <c r="M19" s="4"/>
      <c r="N19" s="4"/>
      <c r="O19" s="4"/>
      <c r="P19" s="4"/>
      <c r="Q19" s="4"/>
      <c r="R19" s="81" t="s">
        <v>918</v>
      </c>
      <c r="S19" s="22"/>
      <c r="T19" s="33"/>
      <c r="U19" s="33"/>
      <c r="V19" s="33"/>
      <c r="W19" s="33"/>
      <c r="X19" s="33"/>
      <c r="Y19" s="33"/>
      <c r="Z19" s="33"/>
      <c r="AA19" s="33"/>
      <c r="AB1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0" spans="1:28" ht="30" x14ac:dyDescent="0.25">
      <c r="A20" s="4">
        <v>105</v>
      </c>
      <c r="B20" s="16" t="s">
        <v>85</v>
      </c>
      <c r="C20" s="16" t="s">
        <v>86</v>
      </c>
      <c r="D20" s="4"/>
      <c r="E20" s="10" t="s">
        <v>401</v>
      </c>
      <c r="F20" s="65"/>
      <c r="G20" s="22"/>
      <c r="H20" s="4" t="s">
        <v>594</v>
      </c>
      <c r="I20" s="4" t="s">
        <v>595</v>
      </c>
      <c r="J20" s="4" t="s">
        <v>20</v>
      </c>
      <c r="K20" s="4" t="s">
        <v>590</v>
      </c>
      <c r="L20" s="10" t="s">
        <v>643</v>
      </c>
      <c r="M20" s="4" t="s">
        <v>651</v>
      </c>
      <c r="N20" s="4">
        <v>1</v>
      </c>
      <c r="O20" s="4">
        <v>1</v>
      </c>
      <c r="P20" s="4"/>
      <c r="Q20" s="16" t="s">
        <v>441</v>
      </c>
      <c r="R20" s="4"/>
      <c r="S20" s="10" t="s">
        <v>598</v>
      </c>
      <c r="T20" s="32">
        <v>0</v>
      </c>
      <c r="U20" s="33">
        <v>0</v>
      </c>
      <c r="V20" s="33">
        <v>0</v>
      </c>
      <c r="W20" s="33">
        <v>0</v>
      </c>
      <c r="X20" s="33">
        <v>0</v>
      </c>
      <c r="Y20" s="33">
        <v>500000</v>
      </c>
      <c r="Z20" s="43"/>
      <c r="AA20" s="43"/>
      <c r="AB20" s="36">
        <f>Table1[[#This Row],[2019]]+Table1[[#This Row],[2020]]+Table1[[#This Row],[2021]]+Table1[[#This Row],[2022]]+Table1[[#This Row],[2023]]+Table1[[#This Row],[2024]]+Table1[[#This Row],[2025]]+Table1[[#This Row],[2026]]</f>
        <v>500000</v>
      </c>
    </row>
    <row r="21" spans="1:28" ht="31.5" x14ac:dyDescent="0.25">
      <c r="A21" s="4">
        <v>199</v>
      </c>
      <c r="B21" s="16" t="s">
        <v>296</v>
      </c>
      <c r="C21" s="16" t="s">
        <v>297</v>
      </c>
      <c r="D21" s="4"/>
      <c r="E21" s="10" t="s">
        <v>401</v>
      </c>
      <c r="F21" s="65"/>
      <c r="G21" s="22"/>
      <c r="H21" s="4" t="s">
        <v>594</v>
      </c>
      <c r="I21" s="4" t="s">
        <v>612</v>
      </c>
      <c r="J21" s="4" t="s">
        <v>20</v>
      </c>
      <c r="K21" s="4" t="s">
        <v>590</v>
      </c>
      <c r="L21" s="10" t="s">
        <v>643</v>
      </c>
      <c r="M21" s="4"/>
      <c r="N21" s="4"/>
      <c r="O21" s="4"/>
      <c r="P21" s="4"/>
      <c r="Q21" s="70" t="s">
        <v>541</v>
      </c>
      <c r="R21" s="4"/>
      <c r="S21" s="10" t="s">
        <v>598</v>
      </c>
      <c r="T21" s="32"/>
      <c r="U21" s="33"/>
      <c r="V21" s="33"/>
      <c r="W21" s="33"/>
      <c r="X21" s="33"/>
      <c r="Y21" s="33">
        <v>520000</v>
      </c>
      <c r="Z21" s="33">
        <v>500000</v>
      </c>
      <c r="AA21" s="33">
        <v>150000</v>
      </c>
      <c r="AB21" s="36">
        <f>Table1[[#This Row],[2019]]+Table1[[#This Row],[2020]]+Table1[[#This Row],[2021]]+Table1[[#This Row],[2022]]+Table1[[#This Row],[2023]]+Table1[[#This Row],[2024]]+Table1[[#This Row],[2025]]+Table1[[#This Row],[2026]]</f>
        <v>1170000</v>
      </c>
    </row>
    <row r="22" spans="1:28" ht="15.75" x14ac:dyDescent="0.25">
      <c r="A22" s="4">
        <v>193</v>
      </c>
      <c r="B22" s="16" t="s">
        <v>283</v>
      </c>
      <c r="C22" s="16" t="s">
        <v>284</v>
      </c>
      <c r="D22" s="4"/>
      <c r="E22" s="10" t="s">
        <v>401</v>
      </c>
      <c r="F22" s="89">
        <v>103541392</v>
      </c>
      <c r="G22" s="79" t="s">
        <v>870</v>
      </c>
      <c r="H22" s="4" t="s">
        <v>588</v>
      </c>
      <c r="I22" s="4" t="s">
        <v>700</v>
      </c>
      <c r="J22" s="4"/>
      <c r="K22" s="4"/>
      <c r="L22" s="10" t="s">
        <v>613</v>
      </c>
      <c r="M22" s="4"/>
      <c r="N22" s="4"/>
      <c r="O22" s="4"/>
      <c r="P22" s="4"/>
      <c r="Q22" s="16" t="s">
        <v>534</v>
      </c>
      <c r="R22" s="81" t="s">
        <v>907</v>
      </c>
      <c r="S22" s="10" t="s">
        <v>598</v>
      </c>
      <c r="T22" s="32"/>
      <c r="U22" s="33"/>
      <c r="V22" s="33"/>
      <c r="W22" s="33"/>
      <c r="X22" s="33"/>
      <c r="Y22" s="33"/>
      <c r="Z22" s="33"/>
      <c r="AA22" s="33"/>
      <c r="AB2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" spans="1:28" ht="15.75" x14ac:dyDescent="0.25">
      <c r="A23" s="4">
        <v>208</v>
      </c>
      <c r="B23" s="16" t="s">
        <v>324</v>
      </c>
      <c r="C23" s="16" t="s">
        <v>325</v>
      </c>
      <c r="D23" s="4"/>
      <c r="E23" s="10" t="s">
        <v>401</v>
      </c>
      <c r="F23" s="98">
        <v>110713111</v>
      </c>
      <c r="G23" s="77">
        <v>1196680038580010</v>
      </c>
      <c r="H23" s="4" t="s">
        <v>623</v>
      </c>
      <c r="I23" s="4" t="s">
        <v>902</v>
      </c>
      <c r="J23" s="4"/>
      <c r="K23" s="4"/>
      <c r="L23" s="10" t="s">
        <v>613</v>
      </c>
      <c r="M23" s="4"/>
      <c r="N23" s="4"/>
      <c r="O23" s="4"/>
      <c r="P23" s="4"/>
      <c r="Q23" s="16" t="s">
        <v>553</v>
      </c>
      <c r="R23" s="80" t="s">
        <v>920</v>
      </c>
      <c r="S23" s="10" t="s">
        <v>598</v>
      </c>
      <c r="T23" s="32"/>
      <c r="U23" s="33"/>
      <c r="V23" s="33"/>
      <c r="W23" s="33"/>
      <c r="X23" s="33"/>
      <c r="Y23" s="33"/>
      <c r="Z23" s="33"/>
      <c r="AA23" s="33"/>
      <c r="AB2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4" spans="1:28" ht="31.5" x14ac:dyDescent="0.25">
      <c r="A24" s="4">
        <v>91</v>
      </c>
      <c r="B24" s="16" t="s">
        <v>62</v>
      </c>
      <c r="C24" s="16" t="s">
        <v>63</v>
      </c>
      <c r="D24" s="4"/>
      <c r="E24" s="10" t="s">
        <v>401</v>
      </c>
      <c r="F24" s="65"/>
      <c r="G24" s="22"/>
      <c r="H24" s="4"/>
      <c r="I24" s="4"/>
      <c r="J24" s="4"/>
      <c r="K24" s="4"/>
      <c r="L24" s="10"/>
      <c r="M24" s="4"/>
      <c r="N24" s="4"/>
      <c r="O24" s="4"/>
      <c r="P24" s="4"/>
      <c r="Q24" s="16" t="s">
        <v>430</v>
      </c>
      <c r="R24" s="4"/>
      <c r="S24" s="10" t="s">
        <v>599</v>
      </c>
      <c r="T24" s="32"/>
      <c r="U24" s="33"/>
      <c r="V24" s="33"/>
      <c r="W24" s="33"/>
      <c r="X24" s="33"/>
      <c r="Y24" s="33"/>
      <c r="Z24" s="33"/>
      <c r="AA24" s="33"/>
      <c r="AB2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5" spans="1:28" ht="30" x14ac:dyDescent="0.25">
      <c r="A25" s="4">
        <v>209</v>
      </c>
      <c r="B25" s="16" t="s">
        <v>644</v>
      </c>
      <c r="C25" s="16" t="s">
        <v>328</v>
      </c>
      <c r="D25" s="4"/>
      <c r="E25" s="10" t="s">
        <v>401</v>
      </c>
      <c r="F25" s="98">
        <v>103422573</v>
      </c>
      <c r="G25" s="99" t="s">
        <v>890</v>
      </c>
      <c r="H25" s="4" t="s">
        <v>623</v>
      </c>
      <c r="I25" s="4" t="s">
        <v>642</v>
      </c>
      <c r="J25" s="4" t="s">
        <v>20</v>
      </c>
      <c r="K25" s="4" t="s">
        <v>609</v>
      </c>
      <c r="L25" s="10" t="s">
        <v>613</v>
      </c>
      <c r="M25" s="4"/>
      <c r="N25" s="4"/>
      <c r="O25" s="4"/>
      <c r="P25" s="4"/>
      <c r="Q25" s="16" t="s">
        <v>556</v>
      </c>
      <c r="R25" s="98" t="s">
        <v>921</v>
      </c>
      <c r="S25" s="10" t="s">
        <v>600</v>
      </c>
      <c r="T25" s="32"/>
      <c r="U25" s="33"/>
      <c r="V25" s="33"/>
      <c r="W25" s="33"/>
      <c r="X25" s="33"/>
      <c r="Y25" s="33"/>
      <c r="Z25" s="33"/>
      <c r="AA25" s="33"/>
      <c r="AB2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" spans="1:28" ht="40.5" x14ac:dyDescent="0.3">
      <c r="A26" s="4">
        <v>19</v>
      </c>
      <c r="B26" s="16" t="s">
        <v>753</v>
      </c>
      <c r="C26" s="16" t="s">
        <v>753</v>
      </c>
      <c r="D26" s="4"/>
      <c r="E26" s="10" t="s">
        <v>402</v>
      </c>
      <c r="F26" s="65">
        <v>105281272</v>
      </c>
      <c r="G26" s="22" t="s">
        <v>751</v>
      </c>
      <c r="H26" s="4" t="s">
        <v>584</v>
      </c>
      <c r="I26" s="4" t="s">
        <v>585</v>
      </c>
      <c r="J26" s="61" t="s">
        <v>20</v>
      </c>
      <c r="K26" s="4" t="s">
        <v>609</v>
      </c>
      <c r="L26" s="10" t="s">
        <v>643</v>
      </c>
      <c r="M26" s="4"/>
      <c r="N26" s="4">
        <v>1</v>
      </c>
      <c r="O26" s="4">
        <v>2</v>
      </c>
      <c r="P26" s="4"/>
      <c r="Q26" s="16" t="s">
        <v>410</v>
      </c>
      <c r="R26" s="25" t="s">
        <v>752</v>
      </c>
      <c r="S26" s="10" t="s">
        <v>600</v>
      </c>
      <c r="T26" s="32"/>
      <c r="U26" s="33"/>
      <c r="V26" s="33"/>
      <c r="W26" s="33"/>
      <c r="X26" s="33"/>
      <c r="Y26" s="33"/>
      <c r="Z26" s="33">
        <v>550000</v>
      </c>
      <c r="AA26" s="33"/>
      <c r="AB26" s="36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27" spans="1:28" ht="15.75" x14ac:dyDescent="0.25">
      <c r="A27" s="4">
        <v>81</v>
      </c>
      <c r="B27" s="16" t="s">
        <v>49</v>
      </c>
      <c r="C27" s="16" t="s">
        <v>49</v>
      </c>
      <c r="D27" s="4"/>
      <c r="E27" s="10" t="s">
        <v>402</v>
      </c>
      <c r="F27" s="65"/>
      <c r="G27" s="22"/>
      <c r="H27" s="4"/>
      <c r="I27" s="4"/>
      <c r="J27" s="4"/>
      <c r="K27" s="4"/>
      <c r="L27" s="10" t="s">
        <v>643</v>
      </c>
      <c r="M27" s="4"/>
      <c r="N27" s="4"/>
      <c r="O27" s="4"/>
      <c r="P27" s="4"/>
      <c r="Q27" s="16" t="s">
        <v>421</v>
      </c>
      <c r="R27" s="4"/>
      <c r="S27" s="10" t="s">
        <v>602</v>
      </c>
      <c r="T27" s="32"/>
      <c r="U27" s="33"/>
      <c r="V27" s="33"/>
      <c r="W27" s="33"/>
      <c r="X27" s="33"/>
      <c r="Y27" s="33"/>
      <c r="Z27" s="33"/>
      <c r="AA27" s="33"/>
      <c r="AB2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" spans="1:28" ht="30" x14ac:dyDescent="0.25">
      <c r="A28" s="4">
        <v>56</v>
      </c>
      <c r="B28" s="16" t="s">
        <v>304</v>
      </c>
      <c r="C28" s="16" t="s">
        <v>305</v>
      </c>
      <c r="D28" s="4"/>
      <c r="E28" s="10" t="s">
        <v>402</v>
      </c>
      <c r="F28" s="65">
        <v>121871052</v>
      </c>
      <c r="G28" s="22" t="s">
        <v>671</v>
      </c>
      <c r="H28" s="4" t="s">
        <v>594</v>
      </c>
      <c r="I28" s="4" t="s">
        <v>612</v>
      </c>
      <c r="J28" s="4" t="s">
        <v>20</v>
      </c>
      <c r="K28" s="4" t="s">
        <v>590</v>
      </c>
      <c r="L28" s="10" t="s">
        <v>613</v>
      </c>
      <c r="M28" s="4" t="s">
        <v>672</v>
      </c>
      <c r="N28" s="4">
        <v>2</v>
      </c>
      <c r="O28" s="4">
        <v>4</v>
      </c>
      <c r="P28" s="4"/>
      <c r="Q28" s="16" t="s">
        <v>544</v>
      </c>
      <c r="R28" s="25" t="s">
        <v>673</v>
      </c>
      <c r="S28" s="10" t="s">
        <v>598</v>
      </c>
      <c r="T28" s="32"/>
      <c r="U28" s="33"/>
      <c r="V28" s="33"/>
      <c r="W28" s="33"/>
      <c r="X28" s="33"/>
      <c r="Y28" s="33"/>
      <c r="Z28" s="33"/>
      <c r="AA28" s="33"/>
      <c r="AB2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" spans="1:28" ht="15.75" x14ac:dyDescent="0.25">
      <c r="A29" s="4">
        <v>58</v>
      </c>
      <c r="B29" s="16" t="s">
        <v>306</v>
      </c>
      <c r="C29" s="16" t="s">
        <v>307</v>
      </c>
      <c r="D29" s="4"/>
      <c r="E29" s="10" t="s">
        <v>402</v>
      </c>
      <c r="F29" s="65">
        <v>122508263</v>
      </c>
      <c r="G29" s="22" t="s">
        <v>705</v>
      </c>
      <c r="H29" s="4" t="s">
        <v>594</v>
      </c>
      <c r="I29" s="4" t="s">
        <v>612</v>
      </c>
      <c r="J29" s="4" t="s">
        <v>5</v>
      </c>
      <c r="K29" s="4" t="s">
        <v>590</v>
      </c>
      <c r="L29" s="10" t="s">
        <v>643</v>
      </c>
      <c r="M29" s="4" t="s">
        <v>672</v>
      </c>
      <c r="N29" s="4"/>
      <c r="O29" s="4"/>
      <c r="P29" s="4"/>
      <c r="Q29" s="16" t="s">
        <v>545</v>
      </c>
      <c r="R29" s="25" t="s">
        <v>706</v>
      </c>
      <c r="S29" s="10" t="s">
        <v>598</v>
      </c>
      <c r="T29" s="32"/>
      <c r="U29" s="33"/>
      <c r="V29" s="33"/>
      <c r="W29" s="33"/>
      <c r="X29" s="33"/>
      <c r="Y29" s="33">
        <v>20000</v>
      </c>
      <c r="Z29" s="33"/>
      <c r="AA29" s="33"/>
      <c r="AB29" s="36">
        <f>Table1[[#This Row],[2019]]+Table1[[#This Row],[2020]]+Table1[[#This Row],[2021]]+Table1[[#This Row],[2022]]+Table1[[#This Row],[2023]]+Table1[[#This Row],[2024]]+Table1[[#This Row],[2025]]+Table1[[#This Row],[2026]]</f>
        <v>20000</v>
      </c>
    </row>
    <row r="30" spans="1:28" ht="30" x14ac:dyDescent="0.25">
      <c r="A30" s="4">
        <v>51</v>
      </c>
      <c r="B30" s="16" t="s">
        <v>245</v>
      </c>
      <c r="C30" s="16" t="s">
        <v>246</v>
      </c>
      <c r="D30" s="4"/>
      <c r="E30" s="10" t="s">
        <v>402</v>
      </c>
      <c r="F30" s="65">
        <v>120299434</v>
      </c>
      <c r="G30" s="22"/>
      <c r="H30" s="4" t="s">
        <v>584</v>
      </c>
      <c r="I30" s="4" t="s">
        <v>676</v>
      </c>
      <c r="J30" s="4" t="s">
        <v>20</v>
      </c>
      <c r="K30" s="4" t="s">
        <v>609</v>
      </c>
      <c r="L30" s="10" t="s">
        <v>613</v>
      </c>
      <c r="M30" s="4" t="s">
        <v>672</v>
      </c>
      <c r="N30" s="4"/>
      <c r="O30" s="4"/>
      <c r="P30" s="4"/>
      <c r="Q30" s="16" t="s">
        <v>518</v>
      </c>
      <c r="R30" s="4"/>
      <c r="S30" s="10" t="s">
        <v>598</v>
      </c>
      <c r="T30" s="32"/>
      <c r="U30" s="33"/>
      <c r="V30" s="33"/>
      <c r="W30" s="33"/>
      <c r="X30" s="33"/>
      <c r="Y30" s="33">
        <v>80000</v>
      </c>
      <c r="Z30" s="33"/>
      <c r="AA30" s="33"/>
      <c r="AB30" s="36">
        <f>Table1[[#This Row],[2019]]+Table1[[#This Row],[2020]]+Table1[[#This Row],[2021]]+Table1[[#This Row],[2022]]+Table1[[#This Row],[2023]]+Table1[[#This Row],[2024]]+Table1[[#This Row],[2025]]+Table1[[#This Row],[2026]]</f>
        <v>80000</v>
      </c>
    </row>
    <row r="31" spans="1:28" ht="30" x14ac:dyDescent="0.25">
      <c r="A31" s="4">
        <v>37</v>
      </c>
      <c r="B31" s="16" t="s">
        <v>87</v>
      </c>
      <c r="C31" s="16" t="s">
        <v>88</v>
      </c>
      <c r="D31" s="4"/>
      <c r="E31" s="10" t="s">
        <v>401</v>
      </c>
      <c r="F31" s="65">
        <v>111548152</v>
      </c>
      <c r="G31" s="22" t="s">
        <v>631</v>
      </c>
      <c r="H31" s="4" t="s">
        <v>594</v>
      </c>
      <c r="I31" s="4" t="s">
        <v>595</v>
      </c>
      <c r="J31" s="4" t="s">
        <v>20</v>
      </c>
      <c r="K31" s="4" t="s">
        <v>590</v>
      </c>
      <c r="L31" s="10" t="s">
        <v>643</v>
      </c>
      <c r="M31" s="4"/>
      <c r="N31" s="4"/>
      <c r="O31" s="4">
        <v>2</v>
      </c>
      <c r="P31" s="4"/>
      <c r="Q31" s="16" t="s">
        <v>442</v>
      </c>
      <c r="R31" s="4"/>
      <c r="S31" s="10" t="s">
        <v>598</v>
      </c>
      <c r="T31" s="32"/>
      <c r="U31" s="33"/>
      <c r="V31" s="33"/>
      <c r="W31" s="33"/>
      <c r="X31" s="33"/>
      <c r="Y31" s="33"/>
      <c r="Z31" s="33"/>
      <c r="AA31" s="33"/>
      <c r="AB3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" spans="1:28" ht="15.75" x14ac:dyDescent="0.25">
      <c r="A32" s="4">
        <v>92</v>
      </c>
      <c r="B32" s="16" t="s">
        <v>64</v>
      </c>
      <c r="C32" s="16" t="s">
        <v>64</v>
      </c>
      <c r="D32" s="4"/>
      <c r="E32" s="10" t="s">
        <v>401</v>
      </c>
      <c r="F32" s="65"/>
      <c r="G32" s="22"/>
      <c r="H32" s="4"/>
      <c r="I32" s="4"/>
      <c r="J32" s="4"/>
      <c r="K32" s="4"/>
      <c r="L32" s="10" t="s">
        <v>643</v>
      </c>
      <c r="M32" s="4"/>
      <c r="N32" s="4"/>
      <c r="O32" s="4"/>
      <c r="P32" s="4"/>
      <c r="Q32" s="16" t="s">
        <v>431</v>
      </c>
      <c r="R32" s="4"/>
      <c r="S32" s="10" t="s">
        <v>599</v>
      </c>
      <c r="T32" s="32"/>
      <c r="U32" s="33"/>
      <c r="V32" s="33"/>
      <c r="W32" s="33"/>
      <c r="X32" s="33"/>
      <c r="Y32" s="33"/>
      <c r="Z32" s="33"/>
      <c r="AA32" s="33"/>
      <c r="AB3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" spans="1:28" ht="18.75" x14ac:dyDescent="0.25">
      <c r="A33" s="4">
        <v>13</v>
      </c>
      <c r="B33" s="50" t="s">
        <v>662</v>
      </c>
      <c r="C33" s="4" t="s">
        <v>280</v>
      </c>
      <c r="D33" s="4"/>
      <c r="E33" s="4" t="s">
        <v>402</v>
      </c>
      <c r="F33" s="65">
        <v>103387330</v>
      </c>
      <c r="G33" s="22" t="s">
        <v>665</v>
      </c>
      <c r="H33" s="4" t="s">
        <v>584</v>
      </c>
      <c r="I33" s="4" t="s">
        <v>663</v>
      </c>
      <c r="J33" s="4" t="s">
        <v>5</v>
      </c>
      <c r="K33" s="4" t="s">
        <v>590</v>
      </c>
      <c r="L33" s="52" t="s">
        <v>643</v>
      </c>
      <c r="M33" s="4"/>
      <c r="N33" s="4"/>
      <c r="O33" s="4"/>
      <c r="P33" s="4"/>
      <c r="Q33" s="29" t="s">
        <v>532</v>
      </c>
      <c r="R33" s="25" t="s">
        <v>664</v>
      </c>
      <c r="S33" s="22" t="s">
        <v>598</v>
      </c>
      <c r="T33" s="33"/>
      <c r="U33" s="33"/>
      <c r="V33" s="33"/>
      <c r="W33" s="33"/>
      <c r="X33" s="33">
        <v>0</v>
      </c>
      <c r="Y33" s="33">
        <v>500000</v>
      </c>
      <c r="Z33" s="33"/>
      <c r="AA33" s="33"/>
      <c r="AB33" s="36">
        <f>Table1[[#This Row],[2019]]+Table1[[#This Row],[2020]]+Table1[[#This Row],[2021]]+Table1[[#This Row],[2022]]+Table1[[#This Row],[2023]]+Table1[[#This Row],[2024]]+Table1[[#This Row],[2025]]+Table1[[#This Row],[2026]]</f>
        <v>500000</v>
      </c>
    </row>
    <row r="34" spans="1:28" ht="31.5" x14ac:dyDescent="0.25">
      <c r="A34" s="4">
        <v>118</v>
      </c>
      <c r="B34" s="16" t="s">
        <v>118</v>
      </c>
      <c r="C34" s="16" t="s">
        <v>119</v>
      </c>
      <c r="D34" s="4"/>
      <c r="E34" s="10" t="s">
        <v>402</v>
      </c>
      <c r="F34" s="65"/>
      <c r="G34" s="22"/>
      <c r="H34" s="4"/>
      <c r="I34" s="4"/>
      <c r="J34" s="4"/>
      <c r="K34" s="4"/>
      <c r="L34" s="10"/>
      <c r="M34" s="4"/>
      <c r="N34" s="4"/>
      <c r="O34" s="4"/>
      <c r="P34" s="4"/>
      <c r="Q34" s="16" t="s">
        <v>458</v>
      </c>
      <c r="R34" s="4"/>
      <c r="S34" s="10" t="s">
        <v>598</v>
      </c>
      <c r="T34" s="32"/>
      <c r="U34" s="33"/>
      <c r="V34" s="33"/>
      <c r="W34" s="33"/>
      <c r="X34" s="33"/>
      <c r="Y34" s="33"/>
      <c r="Z34" s="33"/>
      <c r="AA34" s="33"/>
      <c r="AB3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" spans="1:28" x14ac:dyDescent="0.25">
      <c r="A35" s="4">
        <v>275</v>
      </c>
      <c r="B35" s="80" t="s">
        <v>857</v>
      </c>
      <c r="C35" s="4"/>
      <c r="D35" s="4"/>
      <c r="E35" s="4"/>
      <c r="F35" s="80">
        <v>103515995</v>
      </c>
      <c r="G35" s="77" t="s">
        <v>876</v>
      </c>
      <c r="H35" s="80" t="s">
        <v>892</v>
      </c>
      <c r="I35" s="80" t="s">
        <v>900</v>
      </c>
      <c r="J35" s="4"/>
      <c r="K35" s="4"/>
      <c r="L35" s="4"/>
      <c r="M35" s="4"/>
      <c r="N35" s="4"/>
      <c r="O35" s="4"/>
      <c r="P35" s="4"/>
      <c r="Q35" s="4"/>
      <c r="R35" s="80" t="s">
        <v>910</v>
      </c>
      <c r="S35" s="22"/>
      <c r="T35" s="33"/>
      <c r="U35" s="33"/>
      <c r="V35" s="33"/>
      <c r="W35" s="33"/>
      <c r="X35" s="33"/>
      <c r="Y35" s="33"/>
      <c r="Z35" s="33"/>
      <c r="AA35" s="33"/>
      <c r="AB3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" spans="1:28" ht="15.75" x14ac:dyDescent="0.25">
      <c r="A36" s="4">
        <v>85</v>
      </c>
      <c r="B36" s="16" t="s">
        <v>55</v>
      </c>
      <c r="C36" s="16" t="s">
        <v>54</v>
      </c>
      <c r="D36" s="4"/>
      <c r="E36" s="10" t="s">
        <v>402</v>
      </c>
      <c r="F36" s="65"/>
      <c r="G36" s="22"/>
      <c r="H36" s="4"/>
      <c r="I36" s="4"/>
      <c r="J36" s="4"/>
      <c r="K36" s="4"/>
      <c r="L36" s="10" t="s">
        <v>613</v>
      </c>
      <c r="M36" s="4"/>
      <c r="N36" s="4"/>
      <c r="O36" s="4"/>
      <c r="P36" s="4"/>
      <c r="Q36" s="16">
        <v>788807888</v>
      </c>
      <c r="R36" s="4"/>
      <c r="S36" s="10" t="s">
        <v>602</v>
      </c>
      <c r="T36" s="32"/>
      <c r="U36" s="33"/>
      <c r="V36" s="33"/>
      <c r="W36" s="33"/>
      <c r="X36" s="33"/>
      <c r="Y36" s="33"/>
      <c r="Z36" s="33"/>
      <c r="AA36" s="33"/>
      <c r="AB3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" spans="1:28" ht="15.75" x14ac:dyDescent="0.25">
      <c r="A37" s="4">
        <v>89</v>
      </c>
      <c r="B37" s="16" t="s">
        <v>55</v>
      </c>
      <c r="C37" s="16" t="s">
        <v>54</v>
      </c>
      <c r="D37" s="4"/>
      <c r="E37" s="10" t="s">
        <v>402</v>
      </c>
      <c r="F37" s="65"/>
      <c r="G37" s="22"/>
      <c r="H37" s="4"/>
      <c r="I37" s="4"/>
      <c r="J37" s="4"/>
      <c r="K37" s="4"/>
      <c r="L37" s="10"/>
      <c r="M37" s="4"/>
      <c r="N37" s="4"/>
      <c r="O37" s="4"/>
      <c r="P37" s="4"/>
      <c r="Q37" s="16" t="s">
        <v>428</v>
      </c>
      <c r="R37" s="4"/>
      <c r="S37" s="10" t="s">
        <v>601</v>
      </c>
      <c r="T37" s="32"/>
      <c r="U37" s="33"/>
      <c r="V37" s="33"/>
      <c r="W37" s="33"/>
      <c r="X37" s="33"/>
      <c r="Y37" s="33"/>
      <c r="Z37" s="33"/>
      <c r="AA37" s="33"/>
      <c r="AB3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" spans="1:28" ht="31.5" x14ac:dyDescent="0.25">
      <c r="A38" s="4">
        <v>146</v>
      </c>
      <c r="B38" s="16" t="s">
        <v>182</v>
      </c>
      <c r="C38" s="16" t="s">
        <v>183</v>
      </c>
      <c r="D38" s="4"/>
      <c r="E38" s="10" t="s">
        <v>401</v>
      </c>
      <c r="F38" s="65"/>
      <c r="G38" s="22"/>
      <c r="H38" s="4"/>
      <c r="I38" s="4"/>
      <c r="J38" s="4"/>
      <c r="K38" s="4"/>
      <c r="L38" s="10"/>
      <c r="M38" s="4"/>
      <c r="N38" s="4"/>
      <c r="O38" s="4"/>
      <c r="P38" s="4"/>
      <c r="Q38" s="16" t="s">
        <v>484</v>
      </c>
      <c r="R38" s="4"/>
      <c r="S38" s="10" t="s">
        <v>598</v>
      </c>
      <c r="T38" s="32"/>
      <c r="U38" s="33"/>
      <c r="V38" s="33"/>
      <c r="W38" s="33"/>
      <c r="X38" s="33"/>
      <c r="Y38" s="33"/>
      <c r="Z38" s="33"/>
      <c r="AA38" s="33"/>
      <c r="AB3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" spans="1:28" ht="15.75" x14ac:dyDescent="0.25">
      <c r="A39" s="4">
        <v>156</v>
      </c>
      <c r="B39" s="16" t="s">
        <v>206</v>
      </c>
      <c r="C39" s="16" t="s">
        <v>207</v>
      </c>
      <c r="D39" s="4"/>
      <c r="E39" s="10" t="s">
        <v>401</v>
      </c>
      <c r="F39" s="65"/>
      <c r="G39" s="22"/>
      <c r="H39" s="4"/>
      <c r="I39" s="4"/>
      <c r="J39" s="4"/>
      <c r="K39" s="4"/>
      <c r="L39" s="10"/>
      <c r="M39" s="4"/>
      <c r="N39" s="4"/>
      <c r="O39" s="4"/>
      <c r="P39" s="4"/>
      <c r="Q39" s="16" t="s">
        <v>498</v>
      </c>
      <c r="R39" s="4"/>
      <c r="S39" s="10" t="s">
        <v>598</v>
      </c>
      <c r="T39" s="32"/>
      <c r="U39" s="33"/>
      <c r="V39" s="33"/>
      <c r="W39" s="33"/>
      <c r="X39" s="33"/>
      <c r="Y39" s="33"/>
      <c r="Z39" s="33"/>
      <c r="AA39" s="33"/>
      <c r="AB3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" spans="1:28" ht="15.75" x14ac:dyDescent="0.25">
      <c r="A40" s="4">
        <v>151</v>
      </c>
      <c r="B40" s="16" t="s">
        <v>195</v>
      </c>
      <c r="C40" s="16" t="s">
        <v>196</v>
      </c>
      <c r="D40" s="4"/>
      <c r="E40" s="10" t="s">
        <v>401</v>
      </c>
      <c r="F40" s="65"/>
      <c r="G40" s="22"/>
      <c r="H40" s="4"/>
      <c r="I40" s="4"/>
      <c r="J40" s="4"/>
      <c r="K40" s="4"/>
      <c r="L40" s="10" t="s">
        <v>614</v>
      </c>
      <c r="M40" s="4"/>
      <c r="N40" s="4"/>
      <c r="O40" s="4"/>
      <c r="P40" s="4"/>
      <c r="Q40" s="16" t="s">
        <v>492</v>
      </c>
      <c r="R40" s="4"/>
      <c r="S40" s="10" t="s">
        <v>599</v>
      </c>
      <c r="T40" s="32"/>
      <c r="U40" s="33"/>
      <c r="V40" s="33"/>
      <c r="W40" s="33"/>
      <c r="X40" s="33"/>
      <c r="Y40" s="33"/>
      <c r="Z40" s="33"/>
      <c r="AA40" s="33"/>
      <c r="AB4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" spans="1:28" ht="30" x14ac:dyDescent="0.25">
      <c r="A41" s="4">
        <v>205</v>
      </c>
      <c r="B41" s="16" t="s">
        <v>317</v>
      </c>
      <c r="C41" s="16" t="s">
        <v>622</v>
      </c>
      <c r="D41" s="4"/>
      <c r="E41" s="10" t="s">
        <v>401</v>
      </c>
      <c r="F41" s="65"/>
      <c r="G41" s="22"/>
      <c r="H41" s="4" t="s">
        <v>623</v>
      </c>
      <c r="I41" s="4" t="s">
        <v>624</v>
      </c>
      <c r="J41" s="4" t="s">
        <v>20</v>
      </c>
      <c r="K41" s="4"/>
      <c r="L41" s="10" t="s">
        <v>643</v>
      </c>
      <c r="M41" s="4"/>
      <c r="N41" s="4"/>
      <c r="O41" s="4"/>
      <c r="P41" s="4"/>
      <c r="Q41" s="16" t="s">
        <v>550</v>
      </c>
      <c r="R41" s="4"/>
      <c r="S41" s="10" t="s">
        <v>598</v>
      </c>
      <c r="T41" s="32"/>
      <c r="U41" s="33"/>
      <c r="V41" s="33"/>
      <c r="W41" s="33"/>
      <c r="X41" s="33"/>
      <c r="Y41" s="33"/>
      <c r="Z41" s="33"/>
      <c r="AA41" s="33"/>
      <c r="AB4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" spans="1:28" ht="30" x14ac:dyDescent="0.25">
      <c r="A42" s="4">
        <v>22</v>
      </c>
      <c r="B42" s="16" t="s">
        <v>225</v>
      </c>
      <c r="C42" s="16" t="s">
        <v>226</v>
      </c>
      <c r="D42" s="4"/>
      <c r="E42" s="10" t="s">
        <v>401</v>
      </c>
      <c r="F42" s="65">
        <v>107177658</v>
      </c>
      <c r="G42" s="79" t="s">
        <v>863</v>
      </c>
      <c r="H42" s="4" t="s">
        <v>594</v>
      </c>
      <c r="I42" s="4" t="s">
        <v>635</v>
      </c>
      <c r="J42" s="4" t="s">
        <v>20</v>
      </c>
      <c r="K42" s="4" t="s">
        <v>590</v>
      </c>
      <c r="L42" s="10" t="s">
        <v>613</v>
      </c>
      <c r="M42" s="4"/>
      <c r="N42" s="4"/>
      <c r="O42" s="4">
        <v>4</v>
      </c>
      <c r="P42" s="4"/>
      <c r="Q42" s="16" t="s">
        <v>509</v>
      </c>
      <c r="R42" s="25" t="s">
        <v>640</v>
      </c>
      <c r="S42" s="10">
        <v>2024</v>
      </c>
      <c r="T42" s="32">
        <v>0</v>
      </c>
      <c r="U42" s="33">
        <v>0</v>
      </c>
      <c r="V42" s="33">
        <v>0</v>
      </c>
      <c r="W42" s="33">
        <v>0</v>
      </c>
      <c r="X42" s="33">
        <v>0</v>
      </c>
      <c r="Y42" s="33">
        <v>300000</v>
      </c>
      <c r="Z42" s="33"/>
      <c r="AA42" s="33"/>
      <c r="AB42" s="36">
        <f>Table1[[#This Row],[2019]]+Table1[[#This Row],[2020]]+Table1[[#This Row],[2021]]+Table1[[#This Row],[2022]]+Table1[[#This Row],[2023]]+Table1[[#This Row],[2024]]+Table1[[#This Row],[2025]]+Table1[[#This Row],[2026]]</f>
        <v>300000</v>
      </c>
    </row>
    <row r="43" spans="1:28" ht="15.75" x14ac:dyDescent="0.25">
      <c r="A43" s="4">
        <v>106</v>
      </c>
      <c r="B43" s="16" t="s">
        <v>89</v>
      </c>
      <c r="C43" s="16" t="s">
        <v>90</v>
      </c>
      <c r="D43" s="4"/>
      <c r="E43" s="10" t="s">
        <v>401</v>
      </c>
      <c r="F43" s="65"/>
      <c r="G43" s="22"/>
      <c r="H43" s="4"/>
      <c r="I43" s="4"/>
      <c r="J43" s="4"/>
      <c r="K43" s="4"/>
      <c r="L43" s="10" t="s">
        <v>643</v>
      </c>
      <c r="M43" s="4"/>
      <c r="N43" s="4"/>
      <c r="O43" s="4"/>
      <c r="P43" s="4"/>
      <c r="Q43" s="16" t="s">
        <v>443</v>
      </c>
      <c r="R43" s="4"/>
      <c r="S43" s="10" t="s">
        <v>598</v>
      </c>
      <c r="T43" s="32"/>
      <c r="U43" s="33"/>
      <c r="V43" s="33"/>
      <c r="W43" s="33"/>
      <c r="X43" s="33"/>
      <c r="Y43" s="33"/>
      <c r="Z43" s="33"/>
      <c r="AA43" s="33"/>
      <c r="AB4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" spans="1:28" ht="15.75" x14ac:dyDescent="0.25">
      <c r="A44" s="4">
        <v>54</v>
      </c>
      <c r="B44" s="57" t="s">
        <v>797</v>
      </c>
      <c r="C44" s="57" t="s">
        <v>798</v>
      </c>
      <c r="D44" s="4"/>
      <c r="E44" s="4" t="s">
        <v>401</v>
      </c>
      <c r="F44" s="65">
        <v>121016784</v>
      </c>
      <c r="G44" s="22" t="s">
        <v>799</v>
      </c>
      <c r="H44" s="4" t="s">
        <v>584</v>
      </c>
      <c r="I44" s="4" t="s">
        <v>608</v>
      </c>
      <c r="J44" s="4" t="s">
        <v>767</v>
      </c>
      <c r="K44" s="4" t="s">
        <v>590</v>
      </c>
      <c r="L44" s="52"/>
      <c r="M44" s="4" t="s">
        <v>787</v>
      </c>
      <c r="N44" s="4">
        <v>6</v>
      </c>
      <c r="O44" s="4">
        <v>4</v>
      </c>
      <c r="P44" s="4"/>
      <c r="Q44" s="29">
        <v>781596413</v>
      </c>
      <c r="R44" s="25" t="s">
        <v>800</v>
      </c>
      <c r="S44" s="22" t="s">
        <v>637</v>
      </c>
      <c r="T44" s="33"/>
      <c r="U44" s="33"/>
      <c r="V44" s="33"/>
      <c r="W44" s="33"/>
      <c r="X44" s="33"/>
      <c r="Y44" s="33"/>
      <c r="Z44" s="33"/>
      <c r="AA44" s="33">
        <v>50000</v>
      </c>
      <c r="AB44" s="55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45" spans="1:28" ht="37.5" x14ac:dyDescent="0.25">
      <c r="A45" s="4">
        <v>67</v>
      </c>
      <c r="B45" s="54" t="s">
        <v>754</v>
      </c>
      <c r="C45" s="4" t="s">
        <v>755</v>
      </c>
      <c r="D45" s="4" t="s">
        <v>756</v>
      </c>
      <c r="E45" s="4" t="s">
        <v>403</v>
      </c>
      <c r="F45" s="65" t="s">
        <v>757</v>
      </c>
      <c r="G45" s="22"/>
      <c r="H45" s="4" t="s">
        <v>623</v>
      </c>
      <c r="I45" s="4" t="s">
        <v>669</v>
      </c>
      <c r="J45" s="4" t="s">
        <v>20</v>
      </c>
      <c r="K45" s="4" t="s">
        <v>590</v>
      </c>
      <c r="L45" s="52" t="s">
        <v>714</v>
      </c>
      <c r="M45" s="4"/>
      <c r="N45" s="4"/>
      <c r="O45" s="4"/>
      <c r="P45" s="4"/>
      <c r="Q45" s="29" t="s">
        <v>758</v>
      </c>
      <c r="R45" s="25" t="s">
        <v>759</v>
      </c>
      <c r="S45" s="22" t="s">
        <v>600</v>
      </c>
      <c r="T45" s="33"/>
      <c r="U45" s="33"/>
      <c r="V45" s="33"/>
      <c r="W45" s="33"/>
      <c r="X45" s="33"/>
      <c r="Y45" s="33">
        <v>0</v>
      </c>
      <c r="Z45" s="33">
        <v>60000</v>
      </c>
      <c r="AA45" s="33"/>
      <c r="AB45" s="55">
        <f>Table1[[#This Row],[2019]]+Table1[[#This Row],[2020]]+Table1[[#This Row],[2021]]+Table1[[#This Row],[2022]]+Table1[[#This Row],[2023]]+Table1[[#This Row],[2024]]+Table1[[#This Row],[2025]]+Table1[[#This Row],[2026]]</f>
        <v>60000</v>
      </c>
    </row>
    <row r="46" spans="1:28" ht="31.5" x14ac:dyDescent="0.25">
      <c r="A46" s="4">
        <v>69</v>
      </c>
      <c r="B46" s="17" t="s">
        <v>343</v>
      </c>
      <c r="C46" s="17" t="s">
        <v>344</v>
      </c>
      <c r="D46" s="4"/>
      <c r="E46" s="4" t="s">
        <v>401</v>
      </c>
      <c r="F46" s="75" t="s">
        <v>788</v>
      </c>
      <c r="G46" s="22" t="s">
        <v>786</v>
      </c>
      <c r="H46" s="4" t="s">
        <v>687</v>
      </c>
      <c r="I46" s="4" t="s">
        <v>697</v>
      </c>
      <c r="J46" s="4" t="s">
        <v>20</v>
      </c>
      <c r="K46" s="4" t="s">
        <v>732</v>
      </c>
      <c r="L46" s="14" t="s">
        <v>613</v>
      </c>
      <c r="M46" s="4" t="s">
        <v>787</v>
      </c>
      <c r="N46" s="4"/>
      <c r="O46" s="4"/>
      <c r="P46" s="4"/>
      <c r="Q46" s="14">
        <v>788703261</v>
      </c>
      <c r="R46" s="4"/>
      <c r="S46" s="14">
        <v>2026</v>
      </c>
      <c r="T46" s="34"/>
      <c r="U46" s="33"/>
      <c r="V46" s="33"/>
      <c r="W46" s="33"/>
      <c r="X46" s="33"/>
      <c r="Y46" s="33"/>
      <c r="Z46" s="33"/>
      <c r="AA46" s="33">
        <v>50000</v>
      </c>
      <c r="AB46" s="36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47" spans="1:28" ht="15.75" x14ac:dyDescent="0.25">
      <c r="A47" s="4">
        <v>73</v>
      </c>
      <c r="B47" s="16" t="s">
        <v>33</v>
      </c>
      <c r="C47" s="16" t="s">
        <v>34</v>
      </c>
      <c r="D47" s="4"/>
      <c r="E47" s="10" t="s">
        <v>401</v>
      </c>
      <c r="F47" s="65"/>
      <c r="G47" s="22"/>
      <c r="H47" s="4"/>
      <c r="I47" s="4"/>
      <c r="J47" s="4"/>
      <c r="K47" s="4"/>
      <c r="L47" s="10"/>
      <c r="M47" s="4"/>
      <c r="N47" s="4"/>
      <c r="O47" s="4"/>
      <c r="P47" s="4"/>
      <c r="Q47" s="16" t="s">
        <v>414</v>
      </c>
      <c r="R47" s="4"/>
      <c r="S47" s="10" t="s">
        <v>601</v>
      </c>
      <c r="T47" s="32"/>
      <c r="U47" s="33"/>
      <c r="V47" s="33"/>
      <c r="W47" s="33"/>
      <c r="X47" s="33"/>
      <c r="Y47" s="33"/>
      <c r="Z47" s="33"/>
      <c r="AA47" s="33"/>
      <c r="AB4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8" spans="1:28" ht="15.75" x14ac:dyDescent="0.25">
      <c r="A48" s="4">
        <v>152</v>
      </c>
      <c r="B48" s="16" t="s">
        <v>197</v>
      </c>
      <c r="C48" s="16" t="s">
        <v>198</v>
      </c>
      <c r="D48" s="4"/>
      <c r="E48" s="10" t="s">
        <v>401</v>
      </c>
      <c r="F48" s="98">
        <v>108089859</v>
      </c>
      <c r="G48" s="77" t="s">
        <v>864</v>
      </c>
      <c r="H48" s="4"/>
      <c r="I48" s="4"/>
      <c r="J48" s="4"/>
      <c r="K48" s="4"/>
      <c r="L48" s="10" t="s">
        <v>643</v>
      </c>
      <c r="M48" s="4"/>
      <c r="N48" s="4"/>
      <c r="O48" s="4"/>
      <c r="P48" s="4"/>
      <c r="Q48" s="16" t="s">
        <v>493</v>
      </c>
      <c r="R48" s="4"/>
      <c r="S48" s="10" t="s">
        <v>598</v>
      </c>
      <c r="T48" s="32"/>
      <c r="U48" s="33"/>
      <c r="V48" s="33"/>
      <c r="W48" s="33"/>
      <c r="X48" s="33"/>
      <c r="Y48" s="33"/>
      <c r="Z48" s="33"/>
      <c r="AA48" s="33"/>
      <c r="AB4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9" spans="1:28" ht="15.75" x14ac:dyDescent="0.25">
      <c r="A49" s="4">
        <v>3</v>
      </c>
      <c r="B49" s="16" t="s">
        <v>262</v>
      </c>
      <c r="C49" s="16" t="s">
        <v>263</v>
      </c>
      <c r="D49" s="4"/>
      <c r="E49" s="10" t="s">
        <v>401</v>
      </c>
      <c r="F49" s="65">
        <v>101909064</v>
      </c>
      <c r="G49" s="22" t="s">
        <v>629</v>
      </c>
      <c r="H49" s="4" t="s">
        <v>584</v>
      </c>
      <c r="I49" s="4" t="s">
        <v>630</v>
      </c>
      <c r="J49" s="4" t="s">
        <v>5</v>
      </c>
      <c r="K49" s="4" t="s">
        <v>590</v>
      </c>
      <c r="L49" s="10" t="s">
        <v>643</v>
      </c>
      <c r="M49" s="4"/>
      <c r="N49" s="4"/>
      <c r="O49" s="4">
        <v>4</v>
      </c>
      <c r="P49" s="4"/>
      <c r="Q49" s="16" t="s">
        <v>524</v>
      </c>
      <c r="R49" s="4"/>
      <c r="S49" s="10" t="s">
        <v>600</v>
      </c>
      <c r="T49" s="32"/>
      <c r="U49" s="33"/>
      <c r="V49" s="33"/>
      <c r="W49" s="33"/>
      <c r="X49" s="33"/>
      <c r="Y49" s="33"/>
      <c r="Z49" s="33">
        <v>550000</v>
      </c>
      <c r="AA49" s="33"/>
      <c r="AB49" s="36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50" spans="1:28" ht="15.75" x14ac:dyDescent="0.25">
      <c r="A50" s="4">
        <v>158</v>
      </c>
      <c r="B50" s="16" t="s">
        <v>212</v>
      </c>
      <c r="C50" s="16" t="s">
        <v>213</v>
      </c>
      <c r="D50" s="4"/>
      <c r="E50" s="10" t="s">
        <v>402</v>
      </c>
      <c r="F50" s="81">
        <v>102271601</v>
      </c>
      <c r="G50" s="79" t="s">
        <v>889</v>
      </c>
      <c r="H50" s="4"/>
      <c r="I50" s="4"/>
      <c r="J50" s="4"/>
      <c r="K50" s="4"/>
      <c r="L50" s="10" t="s">
        <v>643</v>
      </c>
      <c r="M50" s="4"/>
      <c r="N50" s="4"/>
      <c r="O50" s="4"/>
      <c r="P50" s="4"/>
      <c r="Q50" s="16" t="s">
        <v>501</v>
      </c>
      <c r="R50" s="4"/>
      <c r="S50" s="10" t="s">
        <v>598</v>
      </c>
      <c r="T50" s="32"/>
      <c r="U50" s="33"/>
      <c r="V50" s="33"/>
      <c r="W50" s="33"/>
      <c r="X50" s="33"/>
      <c r="Y50" s="33"/>
      <c r="Z50" s="33"/>
      <c r="AA50" s="33"/>
      <c r="AB5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51" spans="1:28" ht="31.5" x14ac:dyDescent="0.25">
      <c r="A51" s="4">
        <v>194</v>
      </c>
      <c r="B51" s="16" t="s">
        <v>285</v>
      </c>
      <c r="C51" s="16" t="s">
        <v>282</v>
      </c>
      <c r="D51" s="4"/>
      <c r="E51" s="10" t="s">
        <v>401</v>
      </c>
      <c r="F51" s="65"/>
      <c r="G51" s="22"/>
      <c r="H51" s="4"/>
      <c r="I51" s="4"/>
      <c r="J51" s="4"/>
      <c r="K51" s="4"/>
      <c r="L51" s="10" t="s">
        <v>613</v>
      </c>
      <c r="M51" s="4"/>
      <c r="N51" s="4"/>
      <c r="O51" s="4"/>
      <c r="P51" s="4"/>
      <c r="Q51" s="16" t="s">
        <v>533</v>
      </c>
      <c r="R51" s="4"/>
      <c r="S51" s="10" t="s">
        <v>598</v>
      </c>
      <c r="T51" s="32"/>
      <c r="U51" s="33"/>
      <c r="V51" s="33"/>
      <c r="W51" s="33"/>
      <c r="X51" s="33"/>
      <c r="Y51" s="33"/>
      <c r="Z51" s="33"/>
      <c r="AA51" s="33"/>
      <c r="AB5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52" spans="1:28" ht="15.75" x14ac:dyDescent="0.25">
      <c r="A52" s="4">
        <v>68</v>
      </c>
      <c r="B52" s="16" t="s">
        <v>173</v>
      </c>
      <c r="C52" s="16" t="s">
        <v>737</v>
      </c>
      <c r="D52" s="4"/>
      <c r="E52" s="10" t="s">
        <v>401</v>
      </c>
      <c r="F52" s="65" t="s">
        <v>736</v>
      </c>
      <c r="G52" s="22"/>
      <c r="H52" s="4" t="s">
        <v>584</v>
      </c>
      <c r="I52" s="4" t="s">
        <v>621</v>
      </c>
      <c r="J52" s="4" t="s">
        <v>5</v>
      </c>
      <c r="K52" s="4" t="s">
        <v>732</v>
      </c>
      <c r="L52" s="10" t="s">
        <v>613</v>
      </c>
      <c r="M52" s="4" t="s">
        <v>591</v>
      </c>
      <c r="N52" s="4">
        <v>11</v>
      </c>
      <c r="O52" s="4">
        <v>60</v>
      </c>
      <c r="P52" s="4"/>
      <c r="Q52" s="16">
        <v>784446713</v>
      </c>
      <c r="R52" s="4"/>
      <c r="S52" s="10" t="s">
        <v>600</v>
      </c>
      <c r="T52" s="32"/>
      <c r="U52" s="33"/>
      <c r="V52" s="33"/>
      <c r="W52" s="33"/>
      <c r="X52" s="33"/>
      <c r="Y52" s="33"/>
      <c r="Z52" s="33">
        <v>350000</v>
      </c>
      <c r="AA52" s="33"/>
      <c r="AB52" s="36">
        <f>Table1[[#This Row],[2019]]+Table1[[#This Row],[2020]]+Table1[[#This Row],[2021]]+Table1[[#This Row],[2022]]+Table1[[#This Row],[2023]]+Table1[[#This Row],[2024]]+Table1[[#This Row],[2025]]+Table1[[#This Row],[2026]]</f>
        <v>350000</v>
      </c>
    </row>
    <row r="53" spans="1:28" ht="60" x14ac:dyDescent="0.25">
      <c r="A53" s="4">
        <v>24</v>
      </c>
      <c r="B53" s="11" t="s">
        <v>29</v>
      </c>
      <c r="C53" s="11" t="s">
        <v>30</v>
      </c>
      <c r="D53" s="4" t="s">
        <v>583</v>
      </c>
      <c r="E53" s="10" t="s">
        <v>401</v>
      </c>
      <c r="F53" s="65">
        <v>107746483</v>
      </c>
      <c r="G53" s="22"/>
      <c r="H53" s="4" t="s">
        <v>584</v>
      </c>
      <c r="I53" s="4" t="s">
        <v>585</v>
      </c>
      <c r="J53" s="4" t="s">
        <v>5</v>
      </c>
      <c r="K53" s="4" t="s">
        <v>732</v>
      </c>
      <c r="L53" s="12" t="s">
        <v>643</v>
      </c>
      <c r="M53" s="4"/>
      <c r="N53" s="4"/>
      <c r="O53" s="4"/>
      <c r="P53" s="4"/>
      <c r="Q53" s="11">
        <v>786882318</v>
      </c>
      <c r="R53" s="25" t="s">
        <v>783</v>
      </c>
      <c r="S53" s="10">
        <v>2025</v>
      </c>
      <c r="T53" s="32"/>
      <c r="U53" s="33"/>
      <c r="V53" s="33"/>
      <c r="W53" s="33"/>
      <c r="X53" s="33"/>
      <c r="Y53" s="33"/>
      <c r="Z53" s="33">
        <v>550000</v>
      </c>
      <c r="AA53" s="33"/>
      <c r="AB53" s="36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54" spans="1:28" ht="15.75" x14ac:dyDescent="0.25">
      <c r="A54" s="4">
        <v>74</v>
      </c>
      <c r="B54" s="16" t="s">
        <v>35</v>
      </c>
      <c r="C54" s="16" t="s">
        <v>36</v>
      </c>
      <c r="D54" s="4"/>
      <c r="E54" s="10" t="s">
        <v>401</v>
      </c>
      <c r="F54" s="80">
        <v>106491547</v>
      </c>
      <c r="G54" s="77" t="s">
        <v>874</v>
      </c>
      <c r="H54" s="4"/>
      <c r="I54" s="4"/>
      <c r="J54" s="4"/>
      <c r="K54" s="4"/>
      <c r="L54" s="10" t="s">
        <v>643</v>
      </c>
      <c r="M54" s="4"/>
      <c r="N54" s="4"/>
      <c r="O54" s="4"/>
      <c r="P54" s="4"/>
      <c r="Q54" s="16" t="s">
        <v>415</v>
      </c>
      <c r="R54" s="4"/>
      <c r="S54" s="10" t="s">
        <v>598</v>
      </c>
      <c r="T54" s="32"/>
      <c r="U54" s="33"/>
      <c r="V54" s="33"/>
      <c r="W54" s="33"/>
      <c r="X54" s="33"/>
      <c r="Y54" s="33"/>
      <c r="Z54" s="33"/>
      <c r="AA54" s="33"/>
      <c r="AB5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55" spans="1:28" ht="15.75" x14ac:dyDescent="0.25">
      <c r="A55" s="4">
        <v>178</v>
      </c>
      <c r="B55" s="16" t="s">
        <v>249</v>
      </c>
      <c r="C55" s="16" t="s">
        <v>250</v>
      </c>
      <c r="D55" s="4"/>
      <c r="E55" s="10" t="s">
        <v>401</v>
      </c>
      <c r="F55" s="65"/>
      <c r="G55" s="22"/>
      <c r="H55" s="4"/>
      <c r="I55" s="4"/>
      <c r="J55" s="4"/>
      <c r="K55" s="4"/>
      <c r="L55" s="10" t="s">
        <v>615</v>
      </c>
      <c r="M55" s="4"/>
      <c r="N55" s="4"/>
      <c r="O55" s="4"/>
      <c r="P55" s="4"/>
      <c r="Q55" s="16" t="s">
        <v>520</v>
      </c>
      <c r="R55" s="4"/>
      <c r="S55" s="10" t="s">
        <v>599</v>
      </c>
      <c r="T55" s="32"/>
      <c r="U55" s="33"/>
      <c r="V55" s="33"/>
      <c r="W55" s="33"/>
      <c r="X55" s="33"/>
      <c r="Y55" s="33"/>
      <c r="Z55" s="33"/>
      <c r="AA55" s="33"/>
      <c r="AB5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56" spans="1:28" ht="30" x14ac:dyDescent="0.25">
      <c r="A56" s="4">
        <v>184</v>
      </c>
      <c r="B56" s="16" t="s">
        <v>264</v>
      </c>
      <c r="C56" s="16" t="s">
        <v>265</v>
      </c>
      <c r="D56" s="4"/>
      <c r="E56" s="10" t="s">
        <v>401</v>
      </c>
      <c r="F56" s="65"/>
      <c r="G56" s="22" t="s">
        <v>829</v>
      </c>
      <c r="H56" s="4" t="s">
        <v>623</v>
      </c>
      <c r="I56" s="4" t="s">
        <v>826</v>
      </c>
      <c r="J56" s="4" t="s">
        <v>20</v>
      </c>
      <c r="K56" s="4" t="s">
        <v>732</v>
      </c>
      <c r="L56" s="10" t="s">
        <v>643</v>
      </c>
      <c r="M56" s="4" t="s">
        <v>591</v>
      </c>
      <c r="N56" s="4"/>
      <c r="O56" s="4"/>
      <c r="P56" s="4"/>
      <c r="Q56" s="16" t="s">
        <v>525</v>
      </c>
      <c r="R56" s="4"/>
      <c r="S56" s="10">
        <v>2024</v>
      </c>
      <c r="T56" s="32"/>
      <c r="U56" s="33"/>
      <c r="V56" s="33"/>
      <c r="W56" s="33"/>
      <c r="X56" s="33"/>
      <c r="Y56" s="33">
        <v>520000</v>
      </c>
      <c r="Z56" s="33">
        <v>500000</v>
      </c>
      <c r="AA56" s="33"/>
      <c r="AB56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57" spans="1:28" ht="30" x14ac:dyDescent="0.25">
      <c r="A57" s="4">
        <v>27</v>
      </c>
      <c r="B57" s="16" t="s">
        <v>335</v>
      </c>
      <c r="C57" s="16" t="s">
        <v>336</v>
      </c>
      <c r="D57" s="4"/>
      <c r="E57" s="10" t="s">
        <v>406</v>
      </c>
      <c r="F57" s="65">
        <v>108941485</v>
      </c>
      <c r="G57" s="22" t="s">
        <v>607</v>
      </c>
      <c r="H57" s="4" t="s">
        <v>584</v>
      </c>
      <c r="I57" s="4" t="s">
        <v>608</v>
      </c>
      <c r="J57" s="4" t="s">
        <v>20</v>
      </c>
      <c r="K57" s="4" t="s">
        <v>609</v>
      </c>
      <c r="L57" s="10" t="s">
        <v>617</v>
      </c>
      <c r="M57" s="4" t="s">
        <v>591</v>
      </c>
      <c r="N57" s="4"/>
      <c r="O57" s="4">
        <v>2</v>
      </c>
      <c r="P57" s="4"/>
      <c r="Q57" s="16" t="s">
        <v>560</v>
      </c>
      <c r="R57" s="25" t="s">
        <v>610</v>
      </c>
      <c r="S57" s="10" t="s">
        <v>600</v>
      </c>
      <c r="T57" s="32"/>
      <c r="U57" s="33"/>
      <c r="V57" s="33"/>
      <c r="W57" s="33"/>
      <c r="X57" s="33"/>
      <c r="Y57" s="33"/>
      <c r="Z57" s="33"/>
      <c r="AA57" s="33"/>
      <c r="AB5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58" spans="1:28" ht="30" x14ac:dyDescent="0.25">
      <c r="A58" s="4">
        <v>53</v>
      </c>
      <c r="B58" s="16" t="s">
        <v>298</v>
      </c>
      <c r="C58" s="16" t="s">
        <v>299</v>
      </c>
      <c r="D58" s="4"/>
      <c r="E58" s="10" t="s">
        <v>401</v>
      </c>
      <c r="F58" s="65">
        <v>120901696</v>
      </c>
      <c r="G58" s="22"/>
      <c r="H58" s="4" t="s">
        <v>594</v>
      </c>
      <c r="I58" s="4" t="s">
        <v>612</v>
      </c>
      <c r="J58" s="4" t="s">
        <v>20</v>
      </c>
      <c r="K58" s="4" t="s">
        <v>609</v>
      </c>
      <c r="L58" s="10" t="s">
        <v>615</v>
      </c>
      <c r="M58" s="4"/>
      <c r="N58" s="4"/>
      <c r="O58" s="4">
        <v>2</v>
      </c>
      <c r="P58" s="4"/>
      <c r="Q58" s="16">
        <v>788625892</v>
      </c>
      <c r="R58" s="25" t="s">
        <v>702</v>
      </c>
      <c r="S58" s="10" t="s">
        <v>598</v>
      </c>
      <c r="T58" s="32"/>
      <c r="U58" s="33"/>
      <c r="V58" s="33"/>
      <c r="W58" s="33"/>
      <c r="X58" s="33"/>
      <c r="Y58" s="33">
        <v>60000</v>
      </c>
      <c r="Z58" s="33">
        <v>120000</v>
      </c>
      <c r="AA58" s="33"/>
      <c r="AB58" s="36">
        <f>Table1[[#This Row],[2019]]+Table1[[#This Row],[2020]]+Table1[[#This Row],[2021]]+Table1[[#This Row],[2022]]+Table1[[#This Row],[2023]]+Table1[[#This Row],[2024]]+Table1[[#This Row],[2025]]+Table1[[#This Row],[2026]]</f>
        <v>180000</v>
      </c>
    </row>
    <row r="59" spans="1:28" ht="15.75" x14ac:dyDescent="0.25">
      <c r="A59" s="4">
        <v>103</v>
      </c>
      <c r="B59" s="16" t="s">
        <v>81</v>
      </c>
      <c r="C59" s="16" t="s">
        <v>82</v>
      </c>
      <c r="D59" s="4"/>
      <c r="E59" s="10" t="s">
        <v>402</v>
      </c>
      <c r="F59" s="65"/>
      <c r="G59" s="22"/>
      <c r="H59" s="4"/>
      <c r="I59" s="4"/>
      <c r="J59" s="4"/>
      <c r="K59" s="4"/>
      <c r="L59" s="10" t="s">
        <v>643</v>
      </c>
      <c r="M59" s="4"/>
      <c r="N59" s="4"/>
      <c r="O59" s="4"/>
      <c r="P59" s="4"/>
      <c r="Q59" s="85" t="s">
        <v>439</v>
      </c>
      <c r="R59" s="4"/>
      <c r="S59" s="10" t="s">
        <v>599</v>
      </c>
      <c r="T59" s="32"/>
      <c r="U59" s="33"/>
      <c r="V59" s="33"/>
      <c r="W59" s="33"/>
      <c r="X59" s="33"/>
      <c r="Y59" s="33"/>
      <c r="Z59" s="33"/>
      <c r="AA59" s="33"/>
      <c r="AB5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60" spans="1:28" ht="31.5" x14ac:dyDescent="0.25">
      <c r="A60" s="4">
        <v>107</v>
      </c>
      <c r="B60" s="16" t="s">
        <v>91</v>
      </c>
      <c r="C60" s="16" t="s">
        <v>92</v>
      </c>
      <c r="D60" s="4"/>
      <c r="E60" s="10" t="s">
        <v>401</v>
      </c>
      <c r="F60" s="65"/>
      <c r="G60" s="22"/>
      <c r="H60" s="4"/>
      <c r="I60" s="4"/>
      <c r="J60" s="4"/>
      <c r="K60" s="4"/>
      <c r="L60" s="10" t="s">
        <v>613</v>
      </c>
      <c r="M60" s="4"/>
      <c r="N60" s="4"/>
      <c r="O60" s="4"/>
      <c r="P60" s="4"/>
      <c r="Q60" s="16" t="s">
        <v>444</v>
      </c>
      <c r="R60" s="4"/>
      <c r="S60" s="10" t="s">
        <v>598</v>
      </c>
      <c r="T60" s="32"/>
      <c r="U60" s="33"/>
      <c r="V60" s="33"/>
      <c r="W60" s="33"/>
      <c r="X60" s="33"/>
      <c r="Y60" s="33"/>
      <c r="Z60" s="33"/>
      <c r="AA60" s="33"/>
      <c r="AB6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61" spans="1:28" ht="30" x14ac:dyDescent="0.25">
      <c r="A61" s="4">
        <v>119</v>
      </c>
      <c r="B61" s="16" t="s">
        <v>120</v>
      </c>
      <c r="C61" s="16" t="s">
        <v>121</v>
      </c>
      <c r="D61" s="4"/>
      <c r="E61" s="10" t="s">
        <v>402</v>
      </c>
      <c r="F61" s="65"/>
      <c r="G61" s="22"/>
      <c r="H61" s="4" t="s">
        <v>594</v>
      </c>
      <c r="I61" s="4" t="s">
        <v>595</v>
      </c>
      <c r="J61" s="4" t="s">
        <v>20</v>
      </c>
      <c r="K61" s="4" t="s">
        <v>590</v>
      </c>
      <c r="L61" s="10" t="s">
        <v>613</v>
      </c>
      <c r="M61" s="4"/>
      <c r="N61" s="4"/>
      <c r="O61" s="4"/>
      <c r="P61" s="4"/>
      <c r="Q61" s="16" t="s">
        <v>459</v>
      </c>
      <c r="R61" s="4"/>
      <c r="S61" s="10" t="s">
        <v>598</v>
      </c>
      <c r="T61" s="32"/>
      <c r="U61" s="33"/>
      <c r="V61" s="33"/>
      <c r="W61" s="33"/>
      <c r="X61" s="33"/>
      <c r="Y61" s="33">
        <v>300000</v>
      </c>
      <c r="Z61" s="33"/>
      <c r="AA61" s="33"/>
      <c r="AB61" s="36">
        <f>Table1[[#This Row],[2019]]+Table1[[#This Row],[2020]]+Table1[[#This Row],[2021]]+Table1[[#This Row],[2022]]+Table1[[#This Row],[2023]]+Table1[[#This Row],[2024]]+Table1[[#This Row],[2025]]+Table1[[#This Row],[2026]]</f>
        <v>300000</v>
      </c>
    </row>
    <row r="62" spans="1:28" ht="30" x14ac:dyDescent="0.25">
      <c r="A62" s="4">
        <v>204</v>
      </c>
      <c r="B62" s="16" t="s">
        <v>315</v>
      </c>
      <c r="C62" s="16" t="s">
        <v>316</v>
      </c>
      <c r="D62" s="4"/>
      <c r="E62" s="10" t="s">
        <v>401</v>
      </c>
      <c r="F62" s="65"/>
      <c r="G62" s="22"/>
      <c r="H62" s="4" t="s">
        <v>623</v>
      </c>
      <c r="I62" s="4" t="s">
        <v>624</v>
      </c>
      <c r="J62" s="4" t="s">
        <v>20</v>
      </c>
      <c r="K62" s="4" t="s">
        <v>590</v>
      </c>
      <c r="L62" s="10" t="s">
        <v>643</v>
      </c>
      <c r="M62" s="4"/>
      <c r="N62" s="4"/>
      <c r="O62" s="4"/>
      <c r="P62" s="4"/>
      <c r="Q62" s="70" t="s">
        <v>549</v>
      </c>
      <c r="R62" s="4"/>
      <c r="S62" s="10" t="s">
        <v>598</v>
      </c>
      <c r="T62" s="32"/>
      <c r="U62" s="33"/>
      <c r="V62" s="33"/>
      <c r="W62" s="33"/>
      <c r="X62" s="33"/>
      <c r="Y62" s="33">
        <v>520000</v>
      </c>
      <c r="Z62" s="33">
        <v>520000</v>
      </c>
      <c r="AA62" s="33"/>
      <c r="AB62" s="36">
        <f>Table1[[#This Row],[2019]]+Table1[[#This Row],[2020]]+Table1[[#This Row],[2021]]+Table1[[#This Row],[2022]]+Table1[[#This Row],[2023]]+Table1[[#This Row],[2024]]+Table1[[#This Row],[2025]]+Table1[[#This Row],[2026]]</f>
        <v>1040000</v>
      </c>
    </row>
    <row r="63" spans="1:28" ht="15.75" x14ac:dyDescent="0.25">
      <c r="A63" s="4">
        <v>120</v>
      </c>
      <c r="B63" s="16" t="s">
        <v>122</v>
      </c>
      <c r="C63" s="16" t="s">
        <v>122</v>
      </c>
      <c r="D63" s="4"/>
      <c r="E63" s="10" t="s">
        <v>402</v>
      </c>
      <c r="F63" s="65"/>
      <c r="G63" s="22"/>
      <c r="H63" s="4"/>
      <c r="I63" s="4"/>
      <c r="J63" s="4"/>
      <c r="K63" s="4"/>
      <c r="L63" s="10"/>
      <c r="M63" s="4"/>
      <c r="N63" s="4"/>
      <c r="O63" s="4"/>
      <c r="P63" s="4"/>
      <c r="Q63" s="16"/>
      <c r="R63" s="4"/>
      <c r="S63" s="10" t="s">
        <v>598</v>
      </c>
      <c r="T63" s="32"/>
      <c r="U63" s="33"/>
      <c r="V63" s="33"/>
      <c r="W63" s="33"/>
      <c r="X63" s="33"/>
      <c r="Y63" s="33"/>
      <c r="Z63" s="33"/>
      <c r="AA63" s="33"/>
      <c r="AB6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64" spans="1:28" ht="15.75" x14ac:dyDescent="0.25">
      <c r="A64" s="4">
        <v>87</v>
      </c>
      <c r="B64" s="16" t="s">
        <v>59</v>
      </c>
      <c r="C64" s="16" t="s">
        <v>58</v>
      </c>
      <c r="D64" s="4"/>
      <c r="E64" s="10" t="s">
        <v>402</v>
      </c>
      <c r="F64" s="65"/>
      <c r="G64" s="22"/>
      <c r="H64" s="4"/>
      <c r="I64" s="4"/>
      <c r="J64" s="4"/>
      <c r="K64" s="4"/>
      <c r="L64" s="10" t="s">
        <v>643</v>
      </c>
      <c r="M64" s="4"/>
      <c r="N64" s="4"/>
      <c r="O64" s="4"/>
      <c r="P64" s="4"/>
      <c r="Q64" s="16" t="s">
        <v>426</v>
      </c>
      <c r="R64" s="4"/>
      <c r="S64" s="10" t="s">
        <v>602</v>
      </c>
      <c r="T64" s="32"/>
      <c r="U64" s="33"/>
      <c r="V64" s="33"/>
      <c r="W64" s="33"/>
      <c r="X64" s="33"/>
      <c r="Y64" s="33"/>
      <c r="Z64" s="33"/>
      <c r="AA64" s="33"/>
      <c r="AB6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65" spans="1:28" ht="30" x14ac:dyDescent="0.25">
      <c r="A65" s="4">
        <v>173</v>
      </c>
      <c r="B65" s="16" t="s">
        <v>237</v>
      </c>
      <c r="C65" s="16" t="s">
        <v>238</v>
      </c>
      <c r="D65" s="4"/>
      <c r="E65" s="10" t="s">
        <v>401</v>
      </c>
      <c r="F65" s="98">
        <v>105448027</v>
      </c>
      <c r="G65" s="77" t="s">
        <v>851</v>
      </c>
      <c r="H65" s="4" t="s">
        <v>594</v>
      </c>
      <c r="I65" s="4" t="s">
        <v>635</v>
      </c>
      <c r="J65" s="4" t="s">
        <v>20</v>
      </c>
      <c r="K65" s="4"/>
      <c r="L65" s="10" t="s">
        <v>643</v>
      </c>
      <c r="M65" s="4"/>
      <c r="N65" s="4"/>
      <c r="O65" s="4"/>
      <c r="P65" s="4"/>
      <c r="Q65" s="16" t="s">
        <v>475</v>
      </c>
      <c r="R65" s="4"/>
      <c r="S65" s="10" t="s">
        <v>599</v>
      </c>
      <c r="T65" s="32"/>
      <c r="U65" s="33"/>
      <c r="V65" s="33"/>
      <c r="W65" s="33"/>
      <c r="X65" s="33"/>
      <c r="Y65" s="33"/>
      <c r="Z65" s="33"/>
      <c r="AA65" s="33"/>
      <c r="AB6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66" spans="1:28" ht="30" x14ac:dyDescent="0.25">
      <c r="A66" s="4">
        <v>10</v>
      </c>
      <c r="B66" s="16" t="s">
        <v>258</v>
      </c>
      <c r="C66" s="16" t="s">
        <v>259</v>
      </c>
      <c r="D66" s="4"/>
      <c r="E66" s="10" t="s">
        <v>401</v>
      </c>
      <c r="F66" s="65">
        <v>103140046</v>
      </c>
      <c r="G66" s="22" t="s">
        <v>696</v>
      </c>
      <c r="H66" s="4" t="s">
        <v>687</v>
      </c>
      <c r="I66" s="4" t="s">
        <v>697</v>
      </c>
      <c r="J66" s="4" t="s">
        <v>20</v>
      </c>
      <c r="K66" s="4" t="s">
        <v>590</v>
      </c>
      <c r="L66" s="10" t="s">
        <v>643</v>
      </c>
      <c r="M66" s="4" t="s">
        <v>591</v>
      </c>
      <c r="N66" s="4">
        <v>1</v>
      </c>
      <c r="O66" s="4">
        <v>27</v>
      </c>
      <c r="P66" s="4"/>
      <c r="Q66" s="16" t="s">
        <v>522</v>
      </c>
      <c r="R66" s="25" t="s">
        <v>698</v>
      </c>
      <c r="S66" s="10" t="s">
        <v>598</v>
      </c>
      <c r="T66" s="32"/>
      <c r="U66" s="33"/>
      <c r="V66" s="33"/>
      <c r="W66" s="33"/>
      <c r="X66" s="33"/>
      <c r="Y66" s="33">
        <v>520000</v>
      </c>
      <c r="Z66" s="33">
        <v>500000</v>
      </c>
      <c r="AA66" s="33"/>
      <c r="AB66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67" spans="1:28" ht="31.5" x14ac:dyDescent="0.25">
      <c r="A67" s="4">
        <v>46</v>
      </c>
      <c r="B67" s="16" t="s">
        <v>337</v>
      </c>
      <c r="C67" s="16" t="s">
        <v>338</v>
      </c>
      <c r="D67" s="4" t="s">
        <v>692</v>
      </c>
      <c r="E67" s="10" t="s">
        <v>401</v>
      </c>
      <c r="F67" s="65">
        <v>119714982</v>
      </c>
      <c r="G67" s="22" t="s">
        <v>693</v>
      </c>
      <c r="H67" s="4" t="s">
        <v>584</v>
      </c>
      <c r="I67" s="4" t="s">
        <v>608</v>
      </c>
      <c r="J67" s="4" t="s">
        <v>20</v>
      </c>
      <c r="K67" s="4" t="s">
        <v>590</v>
      </c>
      <c r="L67" s="10" t="s">
        <v>694</v>
      </c>
      <c r="M67" s="4" t="s">
        <v>591</v>
      </c>
      <c r="N67" s="4">
        <v>2</v>
      </c>
      <c r="O67" s="4">
        <v>2</v>
      </c>
      <c r="P67" s="4"/>
      <c r="Q67" s="16" t="s">
        <v>561</v>
      </c>
      <c r="R67" s="25" t="s">
        <v>695</v>
      </c>
      <c r="S67" s="10" t="s">
        <v>598</v>
      </c>
      <c r="T67" s="32"/>
      <c r="U67" s="33"/>
      <c r="V67" s="33"/>
      <c r="W67" s="33"/>
      <c r="X67" s="33"/>
      <c r="Y67" s="33">
        <v>320000</v>
      </c>
      <c r="Z67" s="33">
        <v>500000</v>
      </c>
      <c r="AA67" s="33"/>
      <c r="AB67" s="36">
        <f>Table1[[#This Row],[2019]]+Table1[[#This Row],[2020]]+Table1[[#This Row],[2021]]+Table1[[#This Row],[2022]]+Table1[[#This Row],[2023]]+Table1[[#This Row],[2024]]+Table1[[#This Row],[2025]]+Table1[[#This Row],[2026]]</f>
        <v>820000</v>
      </c>
    </row>
    <row r="68" spans="1:28" ht="15.75" x14ac:dyDescent="0.25">
      <c r="A68" s="4">
        <v>57</v>
      </c>
      <c r="B68" s="16" t="s">
        <v>718</v>
      </c>
      <c r="C68" s="16" t="s">
        <v>719</v>
      </c>
      <c r="D68" s="4"/>
      <c r="E68" s="10" t="s">
        <v>401</v>
      </c>
      <c r="F68" s="65">
        <v>122190874</v>
      </c>
      <c r="G68" s="22" t="s">
        <v>720</v>
      </c>
      <c r="H68" s="4" t="s">
        <v>687</v>
      </c>
      <c r="I68" s="4" t="s">
        <v>688</v>
      </c>
      <c r="J68" s="4" t="s">
        <v>5</v>
      </c>
      <c r="K68" s="4" t="s">
        <v>590</v>
      </c>
      <c r="L68" s="10" t="s">
        <v>643</v>
      </c>
      <c r="M68" s="4"/>
      <c r="N68" s="4">
        <v>37</v>
      </c>
      <c r="O68" s="4">
        <v>18</v>
      </c>
      <c r="P68" s="4"/>
      <c r="Q68" s="16">
        <v>788302512</v>
      </c>
      <c r="R68" s="25" t="s">
        <v>721</v>
      </c>
      <c r="S68" s="10" t="s">
        <v>598</v>
      </c>
      <c r="T68" s="32"/>
      <c r="U68" s="33"/>
      <c r="V68" s="33"/>
      <c r="W68" s="33"/>
      <c r="X68" s="33"/>
      <c r="Y68" s="33">
        <v>520000</v>
      </c>
      <c r="Z68" s="33"/>
      <c r="AA68" s="33"/>
      <c r="AB68" s="36">
        <f>Table1[[#This Row],[2019]]+Table1[[#This Row],[2020]]+Table1[[#This Row],[2021]]+Table1[[#This Row],[2022]]+Table1[[#This Row],[2023]]+Table1[[#This Row],[2024]]+Table1[[#This Row],[2025]]+Table1[[#This Row],[2026]]</f>
        <v>520000</v>
      </c>
    </row>
    <row r="69" spans="1:28" ht="30" x14ac:dyDescent="0.25">
      <c r="A69" s="4">
        <v>138</v>
      </c>
      <c r="B69" s="16" t="s">
        <v>163</v>
      </c>
      <c r="C69" s="16" t="s">
        <v>164</v>
      </c>
      <c r="D69" s="78" t="s">
        <v>848</v>
      </c>
      <c r="E69" s="4" t="s">
        <v>403</v>
      </c>
      <c r="F69" s="78">
        <v>123091879</v>
      </c>
      <c r="G69" s="79" t="s">
        <v>849</v>
      </c>
      <c r="H69" s="4" t="s">
        <v>594</v>
      </c>
      <c r="I69" s="4" t="s">
        <v>595</v>
      </c>
      <c r="J69" s="4" t="s">
        <v>20</v>
      </c>
      <c r="K69" s="4" t="s">
        <v>590</v>
      </c>
      <c r="L69" s="10" t="s">
        <v>643</v>
      </c>
      <c r="M69" s="4"/>
      <c r="N69" s="4"/>
      <c r="O69" s="4"/>
      <c r="P69" s="4"/>
      <c r="Q69" s="16" t="s">
        <v>473</v>
      </c>
      <c r="R69" s="78" t="s">
        <v>850</v>
      </c>
      <c r="S69" s="10" t="s">
        <v>598</v>
      </c>
      <c r="T69" s="32"/>
      <c r="U69" s="33"/>
      <c r="V69" s="33"/>
      <c r="W69" s="33"/>
      <c r="X69" s="33"/>
      <c r="Y69" s="33">
        <v>520000</v>
      </c>
      <c r="Z69" s="33">
        <v>500000</v>
      </c>
      <c r="AA69" s="33"/>
      <c r="AB69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70" spans="1:28" ht="15.75" x14ac:dyDescent="0.25">
      <c r="A70" s="4">
        <v>82</v>
      </c>
      <c r="B70" s="16" t="s">
        <v>50</v>
      </c>
      <c r="C70" s="16" t="s">
        <v>51</v>
      </c>
      <c r="D70" s="4"/>
      <c r="E70" s="10" t="s">
        <v>402</v>
      </c>
      <c r="F70" s="65"/>
      <c r="G70" s="22"/>
      <c r="H70" s="4"/>
      <c r="I70" s="4"/>
      <c r="J70" s="4"/>
      <c r="K70" s="4"/>
      <c r="L70" s="10" t="s">
        <v>643</v>
      </c>
      <c r="M70" s="4"/>
      <c r="N70" s="4"/>
      <c r="O70" s="4"/>
      <c r="P70" s="4"/>
      <c r="Q70" s="16" t="s">
        <v>422</v>
      </c>
      <c r="R70" s="4"/>
      <c r="S70" s="10" t="s">
        <v>602</v>
      </c>
      <c r="T70" s="32"/>
      <c r="U70" s="33"/>
      <c r="V70" s="33"/>
      <c r="W70" s="33"/>
      <c r="X70" s="33"/>
      <c r="Y70" s="33"/>
      <c r="Z70" s="33"/>
      <c r="AA70" s="33"/>
      <c r="AB7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71" spans="1:28" ht="15.75" x14ac:dyDescent="0.25">
      <c r="A71" s="4">
        <v>90</v>
      </c>
      <c r="B71" s="63" t="s">
        <v>832</v>
      </c>
      <c r="C71" s="16" t="s">
        <v>61</v>
      </c>
      <c r="D71" s="4"/>
      <c r="E71" s="10" t="s">
        <v>402</v>
      </c>
      <c r="F71" s="65"/>
      <c r="G71" s="22"/>
      <c r="H71" s="4"/>
      <c r="I71" s="4"/>
      <c r="J71" s="4"/>
      <c r="K71" s="4"/>
      <c r="L71" s="10"/>
      <c r="M71" s="4"/>
      <c r="N71" s="4"/>
      <c r="O71" s="4"/>
      <c r="P71" s="4"/>
      <c r="Q71" s="16" t="s">
        <v>429</v>
      </c>
      <c r="R71" s="4"/>
      <c r="S71" s="10" t="s">
        <v>601</v>
      </c>
      <c r="T71" s="32"/>
      <c r="U71" s="33"/>
      <c r="V71" s="33"/>
      <c r="W71" s="33"/>
      <c r="X71" s="33"/>
      <c r="Y71" s="33"/>
      <c r="Z71" s="33"/>
      <c r="AA71" s="33"/>
      <c r="AB7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72" spans="1:28" ht="15.75" x14ac:dyDescent="0.25">
      <c r="A72" s="4">
        <v>157</v>
      </c>
      <c r="B72" s="16" t="s">
        <v>208</v>
      </c>
      <c r="C72" s="16" t="s">
        <v>209</v>
      </c>
      <c r="D72" s="4"/>
      <c r="E72" s="10" t="s">
        <v>401</v>
      </c>
      <c r="F72" s="65"/>
      <c r="G72" s="22"/>
      <c r="H72" s="4"/>
      <c r="I72" s="4"/>
      <c r="J72" s="4"/>
      <c r="K72" s="4"/>
      <c r="L72" s="10" t="s">
        <v>613</v>
      </c>
      <c r="M72" s="4"/>
      <c r="N72" s="4"/>
      <c r="O72" s="4"/>
      <c r="P72" s="4"/>
      <c r="Q72" s="16" t="s">
        <v>499</v>
      </c>
      <c r="R72" s="4"/>
      <c r="S72" s="10" t="s">
        <v>598</v>
      </c>
      <c r="T72" s="32"/>
      <c r="U72" s="33"/>
      <c r="V72" s="33"/>
      <c r="W72" s="33"/>
      <c r="X72" s="33"/>
      <c r="Y72" s="33"/>
      <c r="Z72" s="33"/>
      <c r="AA72" s="33"/>
      <c r="AB7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73" spans="1:28" ht="15.75" x14ac:dyDescent="0.25">
      <c r="A73" s="4">
        <v>76</v>
      </c>
      <c r="B73" s="16" t="s">
        <v>39</v>
      </c>
      <c r="C73" s="16" t="s">
        <v>40</v>
      </c>
      <c r="D73" s="4"/>
      <c r="E73" s="10" t="s">
        <v>401</v>
      </c>
      <c r="F73" s="65"/>
      <c r="G73" s="22"/>
      <c r="H73" s="4"/>
      <c r="I73" s="4"/>
      <c r="J73" s="4"/>
      <c r="K73" s="4"/>
      <c r="L73" s="10" t="s">
        <v>643</v>
      </c>
      <c r="M73" s="4"/>
      <c r="N73" s="4"/>
      <c r="O73" s="4"/>
      <c r="P73" s="4"/>
      <c r="Q73" s="16" t="s">
        <v>417</v>
      </c>
      <c r="R73" s="4"/>
      <c r="S73" s="10" t="s">
        <v>602</v>
      </c>
      <c r="T73" s="32"/>
      <c r="U73" s="33"/>
      <c r="V73" s="33"/>
      <c r="W73" s="33"/>
      <c r="X73" s="33"/>
      <c r="Y73" s="33"/>
      <c r="Z73" s="33"/>
      <c r="AA73" s="33"/>
      <c r="AB7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74" spans="1:28" ht="31.5" x14ac:dyDescent="0.25">
      <c r="A74" s="4">
        <v>142</v>
      </c>
      <c r="B74" s="16" t="s">
        <v>175</v>
      </c>
      <c r="C74" s="16" t="s">
        <v>176</v>
      </c>
      <c r="D74" s="4"/>
      <c r="E74" s="10" t="s">
        <v>401</v>
      </c>
      <c r="F74" s="65"/>
      <c r="G74" s="22"/>
      <c r="H74" s="4" t="s">
        <v>594</v>
      </c>
      <c r="I74" s="4" t="s">
        <v>595</v>
      </c>
      <c r="J74" s="4" t="s">
        <v>5</v>
      </c>
      <c r="K74" s="4" t="s">
        <v>590</v>
      </c>
      <c r="L74" s="10" t="s">
        <v>643</v>
      </c>
      <c r="M74" s="4" t="s">
        <v>591</v>
      </c>
      <c r="N74" s="4"/>
      <c r="O74" s="4"/>
      <c r="P74" s="4"/>
      <c r="Q74" s="16" t="s">
        <v>480</v>
      </c>
      <c r="R74" s="4"/>
      <c r="S74" s="10" t="s">
        <v>598</v>
      </c>
      <c r="T74" s="32"/>
      <c r="U74" s="33"/>
      <c r="V74" s="33"/>
      <c r="W74" s="33"/>
      <c r="X74" s="33"/>
      <c r="Y74" s="33">
        <v>520000</v>
      </c>
      <c r="Z74" s="33">
        <v>500000</v>
      </c>
      <c r="AA74" s="33">
        <v>500000</v>
      </c>
      <c r="AB74" s="36">
        <f>Table1[[#This Row],[2019]]+Table1[[#This Row],[2020]]+Table1[[#This Row],[2021]]+Table1[[#This Row],[2022]]+Table1[[#This Row],[2023]]+Table1[[#This Row],[2024]]+Table1[[#This Row],[2025]]+Table1[[#This Row],[2026]]</f>
        <v>1520000</v>
      </c>
    </row>
    <row r="75" spans="1:28" ht="15.75" x14ac:dyDescent="0.25">
      <c r="A75" s="4">
        <v>241</v>
      </c>
      <c r="B75" s="16" t="s">
        <v>390</v>
      </c>
      <c r="C75" s="16" t="s">
        <v>391</v>
      </c>
      <c r="D75" s="4"/>
      <c r="E75" s="10" t="s">
        <v>401</v>
      </c>
      <c r="F75" s="65"/>
      <c r="G75" s="22"/>
      <c r="H75" s="4"/>
      <c r="I75" s="4"/>
      <c r="J75" s="4"/>
      <c r="K75" s="4"/>
      <c r="L75" s="10" t="s">
        <v>643</v>
      </c>
      <c r="M75" s="4"/>
      <c r="N75" s="4"/>
      <c r="O75" s="4"/>
      <c r="P75" s="4"/>
      <c r="Q75" s="16" t="s">
        <v>577</v>
      </c>
      <c r="R75" s="4"/>
      <c r="S75" s="10" t="s">
        <v>599</v>
      </c>
      <c r="T75" s="32"/>
      <c r="U75" s="33"/>
      <c r="V75" s="33"/>
      <c r="W75" s="33"/>
      <c r="X75" s="33"/>
      <c r="Y75" s="33"/>
      <c r="Z75" s="33"/>
      <c r="AA75" s="33"/>
      <c r="AB7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76" spans="1:28" ht="30" x14ac:dyDescent="0.25">
      <c r="A76" s="4">
        <v>31</v>
      </c>
      <c r="B76" s="16" t="s">
        <v>322</v>
      </c>
      <c r="C76" s="16" t="s">
        <v>322</v>
      </c>
      <c r="D76" s="4"/>
      <c r="E76" s="10" t="s">
        <v>401</v>
      </c>
      <c r="F76" s="65">
        <v>110713111</v>
      </c>
      <c r="G76" s="22"/>
      <c r="H76" s="4" t="s">
        <v>623</v>
      </c>
      <c r="I76" s="4" t="s">
        <v>652</v>
      </c>
      <c r="J76" s="4" t="s">
        <v>20</v>
      </c>
      <c r="K76" s="4" t="s">
        <v>590</v>
      </c>
      <c r="L76" s="10" t="s">
        <v>613</v>
      </c>
      <c r="M76" s="4"/>
      <c r="N76" s="4">
        <v>1</v>
      </c>
      <c r="O76" s="4">
        <v>4</v>
      </c>
      <c r="P76" s="4"/>
      <c r="Q76" s="16" t="s">
        <v>553</v>
      </c>
      <c r="R76" s="25" t="s">
        <v>724</v>
      </c>
      <c r="S76" s="10" t="s">
        <v>598</v>
      </c>
      <c r="T76" s="32"/>
      <c r="U76" s="33"/>
      <c r="V76" s="33"/>
      <c r="W76" s="33"/>
      <c r="X76" s="33"/>
      <c r="Y76" s="33">
        <v>320000</v>
      </c>
      <c r="Z76" s="33"/>
      <c r="AA76" s="33"/>
      <c r="AB76" s="36">
        <f>Table1[[#This Row],[2019]]+Table1[[#This Row],[2020]]+Table1[[#This Row],[2021]]+Table1[[#This Row],[2022]]+Table1[[#This Row],[2023]]+Table1[[#This Row],[2024]]+Table1[[#This Row],[2025]]+Table1[[#This Row],[2026]]</f>
        <v>320000</v>
      </c>
    </row>
    <row r="77" spans="1:28" ht="15.75" x14ac:dyDescent="0.25">
      <c r="A77" s="4">
        <v>150</v>
      </c>
      <c r="B77" s="16" t="s">
        <v>194</v>
      </c>
      <c r="C77" s="16" t="s">
        <v>194</v>
      </c>
      <c r="D77" s="4"/>
      <c r="E77" s="10" t="s">
        <v>401</v>
      </c>
      <c r="F77" s="65"/>
      <c r="G77" s="22"/>
      <c r="H77" s="4"/>
      <c r="I77" s="4"/>
      <c r="J77" s="4"/>
      <c r="K77" s="4"/>
      <c r="L77" s="10"/>
      <c r="M77" s="4"/>
      <c r="N77" s="4"/>
      <c r="O77" s="4"/>
      <c r="P77" s="4"/>
      <c r="Q77" s="16" t="s">
        <v>472</v>
      </c>
      <c r="R77" s="4"/>
      <c r="S77" s="10" t="s">
        <v>601</v>
      </c>
      <c r="T77" s="32"/>
      <c r="U77" s="33"/>
      <c r="V77" s="33"/>
      <c r="W77" s="33"/>
      <c r="X77" s="33"/>
      <c r="Y77" s="33"/>
      <c r="Z77" s="33"/>
      <c r="AA77" s="33"/>
      <c r="AB7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78" spans="1:28" s="1" customFormat="1" ht="60" x14ac:dyDescent="0.25">
      <c r="A78" s="45">
        <v>60</v>
      </c>
      <c r="B78" s="16" t="s">
        <v>233</v>
      </c>
      <c r="C78" s="16" t="s">
        <v>234</v>
      </c>
      <c r="D78" s="45" t="s">
        <v>707</v>
      </c>
      <c r="E78" s="10" t="s">
        <v>402</v>
      </c>
      <c r="F78" s="45">
        <v>122816414</v>
      </c>
      <c r="G78" s="46" t="s">
        <v>708</v>
      </c>
      <c r="H78" s="45" t="s">
        <v>594</v>
      </c>
      <c r="I78" s="45" t="s">
        <v>635</v>
      </c>
      <c r="J78" s="45" t="s">
        <v>5</v>
      </c>
      <c r="K78" s="45" t="s">
        <v>709</v>
      </c>
      <c r="L78" s="10" t="s">
        <v>643</v>
      </c>
      <c r="M78" s="45" t="s">
        <v>591</v>
      </c>
      <c r="N78" s="45">
        <v>1</v>
      </c>
      <c r="O78" s="45">
        <v>4</v>
      </c>
      <c r="P78" s="45"/>
      <c r="Q78" s="16" t="s">
        <v>512</v>
      </c>
      <c r="R78" s="47" t="s">
        <v>710</v>
      </c>
      <c r="S78" s="10" t="s">
        <v>598</v>
      </c>
      <c r="T78" s="32"/>
      <c r="U78" s="48"/>
      <c r="V78" s="48"/>
      <c r="W78" s="48"/>
      <c r="X78" s="48"/>
      <c r="Y78" s="48">
        <v>520000</v>
      </c>
      <c r="Z78" s="48">
        <v>500000</v>
      </c>
      <c r="AA78" s="48"/>
      <c r="AB78" s="49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79" spans="1:28" s="97" customFormat="1" ht="15.75" x14ac:dyDescent="0.25">
      <c r="A79" s="90">
        <v>268</v>
      </c>
      <c r="B79" s="89" t="s">
        <v>856</v>
      </c>
      <c r="C79" s="91" t="s">
        <v>278</v>
      </c>
      <c r="D79" s="90"/>
      <c r="E79" s="90" t="s">
        <v>401</v>
      </c>
      <c r="F79" s="89">
        <v>127337635</v>
      </c>
      <c r="G79" s="92" t="s">
        <v>872</v>
      </c>
      <c r="H79" s="89" t="s">
        <v>895</v>
      </c>
      <c r="I79" s="89" t="s">
        <v>899</v>
      </c>
      <c r="J79" s="90"/>
      <c r="K79" s="90"/>
      <c r="L79" s="93" t="s">
        <v>643</v>
      </c>
      <c r="M79" s="90"/>
      <c r="N79" s="90"/>
      <c r="O79" s="90"/>
      <c r="P79" s="90"/>
      <c r="Q79" s="91" t="s">
        <v>531</v>
      </c>
      <c r="R79" s="89" t="s">
        <v>909</v>
      </c>
      <c r="S79" s="94"/>
      <c r="T79" s="95"/>
      <c r="U79" s="95"/>
      <c r="V79" s="95"/>
      <c r="W79" s="95"/>
      <c r="X79" s="95"/>
      <c r="Y79" s="95"/>
      <c r="Z79" s="95"/>
      <c r="AA79" s="95"/>
      <c r="AB79" s="9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80" spans="1:28" ht="30" x14ac:dyDescent="0.25">
      <c r="A80" s="4">
        <v>167</v>
      </c>
      <c r="B80" s="16" t="s">
        <v>227</v>
      </c>
      <c r="C80" s="16" t="s">
        <v>228</v>
      </c>
      <c r="D80" s="4"/>
      <c r="E80" s="10" t="s">
        <v>401</v>
      </c>
      <c r="F80" s="89">
        <v>106443055</v>
      </c>
      <c r="G80" s="79" t="s">
        <v>865</v>
      </c>
      <c r="H80" s="4" t="s">
        <v>594</v>
      </c>
      <c r="I80" s="4" t="s">
        <v>635</v>
      </c>
      <c r="J80" s="4" t="s">
        <v>20</v>
      </c>
      <c r="K80" s="4" t="s">
        <v>590</v>
      </c>
      <c r="L80" s="10" t="s">
        <v>613</v>
      </c>
      <c r="M80" s="4"/>
      <c r="N80" s="4"/>
      <c r="O80" s="4"/>
      <c r="P80" s="4"/>
      <c r="Q80" s="16" t="s">
        <v>510</v>
      </c>
      <c r="R80" s="81" t="s">
        <v>903</v>
      </c>
      <c r="S80" s="10" t="s">
        <v>599</v>
      </c>
      <c r="T80" s="32"/>
      <c r="U80" s="33"/>
      <c r="V80" s="33"/>
      <c r="W80" s="33"/>
      <c r="X80" s="33">
        <v>320000</v>
      </c>
      <c r="Y80" s="33">
        <v>300000</v>
      </c>
      <c r="Z80" s="33">
        <v>300000</v>
      </c>
      <c r="AA80" s="33">
        <v>300000</v>
      </c>
      <c r="AB80" s="36">
        <f>Table1[[#This Row],[2019]]+Table1[[#This Row],[2020]]+Table1[[#This Row],[2021]]+Table1[[#This Row],[2022]]+Table1[[#This Row],[2023]]+Table1[[#This Row],[2024]]+Table1[[#This Row],[2025]]+Table1[[#This Row],[2026]]</f>
        <v>1220000</v>
      </c>
    </row>
    <row r="81" spans="1:28" ht="15.75" x14ac:dyDescent="0.25">
      <c r="A81" s="4">
        <v>179</v>
      </c>
      <c r="B81" s="16" t="s">
        <v>251</v>
      </c>
      <c r="C81" s="16" t="s">
        <v>252</v>
      </c>
      <c r="D81" s="4"/>
      <c r="E81" s="10" t="s">
        <v>401</v>
      </c>
      <c r="F81" s="65"/>
      <c r="G81" s="22"/>
      <c r="H81" s="4" t="s">
        <v>588</v>
      </c>
      <c r="I81" s="4" t="s">
        <v>633</v>
      </c>
      <c r="J81" s="4" t="s">
        <v>5</v>
      </c>
      <c r="K81" s="4" t="s">
        <v>590</v>
      </c>
      <c r="L81" s="10" t="s">
        <v>613</v>
      </c>
      <c r="M81" s="4"/>
      <c r="N81" s="4"/>
      <c r="O81" s="4"/>
      <c r="P81" s="4"/>
      <c r="Q81" s="16" t="s">
        <v>486</v>
      </c>
      <c r="R81" s="25" t="s">
        <v>735</v>
      </c>
      <c r="S81" s="10" t="s">
        <v>598</v>
      </c>
      <c r="T81" s="32"/>
      <c r="U81" s="33"/>
      <c r="V81" s="33"/>
      <c r="W81" s="33"/>
      <c r="X81" s="33"/>
      <c r="Y81" s="33"/>
      <c r="Z81" s="33"/>
      <c r="AA81" s="33"/>
      <c r="AB8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82" spans="1:28" ht="30" x14ac:dyDescent="0.25">
      <c r="A82" s="4">
        <v>61</v>
      </c>
      <c r="B82" s="16" t="s">
        <v>185</v>
      </c>
      <c r="C82" s="16" t="s">
        <v>186</v>
      </c>
      <c r="D82" s="4"/>
      <c r="E82" s="10" t="s">
        <v>401</v>
      </c>
      <c r="F82" s="65">
        <v>122959865</v>
      </c>
      <c r="G82" s="77" t="s">
        <v>873</v>
      </c>
      <c r="H82" s="4" t="s">
        <v>588</v>
      </c>
      <c r="I82" s="4" t="s">
        <v>734</v>
      </c>
      <c r="J82" s="4" t="s">
        <v>20</v>
      </c>
      <c r="K82" s="4" t="s">
        <v>590</v>
      </c>
      <c r="L82" s="10" t="s">
        <v>613</v>
      </c>
      <c r="M82" s="4"/>
      <c r="N82" s="4"/>
      <c r="O82" s="4"/>
      <c r="P82" s="4"/>
      <c r="Q82" s="4"/>
      <c r="R82" s="4"/>
      <c r="S82" s="10" t="s">
        <v>600</v>
      </c>
      <c r="T82" s="32"/>
      <c r="U82" s="33"/>
      <c r="V82" s="33"/>
      <c r="W82" s="33"/>
      <c r="X82" s="33"/>
      <c r="Y82" s="33"/>
      <c r="Z82" s="33">
        <v>350000</v>
      </c>
      <c r="AA82" s="33"/>
      <c r="AB82" s="36">
        <f>Table1[[#This Row],[2019]]+Table1[[#This Row],[2020]]+Table1[[#This Row],[2021]]+Table1[[#This Row],[2022]]+Table1[[#This Row],[2023]]+Table1[[#This Row],[2024]]+Table1[[#This Row],[2025]]+Table1[[#This Row],[2026]]</f>
        <v>350000</v>
      </c>
    </row>
    <row r="83" spans="1:28" ht="15.75" x14ac:dyDescent="0.25">
      <c r="A83" s="4">
        <v>212</v>
      </c>
      <c r="B83" s="16" t="s">
        <v>349</v>
      </c>
      <c r="C83" s="16" t="s">
        <v>349</v>
      </c>
      <c r="D83" s="4"/>
      <c r="E83" s="10" t="s">
        <v>401</v>
      </c>
      <c r="F83" s="65"/>
      <c r="G83" s="22"/>
      <c r="H83" s="4"/>
      <c r="I83" s="4"/>
      <c r="J83" s="4"/>
      <c r="K83" s="4"/>
      <c r="L83" s="10"/>
      <c r="M83" s="4"/>
      <c r="N83" s="4"/>
      <c r="O83" s="4"/>
      <c r="P83" s="4"/>
      <c r="Q83" s="16" t="s">
        <v>564</v>
      </c>
      <c r="R83" s="4"/>
      <c r="S83" s="10" t="s">
        <v>602</v>
      </c>
      <c r="T83" s="32"/>
      <c r="U83" s="33"/>
      <c r="V83" s="33"/>
      <c r="W83" s="33"/>
      <c r="X83" s="33"/>
      <c r="Y83" s="33"/>
      <c r="Z83" s="33"/>
      <c r="AA83" s="33"/>
      <c r="AB8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84" spans="1:28" ht="30" x14ac:dyDescent="0.25">
      <c r="A84" s="4">
        <v>28</v>
      </c>
      <c r="B84" s="16" t="s">
        <v>27</v>
      </c>
      <c r="C84" s="16" t="s">
        <v>28</v>
      </c>
      <c r="D84" s="4"/>
      <c r="E84" s="10" t="s">
        <v>401</v>
      </c>
      <c r="F84" s="65">
        <v>109284078</v>
      </c>
      <c r="G84" s="22" t="s">
        <v>804</v>
      </c>
      <c r="H84" s="4" t="s">
        <v>584</v>
      </c>
      <c r="I84" s="4" t="s">
        <v>585</v>
      </c>
      <c r="J84" s="4" t="s">
        <v>20</v>
      </c>
      <c r="K84" s="4" t="s">
        <v>609</v>
      </c>
      <c r="L84" s="10" t="s">
        <v>643</v>
      </c>
      <c r="M84" s="4"/>
      <c r="N84" s="4"/>
      <c r="O84" s="4"/>
      <c r="P84" s="4"/>
      <c r="Q84" s="16" t="s">
        <v>412</v>
      </c>
      <c r="R84" s="25" t="s">
        <v>805</v>
      </c>
      <c r="S84" s="10" t="s">
        <v>600</v>
      </c>
      <c r="T84" s="32"/>
      <c r="U84" s="33"/>
      <c r="V84" s="33"/>
      <c r="W84" s="33"/>
      <c r="X84" s="33"/>
      <c r="Y84" s="33"/>
      <c r="Z84" s="33">
        <v>550000</v>
      </c>
      <c r="AA84" s="33"/>
      <c r="AB84" s="36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85" spans="1:28" ht="15.75" x14ac:dyDescent="0.25">
      <c r="A85" s="4">
        <v>254</v>
      </c>
      <c r="B85" s="53" t="s">
        <v>830</v>
      </c>
      <c r="C85" s="53"/>
      <c r="D85" s="4"/>
      <c r="E85" s="4" t="s">
        <v>401</v>
      </c>
      <c r="F85" s="65"/>
      <c r="G85" s="22"/>
      <c r="H85" s="4" t="s">
        <v>623</v>
      </c>
      <c r="I85" s="4" t="s">
        <v>642</v>
      </c>
      <c r="J85" s="4" t="s">
        <v>767</v>
      </c>
      <c r="K85" s="4"/>
      <c r="L85" s="52"/>
      <c r="M85" s="4"/>
      <c r="N85" s="4"/>
      <c r="O85" s="4"/>
      <c r="P85" s="4"/>
      <c r="Q85" s="29"/>
      <c r="R85" s="25"/>
      <c r="S85" s="22"/>
      <c r="T85" s="33"/>
      <c r="U85" s="33"/>
      <c r="V85" s="33"/>
      <c r="W85" s="33"/>
      <c r="X85" s="33"/>
      <c r="Y85" s="33"/>
      <c r="Z85" s="33"/>
      <c r="AA85" s="33"/>
      <c r="AB85" s="55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86" spans="1:28" ht="30" x14ac:dyDescent="0.25">
      <c r="A86" s="4">
        <v>200</v>
      </c>
      <c r="B86" s="16" t="s">
        <v>300</v>
      </c>
      <c r="C86" s="16" t="s">
        <v>300</v>
      </c>
      <c r="D86" s="4"/>
      <c r="E86" s="10" t="s">
        <v>401</v>
      </c>
      <c r="F86" s="65"/>
      <c r="G86" s="22" t="s">
        <v>691</v>
      </c>
      <c r="H86" s="4" t="s">
        <v>687</v>
      </c>
      <c r="I86" s="4" t="s">
        <v>688</v>
      </c>
      <c r="J86" s="4" t="s">
        <v>20</v>
      </c>
      <c r="K86" s="4" t="s">
        <v>609</v>
      </c>
      <c r="L86" s="10" t="s">
        <v>613</v>
      </c>
      <c r="M86" s="4" t="s">
        <v>672</v>
      </c>
      <c r="N86" s="4"/>
      <c r="O86" s="4"/>
      <c r="P86" s="4"/>
      <c r="Q86" s="70" t="s">
        <v>542</v>
      </c>
      <c r="R86" s="25" t="s">
        <v>689</v>
      </c>
      <c r="S86" s="10" t="s">
        <v>598</v>
      </c>
      <c r="T86" s="32"/>
      <c r="U86" s="33"/>
      <c r="V86" s="33"/>
      <c r="W86" s="33"/>
      <c r="X86" s="33"/>
      <c r="Y86" s="33">
        <v>170000</v>
      </c>
      <c r="Z86" s="33"/>
      <c r="AA86" s="33"/>
      <c r="AB86" s="36">
        <f>Table1[[#This Row],[2019]]+Table1[[#This Row],[2020]]+Table1[[#This Row],[2021]]+Table1[[#This Row],[2022]]+Table1[[#This Row],[2023]]+Table1[[#This Row],[2024]]+Table1[[#This Row],[2025]]+Table1[[#This Row],[2026]]</f>
        <v>170000</v>
      </c>
    </row>
    <row r="87" spans="1:28" ht="15.75" x14ac:dyDescent="0.25">
      <c r="A87" s="4">
        <v>153</v>
      </c>
      <c r="B87" s="16" t="s">
        <v>199</v>
      </c>
      <c r="C87" s="16" t="s">
        <v>200</v>
      </c>
      <c r="D87" s="4"/>
      <c r="E87" s="10" t="s">
        <v>401</v>
      </c>
      <c r="F87" s="65"/>
      <c r="G87" s="22"/>
      <c r="H87" s="4"/>
      <c r="I87" s="4"/>
      <c r="J87" s="4"/>
      <c r="K87" s="4"/>
      <c r="L87" s="10" t="s">
        <v>643</v>
      </c>
      <c r="M87" s="4"/>
      <c r="N87" s="4"/>
      <c r="O87" s="4"/>
      <c r="P87" s="4"/>
      <c r="Q87" s="16" t="s">
        <v>494</v>
      </c>
      <c r="R87" s="4"/>
      <c r="S87" s="10" t="s">
        <v>598</v>
      </c>
      <c r="T87" s="32"/>
      <c r="U87" s="33"/>
      <c r="V87" s="33"/>
      <c r="W87" s="33"/>
      <c r="X87" s="33"/>
      <c r="Y87" s="33"/>
      <c r="Z87" s="33"/>
      <c r="AA87" s="33"/>
      <c r="AB8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88" spans="1:28" ht="30" x14ac:dyDescent="0.25">
      <c r="A88" s="4">
        <v>252</v>
      </c>
      <c r="B88" s="57" t="s">
        <v>816</v>
      </c>
      <c r="C88" s="53"/>
      <c r="D88" s="4"/>
      <c r="E88" s="4" t="s">
        <v>401</v>
      </c>
      <c r="F88" s="65"/>
      <c r="G88" s="22"/>
      <c r="H88" s="4" t="s">
        <v>588</v>
      </c>
      <c r="I88" s="4" t="s">
        <v>817</v>
      </c>
      <c r="J88" s="4" t="s">
        <v>20</v>
      </c>
      <c r="K88" s="4" t="s">
        <v>590</v>
      </c>
      <c r="L88" s="52" t="s">
        <v>627</v>
      </c>
      <c r="M88" s="4" t="s">
        <v>787</v>
      </c>
      <c r="N88" s="4"/>
      <c r="O88" s="4"/>
      <c r="P88" s="4"/>
      <c r="Q88" s="29"/>
      <c r="R88" s="25"/>
      <c r="S88" s="22"/>
      <c r="T88" s="33"/>
      <c r="U88" s="33"/>
      <c r="V88" s="33"/>
      <c r="W88" s="33"/>
      <c r="X88" s="33"/>
      <c r="Y88" s="33"/>
      <c r="Z88" s="33"/>
      <c r="AA88" s="33"/>
      <c r="AB88" s="55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89" spans="1:28" ht="15.75" x14ac:dyDescent="0.25">
      <c r="A89" s="4">
        <v>2</v>
      </c>
      <c r="B89" s="16" t="s">
        <v>144</v>
      </c>
      <c r="C89" s="16" t="s">
        <v>145</v>
      </c>
      <c r="D89" s="4"/>
      <c r="E89" s="10" t="s">
        <v>401</v>
      </c>
      <c r="F89" s="87">
        <v>101368487</v>
      </c>
      <c r="G89" s="22" t="s">
        <v>674</v>
      </c>
      <c r="H89" s="4" t="s">
        <v>623</v>
      </c>
      <c r="I89" s="4" t="s">
        <v>624</v>
      </c>
      <c r="J89" s="4" t="s">
        <v>5</v>
      </c>
      <c r="K89" s="4" t="s">
        <v>590</v>
      </c>
      <c r="L89" s="10" t="s">
        <v>643</v>
      </c>
      <c r="M89" s="4"/>
      <c r="N89" s="4"/>
      <c r="O89" s="4">
        <v>12</v>
      </c>
      <c r="P89" s="4"/>
      <c r="Q89" s="16">
        <v>781153761</v>
      </c>
      <c r="R89" s="25" t="s">
        <v>675</v>
      </c>
      <c r="S89" s="10">
        <v>2024</v>
      </c>
      <c r="T89" s="32"/>
      <c r="U89" s="33"/>
      <c r="V89" s="33"/>
      <c r="W89" s="33"/>
      <c r="X89" s="33"/>
      <c r="Y89" s="33">
        <v>500000</v>
      </c>
      <c r="Z89" s="33">
        <v>500000</v>
      </c>
      <c r="AA89" s="33"/>
      <c r="AB89" s="36">
        <f>Table1[[#This Row],[2019]]+Table1[[#This Row],[2020]]+Table1[[#This Row],[2021]]+Table1[[#This Row],[2022]]+Table1[[#This Row],[2023]]+Table1[[#This Row],[2024]]+Table1[[#This Row],[2025]]+Table1[[#This Row],[2026]]</f>
        <v>1000000</v>
      </c>
    </row>
    <row r="90" spans="1:28" ht="15.75" x14ac:dyDescent="0.25">
      <c r="A90" s="4">
        <v>75</v>
      </c>
      <c r="B90" s="16" t="s">
        <v>37</v>
      </c>
      <c r="C90" s="16" t="s">
        <v>38</v>
      </c>
      <c r="D90" s="4"/>
      <c r="E90" s="10" t="s">
        <v>401</v>
      </c>
      <c r="F90" s="65"/>
      <c r="G90" s="22"/>
      <c r="H90" s="4"/>
      <c r="I90" s="4"/>
      <c r="J90" s="4"/>
      <c r="K90" s="4"/>
      <c r="L90" s="10"/>
      <c r="M90" s="4"/>
      <c r="N90" s="4"/>
      <c r="O90" s="4"/>
      <c r="P90" s="4"/>
      <c r="Q90" s="16" t="s">
        <v>416</v>
      </c>
      <c r="R90" s="4"/>
      <c r="S90" s="10" t="s">
        <v>598</v>
      </c>
      <c r="T90" s="32"/>
      <c r="U90" s="33"/>
      <c r="V90" s="33"/>
      <c r="W90" s="33"/>
      <c r="X90" s="33"/>
      <c r="Y90" s="33"/>
      <c r="Z90" s="33"/>
      <c r="AA90" s="33"/>
      <c r="AB9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91" spans="1:28" ht="18.75" x14ac:dyDescent="0.25">
      <c r="A91" s="4">
        <v>16</v>
      </c>
      <c r="B91" s="28" t="s">
        <v>625</v>
      </c>
      <c r="C91" s="4" t="s">
        <v>38</v>
      </c>
      <c r="D91" s="4"/>
      <c r="E91" s="4" t="s">
        <v>401</v>
      </c>
      <c r="F91" s="65">
        <v>103445717</v>
      </c>
      <c r="G91" s="22" t="s">
        <v>626</v>
      </c>
      <c r="H91" s="4" t="s">
        <v>594</v>
      </c>
      <c r="I91" s="4" t="s">
        <v>595</v>
      </c>
      <c r="J91" s="4" t="s">
        <v>5</v>
      </c>
      <c r="K91" s="4" t="s">
        <v>590</v>
      </c>
      <c r="L91" s="14" t="s">
        <v>627</v>
      </c>
      <c r="M91" s="4"/>
      <c r="N91" s="4"/>
      <c r="O91" s="4"/>
      <c r="P91" s="4"/>
      <c r="Q91" s="29" t="s">
        <v>628</v>
      </c>
      <c r="R91" s="4"/>
      <c r="S91" s="22" t="s">
        <v>598</v>
      </c>
      <c r="T91" s="33"/>
      <c r="U91" s="33"/>
      <c r="V91" s="33"/>
      <c r="W91" s="33"/>
      <c r="X91" s="33"/>
      <c r="Y91" s="33"/>
      <c r="Z91" s="33"/>
      <c r="AA91" s="33"/>
      <c r="AB9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92" spans="1:28" ht="30" x14ac:dyDescent="0.25">
      <c r="A92" s="4">
        <v>132</v>
      </c>
      <c r="B92" s="16" t="s">
        <v>146</v>
      </c>
      <c r="C92" s="16" t="s">
        <v>147</v>
      </c>
      <c r="D92" s="4"/>
      <c r="E92" s="10" t="s">
        <v>401</v>
      </c>
      <c r="F92" s="65"/>
      <c r="G92" s="22"/>
      <c r="H92" s="4" t="s">
        <v>594</v>
      </c>
      <c r="I92" s="4" t="s">
        <v>595</v>
      </c>
      <c r="J92" s="4" t="s">
        <v>20</v>
      </c>
      <c r="K92" s="4" t="s">
        <v>590</v>
      </c>
      <c r="L92" s="10" t="s">
        <v>643</v>
      </c>
      <c r="M92" s="4"/>
      <c r="N92" s="4"/>
      <c r="O92" s="4">
        <v>2</v>
      </c>
      <c r="P92" s="4"/>
      <c r="Q92" s="16" t="s">
        <v>466</v>
      </c>
      <c r="R92" s="25" t="s">
        <v>725</v>
      </c>
      <c r="S92" s="10" t="s">
        <v>600</v>
      </c>
      <c r="T92" s="32"/>
      <c r="U92" s="33"/>
      <c r="V92" s="33"/>
      <c r="W92" s="33"/>
      <c r="X92" s="33"/>
      <c r="Y92" s="33"/>
      <c r="Z92" s="33">
        <v>550000</v>
      </c>
      <c r="AA92" s="33"/>
      <c r="AB92" s="36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93" spans="1:28" ht="47.25" x14ac:dyDescent="0.25">
      <c r="A93" s="4">
        <v>149</v>
      </c>
      <c r="B93" s="16" t="s">
        <v>192</v>
      </c>
      <c r="C93" s="16" t="s">
        <v>193</v>
      </c>
      <c r="D93" s="4"/>
      <c r="E93" s="10" t="s">
        <v>401</v>
      </c>
      <c r="F93" s="65"/>
      <c r="G93" s="22"/>
      <c r="H93" s="4"/>
      <c r="I93" s="4"/>
      <c r="J93" s="4"/>
      <c r="K93" s="4"/>
      <c r="L93" s="10" t="s">
        <v>613</v>
      </c>
      <c r="M93" s="4"/>
      <c r="N93" s="4"/>
      <c r="O93" s="4"/>
      <c r="P93" s="4"/>
      <c r="Q93" s="16" t="s">
        <v>491</v>
      </c>
      <c r="R93" s="4"/>
      <c r="S93" s="10" t="s">
        <v>598</v>
      </c>
      <c r="T93" s="32"/>
      <c r="U93" s="33"/>
      <c r="V93" s="33"/>
      <c r="W93" s="33"/>
      <c r="X93" s="33"/>
      <c r="Y93" s="33"/>
      <c r="Z93" s="33"/>
      <c r="AA93" s="33"/>
      <c r="AB9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94" spans="1:28" ht="31.5" x14ac:dyDescent="0.25">
      <c r="A94" s="4">
        <v>188</v>
      </c>
      <c r="B94" s="16" t="s">
        <v>272</v>
      </c>
      <c r="C94" s="16" t="s">
        <v>273</v>
      </c>
      <c r="D94" s="4"/>
      <c r="E94" s="10" t="s">
        <v>401</v>
      </c>
      <c r="F94" s="65"/>
      <c r="G94" s="22"/>
      <c r="H94" s="4"/>
      <c r="I94" s="4"/>
      <c r="J94" s="4"/>
      <c r="K94" s="4"/>
      <c r="L94" s="10" t="s">
        <v>613</v>
      </c>
      <c r="M94" s="4"/>
      <c r="N94" s="4"/>
      <c r="O94" s="4"/>
      <c r="P94" s="4"/>
      <c r="Q94" s="16" t="s">
        <v>529</v>
      </c>
      <c r="R94" s="4"/>
      <c r="S94" s="10" t="s">
        <v>603</v>
      </c>
      <c r="T94" s="32"/>
      <c r="U94" s="33"/>
      <c r="V94" s="33"/>
      <c r="W94" s="33"/>
      <c r="X94" s="33"/>
      <c r="Y94" s="33"/>
      <c r="Z94" s="33"/>
      <c r="AA94" s="33"/>
      <c r="AB9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95" spans="1:28" ht="15.75" x14ac:dyDescent="0.25">
      <c r="A95" s="4">
        <v>213</v>
      </c>
      <c r="B95" s="16" t="s">
        <v>350</v>
      </c>
      <c r="C95" s="16" t="s">
        <v>351</v>
      </c>
      <c r="D95" s="4"/>
      <c r="E95" s="10" t="s">
        <v>401</v>
      </c>
      <c r="F95" s="65"/>
      <c r="G95" s="22"/>
      <c r="H95" s="4"/>
      <c r="I95" s="4"/>
      <c r="J95" s="4"/>
      <c r="K95" s="4"/>
      <c r="L95" s="10"/>
      <c r="M95" s="4"/>
      <c r="N95" s="4"/>
      <c r="O95" s="4"/>
      <c r="P95" s="4"/>
      <c r="Q95" s="16" t="s">
        <v>565</v>
      </c>
      <c r="R95" s="4"/>
      <c r="S95" s="10" t="s">
        <v>602</v>
      </c>
      <c r="T95" s="32"/>
      <c r="U95" s="33"/>
      <c r="V95" s="33"/>
      <c r="W95" s="33"/>
      <c r="X95" s="33"/>
      <c r="Y95" s="33"/>
      <c r="Z95" s="33"/>
      <c r="AA95" s="33"/>
      <c r="AB9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96" spans="1:28" ht="15.75" x14ac:dyDescent="0.25">
      <c r="A96" s="4">
        <v>180</v>
      </c>
      <c r="B96" s="16" t="s">
        <v>253</v>
      </c>
      <c r="C96" s="16" t="s">
        <v>254</v>
      </c>
      <c r="D96" s="4"/>
      <c r="E96" s="10" t="s">
        <v>401</v>
      </c>
      <c r="F96" s="65"/>
      <c r="G96" s="22"/>
      <c r="H96" s="4"/>
      <c r="I96" s="4"/>
      <c r="J96" s="4"/>
      <c r="K96" s="4"/>
      <c r="L96" s="10" t="s">
        <v>643</v>
      </c>
      <c r="M96" s="4"/>
      <c r="N96" s="4"/>
      <c r="O96" s="4"/>
      <c r="P96" s="4"/>
      <c r="Q96" s="16" t="s">
        <v>521</v>
      </c>
      <c r="R96" s="4"/>
      <c r="S96" s="10" t="s">
        <v>598</v>
      </c>
      <c r="T96" s="32"/>
      <c r="U96" s="33"/>
      <c r="V96" s="33"/>
      <c r="W96" s="33"/>
      <c r="X96" s="33"/>
      <c r="Y96" s="33"/>
      <c r="Z96" s="33"/>
      <c r="AA96" s="33"/>
      <c r="AB9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97" spans="1:28" ht="30" x14ac:dyDescent="0.25">
      <c r="A97" s="4">
        <v>66</v>
      </c>
      <c r="B97" s="16" t="s">
        <v>210</v>
      </c>
      <c r="C97" s="16" t="s">
        <v>211</v>
      </c>
      <c r="D97" s="4"/>
      <c r="E97" s="10" t="s">
        <v>401</v>
      </c>
      <c r="F97" s="65" t="s">
        <v>645</v>
      </c>
      <c r="G97" s="22"/>
      <c r="H97" s="4" t="s">
        <v>584</v>
      </c>
      <c r="I97" s="4" t="s">
        <v>646</v>
      </c>
      <c r="J97" s="4" t="s">
        <v>5</v>
      </c>
      <c r="K97" s="4" t="s">
        <v>647</v>
      </c>
      <c r="L97" s="10" t="s">
        <v>613</v>
      </c>
      <c r="M97" s="4"/>
      <c r="N97" s="4">
        <v>2</v>
      </c>
      <c r="O97" s="4">
        <v>18</v>
      </c>
      <c r="P97" s="4"/>
      <c r="Q97" s="16" t="s">
        <v>500</v>
      </c>
      <c r="R97" s="4"/>
      <c r="S97" s="10" t="s">
        <v>598</v>
      </c>
      <c r="T97" s="32"/>
      <c r="U97" s="33"/>
      <c r="V97" s="33"/>
      <c r="W97" s="33"/>
      <c r="X97" s="33"/>
      <c r="Y97" s="33">
        <v>300000</v>
      </c>
      <c r="Z97" s="33"/>
      <c r="AA97" s="33"/>
      <c r="AB97" s="36">
        <f>Table1[[#This Row],[2019]]+Table1[[#This Row],[2020]]+Table1[[#This Row],[2021]]+Table1[[#This Row],[2022]]+Table1[[#This Row],[2023]]+Table1[[#This Row],[2024]]+Table1[[#This Row],[2025]]+Table1[[#This Row],[2026]]</f>
        <v>300000</v>
      </c>
    </row>
    <row r="98" spans="1:28" ht="45" x14ac:dyDescent="0.25">
      <c r="A98" s="4">
        <v>15</v>
      </c>
      <c r="B98" s="16" t="s">
        <v>93</v>
      </c>
      <c r="C98" s="16" t="s">
        <v>729</v>
      </c>
      <c r="D98" s="4" t="s">
        <v>730</v>
      </c>
      <c r="E98" s="10" t="s">
        <v>401</v>
      </c>
      <c r="F98" s="65">
        <v>103413605</v>
      </c>
      <c r="G98" s="22" t="s">
        <v>731</v>
      </c>
      <c r="H98" s="4" t="s">
        <v>594</v>
      </c>
      <c r="I98" s="4" t="s">
        <v>595</v>
      </c>
      <c r="J98" s="4" t="s">
        <v>5</v>
      </c>
      <c r="K98" s="4" t="s">
        <v>732</v>
      </c>
      <c r="L98" s="10" t="s">
        <v>643</v>
      </c>
      <c r="M98" s="4" t="s">
        <v>651</v>
      </c>
      <c r="N98" s="4"/>
      <c r="O98" s="4"/>
      <c r="P98" s="4"/>
      <c r="Q98" s="16" t="s">
        <v>445</v>
      </c>
      <c r="R98" s="25" t="s">
        <v>733</v>
      </c>
      <c r="S98" s="10" t="s">
        <v>598</v>
      </c>
      <c r="T98" s="32"/>
      <c r="U98" s="33"/>
      <c r="V98" s="33"/>
      <c r="W98" s="33"/>
      <c r="X98" s="33"/>
      <c r="Y98" s="33">
        <v>520000</v>
      </c>
      <c r="Z98" s="33"/>
      <c r="AA98" s="33"/>
      <c r="AB98" s="36">
        <f>Table1[[#This Row],[2019]]+Table1[[#This Row],[2020]]+Table1[[#This Row],[2021]]+Table1[[#This Row],[2022]]+Table1[[#This Row],[2023]]+Table1[[#This Row],[2024]]+Table1[[#This Row],[2025]]+Table1[[#This Row],[2026]]</f>
        <v>520000</v>
      </c>
    </row>
    <row r="99" spans="1:28" ht="30" x14ac:dyDescent="0.25">
      <c r="A99" s="4">
        <v>201</v>
      </c>
      <c r="B99" s="16" t="s">
        <v>308</v>
      </c>
      <c r="C99" s="16" t="s">
        <v>309</v>
      </c>
      <c r="D99" s="4"/>
      <c r="E99" s="10" t="s">
        <v>401</v>
      </c>
      <c r="F99" s="65"/>
      <c r="G99" s="22"/>
      <c r="H99" s="4" t="s">
        <v>594</v>
      </c>
      <c r="I99" s="4" t="s">
        <v>612</v>
      </c>
      <c r="J99" s="4" t="s">
        <v>20</v>
      </c>
      <c r="K99" s="4" t="s">
        <v>590</v>
      </c>
      <c r="L99" s="10" t="s">
        <v>643</v>
      </c>
      <c r="M99" s="4"/>
      <c r="N99" s="4"/>
      <c r="O99" s="4"/>
      <c r="P99" s="4"/>
      <c r="Q99" s="70" t="s">
        <v>546</v>
      </c>
      <c r="R99" s="4"/>
      <c r="S99" s="10" t="s">
        <v>600</v>
      </c>
      <c r="T99" s="32"/>
      <c r="U99" s="33"/>
      <c r="V99" s="33"/>
      <c r="W99" s="33"/>
      <c r="X99" s="33"/>
      <c r="Y99" s="33"/>
      <c r="Z99" s="33"/>
      <c r="AA99" s="33"/>
      <c r="AB9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00" spans="1:28" ht="15.75" x14ac:dyDescent="0.25">
      <c r="A100" s="4">
        <v>121</v>
      </c>
      <c r="B100" s="16" t="s">
        <v>123</v>
      </c>
      <c r="C100" s="16" t="s">
        <v>124</v>
      </c>
      <c r="D100" s="4"/>
      <c r="E100" s="10" t="s">
        <v>402</v>
      </c>
      <c r="F100" s="65"/>
      <c r="G100" s="22"/>
      <c r="H100" s="4"/>
      <c r="I100" s="4"/>
      <c r="J100" s="4"/>
      <c r="K100" s="4"/>
      <c r="L100" s="10" t="s">
        <v>643</v>
      </c>
      <c r="M100" s="4"/>
      <c r="N100" s="4"/>
      <c r="O100" s="4"/>
      <c r="P100" s="4"/>
      <c r="Q100" s="16" t="s">
        <v>460</v>
      </c>
      <c r="R100" s="4"/>
      <c r="S100" s="10" t="s">
        <v>598</v>
      </c>
      <c r="T100" s="32"/>
      <c r="U100" s="33"/>
      <c r="V100" s="33"/>
      <c r="W100" s="33"/>
      <c r="X100" s="33"/>
      <c r="Y100" s="33"/>
      <c r="Z100" s="33"/>
      <c r="AA100" s="33"/>
      <c r="AB10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01" spans="1:28" ht="15.75" x14ac:dyDescent="0.25">
      <c r="A101" s="4">
        <v>191</v>
      </c>
      <c r="B101" s="16" t="s">
        <v>279</v>
      </c>
      <c r="C101" s="16" t="s">
        <v>280</v>
      </c>
      <c r="D101" s="4"/>
      <c r="E101" s="10" t="s">
        <v>402</v>
      </c>
      <c r="F101" s="98">
        <v>121300132</v>
      </c>
      <c r="G101" s="99" t="s">
        <v>665</v>
      </c>
      <c r="H101" s="4" t="s">
        <v>584</v>
      </c>
      <c r="I101" s="4" t="s">
        <v>663</v>
      </c>
      <c r="J101" s="4" t="s">
        <v>5</v>
      </c>
      <c r="K101" s="4" t="s">
        <v>590</v>
      </c>
      <c r="L101" s="10" t="s">
        <v>643</v>
      </c>
      <c r="M101" s="4"/>
      <c r="N101" s="4"/>
      <c r="O101" s="4"/>
      <c r="P101" s="4"/>
      <c r="Q101" s="16" t="s">
        <v>532</v>
      </c>
      <c r="R101" s="80" t="s">
        <v>916</v>
      </c>
      <c r="S101" s="10" t="s">
        <v>598</v>
      </c>
      <c r="T101" s="32"/>
      <c r="U101" s="33"/>
      <c r="V101" s="33"/>
      <c r="W101" s="33"/>
      <c r="X101" s="33"/>
      <c r="Y101" s="33"/>
      <c r="Z101" s="33"/>
      <c r="AA101" s="33"/>
      <c r="AB10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02" spans="1:28" ht="15.75" x14ac:dyDescent="0.25">
      <c r="A102" s="4">
        <v>162</v>
      </c>
      <c r="B102" s="16" t="s">
        <v>217</v>
      </c>
      <c r="C102" s="16" t="s">
        <v>218</v>
      </c>
      <c r="D102" s="4"/>
      <c r="E102" s="10" t="s">
        <v>401</v>
      </c>
      <c r="F102" s="65"/>
      <c r="G102" s="22"/>
      <c r="H102" s="4"/>
      <c r="I102" s="4"/>
      <c r="J102" s="4"/>
      <c r="K102" s="4"/>
      <c r="L102" s="10" t="s">
        <v>613</v>
      </c>
      <c r="M102" s="4"/>
      <c r="N102" s="4"/>
      <c r="O102" s="4"/>
      <c r="P102" s="4"/>
      <c r="Q102" s="16" t="s">
        <v>505</v>
      </c>
      <c r="R102" s="4"/>
      <c r="S102" s="10" t="s">
        <v>602</v>
      </c>
      <c r="T102" s="32"/>
      <c r="U102" s="33"/>
      <c r="V102" s="33"/>
      <c r="W102" s="33"/>
      <c r="X102" s="33"/>
      <c r="Y102" s="33"/>
      <c r="Z102" s="33"/>
      <c r="AA102" s="33"/>
      <c r="AB10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03" spans="1:28" ht="30" x14ac:dyDescent="0.25">
      <c r="A103" s="4">
        <v>256</v>
      </c>
      <c r="B103" s="5" t="s">
        <v>843</v>
      </c>
      <c r="C103" s="5" t="s">
        <v>842</v>
      </c>
      <c r="D103" s="4"/>
      <c r="E103" s="4" t="s">
        <v>401</v>
      </c>
      <c r="F103" s="88">
        <v>131465447</v>
      </c>
      <c r="G103" s="22"/>
      <c r="H103" s="4" t="s">
        <v>588</v>
      </c>
      <c r="I103" s="4" t="s">
        <v>633</v>
      </c>
      <c r="J103" s="4" t="s">
        <v>20</v>
      </c>
      <c r="K103" s="4" t="s">
        <v>590</v>
      </c>
      <c r="L103" s="52" t="s">
        <v>714</v>
      </c>
      <c r="M103" s="4" t="s">
        <v>787</v>
      </c>
      <c r="N103" s="4"/>
      <c r="O103" s="4"/>
      <c r="P103" s="4"/>
      <c r="Q103" s="29"/>
      <c r="R103" s="25"/>
      <c r="S103" s="22" t="s">
        <v>637</v>
      </c>
      <c r="T103" s="33"/>
      <c r="U103" s="33"/>
      <c r="V103" s="33"/>
      <c r="W103" s="33"/>
      <c r="X103" s="33"/>
      <c r="Y103" s="33"/>
      <c r="Z103" s="33"/>
      <c r="AA103" s="33">
        <v>50000</v>
      </c>
      <c r="AB103" s="55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104" spans="1:28" ht="30" x14ac:dyDescent="0.25">
      <c r="A104" s="4">
        <v>174</v>
      </c>
      <c r="B104" s="16" t="s">
        <v>239</v>
      </c>
      <c r="C104" s="16" t="s">
        <v>240</v>
      </c>
      <c r="D104" s="4"/>
      <c r="E104" s="10" t="s">
        <v>403</v>
      </c>
      <c r="F104" s="98">
        <v>108470598</v>
      </c>
      <c r="G104" s="99" t="s">
        <v>884</v>
      </c>
      <c r="H104" s="4" t="s">
        <v>594</v>
      </c>
      <c r="I104" s="4" t="s">
        <v>635</v>
      </c>
      <c r="J104" s="4" t="s">
        <v>20</v>
      </c>
      <c r="K104" s="4"/>
      <c r="L104" s="10" t="s">
        <v>643</v>
      </c>
      <c r="M104" s="4"/>
      <c r="N104" s="4"/>
      <c r="O104" s="4"/>
      <c r="P104" s="4"/>
      <c r="Q104" s="16" t="s">
        <v>515</v>
      </c>
      <c r="R104" s="4"/>
      <c r="S104" s="10" t="s">
        <v>598</v>
      </c>
      <c r="T104" s="32"/>
      <c r="U104" s="33"/>
      <c r="V104" s="33"/>
      <c r="W104" s="33"/>
      <c r="X104" s="33"/>
      <c r="Y104" s="33"/>
      <c r="Z104" s="33"/>
      <c r="AA104" s="33"/>
      <c r="AB10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05" spans="1:28" ht="30" x14ac:dyDescent="0.25">
      <c r="A105" s="4">
        <v>50</v>
      </c>
      <c r="B105" s="54" t="s">
        <v>738</v>
      </c>
      <c r="C105" s="4" t="s">
        <v>739</v>
      </c>
      <c r="D105" s="4" t="s">
        <v>740</v>
      </c>
      <c r="E105" s="4" t="s">
        <v>401</v>
      </c>
      <c r="F105" s="65">
        <v>120187890</v>
      </c>
      <c r="G105" s="22" t="s">
        <v>741</v>
      </c>
      <c r="H105" s="4" t="s">
        <v>594</v>
      </c>
      <c r="I105" s="4" t="s">
        <v>595</v>
      </c>
      <c r="J105" s="4" t="s">
        <v>20</v>
      </c>
      <c r="K105" s="4" t="s">
        <v>590</v>
      </c>
      <c r="L105" s="52" t="s">
        <v>613</v>
      </c>
      <c r="M105" s="4"/>
      <c r="N105" s="4"/>
      <c r="O105" s="4"/>
      <c r="P105" s="4"/>
      <c r="Q105" s="29" t="s">
        <v>743</v>
      </c>
      <c r="R105" s="25" t="s">
        <v>742</v>
      </c>
      <c r="S105" s="22" t="s">
        <v>600</v>
      </c>
      <c r="T105" s="33"/>
      <c r="U105" s="33"/>
      <c r="V105" s="33"/>
      <c r="W105" s="33"/>
      <c r="X105" s="33"/>
      <c r="Y105" s="33"/>
      <c r="Z105" s="33"/>
      <c r="AA105" s="33"/>
      <c r="AB105" s="55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06" spans="1:28" ht="15.75" x14ac:dyDescent="0.25">
      <c r="A106" s="4">
        <v>18</v>
      </c>
      <c r="B106" s="16" t="s">
        <v>286</v>
      </c>
      <c r="C106" s="16" t="s">
        <v>287</v>
      </c>
      <c r="D106" s="4"/>
      <c r="E106" s="10" t="s">
        <v>401</v>
      </c>
      <c r="F106" s="65">
        <v>103647563</v>
      </c>
      <c r="G106" s="22" t="s">
        <v>699</v>
      </c>
      <c r="H106" s="4" t="s">
        <v>588</v>
      </c>
      <c r="I106" s="4" t="s">
        <v>700</v>
      </c>
      <c r="J106" s="4" t="s">
        <v>5</v>
      </c>
      <c r="K106" s="4" t="s">
        <v>590</v>
      </c>
      <c r="L106" s="10" t="s">
        <v>643</v>
      </c>
      <c r="M106" s="4"/>
      <c r="N106" s="4">
        <v>2</v>
      </c>
      <c r="O106" s="4">
        <v>3</v>
      </c>
      <c r="P106" s="4"/>
      <c r="Q106" s="16">
        <v>788359458</v>
      </c>
      <c r="R106" s="4"/>
      <c r="S106" s="10" t="s">
        <v>598</v>
      </c>
      <c r="T106" s="32"/>
      <c r="U106" s="33"/>
      <c r="V106" s="33"/>
      <c r="W106" s="33"/>
      <c r="X106" s="33"/>
      <c r="Y106" s="33">
        <v>520000</v>
      </c>
      <c r="Z106" s="33">
        <v>100000</v>
      </c>
      <c r="AA106" s="33"/>
      <c r="AB106" s="36">
        <f>Table1[[#This Row],[2019]]+Table1[[#This Row],[2020]]+Table1[[#This Row],[2021]]+Table1[[#This Row],[2022]]+Table1[[#This Row],[2023]]+Table1[[#This Row],[2024]]+Table1[[#This Row],[2025]]+Table1[[#This Row],[2026]]</f>
        <v>620000</v>
      </c>
    </row>
    <row r="107" spans="1:28" ht="15.75" x14ac:dyDescent="0.25">
      <c r="A107" s="4">
        <v>235</v>
      </c>
      <c r="B107" s="16" t="s">
        <v>381</v>
      </c>
      <c r="C107" s="16" t="s">
        <v>381</v>
      </c>
      <c r="D107" s="4"/>
      <c r="E107" s="10" t="s">
        <v>401</v>
      </c>
      <c r="F107" s="65"/>
      <c r="G107" s="22"/>
      <c r="H107" s="4"/>
      <c r="I107" s="4"/>
      <c r="J107" s="4"/>
      <c r="K107" s="4"/>
      <c r="L107" s="10"/>
      <c r="M107" s="4"/>
      <c r="N107" s="4"/>
      <c r="O107" s="4"/>
      <c r="P107" s="4"/>
      <c r="Q107" s="18"/>
      <c r="R107" s="4"/>
      <c r="S107" s="10" t="s">
        <v>604</v>
      </c>
      <c r="T107" s="32"/>
      <c r="U107" s="33"/>
      <c r="V107" s="33"/>
      <c r="W107" s="33"/>
      <c r="X107" s="33"/>
      <c r="Y107" s="33"/>
      <c r="Z107" s="33"/>
      <c r="AA107" s="33"/>
      <c r="AB10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08" spans="1:28" ht="30" x14ac:dyDescent="0.25">
      <c r="A108" s="4">
        <v>108</v>
      </c>
      <c r="B108" s="16" t="s">
        <v>94</v>
      </c>
      <c r="C108" s="16" t="s">
        <v>95</v>
      </c>
      <c r="D108" s="4" t="s">
        <v>845</v>
      </c>
      <c r="E108" s="10" t="s">
        <v>401</v>
      </c>
      <c r="F108" s="81">
        <v>119615721</v>
      </c>
      <c r="G108" s="79">
        <v>1198580010369120</v>
      </c>
      <c r="H108" s="4" t="s">
        <v>594</v>
      </c>
      <c r="I108" s="4" t="s">
        <v>595</v>
      </c>
      <c r="J108" s="4" t="s">
        <v>20</v>
      </c>
      <c r="K108" s="4" t="s">
        <v>590</v>
      </c>
      <c r="L108" s="10" t="s">
        <v>613</v>
      </c>
      <c r="M108" s="4" t="s">
        <v>672</v>
      </c>
      <c r="N108" s="4"/>
      <c r="O108" s="4">
        <v>2</v>
      </c>
      <c r="P108" s="4"/>
      <c r="Q108" s="16" t="s">
        <v>446</v>
      </c>
      <c r="R108" s="4"/>
      <c r="S108" s="10" t="s">
        <v>598</v>
      </c>
      <c r="T108" s="32"/>
      <c r="U108" s="33"/>
      <c r="V108" s="33"/>
      <c r="W108" s="33"/>
      <c r="X108" s="33"/>
      <c r="Y108" s="33">
        <v>200000</v>
      </c>
      <c r="Z108" s="33"/>
      <c r="AA108" s="33"/>
      <c r="AB108" s="36">
        <f>Table1[[#This Row],[2019]]+Table1[[#This Row],[2020]]+Table1[[#This Row],[2021]]+Table1[[#This Row],[2022]]+Table1[[#This Row],[2023]]+Table1[[#This Row],[2024]]+Table1[[#This Row],[2025]]+Table1[[#This Row],[2026]]</f>
        <v>200000</v>
      </c>
    </row>
    <row r="109" spans="1:28" ht="15.75" x14ac:dyDescent="0.25">
      <c r="A109" s="4">
        <v>77</v>
      </c>
      <c r="B109" s="16" t="s">
        <v>41</v>
      </c>
      <c r="C109" s="16" t="s">
        <v>42</v>
      </c>
      <c r="D109" s="4"/>
      <c r="E109" s="10" t="s">
        <v>401</v>
      </c>
      <c r="F109" s="65"/>
      <c r="G109" s="22"/>
      <c r="H109" s="4"/>
      <c r="I109" s="4"/>
      <c r="J109" s="4"/>
      <c r="K109" s="4"/>
      <c r="L109" s="10"/>
      <c r="M109" s="4"/>
      <c r="N109" s="4"/>
      <c r="O109" s="4"/>
      <c r="P109" s="4"/>
      <c r="Q109" s="16" t="s">
        <v>418</v>
      </c>
      <c r="R109" s="4"/>
      <c r="S109" s="10" t="s">
        <v>602</v>
      </c>
      <c r="T109" s="32"/>
      <c r="U109" s="33"/>
      <c r="V109" s="33"/>
      <c r="W109" s="33"/>
      <c r="X109" s="33"/>
      <c r="Y109" s="33"/>
      <c r="Z109" s="33"/>
      <c r="AA109" s="33"/>
      <c r="AB10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10" spans="1:28" ht="30" x14ac:dyDescent="0.25">
      <c r="A110" s="4">
        <v>52</v>
      </c>
      <c r="B110" s="16" t="s">
        <v>125</v>
      </c>
      <c r="C110" s="16" t="s">
        <v>126</v>
      </c>
      <c r="D110" s="4" t="s">
        <v>654</v>
      </c>
      <c r="E110" s="10" t="s">
        <v>402</v>
      </c>
      <c r="F110" s="65">
        <v>120879421</v>
      </c>
      <c r="G110" s="22" t="s">
        <v>655</v>
      </c>
      <c r="H110" s="4" t="s">
        <v>594</v>
      </c>
      <c r="I110" s="4" t="s">
        <v>635</v>
      </c>
      <c r="J110" s="4" t="s">
        <v>20</v>
      </c>
      <c r="K110" s="4"/>
      <c r="L110" s="10" t="s">
        <v>613</v>
      </c>
      <c r="M110" s="4"/>
      <c r="N110" s="4"/>
      <c r="O110" s="4">
        <v>2</v>
      </c>
      <c r="P110" s="4"/>
      <c r="Q110" s="16" t="s">
        <v>461</v>
      </c>
      <c r="R110" s="25" t="s">
        <v>656</v>
      </c>
      <c r="S110" s="10" t="s">
        <v>598</v>
      </c>
      <c r="T110" s="32"/>
      <c r="U110" s="33"/>
      <c r="V110" s="33"/>
      <c r="W110" s="33"/>
      <c r="X110" s="33"/>
      <c r="Y110" s="33">
        <v>300000</v>
      </c>
      <c r="Z110" s="33">
        <v>200000</v>
      </c>
      <c r="AA110" s="33"/>
      <c r="AB110" s="36">
        <f>Table1[[#This Row],[2019]]+Table1[[#This Row],[2020]]+Table1[[#This Row],[2021]]+Table1[[#This Row],[2022]]+Table1[[#This Row],[2023]]+Table1[[#This Row],[2024]]+Table1[[#This Row],[2025]]+Table1[[#This Row],[2026]]</f>
        <v>500000</v>
      </c>
    </row>
    <row r="111" spans="1:28" ht="15.75" x14ac:dyDescent="0.25">
      <c r="A111" s="4">
        <v>29</v>
      </c>
      <c r="B111" s="56" t="s">
        <v>776</v>
      </c>
      <c r="C111" s="4" t="s">
        <v>769</v>
      </c>
      <c r="D111" s="4"/>
      <c r="E111" s="4" t="s">
        <v>403</v>
      </c>
      <c r="F111" s="65">
        <v>110354592</v>
      </c>
      <c r="G111" s="22" t="s">
        <v>778</v>
      </c>
      <c r="H111" s="4" t="s">
        <v>584</v>
      </c>
      <c r="I111" s="4" t="s">
        <v>630</v>
      </c>
      <c r="J111" s="4" t="s">
        <v>5</v>
      </c>
      <c r="K111" s="4" t="s">
        <v>590</v>
      </c>
      <c r="L111" s="52" t="s">
        <v>613</v>
      </c>
      <c r="M111" s="4"/>
      <c r="N111" s="4"/>
      <c r="O111" s="4"/>
      <c r="P111" s="4"/>
      <c r="Q111" s="29" t="s">
        <v>770</v>
      </c>
      <c r="R111" s="25" t="s">
        <v>777</v>
      </c>
      <c r="S111" s="22" t="s">
        <v>598</v>
      </c>
      <c r="T111" s="33"/>
      <c r="U111" s="33"/>
      <c r="V111" s="33"/>
      <c r="W111" s="33"/>
      <c r="X111" s="33"/>
      <c r="Y111" s="33">
        <v>320000</v>
      </c>
      <c r="Z111" s="33">
        <v>300000</v>
      </c>
      <c r="AA111" s="33"/>
      <c r="AB111" s="55">
        <f>Table1[[#This Row],[2019]]+Table1[[#This Row],[2020]]+Table1[[#This Row],[2021]]+Table1[[#This Row],[2022]]+Table1[[#This Row],[2023]]+Table1[[#This Row],[2024]]+Table1[[#This Row],[2025]]+Table1[[#This Row],[2026]]</f>
        <v>620000</v>
      </c>
    </row>
    <row r="112" spans="1:28" ht="30" x14ac:dyDescent="0.25">
      <c r="A112" s="4">
        <v>44</v>
      </c>
      <c r="B112" s="16" t="s">
        <v>329</v>
      </c>
      <c r="C112" s="16" t="s">
        <v>330</v>
      </c>
      <c r="D112" s="4" t="s">
        <v>683</v>
      </c>
      <c r="E112" s="10" t="s">
        <v>402</v>
      </c>
      <c r="F112" s="65">
        <v>119557794</v>
      </c>
      <c r="G112" s="77" t="s">
        <v>878</v>
      </c>
      <c r="H112" s="4" t="s">
        <v>584</v>
      </c>
      <c r="I112" s="4" t="s">
        <v>608</v>
      </c>
      <c r="J112" s="4" t="s">
        <v>20</v>
      </c>
      <c r="K112" s="4" t="s">
        <v>590</v>
      </c>
      <c r="L112" s="10" t="s">
        <v>613</v>
      </c>
      <c r="M112" s="4" t="s">
        <v>591</v>
      </c>
      <c r="N112" s="4"/>
      <c r="O112" s="4"/>
      <c r="P112" s="4"/>
      <c r="Q112" s="16" t="s">
        <v>557</v>
      </c>
      <c r="R112" s="80" t="s">
        <v>912</v>
      </c>
      <c r="S112" s="10" t="s">
        <v>598</v>
      </c>
      <c r="T112" s="32"/>
      <c r="U112" s="33"/>
      <c r="V112" s="33"/>
      <c r="W112" s="33"/>
      <c r="X112" s="33"/>
      <c r="Y112" s="33">
        <v>320000</v>
      </c>
      <c r="Z112" s="33">
        <v>300000</v>
      </c>
      <c r="AA112" s="33"/>
      <c r="AB112" s="36">
        <f>Table1[[#This Row],[2019]]+Table1[[#This Row],[2020]]+Table1[[#This Row],[2021]]+Table1[[#This Row],[2022]]+Table1[[#This Row],[2023]]+Table1[[#This Row],[2024]]+Table1[[#This Row],[2025]]+Table1[[#This Row],[2026]]</f>
        <v>620000</v>
      </c>
    </row>
    <row r="113" spans="1:28" ht="31.5" x14ac:dyDescent="0.25">
      <c r="A113" s="4">
        <v>214</v>
      </c>
      <c r="B113" s="16" t="s">
        <v>352</v>
      </c>
      <c r="C113" s="16" t="s">
        <v>353</v>
      </c>
      <c r="D113" s="4"/>
      <c r="E113" s="10" t="s">
        <v>401</v>
      </c>
      <c r="F113" s="65"/>
      <c r="G113" s="22"/>
      <c r="H113" s="4"/>
      <c r="I113" s="4"/>
      <c r="J113" s="4"/>
      <c r="K113" s="4"/>
      <c r="L113" s="10"/>
      <c r="M113" s="4"/>
      <c r="N113" s="4"/>
      <c r="O113" s="4"/>
      <c r="P113" s="4"/>
      <c r="Q113" s="16">
        <v>788253986</v>
      </c>
      <c r="R113" s="4"/>
      <c r="S113" s="10" t="s">
        <v>602</v>
      </c>
      <c r="T113" s="32"/>
      <c r="U113" s="33"/>
      <c r="V113" s="33"/>
      <c r="W113" s="33"/>
      <c r="X113" s="33"/>
      <c r="Y113" s="33"/>
      <c r="Z113" s="33"/>
      <c r="AA113" s="33"/>
      <c r="AB11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14" spans="1:28" x14ac:dyDescent="0.25">
      <c r="A114" s="4">
        <v>283</v>
      </c>
      <c r="B114" s="80" t="s">
        <v>858</v>
      </c>
      <c r="C114" s="4"/>
      <c r="D114" s="4"/>
      <c r="E114" s="4"/>
      <c r="F114" s="80">
        <v>111610359</v>
      </c>
      <c r="G114" s="77" t="s">
        <v>882</v>
      </c>
      <c r="H114" s="80" t="s">
        <v>892</v>
      </c>
      <c r="I114" s="80" t="s">
        <v>900</v>
      </c>
      <c r="J114" s="4"/>
      <c r="K114" s="4"/>
      <c r="L114" s="4"/>
      <c r="M114" s="4"/>
      <c r="N114" s="4"/>
      <c r="O114" s="4"/>
      <c r="P114" s="4"/>
      <c r="Q114" s="4"/>
      <c r="R114" s="82"/>
      <c r="S114" s="22"/>
      <c r="T114" s="33"/>
      <c r="U114" s="33"/>
      <c r="V114" s="33"/>
      <c r="W114" s="33"/>
      <c r="X114" s="33"/>
      <c r="Y114" s="33"/>
      <c r="Z114" s="33"/>
      <c r="AA114" s="33"/>
      <c r="AB11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15" spans="1:28" ht="30" x14ac:dyDescent="0.25">
      <c r="A115" s="4">
        <v>41</v>
      </c>
      <c r="B115" s="16" t="s">
        <v>301</v>
      </c>
      <c r="C115" s="16" t="s">
        <v>301</v>
      </c>
      <c r="D115" s="4"/>
      <c r="E115" s="10" t="s">
        <v>401</v>
      </c>
      <c r="F115" s="65">
        <v>113331619</v>
      </c>
      <c r="G115" s="22"/>
      <c r="H115" s="4" t="s">
        <v>594</v>
      </c>
      <c r="I115" s="4" t="s">
        <v>612</v>
      </c>
      <c r="J115" s="4" t="s">
        <v>20</v>
      </c>
      <c r="K115" s="4" t="s">
        <v>609</v>
      </c>
      <c r="L115" s="10"/>
      <c r="M115" s="4" t="s">
        <v>672</v>
      </c>
      <c r="N115" s="4"/>
      <c r="O115" s="4"/>
      <c r="P115" s="4"/>
      <c r="Q115" s="16">
        <v>785380856</v>
      </c>
      <c r="R115" s="4"/>
      <c r="S115" s="10" t="s">
        <v>598</v>
      </c>
      <c r="T115" s="32"/>
      <c r="U115" s="33"/>
      <c r="V115" s="33"/>
      <c r="W115" s="33"/>
      <c r="X115" s="33"/>
      <c r="Y115" s="33">
        <v>20000</v>
      </c>
      <c r="Z115" s="33"/>
      <c r="AA115" s="33"/>
      <c r="AB115" s="36">
        <f>Table1[[#This Row],[2019]]+Table1[[#This Row],[2020]]+Table1[[#This Row],[2021]]+Table1[[#This Row],[2022]]+Table1[[#This Row],[2023]]+Table1[[#This Row],[2024]]+Table1[[#This Row],[2025]]+Table1[[#This Row],[2026]]</f>
        <v>20000</v>
      </c>
    </row>
    <row r="116" spans="1:28" ht="15.75" x14ac:dyDescent="0.25">
      <c r="A116" s="4">
        <v>11</v>
      </c>
      <c r="B116" s="16" t="s">
        <v>201</v>
      </c>
      <c r="C116" s="16" t="s">
        <v>202</v>
      </c>
      <c r="D116" s="4"/>
      <c r="E116" s="10" t="s">
        <v>401</v>
      </c>
      <c r="F116" s="65">
        <v>103183819</v>
      </c>
      <c r="G116" s="22" t="s">
        <v>716</v>
      </c>
      <c r="H116" s="4" t="s">
        <v>623</v>
      </c>
      <c r="I116" s="4" t="s">
        <v>667</v>
      </c>
      <c r="J116" s="4" t="s">
        <v>5</v>
      </c>
      <c r="K116" s="4" t="s">
        <v>590</v>
      </c>
      <c r="L116" s="10" t="s">
        <v>643</v>
      </c>
      <c r="M116" s="4"/>
      <c r="N116" s="4"/>
      <c r="O116" s="4"/>
      <c r="P116" s="4"/>
      <c r="Q116" s="16" t="s">
        <v>495</v>
      </c>
      <c r="R116" s="4"/>
      <c r="S116" s="10" t="s">
        <v>598</v>
      </c>
      <c r="T116" s="32"/>
      <c r="U116" s="33"/>
      <c r="V116" s="33"/>
      <c r="W116" s="33"/>
      <c r="X116" s="33"/>
      <c r="Y116" s="33">
        <v>520000</v>
      </c>
      <c r="Z116" s="33"/>
      <c r="AA116" s="33"/>
      <c r="AB116" s="36">
        <f>Table1[[#This Row],[2019]]+Table1[[#This Row],[2020]]+Table1[[#This Row],[2021]]+Table1[[#This Row],[2022]]+Table1[[#This Row],[2023]]+Table1[[#This Row],[2024]]+Table1[[#This Row],[2025]]+Table1[[#This Row],[2026]]</f>
        <v>520000</v>
      </c>
    </row>
    <row r="117" spans="1:28" ht="30" x14ac:dyDescent="0.25">
      <c r="A117" s="4">
        <v>140</v>
      </c>
      <c r="B117" s="16" t="s">
        <v>169</v>
      </c>
      <c r="C117" s="16" t="s">
        <v>170</v>
      </c>
      <c r="D117" s="76" t="s">
        <v>852</v>
      </c>
      <c r="E117" s="10" t="s">
        <v>402</v>
      </c>
      <c r="F117" s="76">
        <v>122581996</v>
      </c>
      <c r="G117" s="77" t="s">
        <v>853</v>
      </c>
      <c r="H117" s="4" t="s">
        <v>584</v>
      </c>
      <c r="I117" s="4" t="s">
        <v>621</v>
      </c>
      <c r="J117" s="4" t="s">
        <v>20</v>
      </c>
      <c r="K117" s="4" t="s">
        <v>590</v>
      </c>
      <c r="L117" s="10" t="s">
        <v>643</v>
      </c>
      <c r="M117" s="4"/>
      <c r="N117" s="4"/>
      <c r="O117" s="4"/>
      <c r="P117" s="4"/>
      <c r="Q117" s="16" t="s">
        <v>477</v>
      </c>
      <c r="R117" s="76" t="s">
        <v>854</v>
      </c>
      <c r="S117" s="10" t="s">
        <v>598</v>
      </c>
      <c r="T117" s="32"/>
      <c r="U117" s="33"/>
      <c r="V117" s="33"/>
      <c r="W117" s="33"/>
      <c r="X117" s="33"/>
      <c r="Y117" s="33"/>
      <c r="Z117" s="33"/>
      <c r="AA117" s="33"/>
      <c r="AB11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18" spans="1:28" x14ac:dyDescent="0.25">
      <c r="A118" s="4">
        <v>267</v>
      </c>
      <c r="B118" s="80" t="s">
        <v>855</v>
      </c>
      <c r="C118" s="4"/>
      <c r="D118" s="4"/>
      <c r="E118" s="4"/>
      <c r="F118" s="80">
        <v>110260663</v>
      </c>
      <c r="G118" s="77" t="s">
        <v>871</v>
      </c>
      <c r="H118" s="80" t="s">
        <v>895</v>
      </c>
      <c r="I118" s="80" t="s">
        <v>898</v>
      </c>
      <c r="J118" s="4"/>
      <c r="K118" s="4"/>
      <c r="L118" s="4"/>
      <c r="M118" s="4"/>
      <c r="N118" s="4"/>
      <c r="O118" s="4"/>
      <c r="P118" s="4"/>
      <c r="Q118" s="4"/>
      <c r="R118" s="80" t="s">
        <v>908</v>
      </c>
      <c r="S118" s="22"/>
      <c r="T118" s="33"/>
      <c r="U118" s="33"/>
      <c r="V118" s="33"/>
      <c r="W118" s="33"/>
      <c r="X118" s="33"/>
      <c r="Y118" s="33"/>
      <c r="Z118" s="33"/>
      <c r="AA118" s="33"/>
      <c r="AB11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19" spans="1:28" ht="15.75" x14ac:dyDescent="0.25">
      <c r="A119" s="4">
        <v>210</v>
      </c>
      <c r="B119" s="16" t="s">
        <v>331</v>
      </c>
      <c r="C119" s="16" t="s">
        <v>332</v>
      </c>
      <c r="D119" s="4"/>
      <c r="E119" s="10" t="s">
        <v>401</v>
      </c>
      <c r="F119" s="65"/>
      <c r="G119" s="22"/>
      <c r="H119" s="4"/>
      <c r="I119" s="4"/>
      <c r="J119" s="4"/>
      <c r="K119" s="4"/>
      <c r="L119" s="10" t="s">
        <v>617</v>
      </c>
      <c r="M119" s="4"/>
      <c r="N119" s="4"/>
      <c r="O119" s="4"/>
      <c r="P119" s="4"/>
      <c r="Q119" s="16" t="s">
        <v>558</v>
      </c>
      <c r="R119" s="4"/>
      <c r="S119" s="10" t="s">
        <v>600</v>
      </c>
      <c r="T119" s="32"/>
      <c r="U119" s="33"/>
      <c r="V119" s="33"/>
      <c r="W119" s="33"/>
      <c r="X119" s="33"/>
      <c r="Y119" s="33"/>
      <c r="Z119" s="33"/>
      <c r="AA119" s="33"/>
      <c r="AB11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20" spans="1:28" ht="15.75" x14ac:dyDescent="0.25">
      <c r="A120" s="4">
        <v>175</v>
      </c>
      <c r="B120" s="16" t="s">
        <v>241</v>
      </c>
      <c r="C120" s="16" t="s">
        <v>242</v>
      </c>
      <c r="D120" s="4"/>
      <c r="E120" s="10" t="s">
        <v>401</v>
      </c>
      <c r="F120" s="65"/>
      <c r="G120" s="22"/>
      <c r="H120" s="4"/>
      <c r="I120" s="4"/>
      <c r="J120" s="4"/>
      <c r="K120" s="4"/>
      <c r="L120" s="10" t="s">
        <v>613</v>
      </c>
      <c r="M120" s="4"/>
      <c r="N120" s="4"/>
      <c r="O120" s="4"/>
      <c r="P120" s="4"/>
      <c r="Q120" s="16" t="s">
        <v>516</v>
      </c>
      <c r="R120" s="4"/>
      <c r="S120" s="10" t="s">
        <v>598</v>
      </c>
      <c r="T120" s="32"/>
      <c r="U120" s="33"/>
      <c r="V120" s="33"/>
      <c r="W120" s="33"/>
      <c r="X120" s="33"/>
      <c r="Y120" s="33"/>
      <c r="Z120" s="33"/>
      <c r="AA120" s="33"/>
      <c r="AB12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21" spans="1:28" ht="31.5" x14ac:dyDescent="0.25">
      <c r="A121" s="4">
        <v>48</v>
      </c>
      <c r="B121" s="16" t="s">
        <v>247</v>
      </c>
      <c r="C121" s="16" t="s">
        <v>248</v>
      </c>
      <c r="D121" s="4"/>
      <c r="E121" s="10" t="s">
        <v>401</v>
      </c>
      <c r="F121" s="65">
        <v>119909617</v>
      </c>
      <c r="G121" s="22" t="s">
        <v>744</v>
      </c>
      <c r="H121" s="4" t="s">
        <v>584</v>
      </c>
      <c r="I121" s="4" t="s">
        <v>676</v>
      </c>
      <c r="J121" s="4" t="s">
        <v>4</v>
      </c>
      <c r="K121" s="4" t="s">
        <v>609</v>
      </c>
      <c r="L121" s="10" t="s">
        <v>613</v>
      </c>
      <c r="M121" s="4" t="s">
        <v>591</v>
      </c>
      <c r="N121" s="4"/>
      <c r="O121" s="4">
        <v>4</v>
      </c>
      <c r="P121" s="4"/>
      <c r="Q121" s="16" t="s">
        <v>519</v>
      </c>
      <c r="R121" s="25" t="s">
        <v>745</v>
      </c>
      <c r="S121" s="10" t="s">
        <v>600</v>
      </c>
      <c r="T121" s="32"/>
      <c r="U121" s="33"/>
      <c r="V121" s="33"/>
      <c r="W121" s="33"/>
      <c r="X121" s="33"/>
      <c r="Y121" s="33"/>
      <c r="Z121" s="33">
        <v>350000</v>
      </c>
      <c r="AA121" s="33"/>
      <c r="AB121" s="36">
        <f>Table1[[#This Row],[2019]]+Table1[[#This Row],[2020]]+Table1[[#This Row],[2021]]+Table1[[#This Row],[2022]]+Table1[[#This Row],[2023]]+Table1[[#This Row],[2024]]+Table1[[#This Row],[2025]]+Table1[[#This Row],[2026]]</f>
        <v>350000</v>
      </c>
    </row>
    <row r="122" spans="1:28" ht="31.5" x14ac:dyDescent="0.25">
      <c r="A122" s="4">
        <v>8</v>
      </c>
      <c r="B122" s="16" t="s">
        <v>274</v>
      </c>
      <c r="C122" s="16" t="s">
        <v>275</v>
      </c>
      <c r="D122" s="4"/>
      <c r="E122" s="10" t="s">
        <v>401</v>
      </c>
      <c r="F122" s="65">
        <v>102614810</v>
      </c>
      <c r="G122" s="22" t="s">
        <v>703</v>
      </c>
      <c r="H122" s="4" t="s">
        <v>584</v>
      </c>
      <c r="I122" s="4" t="s">
        <v>663</v>
      </c>
      <c r="J122" s="4" t="s">
        <v>5</v>
      </c>
      <c r="K122" s="4" t="s">
        <v>590</v>
      </c>
      <c r="L122" s="10" t="s">
        <v>643</v>
      </c>
      <c r="M122" s="4" t="s">
        <v>591</v>
      </c>
      <c r="N122" s="4">
        <v>2</v>
      </c>
      <c r="O122" s="4">
        <v>8</v>
      </c>
      <c r="P122" s="4"/>
      <c r="Q122" s="16">
        <v>783653550</v>
      </c>
      <c r="R122" s="25" t="s">
        <v>704</v>
      </c>
      <c r="S122" s="10" t="s">
        <v>598</v>
      </c>
      <c r="T122" s="32"/>
      <c r="U122" s="33"/>
      <c r="V122" s="33"/>
      <c r="W122" s="33"/>
      <c r="X122" s="33"/>
      <c r="Y122" s="33">
        <v>520000</v>
      </c>
      <c r="Z122" s="33">
        <v>500000</v>
      </c>
      <c r="AA122" s="33"/>
      <c r="AB122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123" spans="1:28" ht="31.5" x14ac:dyDescent="0.25">
      <c r="A123" s="4">
        <v>155</v>
      </c>
      <c r="B123" s="16" t="s">
        <v>821</v>
      </c>
      <c r="C123" s="16" t="s">
        <v>205</v>
      </c>
      <c r="D123" s="4"/>
      <c r="E123" s="10" t="s">
        <v>401</v>
      </c>
      <c r="F123" s="65"/>
      <c r="G123" s="22"/>
      <c r="H123" s="4" t="s">
        <v>623</v>
      </c>
      <c r="I123" s="4" t="s">
        <v>667</v>
      </c>
      <c r="J123" s="4" t="s">
        <v>767</v>
      </c>
      <c r="K123" s="4" t="s">
        <v>590</v>
      </c>
      <c r="L123" s="10" t="s">
        <v>614</v>
      </c>
      <c r="M123" s="4"/>
      <c r="N123" s="4"/>
      <c r="O123" s="4"/>
      <c r="P123" s="4"/>
      <c r="Q123" s="16" t="s">
        <v>497</v>
      </c>
      <c r="R123" s="25" t="s">
        <v>822</v>
      </c>
      <c r="S123" s="10" t="s">
        <v>600</v>
      </c>
      <c r="T123" s="32"/>
      <c r="U123" s="33"/>
      <c r="V123" s="33"/>
      <c r="W123" s="33"/>
      <c r="X123" s="33"/>
      <c r="Y123" s="33"/>
      <c r="Z123" s="33">
        <v>50000</v>
      </c>
      <c r="AA123" s="33"/>
      <c r="AB123" s="36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124" spans="1:28" ht="31.5" x14ac:dyDescent="0.25">
      <c r="A124" s="4">
        <v>207</v>
      </c>
      <c r="B124" s="16" t="s">
        <v>320</v>
      </c>
      <c r="C124" s="16" t="s">
        <v>321</v>
      </c>
      <c r="D124" s="4"/>
      <c r="E124" s="10" t="s">
        <v>401</v>
      </c>
      <c r="F124" s="81">
        <v>105683728</v>
      </c>
      <c r="G124" s="79" t="s">
        <v>888</v>
      </c>
      <c r="H124" s="4" t="s">
        <v>588</v>
      </c>
      <c r="I124" s="4" t="s">
        <v>817</v>
      </c>
      <c r="J124" s="4" t="s">
        <v>20</v>
      </c>
      <c r="K124" s="4"/>
      <c r="L124" s="10" t="s">
        <v>643</v>
      </c>
      <c r="M124" s="4"/>
      <c r="N124" s="4"/>
      <c r="O124" s="4"/>
      <c r="P124" s="4"/>
      <c r="Q124" s="16" t="s">
        <v>552</v>
      </c>
      <c r="R124" s="81" t="s">
        <v>919</v>
      </c>
      <c r="S124" s="10" t="s">
        <v>598</v>
      </c>
      <c r="T124" s="32"/>
      <c r="U124" s="33"/>
      <c r="V124" s="33"/>
      <c r="W124" s="33"/>
      <c r="X124" s="33"/>
      <c r="Y124" s="33"/>
      <c r="Z124" s="33"/>
      <c r="AA124" s="33"/>
      <c r="AB12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25" spans="1:28" ht="45" x14ac:dyDescent="0.25">
      <c r="A125" s="4">
        <v>64</v>
      </c>
      <c r="B125" s="16" t="s">
        <v>157</v>
      </c>
      <c r="C125" s="16" t="s">
        <v>158</v>
      </c>
      <c r="D125" s="4"/>
      <c r="E125" s="10" t="s">
        <v>403</v>
      </c>
      <c r="F125" s="65">
        <v>128088073</v>
      </c>
      <c r="G125" s="22" t="s">
        <v>593</v>
      </c>
      <c r="H125" s="4" t="s">
        <v>594</v>
      </c>
      <c r="I125" s="4" t="s">
        <v>595</v>
      </c>
      <c r="J125" s="4" t="s">
        <v>597</v>
      </c>
      <c r="K125" s="4" t="s">
        <v>590</v>
      </c>
      <c r="L125" s="10" t="s">
        <v>632</v>
      </c>
      <c r="M125" s="4" t="s">
        <v>591</v>
      </c>
      <c r="N125" s="4">
        <v>1</v>
      </c>
      <c r="O125" s="4">
        <v>2</v>
      </c>
      <c r="P125" s="4">
        <v>0</v>
      </c>
      <c r="Q125" s="16" t="s">
        <v>471</v>
      </c>
      <c r="R125" s="25" t="s">
        <v>596</v>
      </c>
      <c r="S125" s="10">
        <v>2025</v>
      </c>
      <c r="T125" s="32"/>
      <c r="U125" s="33"/>
      <c r="V125" s="33"/>
      <c r="W125" s="33"/>
      <c r="X125" s="33"/>
      <c r="Y125" s="33"/>
      <c r="Z125" s="33">
        <v>550000</v>
      </c>
      <c r="AA125" s="33"/>
      <c r="AB125" s="36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126" spans="1:28" ht="31.5" x14ac:dyDescent="0.25">
      <c r="A126" s="4">
        <v>245</v>
      </c>
      <c r="B126" s="16" t="s">
        <v>396</v>
      </c>
      <c r="C126" s="16" t="s">
        <v>397</v>
      </c>
      <c r="D126" s="4"/>
      <c r="E126" s="10" t="s">
        <v>402</v>
      </c>
      <c r="F126" s="65"/>
      <c r="G126" s="22"/>
      <c r="H126" s="4"/>
      <c r="I126" s="4"/>
      <c r="J126" s="4"/>
      <c r="K126" s="4"/>
      <c r="L126" s="10"/>
      <c r="M126" s="4"/>
      <c r="N126" s="4"/>
      <c r="O126" s="4"/>
      <c r="P126" s="4"/>
      <c r="Q126" s="16" t="s">
        <v>581</v>
      </c>
      <c r="R126" s="4"/>
      <c r="S126" s="10" t="s">
        <v>598</v>
      </c>
      <c r="T126" s="32"/>
      <c r="U126" s="33"/>
      <c r="V126" s="33"/>
      <c r="W126" s="33"/>
      <c r="X126" s="33"/>
      <c r="Y126" s="33"/>
      <c r="Z126" s="33"/>
      <c r="AA126" s="33"/>
      <c r="AB12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27" spans="1:28" ht="15.75" x14ac:dyDescent="0.25">
      <c r="A127" s="4">
        <v>135</v>
      </c>
      <c r="B127" s="16" t="s">
        <v>153</v>
      </c>
      <c r="C127" s="16" t="s">
        <v>154</v>
      </c>
      <c r="D127" s="4"/>
      <c r="E127" s="10" t="s">
        <v>402</v>
      </c>
      <c r="F127" s="65"/>
      <c r="G127" s="22"/>
      <c r="H127" s="4"/>
      <c r="I127" s="4"/>
      <c r="J127" s="4"/>
      <c r="K127" s="4"/>
      <c r="L127" s="10" t="s">
        <v>613</v>
      </c>
      <c r="M127" s="4"/>
      <c r="N127" s="4"/>
      <c r="O127" s="4"/>
      <c r="P127" s="4"/>
      <c r="Q127" s="16" t="s">
        <v>470</v>
      </c>
      <c r="R127" s="4"/>
      <c r="S127" s="10" t="s">
        <v>600</v>
      </c>
      <c r="T127" s="32"/>
      <c r="U127" s="33"/>
      <c r="V127" s="33"/>
      <c r="W127" s="33"/>
      <c r="X127" s="33"/>
      <c r="Y127" s="33"/>
      <c r="Z127" s="33"/>
      <c r="AA127" s="33"/>
      <c r="AB12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28" spans="1:28" ht="30" x14ac:dyDescent="0.25">
      <c r="A128" s="4">
        <v>185</v>
      </c>
      <c r="B128" s="16" t="s">
        <v>266</v>
      </c>
      <c r="C128" s="16" t="s">
        <v>267</v>
      </c>
      <c r="D128" s="4"/>
      <c r="E128" s="10" t="s">
        <v>401</v>
      </c>
      <c r="F128" s="65"/>
      <c r="G128" s="22" t="s">
        <v>831</v>
      </c>
      <c r="H128" s="4" t="s">
        <v>623</v>
      </c>
      <c r="I128" s="4" t="s">
        <v>826</v>
      </c>
      <c r="J128" s="4" t="s">
        <v>20</v>
      </c>
      <c r="K128" s="4" t="s">
        <v>590</v>
      </c>
      <c r="L128" s="10" t="s">
        <v>643</v>
      </c>
      <c r="M128" s="4" t="s">
        <v>591</v>
      </c>
      <c r="N128" s="4"/>
      <c r="O128" s="4"/>
      <c r="P128" s="4"/>
      <c r="Q128" s="16" t="s">
        <v>526</v>
      </c>
      <c r="R128" s="4"/>
      <c r="S128" s="10" t="s">
        <v>598</v>
      </c>
      <c r="T128" s="32"/>
      <c r="U128" s="33"/>
      <c r="V128" s="33"/>
      <c r="W128" s="33"/>
      <c r="X128" s="33"/>
      <c r="Y128" s="33">
        <v>520000</v>
      </c>
      <c r="Z128" s="33">
        <v>500000</v>
      </c>
      <c r="AA128" s="33"/>
      <c r="AB128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129" spans="1:28" ht="15.75" x14ac:dyDescent="0.25">
      <c r="A129" s="4">
        <v>176</v>
      </c>
      <c r="B129" s="16" t="s">
        <v>243</v>
      </c>
      <c r="C129" s="16" t="s">
        <v>244</v>
      </c>
      <c r="D129" s="4"/>
      <c r="E129" s="10" t="s">
        <v>401</v>
      </c>
      <c r="F129" s="65"/>
      <c r="G129" s="22"/>
      <c r="H129" s="4"/>
      <c r="I129" s="4"/>
      <c r="J129" s="4"/>
      <c r="K129" s="4"/>
      <c r="L129" s="10" t="s">
        <v>643</v>
      </c>
      <c r="M129" s="4"/>
      <c r="N129" s="4"/>
      <c r="O129" s="4"/>
      <c r="P129" s="4"/>
      <c r="Q129" s="16" t="s">
        <v>517</v>
      </c>
      <c r="R129" s="4"/>
      <c r="S129" s="10" t="s">
        <v>598</v>
      </c>
      <c r="T129" s="32"/>
      <c r="U129" s="33"/>
      <c r="V129" s="33"/>
      <c r="W129" s="33"/>
      <c r="X129" s="33"/>
      <c r="Y129" s="33"/>
      <c r="Z129" s="33"/>
      <c r="AA129" s="33"/>
      <c r="AB12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30" spans="1:28" ht="15.75" x14ac:dyDescent="0.25">
      <c r="A130" s="4">
        <v>244</v>
      </c>
      <c r="B130" s="16" t="s">
        <v>395</v>
      </c>
      <c r="C130" s="16" t="s">
        <v>395</v>
      </c>
      <c r="D130" s="4"/>
      <c r="E130" s="10" t="s">
        <v>401</v>
      </c>
      <c r="F130" s="65"/>
      <c r="G130" s="22"/>
      <c r="H130" s="4"/>
      <c r="I130" s="4"/>
      <c r="J130" s="4"/>
      <c r="K130" s="4"/>
      <c r="L130" s="10"/>
      <c r="M130" s="4"/>
      <c r="N130" s="4"/>
      <c r="O130" s="4"/>
      <c r="P130" s="4"/>
      <c r="Q130" s="16" t="s">
        <v>580</v>
      </c>
      <c r="R130" s="4"/>
      <c r="S130" s="10" t="s">
        <v>599</v>
      </c>
      <c r="T130" s="32"/>
      <c r="U130" s="33"/>
      <c r="V130" s="33"/>
      <c r="W130" s="33"/>
      <c r="X130" s="33"/>
      <c r="Y130" s="33"/>
      <c r="Z130" s="33"/>
      <c r="AA130" s="33"/>
      <c r="AB13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31" spans="1:28" x14ac:dyDescent="0.25">
      <c r="A131" s="4">
        <v>303</v>
      </c>
      <c r="B131" s="80" t="s">
        <v>862</v>
      </c>
      <c r="C131" s="4"/>
      <c r="D131" s="4"/>
      <c r="E131" s="4"/>
      <c r="F131" s="80">
        <v>131453695</v>
      </c>
      <c r="G131" s="77" t="s">
        <v>891</v>
      </c>
      <c r="H131" s="80" t="s">
        <v>892</v>
      </c>
      <c r="I131" s="80" t="s">
        <v>595</v>
      </c>
      <c r="J131" s="4"/>
      <c r="K131" s="4"/>
      <c r="L131" s="4"/>
      <c r="M131" s="4"/>
      <c r="N131" s="4"/>
      <c r="O131" s="4"/>
      <c r="P131" s="4"/>
      <c r="Q131" s="4"/>
      <c r="R131" s="80" t="s">
        <v>922</v>
      </c>
      <c r="S131" s="22"/>
      <c r="T131" s="33"/>
      <c r="U131" s="33"/>
      <c r="V131" s="33"/>
      <c r="W131" s="33"/>
      <c r="X131" s="33"/>
      <c r="Y131" s="33"/>
      <c r="Z131" s="33"/>
      <c r="AA131" s="33"/>
      <c r="AB13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32" spans="1:28" x14ac:dyDescent="0.25">
      <c r="A132" s="4">
        <v>299</v>
      </c>
      <c r="B132" s="80" t="s">
        <v>861</v>
      </c>
      <c r="C132" s="4"/>
      <c r="D132" s="4"/>
      <c r="E132" s="4"/>
      <c r="F132" s="80">
        <v>108151460</v>
      </c>
      <c r="G132" s="77" t="s">
        <v>749</v>
      </c>
      <c r="H132" s="80" t="s">
        <v>895</v>
      </c>
      <c r="I132" s="80" t="s">
        <v>896</v>
      </c>
      <c r="J132" s="4"/>
      <c r="K132" s="4"/>
      <c r="L132" s="4"/>
      <c r="M132" s="4"/>
      <c r="N132" s="4"/>
      <c r="O132" s="4"/>
      <c r="P132" s="4"/>
      <c r="Q132" s="4"/>
      <c r="R132" s="80" t="s">
        <v>750</v>
      </c>
      <c r="S132" s="22"/>
      <c r="T132" s="33"/>
      <c r="U132" s="33"/>
      <c r="V132" s="33"/>
      <c r="W132" s="33"/>
      <c r="X132" s="33"/>
      <c r="Y132" s="33"/>
      <c r="Z132" s="33"/>
      <c r="AA132" s="33"/>
      <c r="AB13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33" spans="1:28" ht="15.75" x14ac:dyDescent="0.25">
      <c r="A133" s="4">
        <v>130</v>
      </c>
      <c r="B133" s="16" t="s">
        <v>140</v>
      </c>
      <c r="C133" s="16" t="s">
        <v>141</v>
      </c>
      <c r="D133" s="4"/>
      <c r="E133" s="10" t="s">
        <v>402</v>
      </c>
      <c r="F133" s="89">
        <v>108788446</v>
      </c>
      <c r="G133" s="92" t="s">
        <v>881</v>
      </c>
      <c r="H133" s="4" t="s">
        <v>594</v>
      </c>
      <c r="I133" s="4" t="s">
        <v>595</v>
      </c>
      <c r="J133" s="4"/>
      <c r="K133" s="4"/>
      <c r="L133" s="10" t="s">
        <v>614</v>
      </c>
      <c r="M133" s="4"/>
      <c r="N133" s="4"/>
      <c r="O133" s="4"/>
      <c r="P133" s="4"/>
      <c r="Q133" s="16" t="s">
        <v>464</v>
      </c>
      <c r="R133" s="4"/>
      <c r="S133" s="10" t="s">
        <v>598</v>
      </c>
      <c r="T133" s="32"/>
      <c r="U133" s="33"/>
      <c r="V133" s="33"/>
      <c r="W133" s="33"/>
      <c r="X133" s="33"/>
      <c r="Y133" s="33"/>
      <c r="Z133" s="33"/>
      <c r="AA133" s="33"/>
      <c r="AB13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34" spans="1:28" ht="31.5" x14ac:dyDescent="0.25">
      <c r="A134" s="4">
        <v>239</v>
      </c>
      <c r="B134" s="16" t="s">
        <v>387</v>
      </c>
      <c r="C134" s="16" t="s">
        <v>387</v>
      </c>
      <c r="D134" s="4"/>
      <c r="E134" s="10" t="s">
        <v>402</v>
      </c>
      <c r="F134" s="65"/>
      <c r="G134" s="22"/>
      <c r="H134" s="4"/>
      <c r="I134" s="4"/>
      <c r="J134" s="4"/>
      <c r="K134" s="4"/>
      <c r="L134" s="10"/>
      <c r="M134" s="4"/>
      <c r="N134" s="4"/>
      <c r="O134" s="4"/>
      <c r="P134" s="4"/>
      <c r="Q134" s="16" t="s">
        <v>575</v>
      </c>
      <c r="R134" s="4"/>
      <c r="S134" s="10" t="s">
        <v>601</v>
      </c>
      <c r="T134" s="32"/>
      <c r="U134" s="33"/>
      <c r="V134" s="33"/>
      <c r="W134" s="33"/>
      <c r="X134" s="33"/>
      <c r="Y134" s="33"/>
      <c r="Z134" s="33"/>
      <c r="AA134" s="33"/>
      <c r="AB13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35" spans="1:28" ht="30" x14ac:dyDescent="0.25">
      <c r="A135" s="4">
        <v>251</v>
      </c>
      <c r="B135" s="57" t="s">
        <v>839</v>
      </c>
      <c r="C135" s="57" t="s">
        <v>815</v>
      </c>
      <c r="D135" s="4"/>
      <c r="E135" s="4" t="s">
        <v>401</v>
      </c>
      <c r="F135" s="65">
        <v>119668097</v>
      </c>
      <c r="G135" s="22" t="s">
        <v>825</v>
      </c>
      <c r="H135" s="4" t="s">
        <v>623</v>
      </c>
      <c r="I135" s="4" t="s">
        <v>826</v>
      </c>
      <c r="J135" s="4" t="s">
        <v>20</v>
      </c>
      <c r="K135" s="4" t="s">
        <v>609</v>
      </c>
      <c r="L135" s="52" t="s">
        <v>627</v>
      </c>
      <c r="M135" s="4" t="s">
        <v>787</v>
      </c>
      <c r="N135" s="4"/>
      <c r="O135" s="4"/>
      <c r="P135" s="4"/>
      <c r="Q135" s="29" t="s">
        <v>827</v>
      </c>
      <c r="R135" s="25" t="s">
        <v>840</v>
      </c>
      <c r="S135" s="22" t="s">
        <v>637</v>
      </c>
      <c r="T135" s="33"/>
      <c r="U135" s="33"/>
      <c r="V135" s="33"/>
      <c r="W135" s="33"/>
      <c r="X135" s="33"/>
      <c r="Y135" s="33"/>
      <c r="Z135" s="33"/>
      <c r="AA135" s="33">
        <v>250000</v>
      </c>
      <c r="AB135" s="55">
        <f>Table1[[#This Row],[2019]]+Table1[[#This Row],[2020]]+Table1[[#This Row],[2021]]+Table1[[#This Row],[2022]]+Table1[[#This Row],[2023]]+Table1[[#This Row],[2024]]+Table1[[#This Row],[2025]]+Table1[[#This Row],[2026]]</f>
        <v>250000</v>
      </c>
    </row>
    <row r="136" spans="1:28" ht="31.5" x14ac:dyDescent="0.25">
      <c r="A136" s="4">
        <v>72</v>
      </c>
      <c r="B136" s="16" t="s">
        <v>31</v>
      </c>
      <c r="C136" s="16" t="s">
        <v>32</v>
      </c>
      <c r="D136" s="4"/>
      <c r="E136" s="10" t="s">
        <v>402</v>
      </c>
      <c r="F136" s="98">
        <v>135546785</v>
      </c>
      <c r="G136" s="99" t="s">
        <v>866</v>
      </c>
      <c r="H136" s="4" t="s">
        <v>584</v>
      </c>
      <c r="I136" s="4" t="s">
        <v>585</v>
      </c>
      <c r="J136" s="4" t="s">
        <v>20</v>
      </c>
      <c r="K136" s="4" t="s">
        <v>590</v>
      </c>
      <c r="L136" s="10" t="s">
        <v>643</v>
      </c>
      <c r="M136" s="4" t="s">
        <v>591</v>
      </c>
      <c r="N136" s="4">
        <v>1</v>
      </c>
      <c r="O136" s="4">
        <v>2</v>
      </c>
      <c r="P136" s="4"/>
      <c r="Q136" s="16" t="s">
        <v>413</v>
      </c>
      <c r="R136" s="25" t="s">
        <v>748</v>
      </c>
      <c r="S136" s="10" t="s">
        <v>600</v>
      </c>
      <c r="T136" s="32"/>
      <c r="U136" s="33"/>
      <c r="V136" s="33"/>
      <c r="W136" s="33"/>
      <c r="X136" s="33"/>
      <c r="Y136" s="33"/>
      <c r="Z136" s="33">
        <v>550000</v>
      </c>
      <c r="AA136" s="33"/>
      <c r="AB136" s="36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137" spans="1:28" ht="15.75" x14ac:dyDescent="0.25">
      <c r="A137" s="4">
        <v>122</v>
      </c>
      <c r="B137" s="16" t="s">
        <v>127</v>
      </c>
      <c r="C137" s="16" t="s">
        <v>128</v>
      </c>
      <c r="D137" s="4"/>
      <c r="E137" s="10" t="s">
        <v>402</v>
      </c>
      <c r="F137" s="65"/>
      <c r="G137" s="22"/>
      <c r="H137" s="4"/>
      <c r="I137" s="4"/>
      <c r="J137" s="4"/>
      <c r="K137" s="4"/>
      <c r="L137" s="10" t="s">
        <v>643</v>
      </c>
      <c r="M137" s="4"/>
      <c r="N137" s="4"/>
      <c r="O137" s="4"/>
      <c r="P137" s="4"/>
      <c r="Q137" s="16" t="s">
        <v>462</v>
      </c>
      <c r="R137" s="4"/>
      <c r="S137" s="10" t="s">
        <v>598</v>
      </c>
      <c r="T137" s="32"/>
      <c r="U137" s="33"/>
      <c r="V137" s="33"/>
      <c r="W137" s="33"/>
      <c r="X137" s="33"/>
      <c r="Y137" s="33"/>
      <c r="Z137" s="33"/>
      <c r="AA137" s="33"/>
      <c r="AB13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38" spans="1:28" ht="15.75" x14ac:dyDescent="0.25">
      <c r="A138" s="4">
        <v>198</v>
      </c>
      <c r="B138" s="64" t="s">
        <v>841</v>
      </c>
      <c r="C138" s="16" t="s">
        <v>833</v>
      </c>
      <c r="D138" s="4"/>
      <c r="E138" s="10" t="s">
        <v>403</v>
      </c>
      <c r="F138" s="65"/>
      <c r="G138" s="22"/>
      <c r="H138" s="4" t="s">
        <v>588</v>
      </c>
      <c r="I138" s="4" t="s">
        <v>844</v>
      </c>
      <c r="J138" s="4" t="s">
        <v>5</v>
      </c>
      <c r="K138" s="4" t="s">
        <v>590</v>
      </c>
      <c r="L138" s="10" t="s">
        <v>613</v>
      </c>
      <c r="M138" s="4"/>
      <c r="N138" s="4"/>
      <c r="O138" s="4"/>
      <c r="P138" s="4"/>
      <c r="Q138" s="70" t="s">
        <v>540</v>
      </c>
      <c r="R138" s="4"/>
      <c r="S138" s="10" t="s">
        <v>600</v>
      </c>
      <c r="T138" s="32"/>
      <c r="U138" s="33"/>
      <c r="V138" s="33"/>
      <c r="W138" s="33"/>
      <c r="X138" s="33"/>
      <c r="Y138" s="33"/>
      <c r="Z138" s="33">
        <v>350000</v>
      </c>
      <c r="AA138" s="33"/>
      <c r="AB138" s="36">
        <f>Table1[[#This Row],[2019]]+Table1[[#This Row],[2020]]+Table1[[#This Row],[2021]]+Table1[[#This Row],[2022]]+Table1[[#This Row],[2023]]+Table1[[#This Row],[2024]]+Table1[[#This Row],[2025]]+Table1[[#This Row],[2026]]</f>
        <v>350000</v>
      </c>
    </row>
    <row r="139" spans="1:28" ht="15.75" x14ac:dyDescent="0.25">
      <c r="A139" s="4">
        <v>236</v>
      </c>
      <c r="B139" s="16" t="s">
        <v>382</v>
      </c>
      <c r="C139" s="16" t="s">
        <v>383</v>
      </c>
      <c r="D139" s="4"/>
      <c r="E139" s="10" t="s">
        <v>401</v>
      </c>
      <c r="F139" s="65"/>
      <c r="G139" s="22"/>
      <c r="H139" s="4"/>
      <c r="I139" s="4"/>
      <c r="J139" s="4"/>
      <c r="K139" s="4"/>
      <c r="L139" s="10"/>
      <c r="M139" s="4"/>
      <c r="N139" s="4"/>
      <c r="O139" s="4"/>
      <c r="P139" s="4"/>
      <c r="Q139" s="16" t="s">
        <v>573</v>
      </c>
      <c r="R139" s="4"/>
      <c r="S139" s="10" t="s">
        <v>603</v>
      </c>
      <c r="T139" s="32"/>
      <c r="U139" s="33"/>
      <c r="V139" s="33"/>
      <c r="W139" s="33"/>
      <c r="X139" s="33"/>
      <c r="Y139" s="33"/>
      <c r="Z139" s="33"/>
      <c r="AA139" s="33"/>
      <c r="AB13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40" spans="1:28" ht="15.75" x14ac:dyDescent="0.25">
      <c r="A140" s="4">
        <v>14</v>
      </c>
      <c r="B140" s="16" t="s">
        <v>168</v>
      </c>
      <c r="C140" s="16" t="s">
        <v>168</v>
      </c>
      <c r="D140" s="4"/>
      <c r="E140" s="10" t="s">
        <v>401</v>
      </c>
      <c r="F140" s="65">
        <v>103402378</v>
      </c>
      <c r="G140" s="22" t="s">
        <v>717</v>
      </c>
      <c r="H140" s="4" t="s">
        <v>584</v>
      </c>
      <c r="I140" s="4" t="s">
        <v>621</v>
      </c>
      <c r="J140" s="4" t="s">
        <v>5</v>
      </c>
      <c r="K140" s="4" t="s">
        <v>609</v>
      </c>
      <c r="L140" s="10" t="s">
        <v>643</v>
      </c>
      <c r="M140" s="4" t="s">
        <v>591</v>
      </c>
      <c r="N140" s="4"/>
      <c r="O140" s="4"/>
      <c r="P140" s="4"/>
      <c r="Q140" s="16" t="s">
        <v>476</v>
      </c>
      <c r="R140" s="4"/>
      <c r="S140" s="10" t="s">
        <v>598</v>
      </c>
      <c r="T140" s="32"/>
      <c r="U140" s="33"/>
      <c r="V140" s="33"/>
      <c r="W140" s="33"/>
      <c r="X140" s="33"/>
      <c r="Y140" s="33">
        <v>520000</v>
      </c>
      <c r="Z140" s="33">
        <v>500000</v>
      </c>
      <c r="AA140" s="33"/>
      <c r="AB140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141" spans="1:28" ht="30" x14ac:dyDescent="0.25">
      <c r="A141" s="4">
        <v>9</v>
      </c>
      <c r="B141" s="16" t="s">
        <v>96</v>
      </c>
      <c r="C141" s="51" t="s">
        <v>97</v>
      </c>
      <c r="D141" s="4"/>
      <c r="E141" s="10" t="s">
        <v>401</v>
      </c>
      <c r="F141" s="65">
        <v>102803646</v>
      </c>
      <c r="G141" s="22"/>
      <c r="H141" s="4" t="s">
        <v>594</v>
      </c>
      <c r="I141" s="4" t="s">
        <v>635</v>
      </c>
      <c r="J141" s="4" t="s">
        <v>5</v>
      </c>
      <c r="K141" s="4" t="s">
        <v>590</v>
      </c>
      <c r="L141" s="10" t="s">
        <v>643</v>
      </c>
      <c r="M141" s="4"/>
      <c r="N141" s="4">
        <v>2</v>
      </c>
      <c r="O141" s="4">
        <v>4</v>
      </c>
      <c r="P141" s="4"/>
      <c r="Q141" s="16" t="s">
        <v>447</v>
      </c>
      <c r="R141" s="25" t="s">
        <v>666</v>
      </c>
      <c r="S141" s="10" t="s">
        <v>598</v>
      </c>
      <c r="T141" s="32"/>
      <c r="U141" s="33"/>
      <c r="V141" s="33"/>
      <c r="W141" s="33"/>
      <c r="X141" s="33"/>
      <c r="Y141" s="33">
        <v>500000</v>
      </c>
      <c r="Z141" s="33"/>
      <c r="AA141" s="33"/>
      <c r="AB141" s="36">
        <f>Table1[[#This Row],[2019]]+Table1[[#This Row],[2020]]+Table1[[#This Row],[2021]]+Table1[[#This Row],[2022]]+Table1[[#This Row],[2023]]+Table1[[#This Row],[2024]]+Table1[[#This Row],[2025]]+Table1[[#This Row],[2026]]</f>
        <v>500000</v>
      </c>
    </row>
    <row r="142" spans="1:28" ht="30" x14ac:dyDescent="0.25">
      <c r="A142" s="4">
        <v>39</v>
      </c>
      <c r="B142" s="16" t="s">
        <v>21</v>
      </c>
      <c r="C142" s="16" t="s">
        <v>22</v>
      </c>
      <c r="D142" s="4"/>
      <c r="E142" s="10" t="s">
        <v>401</v>
      </c>
      <c r="F142" s="65">
        <v>112169684</v>
      </c>
      <c r="G142" s="22"/>
      <c r="H142" s="4" t="s">
        <v>588</v>
      </c>
      <c r="I142" s="4" t="s">
        <v>589</v>
      </c>
      <c r="J142" s="62" t="s">
        <v>20</v>
      </c>
      <c r="K142" s="4" t="s">
        <v>590</v>
      </c>
      <c r="L142" s="10" t="s">
        <v>643</v>
      </c>
      <c r="M142" s="4" t="s">
        <v>591</v>
      </c>
      <c r="N142" s="4">
        <v>2</v>
      </c>
      <c r="O142" s="4">
        <v>2</v>
      </c>
      <c r="P142" s="4"/>
      <c r="Q142" s="16" t="s">
        <v>407</v>
      </c>
      <c r="R142" s="25" t="s">
        <v>657</v>
      </c>
      <c r="S142" s="10" t="s">
        <v>598</v>
      </c>
      <c r="T142" s="32"/>
      <c r="U142" s="33"/>
      <c r="V142" s="33"/>
      <c r="W142" s="33"/>
      <c r="X142" s="33"/>
      <c r="Y142" s="33">
        <v>500000</v>
      </c>
      <c r="Z142" s="33">
        <v>500000</v>
      </c>
      <c r="AA142" s="33"/>
      <c r="AB142" s="36">
        <f>Table1[[#This Row],[2019]]+Table1[[#This Row],[2020]]+Table1[[#This Row],[2021]]+Table1[[#This Row],[2022]]+Table1[[#This Row],[2023]]+Table1[[#This Row],[2024]]+Table1[[#This Row],[2025]]+Table1[[#This Row],[2026]]</f>
        <v>1000000</v>
      </c>
    </row>
    <row r="143" spans="1:28" ht="30" x14ac:dyDescent="0.25">
      <c r="A143" s="4">
        <v>186</v>
      </c>
      <c r="B143" s="16" t="s">
        <v>268</v>
      </c>
      <c r="C143" s="16" t="s">
        <v>269</v>
      </c>
      <c r="D143" s="4"/>
      <c r="E143" s="10" t="s">
        <v>401</v>
      </c>
      <c r="F143" s="65"/>
      <c r="G143" s="22" t="s">
        <v>828</v>
      </c>
      <c r="H143" s="4" t="s">
        <v>623</v>
      </c>
      <c r="I143" s="4" t="s">
        <v>826</v>
      </c>
      <c r="J143" s="4" t="s">
        <v>20</v>
      </c>
      <c r="K143" s="4" t="s">
        <v>590</v>
      </c>
      <c r="L143" s="10" t="s">
        <v>643</v>
      </c>
      <c r="M143" s="4" t="s">
        <v>591</v>
      </c>
      <c r="N143" s="4"/>
      <c r="O143" s="4"/>
      <c r="P143" s="4"/>
      <c r="Q143" s="16" t="s">
        <v>527</v>
      </c>
      <c r="R143" s="4"/>
      <c r="S143" s="10" t="s">
        <v>598</v>
      </c>
      <c r="T143" s="32"/>
      <c r="U143" s="33"/>
      <c r="V143" s="33"/>
      <c r="W143" s="33"/>
      <c r="X143" s="33"/>
      <c r="Y143" s="33">
        <v>520000</v>
      </c>
      <c r="Z143" s="33">
        <v>500000</v>
      </c>
      <c r="AA143" s="33"/>
      <c r="AB143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144" spans="1:28" ht="30" x14ac:dyDescent="0.25">
      <c r="A144" s="4">
        <v>63</v>
      </c>
      <c r="B144" s="16" t="s">
        <v>310</v>
      </c>
      <c r="C144" s="16" t="s">
        <v>310</v>
      </c>
      <c r="D144" s="4"/>
      <c r="E144" s="10" t="s">
        <v>401</v>
      </c>
      <c r="F144" s="65">
        <v>123255202</v>
      </c>
      <c r="G144" s="22" t="s">
        <v>611</v>
      </c>
      <c r="H144" s="4" t="s">
        <v>594</v>
      </c>
      <c r="I144" s="4" t="s">
        <v>612</v>
      </c>
      <c r="J144" s="4" t="s">
        <v>20</v>
      </c>
      <c r="K144" s="4" t="s">
        <v>609</v>
      </c>
      <c r="L144" s="10" t="s">
        <v>613</v>
      </c>
      <c r="M144" s="4"/>
      <c r="N144" s="4"/>
      <c r="O144" s="4">
        <v>1</v>
      </c>
      <c r="P144" s="4"/>
      <c r="Q144" s="16" t="s">
        <v>547</v>
      </c>
      <c r="R144" s="25" t="s">
        <v>620</v>
      </c>
      <c r="S144" s="10" t="s">
        <v>600</v>
      </c>
      <c r="T144" s="32"/>
      <c r="U144" s="33"/>
      <c r="V144" s="33"/>
      <c r="W144" s="33"/>
      <c r="X144" s="33"/>
      <c r="Y144" s="33"/>
      <c r="Z144" s="33">
        <v>120000</v>
      </c>
      <c r="AA144" s="33"/>
      <c r="AB144" s="36">
        <f>Table1[[#This Row],[2019]]+Table1[[#This Row],[2020]]+Table1[[#This Row],[2021]]+Table1[[#This Row],[2022]]+Table1[[#This Row],[2023]]+Table1[[#This Row],[2024]]+Table1[[#This Row],[2025]]+Table1[[#This Row],[2026]]</f>
        <v>120000</v>
      </c>
    </row>
    <row r="145" spans="1:28" ht="15.75" x14ac:dyDescent="0.25">
      <c r="A145" s="4">
        <v>83</v>
      </c>
      <c r="B145" s="16" t="s">
        <v>52</v>
      </c>
      <c r="C145" s="16" t="s">
        <v>52</v>
      </c>
      <c r="D145" s="4"/>
      <c r="E145" s="10" t="s">
        <v>402</v>
      </c>
      <c r="F145" s="65"/>
      <c r="G145" s="22"/>
      <c r="H145" s="4"/>
      <c r="I145" s="4"/>
      <c r="J145" s="4"/>
      <c r="K145" s="4"/>
      <c r="L145" s="10" t="s">
        <v>613</v>
      </c>
      <c r="M145" s="4"/>
      <c r="N145" s="4"/>
      <c r="O145" s="4"/>
      <c r="P145" s="4"/>
      <c r="Q145" s="16" t="s">
        <v>423</v>
      </c>
      <c r="R145" s="4"/>
      <c r="S145" s="10" t="s">
        <v>602</v>
      </c>
      <c r="T145" s="32"/>
      <c r="U145" s="33"/>
      <c r="V145" s="33"/>
      <c r="W145" s="33"/>
      <c r="X145" s="33"/>
      <c r="Y145" s="33"/>
      <c r="Z145" s="33"/>
      <c r="AA145" s="33"/>
      <c r="AB14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46" spans="1:28" ht="15.75" x14ac:dyDescent="0.25">
      <c r="A146" s="4">
        <v>123</v>
      </c>
      <c r="B146" s="16" t="s">
        <v>129</v>
      </c>
      <c r="C146" s="16" t="s">
        <v>129</v>
      </c>
      <c r="D146" s="4"/>
      <c r="E146" s="10" t="s">
        <v>402</v>
      </c>
      <c r="F146" s="65"/>
      <c r="G146" s="22"/>
      <c r="H146" s="4"/>
      <c r="I146" s="4"/>
      <c r="J146" s="4"/>
      <c r="K146" s="4"/>
      <c r="L146" s="10"/>
      <c r="M146" s="4"/>
      <c r="N146" s="4"/>
      <c r="O146" s="4"/>
      <c r="P146" s="4"/>
      <c r="Q146" s="18"/>
      <c r="R146" s="4"/>
      <c r="S146" s="10" t="s">
        <v>598</v>
      </c>
      <c r="T146" s="32"/>
      <c r="U146" s="33"/>
      <c r="V146" s="33"/>
      <c r="W146" s="33"/>
      <c r="X146" s="33"/>
      <c r="Y146" s="33"/>
      <c r="Z146" s="33"/>
      <c r="AA146" s="33"/>
      <c r="AB14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47" spans="1:28" ht="30" x14ac:dyDescent="0.25">
      <c r="A147" s="4">
        <v>88</v>
      </c>
      <c r="B147" s="16" t="s">
        <v>60</v>
      </c>
      <c r="C147" s="16" t="s">
        <v>60</v>
      </c>
      <c r="D147" s="4"/>
      <c r="E147" s="10" t="s">
        <v>403</v>
      </c>
      <c r="F147" s="89">
        <v>103214589</v>
      </c>
      <c r="G147" s="92" t="s">
        <v>867</v>
      </c>
      <c r="H147" s="4" t="s">
        <v>594</v>
      </c>
      <c r="I147" s="4" t="s">
        <v>595</v>
      </c>
      <c r="J147" s="4" t="s">
        <v>20</v>
      </c>
      <c r="K147" s="4"/>
      <c r="L147" s="10"/>
      <c r="M147" s="4"/>
      <c r="N147" s="4"/>
      <c r="O147" s="4"/>
      <c r="P147" s="4"/>
      <c r="Q147" s="16" t="s">
        <v>427</v>
      </c>
      <c r="R147" s="81" t="s">
        <v>904</v>
      </c>
      <c r="S147" s="10" t="s">
        <v>602</v>
      </c>
      <c r="T147" s="32"/>
      <c r="U147" s="33"/>
      <c r="V147" s="33"/>
      <c r="W147" s="33"/>
      <c r="X147" s="33"/>
      <c r="Y147" s="33"/>
      <c r="Z147" s="33"/>
      <c r="AA147" s="33"/>
      <c r="AB14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48" spans="1:28" ht="30" x14ac:dyDescent="0.25">
      <c r="A148" s="4">
        <v>20</v>
      </c>
      <c r="B148" s="53" t="s">
        <v>779</v>
      </c>
      <c r="C148" s="53" t="s">
        <v>779</v>
      </c>
      <c r="D148" s="4"/>
      <c r="E148" s="4" t="s">
        <v>403</v>
      </c>
      <c r="F148" s="65">
        <v>106499888</v>
      </c>
      <c r="G148" s="22" t="s">
        <v>780</v>
      </c>
      <c r="H148" s="4" t="s">
        <v>588</v>
      </c>
      <c r="I148" s="4" t="s">
        <v>734</v>
      </c>
      <c r="J148" s="4" t="s">
        <v>767</v>
      </c>
      <c r="K148" s="4" t="s">
        <v>609</v>
      </c>
      <c r="L148" s="52"/>
      <c r="M148" s="4"/>
      <c r="N148" s="4"/>
      <c r="O148" s="4"/>
      <c r="P148" s="4"/>
      <c r="Q148" s="29" t="s">
        <v>781</v>
      </c>
      <c r="R148" s="25" t="s">
        <v>782</v>
      </c>
      <c r="S148" s="22" t="s">
        <v>600</v>
      </c>
      <c r="T148" s="33"/>
      <c r="U148" s="33"/>
      <c r="V148" s="33"/>
      <c r="W148" s="33"/>
      <c r="X148" s="33"/>
      <c r="Y148" s="33"/>
      <c r="Z148" s="33">
        <v>50000</v>
      </c>
      <c r="AA148" s="33"/>
      <c r="AB148" s="55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149" spans="1:28" ht="15.75" x14ac:dyDescent="0.25">
      <c r="A149" s="4">
        <v>124</v>
      </c>
      <c r="B149" s="16" t="s">
        <v>130</v>
      </c>
      <c r="C149" s="16" t="s">
        <v>130</v>
      </c>
      <c r="D149" s="4"/>
      <c r="E149" s="10" t="s">
        <v>402</v>
      </c>
      <c r="F149" s="65"/>
      <c r="G149" s="22"/>
      <c r="H149" s="4"/>
      <c r="I149" s="4"/>
      <c r="J149" s="4"/>
      <c r="K149" s="4"/>
      <c r="L149" s="10"/>
      <c r="M149" s="4"/>
      <c r="N149" s="4"/>
      <c r="O149" s="4"/>
      <c r="P149" s="4"/>
      <c r="Q149" s="18"/>
      <c r="R149" s="4"/>
      <c r="S149" s="10" t="s">
        <v>598</v>
      </c>
      <c r="T149" s="32"/>
      <c r="U149" s="33"/>
      <c r="V149" s="33"/>
      <c r="W149" s="33"/>
      <c r="X149" s="33"/>
      <c r="Y149" s="33"/>
      <c r="Z149" s="33"/>
      <c r="AA149" s="33"/>
      <c r="AB14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50" spans="1:28" ht="15.75" x14ac:dyDescent="0.25">
      <c r="A150" s="4">
        <v>84</v>
      </c>
      <c r="B150" s="16" t="s">
        <v>53</v>
      </c>
      <c r="C150" s="16" t="s">
        <v>53</v>
      </c>
      <c r="D150" s="4"/>
      <c r="E150" s="10" t="s">
        <v>402</v>
      </c>
      <c r="F150" s="65"/>
      <c r="G150" s="22"/>
      <c r="H150" s="4"/>
      <c r="I150" s="4"/>
      <c r="J150" s="4"/>
      <c r="K150" s="4"/>
      <c r="L150" s="10"/>
      <c r="M150" s="4"/>
      <c r="N150" s="4"/>
      <c r="O150" s="4"/>
      <c r="P150" s="4"/>
      <c r="Q150" s="16" t="s">
        <v>424</v>
      </c>
      <c r="R150" s="4"/>
      <c r="S150" s="10" t="s">
        <v>602</v>
      </c>
      <c r="T150" s="32"/>
      <c r="U150" s="33"/>
      <c r="V150" s="33"/>
      <c r="W150" s="33"/>
      <c r="X150" s="33"/>
      <c r="Y150" s="33"/>
      <c r="Z150" s="33"/>
      <c r="AA150" s="33"/>
      <c r="AB15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51" spans="1:28" ht="15.75" x14ac:dyDescent="0.25">
      <c r="A151" s="4">
        <v>101</v>
      </c>
      <c r="B151" s="16" t="s">
        <v>77</v>
      </c>
      <c r="C151" s="16" t="s">
        <v>78</v>
      </c>
      <c r="D151" s="4"/>
      <c r="E151" s="10" t="s">
        <v>401</v>
      </c>
      <c r="F151" s="65"/>
      <c r="G151" s="22"/>
      <c r="H151" s="4"/>
      <c r="I151" s="4"/>
      <c r="J151" s="4"/>
      <c r="K151" s="4"/>
      <c r="L151" s="10"/>
      <c r="M151" s="4"/>
      <c r="N151" s="4"/>
      <c r="O151" s="4"/>
      <c r="P151" s="4"/>
      <c r="Q151" s="16" t="s">
        <v>437</v>
      </c>
      <c r="R151" s="4"/>
      <c r="S151" s="10" t="s">
        <v>599</v>
      </c>
      <c r="T151" s="32"/>
      <c r="U151" s="33"/>
      <c r="V151" s="33"/>
      <c r="W151" s="33"/>
      <c r="X151" s="33"/>
      <c r="Y151" s="33"/>
      <c r="Z151" s="33"/>
      <c r="AA151" s="33"/>
      <c r="AB15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52" spans="1:28" ht="15.75" x14ac:dyDescent="0.25">
      <c r="A152" s="4">
        <v>181</v>
      </c>
      <c r="B152" s="16" t="s">
        <v>255</v>
      </c>
      <c r="C152" s="16" t="s">
        <v>255</v>
      </c>
      <c r="D152" s="4"/>
      <c r="E152" s="10" t="s">
        <v>403</v>
      </c>
      <c r="F152" s="65"/>
      <c r="G152" s="22"/>
      <c r="H152" s="4" t="s">
        <v>588</v>
      </c>
      <c r="I152" s="4" t="s">
        <v>633</v>
      </c>
      <c r="J152" s="4" t="s">
        <v>5</v>
      </c>
      <c r="K152" s="4"/>
      <c r="L152" s="10" t="s">
        <v>619</v>
      </c>
      <c r="M152" s="4"/>
      <c r="N152" s="4"/>
      <c r="O152" s="4"/>
      <c r="P152" s="4"/>
      <c r="Q152" s="16"/>
      <c r="R152" s="4"/>
      <c r="S152" s="10">
        <v>2026</v>
      </c>
      <c r="T152" s="32"/>
      <c r="U152" s="33"/>
      <c r="V152" s="33"/>
      <c r="W152" s="33"/>
      <c r="X152" s="33"/>
      <c r="Y152" s="33"/>
      <c r="Z152" s="33"/>
      <c r="AA152" s="33">
        <v>150000</v>
      </c>
      <c r="AB152" s="36">
        <f>Table1[[#This Row],[2019]]+Table1[[#This Row],[2020]]+Table1[[#This Row],[2021]]+Table1[[#This Row],[2022]]+Table1[[#This Row],[2023]]+Table1[[#This Row],[2024]]+Table1[[#This Row],[2025]]+Table1[[#This Row],[2026]]</f>
        <v>150000</v>
      </c>
    </row>
    <row r="153" spans="1:28" ht="15.75" x14ac:dyDescent="0.25">
      <c r="A153" s="4">
        <v>211</v>
      </c>
      <c r="B153" s="16" t="s">
        <v>333</v>
      </c>
      <c r="C153" s="16" t="s">
        <v>334</v>
      </c>
      <c r="D153" s="4"/>
      <c r="E153" s="10" t="s">
        <v>401</v>
      </c>
      <c r="F153" s="65"/>
      <c r="G153" s="22"/>
      <c r="H153" s="4"/>
      <c r="I153" s="4"/>
      <c r="J153" s="4"/>
      <c r="K153" s="4"/>
      <c r="L153" s="10" t="s">
        <v>618</v>
      </c>
      <c r="M153" s="4"/>
      <c r="N153" s="4"/>
      <c r="O153" s="4"/>
      <c r="P153" s="4"/>
      <c r="Q153" s="16" t="s">
        <v>559</v>
      </c>
      <c r="R153" s="4"/>
      <c r="S153" s="10" t="s">
        <v>600</v>
      </c>
      <c r="T153" s="32"/>
      <c r="U153" s="33"/>
      <c r="V153" s="33"/>
      <c r="W153" s="33"/>
      <c r="X153" s="33"/>
      <c r="Y153" s="33"/>
      <c r="Z153" s="33"/>
      <c r="AA153" s="33"/>
      <c r="AB15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54" spans="1:28" s="1" customFormat="1" ht="15.75" x14ac:dyDescent="0.25">
      <c r="A154" s="4">
        <v>215</v>
      </c>
      <c r="B154" s="16" t="s">
        <v>354</v>
      </c>
      <c r="C154" s="16" t="s">
        <v>354</v>
      </c>
      <c r="D154" s="4"/>
      <c r="E154" s="10" t="s">
        <v>401</v>
      </c>
      <c r="F154" s="65"/>
      <c r="G154" s="22"/>
      <c r="H154" s="4"/>
      <c r="I154" s="4"/>
      <c r="J154" s="4"/>
      <c r="K154" s="4"/>
      <c r="L154" s="10"/>
      <c r="M154" s="4"/>
      <c r="N154" s="4"/>
      <c r="O154" s="4"/>
      <c r="P154" s="4"/>
      <c r="Q154" s="18"/>
      <c r="R154" s="4"/>
      <c r="S154" s="10" t="s">
        <v>602</v>
      </c>
      <c r="T154" s="32"/>
      <c r="U154" s="33"/>
      <c r="V154" s="33"/>
      <c r="W154" s="33"/>
      <c r="X154" s="33"/>
      <c r="Y154" s="33"/>
      <c r="Z154" s="33"/>
      <c r="AA154" s="33"/>
      <c r="AB15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55" spans="1:28" ht="15.75" x14ac:dyDescent="0.25">
      <c r="A155" s="4">
        <v>237</v>
      </c>
      <c r="B155" s="16" t="s">
        <v>384</v>
      </c>
      <c r="C155" s="16" t="s">
        <v>385</v>
      </c>
      <c r="D155" s="4"/>
      <c r="E155" s="10" t="s">
        <v>402</v>
      </c>
      <c r="F155" s="65"/>
      <c r="G155" s="22"/>
      <c r="H155" s="4"/>
      <c r="I155" s="4"/>
      <c r="J155" s="4"/>
      <c r="K155" s="4"/>
      <c r="L155" s="10"/>
      <c r="M155" s="4"/>
      <c r="N155" s="4"/>
      <c r="O155" s="4"/>
      <c r="P155" s="4"/>
      <c r="Q155" s="18"/>
      <c r="R155" s="4"/>
      <c r="S155" s="10" t="s">
        <v>603</v>
      </c>
      <c r="T155" s="32"/>
      <c r="U155" s="33"/>
      <c r="V155" s="33"/>
      <c r="W155" s="33"/>
      <c r="X155" s="33"/>
      <c r="Y155" s="33"/>
      <c r="Z155" s="33"/>
      <c r="AA155" s="33"/>
      <c r="AB15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56" spans="1:28" s="44" customFormat="1" ht="15.75" x14ac:dyDescent="0.25">
      <c r="A156" s="4">
        <v>248</v>
      </c>
      <c r="B156" s="53" t="s">
        <v>801</v>
      </c>
      <c r="C156" s="57" t="s">
        <v>802</v>
      </c>
      <c r="D156" s="4"/>
      <c r="E156" s="4" t="s">
        <v>401</v>
      </c>
      <c r="F156" s="65"/>
      <c r="G156" s="22"/>
      <c r="H156" s="4" t="s">
        <v>584</v>
      </c>
      <c r="I156" s="4" t="s">
        <v>676</v>
      </c>
      <c r="J156" s="4" t="s">
        <v>767</v>
      </c>
      <c r="K156" s="4" t="s">
        <v>590</v>
      </c>
      <c r="L156" s="52"/>
      <c r="M156" s="4" t="s">
        <v>787</v>
      </c>
      <c r="N156" s="4">
        <v>1</v>
      </c>
      <c r="O156" s="4">
        <v>2</v>
      </c>
      <c r="P156" s="4"/>
      <c r="Q156" s="29">
        <v>788748714</v>
      </c>
      <c r="R156" s="25" t="s">
        <v>803</v>
      </c>
      <c r="S156" s="22" t="s">
        <v>637</v>
      </c>
      <c r="T156" s="33"/>
      <c r="U156" s="33"/>
      <c r="V156" s="33"/>
      <c r="W156" s="33"/>
      <c r="X156" s="33"/>
      <c r="Y156" s="33"/>
      <c r="Z156" s="33"/>
      <c r="AA156" s="33">
        <v>50000</v>
      </c>
      <c r="AB156" s="55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157" spans="1:28" ht="15.75" x14ac:dyDescent="0.25">
      <c r="A157" s="4">
        <v>159</v>
      </c>
      <c r="B157" s="16" t="s">
        <v>214</v>
      </c>
      <c r="C157" s="16" t="s">
        <v>214</v>
      </c>
      <c r="D157" s="4"/>
      <c r="E157" s="10" t="s">
        <v>402</v>
      </c>
      <c r="F157" s="65"/>
      <c r="G157" s="22"/>
      <c r="H157" s="4"/>
      <c r="I157" s="4"/>
      <c r="J157" s="4"/>
      <c r="K157" s="4"/>
      <c r="L157" s="10" t="s">
        <v>617</v>
      </c>
      <c r="M157" s="4"/>
      <c r="N157" s="4"/>
      <c r="O157" s="4"/>
      <c r="P157" s="4"/>
      <c r="Q157" s="16" t="s">
        <v>502</v>
      </c>
      <c r="R157" s="4"/>
      <c r="S157" s="10" t="s">
        <v>598</v>
      </c>
      <c r="T157" s="32"/>
      <c r="U157" s="33"/>
      <c r="V157" s="33"/>
      <c r="W157" s="33"/>
      <c r="X157" s="33"/>
      <c r="Y157" s="33"/>
      <c r="Z157" s="33"/>
      <c r="AA157" s="33"/>
      <c r="AB15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58" spans="1:28" ht="15.75" x14ac:dyDescent="0.25">
      <c r="A158" s="4">
        <v>160</v>
      </c>
      <c r="B158" s="16" t="s">
        <v>215</v>
      </c>
      <c r="C158" s="16" t="s">
        <v>215</v>
      </c>
      <c r="D158" s="4"/>
      <c r="E158" s="10" t="s">
        <v>402</v>
      </c>
      <c r="F158" s="65"/>
      <c r="G158" s="22"/>
      <c r="H158" s="4"/>
      <c r="I158" s="4"/>
      <c r="J158" s="4"/>
      <c r="K158" s="4"/>
      <c r="L158" s="10" t="s">
        <v>617</v>
      </c>
      <c r="M158" s="4"/>
      <c r="N158" s="4"/>
      <c r="O158" s="4"/>
      <c r="P158" s="4"/>
      <c r="Q158" s="16" t="s">
        <v>503</v>
      </c>
      <c r="R158" s="4"/>
      <c r="S158" s="10" t="s">
        <v>598</v>
      </c>
      <c r="T158" s="32"/>
      <c r="U158" s="33"/>
      <c r="V158" s="33"/>
      <c r="W158" s="33"/>
      <c r="X158" s="33"/>
      <c r="Y158" s="33"/>
      <c r="Z158" s="33"/>
      <c r="AA158" s="33"/>
      <c r="AB15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59" spans="1:28" ht="30" x14ac:dyDescent="0.25">
      <c r="A159" s="4">
        <v>59</v>
      </c>
      <c r="B159" s="11" t="s">
        <v>159</v>
      </c>
      <c r="C159" s="11" t="s">
        <v>160</v>
      </c>
      <c r="D159" s="4"/>
      <c r="E159" s="12" t="s">
        <v>401</v>
      </c>
      <c r="F159" s="65">
        <v>122701741</v>
      </c>
      <c r="G159" s="22" t="s">
        <v>784</v>
      </c>
      <c r="H159" s="4" t="s">
        <v>594</v>
      </c>
      <c r="I159" s="4" t="s">
        <v>595</v>
      </c>
      <c r="J159" s="4" t="s">
        <v>20</v>
      </c>
      <c r="K159" s="4" t="s">
        <v>590</v>
      </c>
      <c r="L159" s="10" t="s">
        <v>643</v>
      </c>
      <c r="M159" s="4" t="s">
        <v>591</v>
      </c>
      <c r="N159" s="4"/>
      <c r="O159" s="4">
        <v>6</v>
      </c>
      <c r="P159" s="4"/>
      <c r="Q159" s="11">
        <v>784008266</v>
      </c>
      <c r="R159" s="25" t="s">
        <v>785</v>
      </c>
      <c r="S159" s="14">
        <v>2025</v>
      </c>
      <c r="T159" s="34"/>
      <c r="U159" s="33"/>
      <c r="V159" s="33"/>
      <c r="W159" s="33"/>
      <c r="X159" s="33"/>
      <c r="Y159" s="33"/>
      <c r="Z159" s="33">
        <v>250000</v>
      </c>
      <c r="AA159" s="33"/>
      <c r="AB159" s="36">
        <f>Table1[[#This Row],[2019]]+Table1[[#This Row],[2020]]+Table1[[#This Row],[2021]]+Table1[[#This Row],[2022]]+Table1[[#This Row],[2023]]+Table1[[#This Row],[2024]]+Table1[[#This Row],[2025]]+Table1[[#This Row],[2026]]</f>
        <v>250000</v>
      </c>
    </row>
    <row r="160" spans="1:28" ht="15.75" x14ac:dyDescent="0.25">
      <c r="A160" s="4">
        <v>136</v>
      </c>
      <c r="B160" s="16" t="s">
        <v>159</v>
      </c>
      <c r="C160" s="16" t="s">
        <v>160</v>
      </c>
      <c r="D160" s="4"/>
      <c r="E160" s="10" t="s">
        <v>401</v>
      </c>
      <c r="F160" s="65"/>
      <c r="G160" s="22"/>
      <c r="H160" s="4"/>
      <c r="I160" s="4"/>
      <c r="J160" s="4"/>
      <c r="K160" s="4"/>
      <c r="L160" s="10" t="s">
        <v>632</v>
      </c>
      <c r="M160" s="4"/>
      <c r="N160" s="4"/>
      <c r="O160" s="4"/>
      <c r="P160" s="4"/>
      <c r="Q160" s="16">
        <v>784008266</v>
      </c>
      <c r="R160" s="4"/>
      <c r="S160" s="10"/>
      <c r="T160" s="32"/>
      <c r="U160" s="33"/>
      <c r="V160" s="33"/>
      <c r="W160" s="33"/>
      <c r="X160" s="33"/>
      <c r="Y160" s="33"/>
      <c r="Z160" s="33"/>
      <c r="AA160" s="33"/>
      <c r="AB16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61" spans="1:28" ht="30" x14ac:dyDescent="0.25">
      <c r="A161" s="4">
        <v>247</v>
      </c>
      <c r="B161" s="4" t="s">
        <v>634</v>
      </c>
      <c r="C161" s="4" t="s">
        <v>634</v>
      </c>
      <c r="D161" s="4" t="s">
        <v>639</v>
      </c>
      <c r="E161" s="4" t="s">
        <v>402</v>
      </c>
      <c r="F161" s="87"/>
      <c r="G161" s="22"/>
      <c r="H161" s="4" t="s">
        <v>594</v>
      </c>
      <c r="I161" s="4" t="s">
        <v>635</v>
      </c>
      <c r="J161" s="4" t="s">
        <v>20</v>
      </c>
      <c r="K161" s="4" t="s">
        <v>590</v>
      </c>
      <c r="L161" s="26" t="s">
        <v>613</v>
      </c>
      <c r="M161" s="4"/>
      <c r="N161" s="4">
        <v>1</v>
      </c>
      <c r="O161" s="4">
        <v>3</v>
      </c>
      <c r="P161" s="4"/>
      <c r="Q161" s="29" t="s">
        <v>636</v>
      </c>
      <c r="R161" s="4"/>
      <c r="S161" s="22" t="s">
        <v>598</v>
      </c>
      <c r="T161" s="33" t="s">
        <v>638</v>
      </c>
      <c r="U161" s="33">
        <v>0</v>
      </c>
      <c r="V161" s="33">
        <v>0</v>
      </c>
      <c r="W161" s="33">
        <v>0</v>
      </c>
      <c r="X161" s="33">
        <v>0</v>
      </c>
      <c r="Y161" s="33">
        <v>300000</v>
      </c>
      <c r="Z161" s="33"/>
      <c r="AA161" s="33"/>
      <c r="AB161" s="36">
        <f>Table1[[#This Row],[2019]]+Table1[[#This Row],[2020]]+Table1[[#This Row],[2021]]+Table1[[#This Row],[2022]]+Table1[[#This Row],[2023]]+Table1[[#This Row],[2024]]+Table1[[#This Row],[2025]]+Table1[[#This Row],[2026]]</f>
        <v>300000</v>
      </c>
    </row>
    <row r="162" spans="1:28" ht="30" x14ac:dyDescent="0.25">
      <c r="A162" s="4">
        <v>255</v>
      </c>
      <c r="B162" s="53" t="s">
        <v>834</v>
      </c>
      <c r="C162" s="53" t="s">
        <v>835</v>
      </c>
      <c r="D162" s="4"/>
      <c r="E162" s="4" t="s">
        <v>403</v>
      </c>
      <c r="F162" s="65">
        <v>103347536</v>
      </c>
      <c r="G162" s="22" t="s">
        <v>836</v>
      </c>
      <c r="H162" s="4" t="s">
        <v>594</v>
      </c>
      <c r="I162" s="4" t="s">
        <v>595</v>
      </c>
      <c r="J162" s="4" t="s">
        <v>20</v>
      </c>
      <c r="K162" s="4" t="s">
        <v>590</v>
      </c>
      <c r="L162" s="52" t="s">
        <v>643</v>
      </c>
      <c r="M162" s="4" t="s">
        <v>787</v>
      </c>
      <c r="N162" s="4"/>
      <c r="O162" s="4"/>
      <c r="P162" s="4"/>
      <c r="Q162" s="29" t="s">
        <v>837</v>
      </c>
      <c r="R162" s="25" t="s">
        <v>838</v>
      </c>
      <c r="S162" s="22" t="s">
        <v>600</v>
      </c>
      <c r="T162" s="33"/>
      <c r="U162" s="33"/>
      <c r="V162" s="33"/>
      <c r="W162" s="33"/>
      <c r="X162" s="33"/>
      <c r="Y162" s="33"/>
      <c r="Z162" s="33">
        <v>550000</v>
      </c>
      <c r="AA162" s="33"/>
      <c r="AB162" s="55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163" spans="1:28" ht="30" x14ac:dyDescent="0.25">
      <c r="A163" s="4">
        <v>171</v>
      </c>
      <c r="B163" s="16" t="s">
        <v>235</v>
      </c>
      <c r="C163" s="16" t="s">
        <v>235</v>
      </c>
      <c r="D163" s="4"/>
      <c r="E163" s="10" t="s">
        <v>401</v>
      </c>
      <c r="F163" s="65"/>
      <c r="G163" s="22"/>
      <c r="H163" s="4" t="s">
        <v>594</v>
      </c>
      <c r="I163" s="4" t="s">
        <v>635</v>
      </c>
      <c r="J163" s="4" t="s">
        <v>20</v>
      </c>
      <c r="K163" s="4" t="s">
        <v>590</v>
      </c>
      <c r="L163" s="10" t="s">
        <v>618</v>
      </c>
      <c r="M163" s="4" t="s">
        <v>591</v>
      </c>
      <c r="N163" s="4"/>
      <c r="O163" s="4">
        <v>2</v>
      </c>
      <c r="P163" s="4"/>
      <c r="Q163" s="16" t="s">
        <v>513</v>
      </c>
      <c r="R163" s="4"/>
      <c r="S163" s="10" t="s">
        <v>600</v>
      </c>
      <c r="T163" s="32"/>
      <c r="U163" s="33"/>
      <c r="V163" s="33"/>
      <c r="W163" s="33"/>
      <c r="X163" s="33"/>
      <c r="Y163" s="33"/>
      <c r="Z163" s="33">
        <v>200000</v>
      </c>
      <c r="AA163" s="33"/>
      <c r="AB163" s="36">
        <f>Table1[[#This Row],[2019]]+Table1[[#This Row],[2020]]+Table1[[#This Row],[2021]]+Table1[[#This Row],[2022]]+Table1[[#This Row],[2023]]+Table1[[#This Row],[2024]]+Table1[[#This Row],[2025]]+Table1[[#This Row],[2026]]</f>
        <v>200000</v>
      </c>
    </row>
    <row r="164" spans="1:28" ht="30" x14ac:dyDescent="0.25">
      <c r="A164" s="4">
        <v>23</v>
      </c>
      <c r="B164" s="16" t="s">
        <v>292</v>
      </c>
      <c r="C164" s="16" t="s">
        <v>293</v>
      </c>
      <c r="D164" s="4"/>
      <c r="E164" s="10" t="s">
        <v>404</v>
      </c>
      <c r="F164" s="65">
        <v>107744113</v>
      </c>
      <c r="G164" s="22" t="s">
        <v>668</v>
      </c>
      <c r="H164" s="4" t="s">
        <v>623</v>
      </c>
      <c r="I164" s="4" t="s">
        <v>669</v>
      </c>
      <c r="J164" s="4" t="s">
        <v>5</v>
      </c>
      <c r="K164" s="4" t="s">
        <v>609</v>
      </c>
      <c r="L164" s="10" t="s">
        <v>613</v>
      </c>
      <c r="M164" s="4"/>
      <c r="N164" s="4">
        <v>2</v>
      </c>
      <c r="O164" s="4">
        <v>8</v>
      </c>
      <c r="P164" s="4"/>
      <c r="Q164" s="16" t="s">
        <v>538</v>
      </c>
      <c r="R164" s="25" t="s">
        <v>670</v>
      </c>
      <c r="S164" s="10" t="s">
        <v>598</v>
      </c>
      <c r="T164" s="32"/>
      <c r="U164" s="33"/>
      <c r="V164" s="33"/>
      <c r="W164" s="33"/>
      <c r="X164" s="33"/>
      <c r="Y164" s="33">
        <v>300000</v>
      </c>
      <c r="Z164" s="33">
        <v>300000</v>
      </c>
      <c r="AA164" s="33"/>
      <c r="AB164" s="36">
        <f>Table1[[#This Row],[2019]]+Table1[[#This Row],[2020]]+Table1[[#This Row],[2021]]+Table1[[#This Row],[2022]]+Table1[[#This Row],[2023]]+Table1[[#This Row],[2024]]+Table1[[#This Row],[2025]]+Table1[[#This Row],[2026]]</f>
        <v>600000</v>
      </c>
    </row>
    <row r="165" spans="1:28" ht="15.75" x14ac:dyDescent="0.25">
      <c r="A165" s="4">
        <v>242</v>
      </c>
      <c r="B165" s="16" t="s">
        <v>392</v>
      </c>
      <c r="C165" s="16" t="s">
        <v>392</v>
      </c>
      <c r="D165" s="4"/>
      <c r="E165" s="10" t="s">
        <v>402</v>
      </c>
      <c r="F165" s="65"/>
      <c r="G165" s="22"/>
      <c r="H165" s="4"/>
      <c r="I165" s="4"/>
      <c r="J165" s="4"/>
      <c r="K165" s="4"/>
      <c r="L165" s="10"/>
      <c r="M165" s="4"/>
      <c r="N165" s="4"/>
      <c r="O165" s="4"/>
      <c r="P165" s="4"/>
      <c r="Q165" s="16" t="s">
        <v>578</v>
      </c>
      <c r="R165" s="4"/>
      <c r="S165" s="10" t="s">
        <v>599</v>
      </c>
      <c r="T165" s="32"/>
      <c r="U165" s="33"/>
      <c r="V165" s="33"/>
      <c r="W165" s="33"/>
      <c r="X165" s="33"/>
      <c r="Y165" s="33"/>
      <c r="Z165" s="33"/>
      <c r="AA165" s="33"/>
      <c r="AB16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66" spans="1:28" s="69" customFormat="1" ht="15.75" x14ac:dyDescent="0.25">
      <c r="A166" s="4">
        <v>232</v>
      </c>
      <c r="B166" s="16" t="s">
        <v>378</v>
      </c>
      <c r="C166" s="16" t="s">
        <v>378</v>
      </c>
      <c r="D166" s="4"/>
      <c r="E166" s="10" t="s">
        <v>402</v>
      </c>
      <c r="F166" s="65"/>
      <c r="G166" s="22"/>
      <c r="H166" s="4"/>
      <c r="I166" s="4"/>
      <c r="J166" s="4"/>
      <c r="K166" s="4"/>
      <c r="L166" s="10"/>
      <c r="M166" s="4"/>
      <c r="N166" s="4"/>
      <c r="O166" s="4"/>
      <c r="P166" s="4"/>
      <c r="Q166" s="18"/>
      <c r="R166" s="4"/>
      <c r="S166" s="10" t="s">
        <v>602</v>
      </c>
      <c r="T166" s="32"/>
      <c r="U166" s="33"/>
      <c r="V166" s="33"/>
      <c r="W166" s="33"/>
      <c r="X166" s="33"/>
      <c r="Y166" s="33"/>
      <c r="Z166" s="33"/>
      <c r="AA166" s="33"/>
      <c r="AB16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67" spans="1:28" ht="15.75" x14ac:dyDescent="0.25">
      <c r="A167" s="4">
        <v>246</v>
      </c>
      <c r="B167" s="16" t="s">
        <v>398</v>
      </c>
      <c r="C167" s="16" t="s">
        <v>399</v>
      </c>
      <c r="D167" s="4"/>
      <c r="E167" s="10" t="s">
        <v>402</v>
      </c>
      <c r="F167" s="65"/>
      <c r="G167" s="22"/>
      <c r="H167" s="4"/>
      <c r="I167" s="4"/>
      <c r="J167" s="4"/>
      <c r="K167" s="4"/>
      <c r="L167" s="10"/>
      <c r="M167" s="4"/>
      <c r="N167" s="4"/>
      <c r="O167" s="4"/>
      <c r="P167" s="4"/>
      <c r="Q167" s="16" t="s">
        <v>582</v>
      </c>
      <c r="R167" s="4"/>
      <c r="S167" s="10" t="s">
        <v>598</v>
      </c>
      <c r="T167" s="32"/>
      <c r="U167" s="33"/>
      <c r="V167" s="33"/>
      <c r="W167" s="33"/>
      <c r="X167" s="33"/>
      <c r="Y167" s="33"/>
      <c r="Z167" s="33"/>
      <c r="AA167" s="33"/>
      <c r="AB16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68" spans="1:28" ht="30" x14ac:dyDescent="0.25">
      <c r="A168" s="4">
        <v>250</v>
      </c>
      <c r="B168" s="57" t="s">
        <v>814</v>
      </c>
      <c r="C168" s="57" t="s">
        <v>814</v>
      </c>
      <c r="D168" s="4"/>
      <c r="E168" s="4" t="s">
        <v>401</v>
      </c>
      <c r="F168" s="65"/>
      <c r="G168" s="22" t="s">
        <v>823</v>
      </c>
      <c r="H168" s="4" t="s">
        <v>623</v>
      </c>
      <c r="I168" s="4" t="s">
        <v>669</v>
      </c>
      <c r="J168" s="4" t="s">
        <v>20</v>
      </c>
      <c r="K168" s="4" t="s">
        <v>609</v>
      </c>
      <c r="L168" s="52" t="s">
        <v>714</v>
      </c>
      <c r="M168" s="4" t="s">
        <v>787</v>
      </c>
      <c r="N168" s="4"/>
      <c r="O168" s="4"/>
      <c r="P168" s="4"/>
      <c r="Q168" s="29" t="s">
        <v>824</v>
      </c>
      <c r="R168" s="25"/>
      <c r="S168" s="22" t="s">
        <v>637</v>
      </c>
      <c r="T168" s="33"/>
      <c r="U168" s="33"/>
      <c r="V168" s="33"/>
      <c r="W168" s="33"/>
      <c r="X168" s="33"/>
      <c r="Y168" s="33"/>
      <c r="Z168" s="33"/>
      <c r="AA168" s="33">
        <v>50000</v>
      </c>
      <c r="AB168" s="55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169" spans="1:28" ht="15.75" x14ac:dyDescent="0.25">
      <c r="A169" s="4">
        <v>117</v>
      </c>
      <c r="B169" s="16" t="s">
        <v>115</v>
      </c>
      <c r="C169" s="16" t="s">
        <v>116</v>
      </c>
      <c r="D169" s="4"/>
      <c r="E169" s="10" t="s">
        <v>401</v>
      </c>
      <c r="F169" s="65"/>
      <c r="G169" s="22"/>
      <c r="H169" s="4"/>
      <c r="I169" s="4"/>
      <c r="J169" s="4"/>
      <c r="K169" s="4"/>
      <c r="L169" s="10"/>
      <c r="M169" s="4"/>
      <c r="N169" s="4"/>
      <c r="O169" s="4"/>
      <c r="P169" s="4"/>
      <c r="Q169" s="16" t="s">
        <v>457</v>
      </c>
      <c r="R169" s="4"/>
      <c r="S169" s="10" t="s">
        <v>598</v>
      </c>
      <c r="T169" s="32"/>
      <c r="U169" s="33"/>
      <c r="V169" s="33"/>
      <c r="W169" s="33"/>
      <c r="X169" s="33"/>
      <c r="Y169" s="33"/>
      <c r="Z169" s="33"/>
      <c r="AA169" s="33"/>
      <c r="AB16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70" spans="1:28" ht="15.75" x14ac:dyDescent="0.25">
      <c r="A170" s="4">
        <v>189</v>
      </c>
      <c r="B170" s="16" t="s">
        <v>276</v>
      </c>
      <c r="C170" s="16" t="s">
        <v>277</v>
      </c>
      <c r="D170" s="4"/>
      <c r="E170" s="10" t="s">
        <v>401</v>
      </c>
      <c r="F170" s="65"/>
      <c r="G170" s="22"/>
      <c r="H170" s="4"/>
      <c r="I170" s="4"/>
      <c r="J170" s="4"/>
      <c r="K170" s="4"/>
      <c r="L170" s="10" t="s">
        <v>617</v>
      </c>
      <c r="M170" s="4"/>
      <c r="N170" s="4"/>
      <c r="O170" s="4"/>
      <c r="P170" s="4"/>
      <c r="Q170" s="16" t="s">
        <v>530</v>
      </c>
      <c r="R170" s="4"/>
      <c r="S170" s="10" t="s">
        <v>598</v>
      </c>
      <c r="T170" s="32"/>
      <c r="U170" s="33"/>
      <c r="V170" s="33"/>
      <c r="W170" s="33"/>
      <c r="X170" s="33"/>
      <c r="Y170" s="33"/>
      <c r="Z170" s="33"/>
      <c r="AA170" s="33"/>
      <c r="AB17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71" spans="1:28" ht="15.75" x14ac:dyDescent="0.25">
      <c r="A171" s="4">
        <v>94</v>
      </c>
      <c r="B171" s="16" t="s">
        <v>65</v>
      </c>
      <c r="C171" s="16" t="s">
        <v>66</v>
      </c>
      <c r="D171" s="4"/>
      <c r="E171" s="10" t="s">
        <v>401</v>
      </c>
      <c r="F171" s="65"/>
      <c r="G171" s="22"/>
      <c r="H171" s="4"/>
      <c r="I171" s="4"/>
      <c r="J171" s="4"/>
      <c r="K171" s="4"/>
      <c r="L171" s="10"/>
      <c r="M171" s="4"/>
      <c r="N171" s="4"/>
      <c r="O171" s="4"/>
      <c r="P171" s="4"/>
      <c r="Q171" s="16" t="s">
        <v>432</v>
      </c>
      <c r="R171" s="4"/>
      <c r="S171" s="10" t="s">
        <v>599</v>
      </c>
      <c r="T171" s="32"/>
      <c r="U171" s="33"/>
      <c r="V171" s="33"/>
      <c r="W171" s="33"/>
      <c r="X171" s="33"/>
      <c r="Y171" s="33"/>
      <c r="Z171" s="33"/>
      <c r="AA171" s="33"/>
      <c r="AB17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72" spans="1:28" ht="15.75" x14ac:dyDescent="0.25">
      <c r="A172" s="4">
        <v>217</v>
      </c>
      <c r="B172" s="16" t="s">
        <v>355</v>
      </c>
      <c r="C172" s="16" t="s">
        <v>356</v>
      </c>
      <c r="D172" s="4"/>
      <c r="E172" s="10" t="s">
        <v>401</v>
      </c>
      <c r="F172" s="65"/>
      <c r="G172" s="22"/>
      <c r="H172" s="4"/>
      <c r="I172" s="4"/>
      <c r="J172" s="4"/>
      <c r="K172" s="4"/>
      <c r="L172" s="10"/>
      <c r="M172" s="4"/>
      <c r="N172" s="4"/>
      <c r="O172" s="4"/>
      <c r="P172" s="4"/>
      <c r="Q172" s="16" t="s">
        <v>566</v>
      </c>
      <c r="R172" s="4"/>
      <c r="S172" s="10" t="s">
        <v>602</v>
      </c>
      <c r="T172" s="32"/>
      <c r="U172" s="33"/>
      <c r="V172" s="33"/>
      <c r="W172" s="33"/>
      <c r="X172" s="33"/>
      <c r="Y172" s="33"/>
      <c r="Z172" s="33"/>
      <c r="AA172" s="33"/>
      <c r="AB17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73" spans="1:28" ht="31.5" x14ac:dyDescent="0.25">
      <c r="A173" s="4">
        <v>125</v>
      </c>
      <c r="B173" s="16" t="s">
        <v>131</v>
      </c>
      <c r="C173" s="16" t="s">
        <v>132</v>
      </c>
      <c r="D173" s="4"/>
      <c r="E173" s="10" t="s">
        <v>402</v>
      </c>
      <c r="F173" s="65"/>
      <c r="G173" s="22"/>
      <c r="H173" s="4"/>
      <c r="I173" s="4"/>
      <c r="J173" s="4"/>
      <c r="K173" s="4"/>
      <c r="L173" s="10"/>
      <c r="M173" s="4"/>
      <c r="N173" s="4"/>
      <c r="O173" s="4"/>
      <c r="P173" s="4"/>
      <c r="Q173" s="26"/>
      <c r="R173" s="4"/>
      <c r="S173" s="10" t="s">
        <v>598</v>
      </c>
      <c r="T173" s="32"/>
      <c r="U173" s="33"/>
      <c r="V173" s="33"/>
      <c r="W173" s="33"/>
      <c r="X173" s="33"/>
      <c r="Y173" s="33"/>
      <c r="Z173" s="33"/>
      <c r="AA173" s="33"/>
      <c r="AB17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74" spans="1:28" ht="15.75" x14ac:dyDescent="0.25">
      <c r="A174" s="4">
        <v>218</v>
      </c>
      <c r="B174" s="16" t="s">
        <v>357</v>
      </c>
      <c r="C174" s="16" t="s">
        <v>358</v>
      </c>
      <c r="D174" s="4"/>
      <c r="E174" s="10" t="s">
        <v>401</v>
      </c>
      <c r="F174" s="65"/>
      <c r="G174" s="22"/>
      <c r="H174" s="4"/>
      <c r="I174" s="4"/>
      <c r="J174" s="4"/>
      <c r="K174" s="4"/>
      <c r="L174" s="10"/>
      <c r="M174" s="4"/>
      <c r="N174" s="4"/>
      <c r="O174" s="4"/>
      <c r="P174" s="4"/>
      <c r="Q174" s="16" t="s">
        <v>567</v>
      </c>
      <c r="R174" s="4"/>
      <c r="S174" s="10" t="s">
        <v>602</v>
      </c>
      <c r="T174" s="32"/>
      <c r="U174" s="33"/>
      <c r="V174" s="33"/>
      <c r="W174" s="33"/>
      <c r="X174" s="33"/>
      <c r="Y174" s="33"/>
      <c r="Z174" s="33"/>
      <c r="AA174" s="33"/>
      <c r="AB17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75" spans="1:28" ht="15.75" x14ac:dyDescent="0.25">
      <c r="A175" s="4">
        <v>219</v>
      </c>
      <c r="B175" s="16" t="s">
        <v>359</v>
      </c>
      <c r="C175" s="16" t="s">
        <v>359</v>
      </c>
      <c r="D175" s="4"/>
      <c r="E175" s="10" t="s">
        <v>401</v>
      </c>
      <c r="F175" s="65"/>
      <c r="G175" s="22"/>
      <c r="H175" s="4"/>
      <c r="I175" s="4"/>
      <c r="J175" s="4"/>
      <c r="K175" s="4"/>
      <c r="L175" s="10"/>
      <c r="M175" s="4"/>
      <c r="N175" s="4"/>
      <c r="O175" s="4"/>
      <c r="P175" s="4"/>
      <c r="Q175" s="16">
        <v>788852055</v>
      </c>
      <c r="R175" s="4"/>
      <c r="S175" s="10" t="s">
        <v>602</v>
      </c>
      <c r="T175" s="32"/>
      <c r="U175" s="33"/>
      <c r="V175" s="33"/>
      <c r="W175" s="33"/>
      <c r="X175" s="33"/>
      <c r="Y175" s="33"/>
      <c r="Z175" s="33"/>
      <c r="AA175" s="33"/>
      <c r="AB17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76" spans="1:28" ht="15.75" x14ac:dyDescent="0.25">
      <c r="A176" s="4">
        <v>141</v>
      </c>
      <c r="B176" s="16" t="s">
        <v>174</v>
      </c>
      <c r="C176" s="16" t="s">
        <v>174</v>
      </c>
      <c r="D176" s="4"/>
      <c r="E176" s="10" t="s">
        <v>401</v>
      </c>
      <c r="F176" s="65"/>
      <c r="G176" s="22"/>
      <c r="H176" s="4"/>
      <c r="I176" s="4"/>
      <c r="J176" s="4"/>
      <c r="K176" s="4"/>
      <c r="L176" s="10" t="s">
        <v>643</v>
      </c>
      <c r="M176" s="4"/>
      <c r="N176" s="4"/>
      <c r="O176" s="4"/>
      <c r="P176" s="4"/>
      <c r="Q176" s="16" t="s">
        <v>479</v>
      </c>
      <c r="R176" s="4"/>
      <c r="S176" s="10" t="s">
        <v>600</v>
      </c>
      <c r="T176" s="32"/>
      <c r="U176" s="33"/>
      <c r="V176" s="33"/>
      <c r="W176" s="33"/>
      <c r="X176" s="33"/>
      <c r="Y176" s="33"/>
      <c r="Z176" s="33"/>
      <c r="AA176" s="33"/>
      <c r="AB17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77" spans="1:28" ht="31.5" x14ac:dyDescent="0.25">
      <c r="A177" s="4">
        <v>109</v>
      </c>
      <c r="B177" s="16" t="s">
        <v>98</v>
      </c>
      <c r="C177" s="16" t="s">
        <v>99</v>
      </c>
      <c r="D177" s="4"/>
      <c r="E177" s="10" t="s">
        <v>401</v>
      </c>
      <c r="F177" s="65"/>
      <c r="G177" s="22"/>
      <c r="H177" s="4" t="s">
        <v>594</v>
      </c>
      <c r="I177" s="4" t="s">
        <v>595</v>
      </c>
      <c r="J177" s="4" t="s">
        <v>20</v>
      </c>
      <c r="K177" s="4" t="s">
        <v>590</v>
      </c>
      <c r="L177" s="10" t="s">
        <v>613</v>
      </c>
      <c r="M177" s="4"/>
      <c r="N177" s="4"/>
      <c r="O177" s="4"/>
      <c r="P177" s="4"/>
      <c r="Q177" s="16" t="s">
        <v>448</v>
      </c>
      <c r="R177" s="4"/>
      <c r="S177" s="10" t="s">
        <v>598</v>
      </c>
      <c r="T177" s="32"/>
      <c r="U177" s="33"/>
      <c r="V177" s="33"/>
      <c r="W177" s="33"/>
      <c r="X177" s="33"/>
      <c r="Y177" s="33">
        <v>320000</v>
      </c>
      <c r="Z177" s="33"/>
      <c r="AA177" s="33"/>
      <c r="AB177" s="36">
        <f>Table1[[#This Row],[2019]]+Table1[[#This Row],[2020]]+Table1[[#This Row],[2021]]+Table1[[#This Row],[2022]]+Table1[[#This Row],[2023]]+Table1[[#This Row],[2024]]+Table1[[#This Row],[2025]]+Table1[[#This Row],[2026]]</f>
        <v>320000</v>
      </c>
    </row>
    <row r="178" spans="1:28" ht="30" x14ac:dyDescent="0.25">
      <c r="A178" s="4">
        <v>86</v>
      </c>
      <c r="B178" s="16" t="s">
        <v>56</v>
      </c>
      <c r="C178" s="16" t="s">
        <v>57</v>
      </c>
      <c r="D178" s="4"/>
      <c r="E178" s="10" t="s">
        <v>402</v>
      </c>
      <c r="F178" s="98">
        <v>106274007</v>
      </c>
      <c r="G178" s="99" t="s">
        <v>879</v>
      </c>
      <c r="H178" s="4" t="s">
        <v>594</v>
      </c>
      <c r="I178" s="4" t="s">
        <v>595</v>
      </c>
      <c r="J178" s="4" t="s">
        <v>20</v>
      </c>
      <c r="K178" s="4" t="s">
        <v>590</v>
      </c>
      <c r="L178" s="10" t="s">
        <v>614</v>
      </c>
      <c r="M178" s="4"/>
      <c r="N178" s="4"/>
      <c r="O178" s="4"/>
      <c r="P178" s="4"/>
      <c r="Q178" s="16" t="s">
        <v>425</v>
      </c>
      <c r="R178" s="80" t="s">
        <v>914</v>
      </c>
      <c r="S178" s="10" t="s">
        <v>602</v>
      </c>
      <c r="T178" s="32"/>
      <c r="U178" s="33"/>
      <c r="V178" s="33"/>
      <c r="W178" s="33"/>
      <c r="X178" s="33"/>
      <c r="Y178" s="33"/>
      <c r="Z178" s="33"/>
      <c r="AA178" s="33"/>
      <c r="AB17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79" spans="1:28" ht="15.75" x14ac:dyDescent="0.25">
      <c r="A179" s="4">
        <v>78</v>
      </c>
      <c r="B179" s="16" t="s">
        <v>43</v>
      </c>
      <c r="C179" s="16" t="s">
        <v>44</v>
      </c>
      <c r="D179" s="4"/>
      <c r="E179" s="10" t="s">
        <v>401</v>
      </c>
      <c r="F179" s="89">
        <v>119626829</v>
      </c>
      <c r="G179" s="92" t="s">
        <v>885</v>
      </c>
      <c r="H179" s="4"/>
      <c r="I179" s="4"/>
      <c r="J179" s="4"/>
      <c r="K179" s="4"/>
      <c r="L179" s="10" t="s">
        <v>643</v>
      </c>
      <c r="M179" s="4"/>
      <c r="N179" s="4"/>
      <c r="O179" s="4"/>
      <c r="P179" s="4"/>
      <c r="Q179" s="16" t="s">
        <v>419</v>
      </c>
      <c r="R179" s="4"/>
      <c r="S179" s="10" t="s">
        <v>602</v>
      </c>
      <c r="T179" s="32"/>
      <c r="U179" s="33"/>
      <c r="V179" s="33"/>
      <c r="W179" s="33"/>
      <c r="X179" s="33"/>
      <c r="Y179" s="33"/>
      <c r="Z179" s="33"/>
      <c r="AA179" s="33"/>
      <c r="AB17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80" spans="1:28" ht="15.75" x14ac:dyDescent="0.25">
      <c r="A180" s="4">
        <v>238</v>
      </c>
      <c r="B180" s="16" t="s">
        <v>386</v>
      </c>
      <c r="C180" s="16" t="s">
        <v>386</v>
      </c>
      <c r="D180" s="4"/>
      <c r="E180" s="10" t="s">
        <v>401</v>
      </c>
      <c r="F180" s="65"/>
      <c r="G180" s="22"/>
      <c r="H180" s="4"/>
      <c r="I180" s="4"/>
      <c r="J180" s="4"/>
      <c r="K180" s="4"/>
      <c r="L180" s="10"/>
      <c r="M180" s="4"/>
      <c r="N180" s="4"/>
      <c r="O180" s="4"/>
      <c r="P180" s="4"/>
      <c r="Q180" s="16" t="s">
        <v>574</v>
      </c>
      <c r="R180" s="4"/>
      <c r="S180" s="10" t="s">
        <v>601</v>
      </c>
      <c r="T180" s="32"/>
      <c r="U180" s="33"/>
      <c r="V180" s="33"/>
      <c r="W180" s="33"/>
      <c r="X180" s="33"/>
      <c r="Y180" s="33"/>
      <c r="Z180" s="33"/>
      <c r="AA180" s="33"/>
      <c r="AB18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81" spans="1:28" ht="15.75" x14ac:dyDescent="0.25">
      <c r="A181" s="4">
        <v>234</v>
      </c>
      <c r="B181" s="16" t="s">
        <v>380</v>
      </c>
      <c r="C181" s="16" t="s">
        <v>380</v>
      </c>
      <c r="D181" s="4"/>
      <c r="E181" s="10" t="s">
        <v>401</v>
      </c>
      <c r="F181" s="65"/>
      <c r="G181" s="22"/>
      <c r="H181" s="4"/>
      <c r="I181" s="4"/>
      <c r="J181" s="4"/>
      <c r="K181" s="4"/>
      <c r="L181" s="10"/>
      <c r="M181" s="4"/>
      <c r="N181" s="4"/>
      <c r="O181" s="4"/>
      <c r="P181" s="4"/>
      <c r="Q181" s="18"/>
      <c r="R181" s="4"/>
      <c r="S181" s="10" t="s">
        <v>604</v>
      </c>
      <c r="T181" s="32"/>
      <c r="U181" s="33"/>
      <c r="V181" s="33"/>
      <c r="W181" s="33"/>
      <c r="X181" s="33"/>
      <c r="Y181" s="33"/>
      <c r="Z181" s="33"/>
      <c r="AA181" s="33"/>
      <c r="AB18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82" spans="1:28" ht="15.75" x14ac:dyDescent="0.25">
      <c r="A182" s="4">
        <v>110</v>
      </c>
      <c r="B182" s="16" t="s">
        <v>100</v>
      </c>
      <c r="C182" s="16" t="s">
        <v>100</v>
      </c>
      <c r="D182" s="4"/>
      <c r="E182" s="10" t="s">
        <v>401</v>
      </c>
      <c r="F182" s="65"/>
      <c r="G182" s="22"/>
      <c r="H182" s="4"/>
      <c r="I182" s="4"/>
      <c r="J182" s="4"/>
      <c r="K182" s="4"/>
      <c r="L182" s="10"/>
      <c r="M182" s="4"/>
      <c r="N182" s="4"/>
      <c r="O182" s="4"/>
      <c r="P182" s="4"/>
      <c r="Q182" s="16">
        <v>787183322</v>
      </c>
      <c r="R182" s="4"/>
      <c r="S182" s="10" t="s">
        <v>598</v>
      </c>
      <c r="T182" s="32"/>
      <c r="U182" s="33"/>
      <c r="V182" s="33"/>
      <c r="W182" s="33"/>
      <c r="X182" s="33"/>
      <c r="Y182" s="33"/>
      <c r="Z182" s="33"/>
      <c r="AA182" s="33"/>
      <c r="AB18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83" spans="1:28" ht="30" x14ac:dyDescent="0.25">
      <c r="A183" s="4">
        <v>21</v>
      </c>
      <c r="B183" s="16" t="s">
        <v>187</v>
      </c>
      <c r="C183" s="16" t="s">
        <v>188</v>
      </c>
      <c r="D183" s="4"/>
      <c r="E183" s="10" t="s">
        <v>401</v>
      </c>
      <c r="F183" s="65">
        <v>106596966</v>
      </c>
      <c r="G183" s="22" t="s">
        <v>660</v>
      </c>
      <c r="H183" s="4" t="s">
        <v>594</v>
      </c>
      <c r="I183" s="4" t="s">
        <v>595</v>
      </c>
      <c r="J183" s="4" t="s">
        <v>20</v>
      </c>
      <c r="K183" s="4" t="s">
        <v>590</v>
      </c>
      <c r="L183" s="10" t="s">
        <v>643</v>
      </c>
      <c r="M183" s="4"/>
      <c r="N183" s="4"/>
      <c r="O183" s="4">
        <v>4</v>
      </c>
      <c r="P183" s="4"/>
      <c r="Q183" s="16" t="s">
        <v>487</v>
      </c>
      <c r="R183" s="25" t="s">
        <v>661</v>
      </c>
      <c r="S183" s="10" t="s">
        <v>598</v>
      </c>
      <c r="T183" s="32"/>
      <c r="U183" s="33"/>
      <c r="V183" s="33"/>
      <c r="W183" s="33"/>
      <c r="X183" s="33"/>
      <c r="Y183" s="33">
        <v>500000</v>
      </c>
      <c r="Z183" s="33">
        <v>500000</v>
      </c>
      <c r="AA183" s="33"/>
      <c r="AB183" s="36">
        <f>Table1[[#This Row],[2019]]+Table1[[#This Row],[2020]]+Table1[[#This Row],[2021]]+Table1[[#This Row],[2022]]+Table1[[#This Row],[2023]]+Table1[[#This Row],[2024]]+Table1[[#This Row],[2025]]+Table1[[#This Row],[2026]]</f>
        <v>1000000</v>
      </c>
    </row>
    <row r="184" spans="1:28" ht="15.75" x14ac:dyDescent="0.25">
      <c r="A184" s="4">
        <v>143</v>
      </c>
      <c r="B184" s="16" t="s">
        <v>177</v>
      </c>
      <c r="C184" s="16" t="s">
        <v>177</v>
      </c>
      <c r="D184" s="4"/>
      <c r="E184" s="10" t="s">
        <v>401</v>
      </c>
      <c r="F184" s="65"/>
      <c r="G184" s="22"/>
      <c r="H184" s="4"/>
      <c r="I184" s="4"/>
      <c r="J184" s="4"/>
      <c r="K184" s="4"/>
      <c r="L184" s="10"/>
      <c r="M184" s="4"/>
      <c r="N184" s="4"/>
      <c r="O184" s="4"/>
      <c r="P184" s="4"/>
      <c r="Q184" s="16" t="s">
        <v>481</v>
      </c>
      <c r="R184" s="4"/>
      <c r="S184" s="10" t="s">
        <v>598</v>
      </c>
      <c r="T184" s="32"/>
      <c r="U184" s="33"/>
      <c r="V184" s="33"/>
      <c r="W184" s="33"/>
      <c r="X184" s="33"/>
      <c r="Y184" s="33"/>
      <c r="Z184" s="33"/>
      <c r="AA184" s="33"/>
      <c r="AB18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85" spans="1:28" ht="30" x14ac:dyDescent="0.25">
      <c r="A185" s="4">
        <v>249</v>
      </c>
      <c r="B185" s="53" t="s">
        <v>806</v>
      </c>
      <c r="C185" s="53" t="s">
        <v>806</v>
      </c>
      <c r="D185" s="4"/>
      <c r="E185" s="4" t="s">
        <v>401</v>
      </c>
      <c r="F185" s="65"/>
      <c r="G185" s="22"/>
      <c r="H185" s="4" t="s">
        <v>584</v>
      </c>
      <c r="I185" s="4" t="s">
        <v>663</v>
      </c>
      <c r="J185" s="4" t="s">
        <v>20</v>
      </c>
      <c r="K185" s="4" t="s">
        <v>590</v>
      </c>
      <c r="L185" s="52" t="s">
        <v>714</v>
      </c>
      <c r="M185" s="4" t="s">
        <v>787</v>
      </c>
      <c r="N185" s="4"/>
      <c r="O185" s="4"/>
      <c r="P185" s="4"/>
      <c r="Q185" s="29">
        <v>788834461</v>
      </c>
      <c r="R185" s="25" t="s">
        <v>807</v>
      </c>
      <c r="S185" s="22" t="s">
        <v>637</v>
      </c>
      <c r="T185" s="33"/>
      <c r="U185" s="33"/>
      <c r="V185" s="33"/>
      <c r="W185" s="33"/>
      <c r="X185" s="33"/>
      <c r="Y185" s="33"/>
      <c r="Z185" s="33"/>
      <c r="AA185" s="33">
        <v>150000</v>
      </c>
      <c r="AB185" s="55">
        <f>Table1[[#This Row],[2019]]+Table1[[#This Row],[2020]]+Table1[[#This Row],[2021]]+Table1[[#This Row],[2022]]+Table1[[#This Row],[2023]]+Table1[[#This Row],[2024]]+Table1[[#This Row],[2025]]+Table1[[#This Row],[2026]]</f>
        <v>150000</v>
      </c>
    </row>
    <row r="186" spans="1:28" ht="15.75" x14ac:dyDescent="0.25">
      <c r="A186" s="4">
        <v>34</v>
      </c>
      <c r="B186" s="57" t="s">
        <v>773</v>
      </c>
      <c r="C186" s="57" t="s">
        <v>771</v>
      </c>
      <c r="D186" s="4"/>
      <c r="E186" s="4" t="s">
        <v>401</v>
      </c>
      <c r="F186" s="65">
        <v>111408728</v>
      </c>
      <c r="G186" s="22" t="s">
        <v>774</v>
      </c>
      <c r="H186" s="4" t="s">
        <v>584</v>
      </c>
      <c r="I186" s="4" t="s">
        <v>676</v>
      </c>
      <c r="J186" s="4" t="s">
        <v>767</v>
      </c>
      <c r="K186" s="4" t="s">
        <v>609</v>
      </c>
      <c r="L186" s="52"/>
      <c r="M186" s="4"/>
      <c r="N186" s="4">
        <v>1</v>
      </c>
      <c r="O186" s="4">
        <v>1</v>
      </c>
      <c r="P186" s="4"/>
      <c r="Q186" s="29" t="s">
        <v>772</v>
      </c>
      <c r="R186" s="25" t="s">
        <v>775</v>
      </c>
      <c r="S186" s="22" t="s">
        <v>637</v>
      </c>
      <c r="T186" s="33"/>
      <c r="U186" s="33"/>
      <c r="V186" s="33"/>
      <c r="W186" s="33"/>
      <c r="X186" s="33"/>
      <c r="Y186" s="33"/>
      <c r="Z186" s="33"/>
      <c r="AA186" s="33">
        <v>50000</v>
      </c>
      <c r="AB186" s="55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187" spans="1:28" ht="31.5" x14ac:dyDescent="0.25">
      <c r="A187" s="4">
        <v>4</v>
      </c>
      <c r="B187" s="16" t="s">
        <v>189</v>
      </c>
      <c r="C187" s="16" t="s">
        <v>189</v>
      </c>
      <c r="D187" s="4"/>
      <c r="E187" s="10" t="s">
        <v>401</v>
      </c>
      <c r="F187" s="65">
        <v>101979311</v>
      </c>
      <c r="G187" s="22" t="s">
        <v>701</v>
      </c>
      <c r="H187" s="4" t="s">
        <v>594</v>
      </c>
      <c r="I187" s="4" t="s">
        <v>635</v>
      </c>
      <c r="J187" s="4" t="s">
        <v>20</v>
      </c>
      <c r="K187" s="4" t="s">
        <v>609</v>
      </c>
      <c r="L187" s="10" t="s">
        <v>643</v>
      </c>
      <c r="M187" s="4"/>
      <c r="N187" s="4"/>
      <c r="O187" s="4"/>
      <c r="P187" s="4"/>
      <c r="Q187" s="16" t="s">
        <v>488</v>
      </c>
      <c r="R187" s="4"/>
      <c r="S187" s="10" t="s">
        <v>598</v>
      </c>
      <c r="T187" s="32"/>
      <c r="U187" s="33"/>
      <c r="V187" s="33"/>
      <c r="W187" s="33"/>
      <c r="X187" s="33"/>
      <c r="Y187" s="33"/>
      <c r="Z187" s="33"/>
      <c r="AA187" s="33"/>
      <c r="AB18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88" spans="1:28" ht="30" x14ac:dyDescent="0.25">
      <c r="A188" s="65">
        <v>203</v>
      </c>
      <c r="B188" s="13" t="s">
        <v>313</v>
      </c>
      <c r="C188" s="13" t="s">
        <v>314</v>
      </c>
      <c r="D188" s="65"/>
      <c r="E188" s="15" t="s">
        <v>401</v>
      </c>
      <c r="F188" s="65"/>
      <c r="G188" s="66"/>
      <c r="H188" s="65" t="s">
        <v>588</v>
      </c>
      <c r="I188" s="65" t="s">
        <v>589</v>
      </c>
      <c r="J188" s="65" t="s">
        <v>20</v>
      </c>
      <c r="K188" s="65" t="s">
        <v>609</v>
      </c>
      <c r="L188" s="15" t="s">
        <v>714</v>
      </c>
      <c r="M188" s="65"/>
      <c r="N188" s="65"/>
      <c r="O188" s="65"/>
      <c r="P188" s="65"/>
      <c r="Q188" s="70" t="s">
        <v>489</v>
      </c>
      <c r="R188" s="65"/>
      <c r="S188" s="10">
        <v>2024</v>
      </c>
      <c r="T188" s="32"/>
      <c r="U188" s="67"/>
      <c r="V188" s="67"/>
      <c r="W188" s="67"/>
      <c r="X188" s="67"/>
      <c r="Y188" s="20">
        <v>120000</v>
      </c>
      <c r="Z188" s="67">
        <v>100000</v>
      </c>
      <c r="AA188" s="67"/>
      <c r="AB188" s="68">
        <f>Table1[[#This Row],[2019]]+Table1[[#This Row],[2020]]+Table1[[#This Row],[2021]]+Table1[[#This Row],[2022]]+Table1[[#This Row],[2023]]+Table1[[#This Row],[2024]]+Table1[[#This Row],[2025]]+Table1[[#This Row],[2026]]</f>
        <v>220000</v>
      </c>
    </row>
    <row r="189" spans="1:28" ht="40.5" x14ac:dyDescent="0.3">
      <c r="A189" s="4">
        <v>26</v>
      </c>
      <c r="B189" s="16" t="s">
        <v>26</v>
      </c>
      <c r="C189" s="16" t="s">
        <v>26</v>
      </c>
      <c r="D189" s="4"/>
      <c r="E189" s="10" t="s">
        <v>402</v>
      </c>
      <c r="F189" s="65">
        <v>108151460</v>
      </c>
      <c r="G189" s="22" t="s">
        <v>749</v>
      </c>
      <c r="H189" s="4" t="s">
        <v>584</v>
      </c>
      <c r="I189" s="4" t="s">
        <v>585</v>
      </c>
      <c r="J189" s="61" t="s">
        <v>20</v>
      </c>
      <c r="K189" s="4" t="s">
        <v>590</v>
      </c>
      <c r="L189" s="10" t="s">
        <v>643</v>
      </c>
      <c r="M189" s="4"/>
      <c r="N189" s="4">
        <v>1</v>
      </c>
      <c r="O189" s="4">
        <v>9</v>
      </c>
      <c r="P189" s="4"/>
      <c r="Q189" s="16" t="s">
        <v>411</v>
      </c>
      <c r="R189" s="25" t="s">
        <v>750</v>
      </c>
      <c r="S189" s="10" t="s">
        <v>600</v>
      </c>
      <c r="T189" s="32"/>
      <c r="U189" s="33"/>
      <c r="V189" s="33"/>
      <c r="W189" s="33"/>
      <c r="X189" s="33"/>
      <c r="Y189" s="33"/>
      <c r="Z189" s="33">
        <v>550000</v>
      </c>
      <c r="AA189" s="33"/>
      <c r="AB189" s="36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190" spans="1:28" ht="30" x14ac:dyDescent="0.25">
      <c r="A190" s="4">
        <v>139</v>
      </c>
      <c r="B190" s="16" t="s">
        <v>167</v>
      </c>
      <c r="C190" s="16" t="s">
        <v>167</v>
      </c>
      <c r="D190" s="4"/>
      <c r="E190" s="10" t="s">
        <v>401</v>
      </c>
      <c r="F190" s="76">
        <v>105448027</v>
      </c>
      <c r="G190" s="77" t="s">
        <v>851</v>
      </c>
      <c r="H190" s="4" t="s">
        <v>594</v>
      </c>
      <c r="I190" s="4" t="s">
        <v>635</v>
      </c>
      <c r="J190" s="4" t="s">
        <v>20</v>
      </c>
      <c r="K190" s="4" t="s">
        <v>609</v>
      </c>
      <c r="L190" s="10" t="s">
        <v>613</v>
      </c>
      <c r="M190" s="4"/>
      <c r="N190" s="4"/>
      <c r="O190" s="4"/>
      <c r="P190" s="4"/>
      <c r="Q190" s="16" t="s">
        <v>475</v>
      </c>
      <c r="R190" s="4"/>
      <c r="S190" s="10" t="s">
        <v>599</v>
      </c>
      <c r="T190" s="32"/>
      <c r="U190" s="33"/>
      <c r="V190" s="33"/>
      <c r="W190" s="33"/>
      <c r="X190" s="33"/>
      <c r="Y190" s="33"/>
      <c r="Z190" s="33"/>
      <c r="AA190" s="33"/>
      <c r="AB19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1" spans="1:28" ht="15.75" x14ac:dyDescent="0.25">
      <c r="A191" s="4">
        <v>220</v>
      </c>
      <c r="B191" s="16" t="s">
        <v>360</v>
      </c>
      <c r="C191" s="16" t="s">
        <v>361</v>
      </c>
      <c r="D191" s="4"/>
      <c r="E191" s="10" t="s">
        <v>401</v>
      </c>
      <c r="F191" s="65"/>
      <c r="G191" s="22"/>
      <c r="H191" s="4"/>
      <c r="I191" s="4"/>
      <c r="J191" s="4"/>
      <c r="K191" s="4"/>
      <c r="L191" s="10"/>
      <c r="M191" s="4"/>
      <c r="N191" s="4"/>
      <c r="O191" s="4"/>
      <c r="P191" s="4"/>
      <c r="Q191" s="16" t="s">
        <v>568</v>
      </c>
      <c r="R191" s="4"/>
      <c r="S191" s="10" t="s">
        <v>602</v>
      </c>
      <c r="T191" s="32"/>
      <c r="U191" s="33"/>
      <c r="V191" s="33"/>
      <c r="W191" s="33"/>
      <c r="X191" s="33"/>
      <c r="Y191" s="33"/>
      <c r="Z191" s="33"/>
      <c r="AA191" s="33"/>
      <c r="AB19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2" spans="1:28" ht="15.75" x14ac:dyDescent="0.25">
      <c r="A192" s="4">
        <v>12</v>
      </c>
      <c r="B192" s="16" t="s">
        <v>288</v>
      </c>
      <c r="C192" s="16" t="s">
        <v>288</v>
      </c>
      <c r="D192" s="4" t="s">
        <v>766</v>
      </c>
      <c r="E192" s="10" t="s">
        <v>401</v>
      </c>
      <c r="F192" s="65">
        <v>103360232</v>
      </c>
      <c r="G192" s="22"/>
      <c r="H192" s="4" t="s">
        <v>588</v>
      </c>
      <c r="I192" s="4" t="s">
        <v>700</v>
      </c>
      <c r="J192" s="4" t="s">
        <v>767</v>
      </c>
      <c r="K192" s="4"/>
      <c r="L192" s="10" t="s">
        <v>618</v>
      </c>
      <c r="M192" s="4"/>
      <c r="N192" s="4"/>
      <c r="O192" s="4"/>
      <c r="P192" s="4"/>
      <c r="Q192" s="16" t="s">
        <v>535</v>
      </c>
      <c r="R192" s="4"/>
      <c r="S192" s="27" t="s">
        <v>600</v>
      </c>
      <c r="T192" s="35"/>
      <c r="U192" s="33"/>
      <c r="V192" s="33"/>
      <c r="W192" s="33"/>
      <c r="X192" s="33"/>
      <c r="Y192" s="33"/>
      <c r="Z192" s="33"/>
      <c r="AA192" s="33"/>
      <c r="AB19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3" spans="1:28" ht="15.75" x14ac:dyDescent="0.25">
      <c r="A193" s="4">
        <v>147</v>
      </c>
      <c r="B193" s="16" t="s">
        <v>184</v>
      </c>
      <c r="C193" s="16" t="s">
        <v>184</v>
      </c>
      <c r="D193" s="4"/>
      <c r="E193" s="10" t="s">
        <v>401</v>
      </c>
      <c r="F193" s="65"/>
      <c r="G193" s="22"/>
      <c r="H193" s="4"/>
      <c r="I193" s="4"/>
      <c r="J193" s="4"/>
      <c r="K193" s="4"/>
      <c r="L193" s="10"/>
      <c r="M193" s="4"/>
      <c r="N193" s="4"/>
      <c r="O193" s="4"/>
      <c r="P193" s="4"/>
      <c r="Q193" s="16" t="s">
        <v>485</v>
      </c>
      <c r="R193" s="4"/>
      <c r="S193" s="27" t="s">
        <v>598</v>
      </c>
      <c r="T193" s="35"/>
      <c r="U193" s="33"/>
      <c r="V193" s="33"/>
      <c r="W193" s="33"/>
      <c r="X193" s="33"/>
      <c r="Y193" s="33"/>
      <c r="Z193" s="33"/>
      <c r="AA193" s="33"/>
      <c r="AB19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4" spans="1:28" ht="15.75" x14ac:dyDescent="0.25">
      <c r="A194" s="4">
        <v>148</v>
      </c>
      <c r="B194" s="16" t="s">
        <v>190</v>
      </c>
      <c r="C194" s="16" t="s">
        <v>190</v>
      </c>
      <c r="D194" s="4"/>
      <c r="E194" s="10" t="s">
        <v>401</v>
      </c>
      <c r="F194" s="65"/>
      <c r="G194" s="22"/>
      <c r="H194" s="4"/>
      <c r="I194" s="4"/>
      <c r="J194" s="4"/>
      <c r="K194" s="4"/>
      <c r="L194" s="10"/>
      <c r="M194" s="4"/>
      <c r="N194" s="4"/>
      <c r="O194" s="4"/>
      <c r="P194" s="4"/>
      <c r="Q194" s="16" t="s">
        <v>489</v>
      </c>
      <c r="R194" s="4"/>
      <c r="S194" s="27" t="s">
        <v>599</v>
      </c>
      <c r="T194" s="35"/>
      <c r="U194" s="33"/>
      <c r="V194" s="33"/>
      <c r="W194" s="33"/>
      <c r="X194" s="33"/>
      <c r="Y194" s="33"/>
      <c r="Z194" s="33"/>
      <c r="AA194" s="33"/>
      <c r="AB19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5" spans="1:28" ht="15.75" x14ac:dyDescent="0.25">
      <c r="A195" s="4">
        <v>161</v>
      </c>
      <c r="B195" s="16" t="s">
        <v>216</v>
      </c>
      <c r="C195" s="16" t="s">
        <v>216</v>
      </c>
      <c r="D195" s="4"/>
      <c r="E195" s="10" t="s">
        <v>401</v>
      </c>
      <c r="F195" s="65"/>
      <c r="G195" s="22"/>
      <c r="H195" s="4"/>
      <c r="I195" s="4"/>
      <c r="J195" s="4"/>
      <c r="K195" s="4"/>
      <c r="L195" s="10" t="s">
        <v>618</v>
      </c>
      <c r="M195" s="4"/>
      <c r="N195" s="4"/>
      <c r="O195" s="4"/>
      <c r="P195" s="4"/>
      <c r="Q195" s="16" t="s">
        <v>504</v>
      </c>
      <c r="R195" s="4"/>
      <c r="S195" s="27" t="s">
        <v>600</v>
      </c>
      <c r="T195" s="35"/>
      <c r="U195" s="33"/>
      <c r="V195" s="33"/>
      <c r="W195" s="33"/>
      <c r="X195" s="33"/>
      <c r="Y195" s="33"/>
      <c r="Z195" s="33"/>
      <c r="AA195" s="33"/>
      <c r="AB19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6" spans="1:28" ht="15.75" x14ac:dyDescent="0.25">
      <c r="A196" s="4">
        <v>226</v>
      </c>
      <c r="B196" s="16" t="s">
        <v>371</v>
      </c>
      <c r="C196" s="16" t="s">
        <v>371</v>
      </c>
      <c r="D196" s="4"/>
      <c r="E196" s="10" t="s">
        <v>401</v>
      </c>
      <c r="F196" s="65"/>
      <c r="G196" s="22"/>
      <c r="H196" s="4"/>
      <c r="I196" s="4"/>
      <c r="J196" s="4"/>
      <c r="K196" s="4"/>
      <c r="L196" s="10"/>
      <c r="M196" s="4"/>
      <c r="N196" s="4"/>
      <c r="O196" s="4"/>
      <c r="P196" s="4"/>
      <c r="Q196" s="18"/>
      <c r="R196" s="4"/>
      <c r="S196" s="27" t="s">
        <v>602</v>
      </c>
      <c r="T196" s="35"/>
      <c r="U196" s="33"/>
      <c r="V196" s="33"/>
      <c r="W196" s="33"/>
      <c r="X196" s="33"/>
      <c r="Y196" s="33"/>
      <c r="Z196" s="33"/>
      <c r="AA196" s="33"/>
      <c r="AB19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7" spans="1:28" ht="15.75" x14ac:dyDescent="0.25">
      <c r="A197" s="4">
        <v>227</v>
      </c>
      <c r="B197" s="16" t="s">
        <v>372</v>
      </c>
      <c r="C197" s="16" t="s">
        <v>372</v>
      </c>
      <c r="D197" s="4"/>
      <c r="E197" s="10" t="s">
        <v>401</v>
      </c>
      <c r="F197" s="65"/>
      <c r="G197" s="22"/>
      <c r="H197" s="4"/>
      <c r="I197" s="4"/>
      <c r="J197" s="4"/>
      <c r="K197" s="4"/>
      <c r="L197" s="10"/>
      <c r="M197" s="4"/>
      <c r="N197" s="4"/>
      <c r="O197" s="4"/>
      <c r="P197" s="4"/>
      <c r="Q197" s="18"/>
      <c r="R197" s="4"/>
      <c r="S197" s="10" t="s">
        <v>602</v>
      </c>
      <c r="T197" s="32"/>
      <c r="U197" s="33"/>
      <c r="V197" s="33"/>
      <c r="W197" s="33"/>
      <c r="X197" s="33"/>
      <c r="Y197" s="33"/>
      <c r="Z197" s="33"/>
      <c r="AA197" s="33"/>
      <c r="AB19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8" spans="1:28" ht="15.75" x14ac:dyDescent="0.25">
      <c r="A198" s="4">
        <v>233</v>
      </c>
      <c r="B198" s="16" t="s">
        <v>379</v>
      </c>
      <c r="C198" s="16" t="s">
        <v>379</v>
      </c>
      <c r="D198" s="4"/>
      <c r="E198" s="10" t="s">
        <v>402</v>
      </c>
      <c r="F198" s="65"/>
      <c r="G198" s="22"/>
      <c r="H198" s="4"/>
      <c r="I198" s="4"/>
      <c r="J198" s="4"/>
      <c r="K198" s="4"/>
      <c r="L198" s="10"/>
      <c r="M198" s="4"/>
      <c r="N198" s="4"/>
      <c r="O198" s="4"/>
      <c r="P198" s="4"/>
      <c r="Q198" s="18"/>
      <c r="R198" s="4"/>
      <c r="S198" s="10" t="s">
        <v>602</v>
      </c>
      <c r="T198" s="32"/>
      <c r="U198" s="33"/>
      <c r="V198" s="33"/>
      <c r="W198" s="33"/>
      <c r="X198" s="33"/>
      <c r="Y198" s="33"/>
      <c r="Z198" s="33"/>
      <c r="AA198" s="33"/>
      <c r="AB19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199" spans="1:28" ht="15.75" x14ac:dyDescent="0.25">
      <c r="A199" s="4">
        <v>129</v>
      </c>
      <c r="B199" s="16" t="s">
        <v>139</v>
      </c>
      <c r="C199" s="16" t="s">
        <v>139</v>
      </c>
      <c r="D199" s="4"/>
      <c r="E199" s="10" t="s">
        <v>402</v>
      </c>
      <c r="F199" s="65"/>
      <c r="G199" s="22"/>
      <c r="H199" s="4"/>
      <c r="I199" s="4"/>
      <c r="J199" s="4"/>
      <c r="K199" s="4"/>
      <c r="L199" s="10"/>
      <c r="M199" s="4"/>
      <c r="N199" s="4"/>
      <c r="O199" s="4"/>
      <c r="P199" s="4"/>
      <c r="Q199" s="18"/>
      <c r="R199" s="4"/>
      <c r="S199" s="10" t="s">
        <v>598</v>
      </c>
      <c r="T199" s="32"/>
      <c r="U199" s="33"/>
      <c r="V199" s="33"/>
      <c r="W199" s="33"/>
      <c r="X199" s="33"/>
      <c r="Y199" s="33"/>
      <c r="Z199" s="33"/>
      <c r="AA199" s="33"/>
      <c r="AB19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00" spans="1:28" ht="15.75" x14ac:dyDescent="0.25">
      <c r="A200" s="4">
        <v>253</v>
      </c>
      <c r="B200" s="53" t="s">
        <v>818</v>
      </c>
      <c r="C200" s="53" t="s">
        <v>818</v>
      </c>
      <c r="D200" s="4"/>
      <c r="E200" s="4" t="s">
        <v>401</v>
      </c>
      <c r="F200" s="65"/>
      <c r="G200" s="22" t="s">
        <v>819</v>
      </c>
      <c r="H200" s="4" t="s">
        <v>623</v>
      </c>
      <c r="I200" s="4" t="s">
        <v>642</v>
      </c>
      <c r="J200" s="4" t="s">
        <v>767</v>
      </c>
      <c r="K200" s="4" t="s">
        <v>590</v>
      </c>
      <c r="L200" s="52"/>
      <c r="M200" s="4" t="s">
        <v>787</v>
      </c>
      <c r="N200" s="4"/>
      <c r="O200" s="4"/>
      <c r="P200" s="4"/>
      <c r="Q200" s="29" t="s">
        <v>820</v>
      </c>
      <c r="R200" s="25"/>
      <c r="S200" s="22"/>
      <c r="T200" s="33"/>
      <c r="U200" s="33"/>
      <c r="V200" s="33"/>
      <c r="W200" s="33"/>
      <c r="X200" s="33"/>
      <c r="Y200" s="33"/>
      <c r="Z200" s="33"/>
      <c r="AA200" s="33"/>
      <c r="AB200" s="55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01" spans="1:28" ht="15.75" x14ac:dyDescent="0.25">
      <c r="A201" s="4">
        <v>228</v>
      </c>
      <c r="B201" s="16" t="s">
        <v>373</v>
      </c>
      <c r="C201" s="16" t="s">
        <v>373</v>
      </c>
      <c r="D201" s="4"/>
      <c r="E201" s="10" t="s">
        <v>401</v>
      </c>
      <c r="F201" s="65"/>
      <c r="G201" s="22"/>
      <c r="H201" s="4"/>
      <c r="I201" s="4"/>
      <c r="J201" s="4"/>
      <c r="K201" s="4"/>
      <c r="L201" s="10"/>
      <c r="M201" s="4"/>
      <c r="N201" s="4"/>
      <c r="O201" s="4"/>
      <c r="P201" s="4"/>
      <c r="Q201" s="18"/>
      <c r="R201" s="4"/>
      <c r="S201" s="10" t="s">
        <v>602</v>
      </c>
      <c r="T201" s="32"/>
      <c r="U201" s="33"/>
      <c r="V201" s="33"/>
      <c r="W201" s="33"/>
      <c r="X201" s="33"/>
      <c r="Y201" s="33"/>
      <c r="Z201" s="33"/>
      <c r="AA201" s="33"/>
      <c r="AB20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02" spans="1:28" ht="15.75" x14ac:dyDescent="0.25">
      <c r="A202" s="4">
        <v>229</v>
      </c>
      <c r="B202" s="16" t="s">
        <v>374</v>
      </c>
      <c r="C202" s="16" t="s">
        <v>374</v>
      </c>
      <c r="D202" s="4"/>
      <c r="E202" s="10" t="s">
        <v>401</v>
      </c>
      <c r="F202" s="65"/>
      <c r="G202" s="22"/>
      <c r="H202" s="4"/>
      <c r="I202" s="4"/>
      <c r="J202" s="4"/>
      <c r="K202" s="4"/>
      <c r="L202" s="10"/>
      <c r="M202" s="4"/>
      <c r="N202" s="4"/>
      <c r="O202" s="4"/>
      <c r="P202" s="4"/>
      <c r="Q202" s="18"/>
      <c r="R202" s="4"/>
      <c r="S202" s="10" t="s">
        <v>602</v>
      </c>
      <c r="T202" s="32"/>
      <c r="U202" s="33"/>
      <c r="V202" s="33"/>
      <c r="W202" s="33"/>
      <c r="X202" s="33"/>
      <c r="Y202" s="33"/>
      <c r="Z202" s="33"/>
      <c r="AA202" s="33"/>
      <c r="AB20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03" spans="1:28" ht="30" x14ac:dyDescent="0.25">
      <c r="A203" s="4">
        <v>25</v>
      </c>
      <c r="B203" s="16" t="s">
        <v>117</v>
      </c>
      <c r="C203" s="16" t="s">
        <v>117</v>
      </c>
      <c r="D203" s="4" t="s">
        <v>722</v>
      </c>
      <c r="E203" s="10" t="s">
        <v>403</v>
      </c>
      <c r="F203" s="65">
        <v>108012048</v>
      </c>
      <c r="G203" s="22" t="s">
        <v>723</v>
      </c>
      <c r="H203" s="4" t="s">
        <v>594</v>
      </c>
      <c r="I203" s="4" t="s">
        <v>595</v>
      </c>
      <c r="J203" s="4" t="s">
        <v>20</v>
      </c>
      <c r="K203" s="4" t="s">
        <v>590</v>
      </c>
      <c r="L203" s="10" t="s">
        <v>643</v>
      </c>
      <c r="M203" s="4" t="s">
        <v>672</v>
      </c>
      <c r="N203" s="4"/>
      <c r="O203" s="4"/>
      <c r="P203" s="4"/>
      <c r="Q203" s="16">
        <v>782841450</v>
      </c>
      <c r="R203" s="4"/>
      <c r="S203" s="10" t="s">
        <v>598</v>
      </c>
      <c r="T203" s="32"/>
      <c r="U203" s="33"/>
      <c r="V203" s="33"/>
      <c r="W203" s="33"/>
      <c r="X203" s="33"/>
      <c r="Y203" s="33">
        <v>320000</v>
      </c>
      <c r="Z203" s="33"/>
      <c r="AA203" s="33"/>
      <c r="AB203" s="36">
        <f>Table1[[#This Row],[2019]]+Table1[[#This Row],[2020]]+Table1[[#This Row],[2021]]+Table1[[#This Row],[2022]]+Table1[[#This Row],[2023]]+Table1[[#This Row],[2024]]+Table1[[#This Row],[2025]]+Table1[[#This Row],[2026]]</f>
        <v>320000</v>
      </c>
    </row>
    <row r="204" spans="1:28" ht="15.75" x14ac:dyDescent="0.25">
      <c r="A204" s="4">
        <v>230</v>
      </c>
      <c r="B204" s="16" t="s">
        <v>375</v>
      </c>
      <c r="C204" s="16" t="s">
        <v>375</v>
      </c>
      <c r="D204" s="4"/>
      <c r="E204" s="10" t="s">
        <v>401</v>
      </c>
      <c r="F204" s="65"/>
      <c r="G204" s="22"/>
      <c r="H204" s="4"/>
      <c r="I204" s="4"/>
      <c r="J204" s="4"/>
      <c r="K204" s="4"/>
      <c r="L204" s="10"/>
      <c r="M204" s="4"/>
      <c r="N204" s="4"/>
      <c r="O204" s="4"/>
      <c r="P204" s="4"/>
      <c r="Q204" s="18"/>
      <c r="R204" s="4"/>
      <c r="S204" s="10" t="s">
        <v>602</v>
      </c>
      <c r="T204" s="32"/>
      <c r="U204" s="33"/>
      <c r="V204" s="33"/>
      <c r="W204" s="33"/>
      <c r="X204" s="33"/>
      <c r="Y204" s="33"/>
      <c r="Z204" s="33"/>
      <c r="AA204" s="33"/>
      <c r="AB20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05" spans="1:28" ht="15.75" x14ac:dyDescent="0.25">
      <c r="A205" s="4">
        <v>111</v>
      </c>
      <c r="B205" s="16" t="s">
        <v>101</v>
      </c>
      <c r="C205" s="16" t="s">
        <v>101</v>
      </c>
      <c r="D205" s="4"/>
      <c r="E205" s="10" t="s">
        <v>401</v>
      </c>
      <c r="F205" s="65"/>
      <c r="G205" s="22"/>
      <c r="H205" s="4"/>
      <c r="I205" s="4"/>
      <c r="J205" s="4"/>
      <c r="K205" s="4"/>
      <c r="L205" s="10"/>
      <c r="M205" s="4"/>
      <c r="N205" s="4"/>
      <c r="O205" s="4"/>
      <c r="P205" s="4"/>
      <c r="Q205" s="16" t="s">
        <v>449</v>
      </c>
      <c r="R205" s="4"/>
      <c r="S205" s="10" t="s">
        <v>598</v>
      </c>
      <c r="T205" s="32"/>
      <c r="U205" s="33"/>
      <c r="V205" s="33"/>
      <c r="W205" s="33"/>
      <c r="X205" s="33"/>
      <c r="Y205" s="33"/>
      <c r="Z205" s="33"/>
      <c r="AA205" s="33"/>
      <c r="AB20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06" spans="1:28" ht="31.5" x14ac:dyDescent="0.25">
      <c r="A206" s="4">
        <v>65</v>
      </c>
      <c r="B206" s="16" t="s">
        <v>191</v>
      </c>
      <c r="C206" s="16" t="s">
        <v>586</v>
      </c>
      <c r="D206" s="4"/>
      <c r="E206" s="10" t="s">
        <v>401</v>
      </c>
      <c r="F206" s="65">
        <v>136009882</v>
      </c>
      <c r="G206" s="22" t="s">
        <v>587</v>
      </c>
      <c r="H206" s="4" t="s">
        <v>588</v>
      </c>
      <c r="I206" s="4" t="s">
        <v>589</v>
      </c>
      <c r="J206" s="4" t="s">
        <v>20</v>
      </c>
      <c r="K206" s="4" t="s">
        <v>590</v>
      </c>
      <c r="L206" s="10" t="s">
        <v>616</v>
      </c>
      <c r="M206" s="4" t="s">
        <v>591</v>
      </c>
      <c r="N206" s="4">
        <v>1</v>
      </c>
      <c r="O206" s="4">
        <v>2</v>
      </c>
      <c r="P206" s="4"/>
      <c r="Q206" s="19" t="s">
        <v>490</v>
      </c>
      <c r="R206" s="4" t="s">
        <v>592</v>
      </c>
      <c r="S206" s="10"/>
      <c r="T206" s="32"/>
      <c r="U206" s="33"/>
      <c r="V206" s="33"/>
      <c r="W206" s="33"/>
      <c r="X206" s="33"/>
      <c r="Y206" s="33"/>
      <c r="Z206" s="33"/>
      <c r="AA206" s="33"/>
      <c r="AB20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07" spans="1:28" ht="30" x14ac:dyDescent="0.25">
      <c r="A207" s="4">
        <v>197</v>
      </c>
      <c r="B207" s="16" t="s">
        <v>294</v>
      </c>
      <c r="C207" s="16" t="s">
        <v>295</v>
      </c>
      <c r="D207" s="4"/>
      <c r="E207" s="10" t="s">
        <v>401</v>
      </c>
      <c r="F207" s="86">
        <v>108105214</v>
      </c>
      <c r="G207" s="77" t="s">
        <v>868</v>
      </c>
      <c r="H207" s="4" t="s">
        <v>588</v>
      </c>
      <c r="I207" s="4" t="s">
        <v>844</v>
      </c>
      <c r="J207" s="4" t="s">
        <v>20</v>
      </c>
      <c r="K207" s="4" t="s">
        <v>590</v>
      </c>
      <c r="L207" s="10" t="s">
        <v>643</v>
      </c>
      <c r="M207" s="4"/>
      <c r="N207" s="4"/>
      <c r="O207" s="4"/>
      <c r="P207" s="4"/>
      <c r="Q207" s="70" t="s">
        <v>539</v>
      </c>
      <c r="R207" s="80" t="s">
        <v>905</v>
      </c>
      <c r="S207" s="10" t="s">
        <v>598</v>
      </c>
      <c r="T207" s="32"/>
      <c r="U207" s="33"/>
      <c r="V207" s="33"/>
      <c r="W207" s="33"/>
      <c r="X207" s="33"/>
      <c r="Y207" s="33">
        <v>520000</v>
      </c>
      <c r="Z207" s="33">
        <v>500000</v>
      </c>
      <c r="AA207" s="33"/>
      <c r="AB207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208" spans="1:28" ht="30" x14ac:dyDescent="0.25">
      <c r="A208" s="4">
        <v>170</v>
      </c>
      <c r="B208" s="16" t="s">
        <v>231</v>
      </c>
      <c r="C208" s="16" t="s">
        <v>232</v>
      </c>
      <c r="D208" s="4"/>
      <c r="E208" s="10" t="s">
        <v>402</v>
      </c>
      <c r="F208" s="65"/>
      <c r="G208" s="22"/>
      <c r="H208" s="4" t="s">
        <v>594</v>
      </c>
      <c r="I208" s="4" t="s">
        <v>595</v>
      </c>
      <c r="J208" s="4" t="s">
        <v>20</v>
      </c>
      <c r="K208" s="4" t="s">
        <v>590</v>
      </c>
      <c r="L208" s="10" t="s">
        <v>613</v>
      </c>
      <c r="M208" s="4"/>
      <c r="N208" s="4"/>
      <c r="O208" s="4"/>
      <c r="P208" s="4"/>
      <c r="Q208" s="16" t="s">
        <v>511</v>
      </c>
      <c r="R208" s="4"/>
      <c r="S208" s="10" t="s">
        <v>598</v>
      </c>
      <c r="T208" s="32"/>
      <c r="U208" s="33"/>
      <c r="V208" s="33"/>
      <c r="W208" s="33"/>
      <c r="X208" s="33"/>
      <c r="Y208" s="33">
        <v>170000</v>
      </c>
      <c r="Z208" s="33">
        <v>390000</v>
      </c>
      <c r="AA208" s="33"/>
      <c r="AB208" s="36">
        <f>Table1[[#This Row],[2019]]+Table1[[#This Row],[2020]]+Table1[[#This Row],[2021]]+Table1[[#This Row],[2022]]+Table1[[#This Row],[2023]]+Table1[[#This Row],[2024]]+Table1[[#This Row],[2025]]+Table1[[#This Row],[2026]]</f>
        <v>560000</v>
      </c>
    </row>
    <row r="209" spans="1:28" ht="15.75" x14ac:dyDescent="0.25">
      <c r="A209" s="4">
        <v>7</v>
      </c>
      <c r="B209" s="16" t="s">
        <v>148</v>
      </c>
      <c r="C209" s="16" t="s">
        <v>726</v>
      </c>
      <c r="D209" s="4"/>
      <c r="E209" s="10" t="s">
        <v>401</v>
      </c>
      <c r="F209" s="65">
        <v>102506951</v>
      </c>
      <c r="G209" s="22" t="s">
        <v>727</v>
      </c>
      <c r="H209" s="4" t="s">
        <v>594</v>
      </c>
      <c r="I209" s="4" t="s">
        <v>595</v>
      </c>
      <c r="J209" s="4" t="s">
        <v>5</v>
      </c>
      <c r="K209" s="4" t="s">
        <v>609</v>
      </c>
      <c r="L209" s="10" t="s">
        <v>643</v>
      </c>
      <c r="M209" s="4"/>
      <c r="N209" s="4"/>
      <c r="O209" s="4"/>
      <c r="P209" s="4"/>
      <c r="Q209" s="16" t="s">
        <v>467</v>
      </c>
      <c r="R209" s="25" t="s">
        <v>728</v>
      </c>
      <c r="S209" s="10" t="s">
        <v>600</v>
      </c>
      <c r="T209" s="32"/>
      <c r="U209" s="33"/>
      <c r="V209" s="33"/>
      <c r="W209" s="33"/>
      <c r="X209" s="33"/>
      <c r="Y209" s="33"/>
      <c r="Z209" s="33">
        <v>550000</v>
      </c>
      <c r="AA209" s="33"/>
      <c r="AB209" s="36">
        <f>Table1[[#This Row],[2019]]+Table1[[#This Row],[2020]]+Table1[[#This Row],[2021]]+Table1[[#This Row],[2022]]+Table1[[#This Row],[2023]]+Table1[[#This Row],[2024]]+Table1[[#This Row],[2025]]+Table1[[#This Row],[2026]]</f>
        <v>550000</v>
      </c>
    </row>
    <row r="210" spans="1:28" ht="15.75" x14ac:dyDescent="0.25">
      <c r="A210" s="4">
        <v>79</v>
      </c>
      <c r="B210" s="84" t="s">
        <v>45</v>
      </c>
      <c r="C210" s="84" t="s">
        <v>46</v>
      </c>
      <c r="D210" s="4"/>
      <c r="E210" s="10" t="s">
        <v>401</v>
      </c>
      <c r="F210" s="65"/>
      <c r="G210" s="22"/>
      <c r="H210" s="4"/>
      <c r="I210" s="4"/>
      <c r="J210" s="4"/>
      <c r="K210" s="4"/>
      <c r="L210" s="10"/>
      <c r="M210" s="4"/>
      <c r="N210" s="4"/>
      <c r="O210" s="4"/>
      <c r="P210" s="4"/>
      <c r="Q210" s="16" t="s">
        <v>420</v>
      </c>
      <c r="R210" s="4"/>
      <c r="S210" s="10" t="s">
        <v>602</v>
      </c>
      <c r="T210" s="32"/>
      <c r="U210" s="33"/>
      <c r="V210" s="33"/>
      <c r="W210" s="33"/>
      <c r="X210" s="33"/>
      <c r="Y210" s="33"/>
      <c r="Z210" s="33"/>
      <c r="AA210" s="33"/>
      <c r="AB21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11" spans="1:28" ht="15.75" x14ac:dyDescent="0.25">
      <c r="A211" s="4">
        <v>169</v>
      </c>
      <c r="B211" s="16" t="s">
        <v>45</v>
      </c>
      <c r="C211" s="16" t="s">
        <v>46</v>
      </c>
      <c r="D211" s="4"/>
      <c r="E211" s="10" t="s">
        <v>401</v>
      </c>
      <c r="F211" s="65"/>
      <c r="G211" s="22"/>
      <c r="H211" s="4"/>
      <c r="I211" s="4"/>
      <c r="J211" s="4"/>
      <c r="K211" s="4"/>
      <c r="L211" s="10" t="s">
        <v>714</v>
      </c>
      <c r="M211" s="4"/>
      <c r="N211" s="4"/>
      <c r="O211" s="4"/>
      <c r="P211" s="4"/>
      <c r="Q211" s="16" t="s">
        <v>420</v>
      </c>
      <c r="R211" s="4"/>
      <c r="S211" s="10">
        <v>2019</v>
      </c>
      <c r="T211" s="32">
        <v>20000</v>
      </c>
      <c r="U211" s="33"/>
      <c r="V211" s="33"/>
      <c r="W211" s="33">
        <v>100000</v>
      </c>
      <c r="X211" s="33"/>
      <c r="Y211" s="33">
        <v>100000</v>
      </c>
      <c r="Z211" s="33">
        <v>100000</v>
      </c>
      <c r="AA211" s="33"/>
      <c r="AB211" s="36">
        <f>Table1[[#This Row],[2019]]+Table1[[#This Row],[2020]]+Table1[[#This Row],[2021]]+Table1[[#This Row],[2022]]+Table1[[#This Row],[2023]]+Table1[[#This Row],[2024]]+Table1[[#This Row],[2025]]+Table1[[#This Row],[2026]]</f>
        <v>320000</v>
      </c>
    </row>
    <row r="212" spans="1:28" ht="30" x14ac:dyDescent="0.25">
      <c r="A212" s="4">
        <v>40</v>
      </c>
      <c r="B212" s="16" t="s">
        <v>302</v>
      </c>
      <c r="C212" s="16" t="s">
        <v>303</v>
      </c>
      <c r="D212" s="4"/>
      <c r="E212" s="10" t="s">
        <v>401</v>
      </c>
      <c r="F212" s="65">
        <v>112977927</v>
      </c>
      <c r="G212" s="22"/>
      <c r="H212" s="4" t="s">
        <v>594</v>
      </c>
      <c r="I212" s="4" t="s">
        <v>612</v>
      </c>
      <c r="J212" s="4" t="s">
        <v>20</v>
      </c>
      <c r="K212" s="4" t="s">
        <v>590</v>
      </c>
      <c r="L212" s="10" t="s">
        <v>643</v>
      </c>
      <c r="M212" s="4"/>
      <c r="N212" s="4"/>
      <c r="O212" s="4"/>
      <c r="P212" s="4"/>
      <c r="Q212" s="16" t="s">
        <v>543</v>
      </c>
      <c r="R212" s="4"/>
      <c r="S212" s="10" t="s">
        <v>598</v>
      </c>
      <c r="T212" s="32"/>
      <c r="U212" s="33"/>
      <c r="V212" s="33"/>
      <c r="W212" s="33"/>
      <c r="X212" s="33"/>
      <c r="Y212" s="33">
        <v>400000</v>
      </c>
      <c r="Z212" s="33">
        <v>600000</v>
      </c>
      <c r="AA212" s="33"/>
      <c r="AB212" s="36">
        <f>Table1[[#This Row],[2019]]+Table1[[#This Row],[2020]]+Table1[[#This Row],[2021]]+Table1[[#This Row],[2022]]+Table1[[#This Row],[2023]]+Table1[[#This Row],[2024]]+Table1[[#This Row],[2025]]+Table1[[#This Row],[2026]]</f>
        <v>1000000</v>
      </c>
    </row>
    <row r="213" spans="1:28" ht="15.75" x14ac:dyDescent="0.25">
      <c r="A213" s="4">
        <v>47</v>
      </c>
      <c r="B213" s="58" t="s">
        <v>813</v>
      </c>
      <c r="C213" s="58" t="s">
        <v>808</v>
      </c>
      <c r="D213" s="4"/>
      <c r="E213" s="4" t="s">
        <v>401</v>
      </c>
      <c r="F213" s="65">
        <v>119736079</v>
      </c>
      <c r="G213" s="22" t="s">
        <v>811</v>
      </c>
      <c r="H213" s="4" t="s">
        <v>594</v>
      </c>
      <c r="I213" s="4" t="s">
        <v>612</v>
      </c>
      <c r="J213" s="4" t="s">
        <v>5</v>
      </c>
      <c r="K213" s="4" t="s">
        <v>590</v>
      </c>
      <c r="L213" s="52" t="s">
        <v>810</v>
      </c>
      <c r="M213" s="4" t="s">
        <v>787</v>
      </c>
      <c r="N213" s="4"/>
      <c r="O213" s="4"/>
      <c r="P213" s="4"/>
      <c r="Q213" s="59" t="s">
        <v>809</v>
      </c>
      <c r="R213" s="25" t="s">
        <v>812</v>
      </c>
      <c r="S213" s="22" t="s">
        <v>637</v>
      </c>
      <c r="T213" s="33"/>
      <c r="U213" s="33"/>
      <c r="V213" s="33"/>
      <c r="W213" s="33"/>
      <c r="X213" s="33"/>
      <c r="Y213" s="33"/>
      <c r="Z213" s="33"/>
      <c r="AA213" s="33">
        <v>100000</v>
      </c>
      <c r="AB213" s="55">
        <f>Table1[[#This Row],[2019]]+Table1[[#This Row],[2020]]+Table1[[#This Row],[2021]]+Table1[[#This Row],[2022]]+Table1[[#This Row],[2023]]+Table1[[#This Row],[2024]]+Table1[[#This Row],[2025]]+Table1[[#This Row],[2026]]</f>
        <v>100000</v>
      </c>
    </row>
    <row r="214" spans="1:28" ht="15.75" x14ac:dyDescent="0.25">
      <c r="A214" s="4">
        <v>95</v>
      </c>
      <c r="B214" s="16" t="s">
        <v>67</v>
      </c>
      <c r="C214" s="16" t="s">
        <v>68</v>
      </c>
      <c r="D214" s="4"/>
      <c r="E214" s="10" t="s">
        <v>401</v>
      </c>
      <c r="F214" s="65"/>
      <c r="G214" s="22"/>
      <c r="H214" s="4"/>
      <c r="I214" s="4"/>
      <c r="J214" s="4"/>
      <c r="K214" s="4"/>
      <c r="L214" s="10"/>
      <c r="M214" s="4"/>
      <c r="N214" s="4"/>
      <c r="O214" s="4"/>
      <c r="P214" s="4"/>
      <c r="Q214" s="16" t="s">
        <v>433</v>
      </c>
      <c r="R214" s="4"/>
      <c r="S214" s="10" t="s">
        <v>599</v>
      </c>
      <c r="T214" s="32"/>
      <c r="U214" s="33"/>
      <c r="V214" s="33"/>
      <c r="W214" s="33"/>
      <c r="X214" s="33"/>
      <c r="Y214" s="33"/>
      <c r="Z214" s="33"/>
      <c r="AA214" s="33"/>
      <c r="AB21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15" spans="1:28" ht="15.75" x14ac:dyDescent="0.25">
      <c r="A215" s="4">
        <v>96</v>
      </c>
      <c r="B215" s="85" t="s">
        <v>69</v>
      </c>
      <c r="C215" s="85" t="s">
        <v>69</v>
      </c>
      <c r="D215" s="4"/>
      <c r="E215" s="10" t="s">
        <v>404</v>
      </c>
      <c r="F215" s="87"/>
      <c r="G215" s="22"/>
      <c r="H215" s="4"/>
      <c r="I215" s="4"/>
      <c r="J215" s="4"/>
      <c r="K215" s="4"/>
      <c r="L215" s="10"/>
      <c r="M215" s="4"/>
      <c r="N215" s="4"/>
      <c r="O215" s="4"/>
      <c r="P215" s="4"/>
      <c r="Q215" s="16" t="s">
        <v>434</v>
      </c>
      <c r="R215" s="4"/>
      <c r="S215" s="10" t="s">
        <v>599</v>
      </c>
      <c r="T215" s="32"/>
      <c r="U215" s="33"/>
      <c r="V215" s="33"/>
      <c r="W215" s="33"/>
      <c r="X215" s="33"/>
      <c r="Y215" s="33"/>
      <c r="Z215" s="33"/>
      <c r="AA215" s="33"/>
      <c r="AB21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16" spans="1:28" ht="15.75" x14ac:dyDescent="0.25">
      <c r="A216" s="4">
        <v>221</v>
      </c>
      <c r="B216" s="16" t="s">
        <v>362</v>
      </c>
      <c r="C216" s="16" t="s">
        <v>362</v>
      </c>
      <c r="D216" s="4"/>
      <c r="E216" s="10" t="s">
        <v>401</v>
      </c>
      <c r="F216" s="65"/>
      <c r="G216" s="22"/>
      <c r="H216" s="4"/>
      <c r="I216" s="4"/>
      <c r="J216" s="4"/>
      <c r="K216" s="4"/>
      <c r="L216" s="10"/>
      <c r="M216" s="4"/>
      <c r="N216" s="4"/>
      <c r="O216" s="4"/>
      <c r="P216" s="4"/>
      <c r="Q216" s="18"/>
      <c r="R216" s="4"/>
      <c r="S216" s="10" t="s">
        <v>602</v>
      </c>
      <c r="T216" s="32"/>
      <c r="U216" s="33"/>
      <c r="V216" s="33"/>
      <c r="W216" s="33"/>
      <c r="X216" s="33"/>
      <c r="Y216" s="33"/>
      <c r="Z216" s="33"/>
      <c r="AA216" s="33"/>
      <c r="AB21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17" spans="1:28" ht="15.75" x14ac:dyDescent="0.25">
      <c r="A217" s="4">
        <v>112</v>
      </c>
      <c r="B217" s="16" t="s">
        <v>102</v>
      </c>
      <c r="C217" s="16" t="s">
        <v>103</v>
      </c>
      <c r="D217" s="4"/>
      <c r="E217" s="10" t="s">
        <v>401</v>
      </c>
      <c r="F217" s="65"/>
      <c r="G217" s="22"/>
      <c r="H217" s="4"/>
      <c r="I217" s="4"/>
      <c r="J217" s="4"/>
      <c r="K217" s="4"/>
      <c r="L217" s="10"/>
      <c r="M217" s="4"/>
      <c r="N217" s="4"/>
      <c r="O217" s="4"/>
      <c r="P217" s="4"/>
      <c r="Q217" s="16" t="s">
        <v>450</v>
      </c>
      <c r="R217" s="4"/>
      <c r="S217" s="10" t="s">
        <v>598</v>
      </c>
      <c r="T217" s="32"/>
      <c r="U217" s="33"/>
      <c r="V217" s="33"/>
      <c r="W217" s="33"/>
      <c r="X217" s="33"/>
      <c r="Y217" s="33"/>
      <c r="Z217" s="33"/>
      <c r="AA217" s="33"/>
      <c r="AB21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18" spans="1:28" ht="45" x14ac:dyDescent="0.25">
      <c r="A218" s="4">
        <v>62</v>
      </c>
      <c r="B218" s="16" t="s">
        <v>311</v>
      </c>
      <c r="C218" s="16" t="s">
        <v>312</v>
      </c>
      <c r="D218" s="4" t="s">
        <v>711</v>
      </c>
      <c r="E218" s="10" t="s">
        <v>401</v>
      </c>
      <c r="F218" s="65">
        <v>123154098</v>
      </c>
      <c r="G218" s="22" t="s">
        <v>712</v>
      </c>
      <c r="H218" s="4" t="s">
        <v>588</v>
      </c>
      <c r="I218" s="4" t="s">
        <v>713</v>
      </c>
      <c r="J218" s="4" t="s">
        <v>4</v>
      </c>
      <c r="K218" s="4" t="s">
        <v>590</v>
      </c>
      <c r="L218" s="10" t="s">
        <v>714</v>
      </c>
      <c r="M218" s="4" t="s">
        <v>591</v>
      </c>
      <c r="N218" s="4">
        <v>4</v>
      </c>
      <c r="O218" s="4">
        <v>3</v>
      </c>
      <c r="P218" s="4"/>
      <c r="Q218" s="16" t="s">
        <v>548</v>
      </c>
      <c r="R218" s="25" t="s">
        <v>715</v>
      </c>
      <c r="S218" s="10" t="s">
        <v>598</v>
      </c>
      <c r="T218" s="32"/>
      <c r="U218" s="33"/>
      <c r="V218" s="33"/>
      <c r="W218" s="33"/>
      <c r="X218" s="33"/>
      <c r="Y218" s="33">
        <v>120000</v>
      </c>
      <c r="Z218" s="33">
        <v>100000</v>
      </c>
      <c r="AA218" s="33"/>
      <c r="AB218" s="36">
        <f>Table1[[#This Row],[2019]]+Table1[[#This Row],[2020]]+Table1[[#This Row],[2021]]+Table1[[#This Row],[2022]]+Table1[[#This Row],[2023]]+Table1[[#This Row],[2024]]+Table1[[#This Row],[2025]]+Table1[[#This Row],[2026]]</f>
        <v>220000</v>
      </c>
    </row>
    <row r="219" spans="1:28" ht="15.75" x14ac:dyDescent="0.25">
      <c r="A219" s="4">
        <v>113</v>
      </c>
      <c r="B219" s="16" t="s">
        <v>104</v>
      </c>
      <c r="C219" s="16" t="s">
        <v>105</v>
      </c>
      <c r="D219" s="4"/>
      <c r="E219" s="10" t="s">
        <v>401</v>
      </c>
      <c r="F219" s="65"/>
      <c r="G219" s="22"/>
      <c r="H219" s="4"/>
      <c r="I219" s="4"/>
      <c r="J219" s="4"/>
      <c r="K219" s="4"/>
      <c r="L219" s="10"/>
      <c r="M219" s="4"/>
      <c r="N219" s="4"/>
      <c r="O219" s="4"/>
      <c r="P219" s="4"/>
      <c r="Q219" s="16" t="s">
        <v>451</v>
      </c>
      <c r="R219" s="4"/>
      <c r="S219" s="10" t="s">
        <v>598</v>
      </c>
      <c r="T219" s="32"/>
      <c r="U219" s="33"/>
      <c r="V219" s="33"/>
      <c r="W219" s="33"/>
      <c r="X219" s="33"/>
      <c r="Y219" s="33"/>
      <c r="Z219" s="33"/>
      <c r="AA219" s="33"/>
      <c r="AB21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20" spans="1:28" ht="15.75" x14ac:dyDescent="0.25">
      <c r="A220" s="4">
        <v>97</v>
      </c>
      <c r="B220" s="16" t="s">
        <v>70</v>
      </c>
      <c r="C220" s="16" t="s">
        <v>71</v>
      </c>
      <c r="D220" s="4"/>
      <c r="E220" s="10" t="s">
        <v>401</v>
      </c>
      <c r="F220" s="65"/>
      <c r="G220" s="22"/>
      <c r="H220" s="4"/>
      <c r="I220" s="4"/>
      <c r="J220" s="4"/>
      <c r="K220" s="4"/>
      <c r="L220" s="10"/>
      <c r="M220" s="4"/>
      <c r="N220" s="4"/>
      <c r="O220" s="4"/>
      <c r="P220" s="4"/>
      <c r="Q220" s="16" t="s">
        <v>435</v>
      </c>
      <c r="R220" s="4"/>
      <c r="S220" s="10" t="s">
        <v>599</v>
      </c>
      <c r="T220" s="32"/>
      <c r="U220" s="33"/>
      <c r="V220" s="33"/>
      <c r="W220" s="33"/>
      <c r="X220" s="33"/>
      <c r="Y220" s="33"/>
      <c r="Z220" s="33"/>
      <c r="AA220" s="33"/>
      <c r="AB22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21" spans="1:28" ht="15.75" x14ac:dyDescent="0.25">
      <c r="A221" s="4">
        <v>114</v>
      </c>
      <c r="B221" s="16" t="s">
        <v>106</v>
      </c>
      <c r="C221" s="16" t="s">
        <v>107</v>
      </c>
      <c r="D221" s="4"/>
      <c r="E221" s="10" t="s">
        <v>401</v>
      </c>
      <c r="F221" s="65"/>
      <c r="G221" s="22"/>
      <c r="H221" s="4"/>
      <c r="I221" s="4"/>
      <c r="J221" s="4"/>
      <c r="K221" s="4"/>
      <c r="L221" s="10"/>
      <c r="M221" s="4"/>
      <c r="N221" s="4"/>
      <c r="O221" s="4"/>
      <c r="P221" s="4"/>
      <c r="Q221" s="16" t="s">
        <v>452</v>
      </c>
      <c r="R221" s="4"/>
      <c r="S221" s="10">
        <v>2023</v>
      </c>
      <c r="T221" s="32"/>
      <c r="U221" s="33"/>
      <c r="V221" s="33"/>
      <c r="W221" s="33"/>
      <c r="X221" s="33"/>
      <c r="Y221" s="33"/>
      <c r="Z221" s="33"/>
      <c r="AA221" s="33"/>
      <c r="AB22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22" spans="1:28" ht="30" x14ac:dyDescent="0.25">
      <c r="A222" s="4">
        <v>6</v>
      </c>
      <c r="B222" s="16" t="s">
        <v>108</v>
      </c>
      <c r="C222" s="16" t="s">
        <v>109</v>
      </c>
      <c r="D222" s="4" t="s">
        <v>679</v>
      </c>
      <c r="E222" s="10" t="s">
        <v>401</v>
      </c>
      <c r="F222" s="65">
        <v>102363759</v>
      </c>
      <c r="G222" s="22" t="s">
        <v>681</v>
      </c>
      <c r="H222" s="4" t="s">
        <v>594</v>
      </c>
      <c r="I222" s="4" t="s">
        <v>595</v>
      </c>
      <c r="J222" s="4" t="s">
        <v>5</v>
      </c>
      <c r="K222" s="4" t="s">
        <v>590</v>
      </c>
      <c r="L222" s="10" t="s">
        <v>643</v>
      </c>
      <c r="M222" s="4"/>
      <c r="N222" s="4"/>
      <c r="O222" s="4">
        <v>4</v>
      </c>
      <c r="P222" s="4"/>
      <c r="Q222" s="16" t="s">
        <v>453</v>
      </c>
      <c r="R222" s="25" t="s">
        <v>682</v>
      </c>
      <c r="S222" s="10" t="s">
        <v>598</v>
      </c>
      <c r="T222" s="32"/>
      <c r="U222" s="33"/>
      <c r="V222" s="33"/>
      <c r="W222" s="33"/>
      <c r="X222" s="33"/>
      <c r="Y222" s="33">
        <v>520000</v>
      </c>
      <c r="Z222" s="33">
        <v>500000</v>
      </c>
      <c r="AA222" s="33"/>
      <c r="AB222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223" spans="1:28" ht="15.75" x14ac:dyDescent="0.25">
      <c r="A223" s="4">
        <v>222</v>
      </c>
      <c r="B223" s="16" t="s">
        <v>363</v>
      </c>
      <c r="C223" s="16" t="s">
        <v>364</v>
      </c>
      <c r="D223" s="4"/>
      <c r="E223" s="10" t="s">
        <v>401</v>
      </c>
      <c r="F223" s="65"/>
      <c r="G223" s="22"/>
      <c r="H223" s="4"/>
      <c r="I223" s="4"/>
      <c r="J223" s="4"/>
      <c r="K223" s="4"/>
      <c r="L223" s="10"/>
      <c r="M223" s="4"/>
      <c r="N223" s="4"/>
      <c r="O223" s="4"/>
      <c r="P223" s="4"/>
      <c r="Q223" s="16" t="s">
        <v>569</v>
      </c>
      <c r="R223" s="4"/>
      <c r="S223" s="10" t="s">
        <v>602</v>
      </c>
      <c r="T223" s="32"/>
      <c r="U223" s="33"/>
      <c r="V223" s="33"/>
      <c r="W223" s="33"/>
      <c r="X223" s="33"/>
      <c r="Y223" s="33"/>
      <c r="Z223" s="33"/>
      <c r="AA223" s="33"/>
      <c r="AB22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24" spans="1:28" ht="15.75" x14ac:dyDescent="0.25">
      <c r="A224" s="4">
        <v>163</v>
      </c>
      <c r="B224" s="16" t="s">
        <v>219</v>
      </c>
      <c r="C224" s="16" t="s">
        <v>220</v>
      </c>
      <c r="D224" s="4"/>
      <c r="E224" s="10" t="s">
        <v>401</v>
      </c>
      <c r="F224" s="65"/>
      <c r="G224" s="22"/>
      <c r="H224" s="4"/>
      <c r="I224" s="4"/>
      <c r="J224" s="4"/>
      <c r="K224" s="4"/>
      <c r="L224" s="10"/>
      <c r="M224" s="4"/>
      <c r="N224" s="4"/>
      <c r="O224" s="4"/>
      <c r="P224" s="4"/>
      <c r="Q224" s="16" t="s">
        <v>506</v>
      </c>
      <c r="R224" s="4"/>
      <c r="S224" s="10" t="s">
        <v>602</v>
      </c>
      <c r="T224" s="32"/>
      <c r="U224" s="33"/>
      <c r="V224" s="33"/>
      <c r="W224" s="33"/>
      <c r="X224" s="33"/>
      <c r="Y224" s="33"/>
      <c r="Z224" s="33"/>
      <c r="AA224" s="33"/>
      <c r="AB22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25" spans="1:28" ht="15.75" x14ac:dyDescent="0.25">
      <c r="A225" s="4">
        <v>168</v>
      </c>
      <c r="B225" s="16" t="s">
        <v>229</v>
      </c>
      <c r="C225" s="16" t="s">
        <v>230</v>
      </c>
      <c r="D225" s="4"/>
      <c r="E225" s="10" t="s">
        <v>401</v>
      </c>
      <c r="F225" s="65"/>
      <c r="G225" s="22"/>
      <c r="H225" s="4"/>
      <c r="I225" s="4"/>
      <c r="J225" s="4"/>
      <c r="K225" s="4"/>
      <c r="L225" s="10"/>
      <c r="M225" s="4"/>
      <c r="N225" s="4"/>
      <c r="O225" s="4"/>
      <c r="P225" s="4"/>
      <c r="Q225" s="16">
        <v>788484098</v>
      </c>
      <c r="R225" s="4"/>
      <c r="S225" s="10" t="s">
        <v>599</v>
      </c>
      <c r="T225" s="32"/>
      <c r="U225" s="33"/>
      <c r="V225" s="33"/>
      <c r="W225" s="33"/>
      <c r="X225" s="33"/>
      <c r="Y225" s="33"/>
      <c r="Z225" s="33"/>
      <c r="AA225" s="33"/>
      <c r="AB22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26" spans="1:28" ht="30" x14ac:dyDescent="0.25">
      <c r="A226" s="4">
        <v>1</v>
      </c>
      <c r="B226" s="16" t="s">
        <v>155</v>
      </c>
      <c r="C226" s="16" t="s">
        <v>156</v>
      </c>
      <c r="D226" s="4"/>
      <c r="E226" s="10" t="s">
        <v>403</v>
      </c>
      <c r="F226" s="65">
        <v>13071363</v>
      </c>
      <c r="G226" s="22" t="s">
        <v>605</v>
      </c>
      <c r="H226" s="4" t="s">
        <v>594</v>
      </c>
      <c r="I226" s="4" t="s">
        <v>595</v>
      </c>
      <c r="J226" s="4" t="s">
        <v>20</v>
      </c>
      <c r="K226" s="4" t="s">
        <v>590</v>
      </c>
      <c r="L226" s="10" t="s">
        <v>614</v>
      </c>
      <c r="M226" s="4" t="s">
        <v>591</v>
      </c>
      <c r="N226" s="4">
        <v>1</v>
      </c>
      <c r="O226" s="4">
        <v>1</v>
      </c>
      <c r="P226" s="4"/>
      <c r="Q226" s="16">
        <v>793836098</v>
      </c>
      <c r="R226" s="25" t="s">
        <v>606</v>
      </c>
      <c r="S226" s="10">
        <v>2025</v>
      </c>
      <c r="T226" s="32"/>
      <c r="U226" s="33"/>
      <c r="V226" s="33"/>
      <c r="W226" s="33"/>
      <c r="X226" s="33"/>
      <c r="Y226" s="33"/>
      <c r="Z226" s="33"/>
      <c r="AA226" s="33"/>
      <c r="AB22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27" spans="1:28" ht="30" x14ac:dyDescent="0.25">
      <c r="A227" s="4">
        <v>30</v>
      </c>
      <c r="B227" s="53" t="s">
        <v>793</v>
      </c>
      <c r="C227" s="53" t="s">
        <v>794</v>
      </c>
      <c r="D227" s="4"/>
      <c r="E227" s="4" t="s">
        <v>403</v>
      </c>
      <c r="F227" s="65">
        <v>110356715</v>
      </c>
      <c r="G227" s="22" t="s">
        <v>796</v>
      </c>
      <c r="H227" s="4" t="s">
        <v>584</v>
      </c>
      <c r="I227" s="4" t="s">
        <v>608</v>
      </c>
      <c r="J227" s="4" t="s">
        <v>20</v>
      </c>
      <c r="K227" s="4" t="s">
        <v>590</v>
      </c>
      <c r="L227" s="52" t="s">
        <v>714</v>
      </c>
      <c r="M227" s="4" t="s">
        <v>591</v>
      </c>
      <c r="N227" s="4">
        <v>1</v>
      </c>
      <c r="O227" s="4">
        <v>2</v>
      </c>
      <c r="P227" s="4"/>
      <c r="Q227" s="29">
        <v>788561413</v>
      </c>
      <c r="R227" s="25" t="s">
        <v>795</v>
      </c>
      <c r="S227" s="22" t="s">
        <v>637</v>
      </c>
      <c r="T227" s="33"/>
      <c r="U227" s="33"/>
      <c r="V227" s="33"/>
      <c r="W227" s="33"/>
      <c r="X227" s="33"/>
      <c r="Y227" s="33"/>
      <c r="Z227" s="33"/>
      <c r="AA227" s="33">
        <v>150000</v>
      </c>
      <c r="AB227" s="55">
        <f>Table1[[#This Row],[2019]]+Table1[[#This Row],[2020]]+Table1[[#This Row],[2021]]+Table1[[#This Row],[2022]]+Table1[[#This Row],[2023]]+Table1[[#This Row],[2024]]+Table1[[#This Row],[2025]]+Table1[[#This Row],[2026]]</f>
        <v>150000</v>
      </c>
    </row>
    <row r="228" spans="1:28" ht="30" x14ac:dyDescent="0.25">
      <c r="A228" s="4">
        <v>42</v>
      </c>
      <c r="B228" s="16" t="s">
        <v>165</v>
      </c>
      <c r="C228" s="16" t="s">
        <v>166</v>
      </c>
      <c r="D228" s="4"/>
      <c r="E228" s="10" t="s">
        <v>401</v>
      </c>
      <c r="F228" s="65">
        <v>113443031</v>
      </c>
      <c r="G228" s="22" t="s">
        <v>648</v>
      </c>
      <c r="H228" s="4" t="s">
        <v>594</v>
      </c>
      <c r="I228" s="4" t="s">
        <v>595</v>
      </c>
      <c r="J228" s="4" t="s">
        <v>20</v>
      </c>
      <c r="K228" s="4" t="s">
        <v>590</v>
      </c>
      <c r="L228" s="10" t="s">
        <v>643</v>
      </c>
      <c r="M228" s="4" t="s">
        <v>591</v>
      </c>
      <c r="N228" s="4">
        <v>2</v>
      </c>
      <c r="O228" s="4">
        <v>8</v>
      </c>
      <c r="P228" s="4"/>
      <c r="Q228" s="16" t="s">
        <v>474</v>
      </c>
      <c r="R228" s="25" t="s">
        <v>650</v>
      </c>
      <c r="S228" s="10" t="s">
        <v>598</v>
      </c>
      <c r="T228" s="32"/>
      <c r="U228" s="33"/>
      <c r="V228" s="33"/>
      <c r="W228" s="33"/>
      <c r="X228" s="33"/>
      <c r="Y228" s="33">
        <v>500000</v>
      </c>
      <c r="Z228" s="33">
        <v>500000</v>
      </c>
      <c r="AA228" s="33"/>
      <c r="AB228" s="36">
        <f>Table1[[#This Row],[2019]]+Table1[[#This Row],[2020]]+Table1[[#This Row],[2021]]+Table1[[#This Row],[2022]]+Table1[[#This Row],[2023]]+Table1[[#This Row],[2024]]+Table1[[#This Row],[2025]]+Table1[[#This Row],[2026]]</f>
        <v>1000000</v>
      </c>
    </row>
    <row r="229" spans="1:28" ht="15.75" x14ac:dyDescent="0.25">
      <c r="A229" s="4">
        <v>126</v>
      </c>
      <c r="B229" s="16" t="s">
        <v>133</v>
      </c>
      <c r="C229" s="16" t="s">
        <v>134</v>
      </c>
      <c r="D229" s="4"/>
      <c r="E229" s="10" t="s">
        <v>405</v>
      </c>
      <c r="F229" s="65"/>
      <c r="G229" s="22"/>
      <c r="H229" s="4"/>
      <c r="I229" s="4"/>
      <c r="J229" s="4"/>
      <c r="K229" s="4"/>
      <c r="L229" s="10" t="s">
        <v>613</v>
      </c>
      <c r="M229" s="4"/>
      <c r="N229" s="4"/>
      <c r="O229" s="4"/>
      <c r="P229" s="4"/>
      <c r="Q229" s="16">
        <v>788752027</v>
      </c>
      <c r="R229" s="4"/>
      <c r="S229" s="10" t="s">
        <v>598</v>
      </c>
      <c r="T229" s="32"/>
      <c r="U229" s="33"/>
      <c r="V229" s="33"/>
      <c r="W229" s="33"/>
      <c r="X229" s="33"/>
      <c r="Y229" s="33"/>
      <c r="Z229" s="33"/>
      <c r="AA229" s="33"/>
      <c r="AB22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0" spans="1:28" ht="15.75" x14ac:dyDescent="0.25">
      <c r="A230" s="4">
        <v>115</v>
      </c>
      <c r="B230" s="16" t="s">
        <v>110</v>
      </c>
      <c r="C230" s="16" t="s">
        <v>110</v>
      </c>
      <c r="D230" s="4"/>
      <c r="E230" s="10" t="s">
        <v>401</v>
      </c>
      <c r="F230" s="65"/>
      <c r="G230" s="22"/>
      <c r="H230" s="4"/>
      <c r="I230" s="4"/>
      <c r="J230" s="4"/>
      <c r="K230" s="4"/>
      <c r="L230" s="10"/>
      <c r="M230" s="4"/>
      <c r="N230" s="4"/>
      <c r="O230" s="4"/>
      <c r="P230" s="4"/>
      <c r="Q230" s="16" t="s">
        <v>454</v>
      </c>
      <c r="R230" s="4"/>
      <c r="S230" s="10" t="s">
        <v>598</v>
      </c>
      <c r="T230" s="32"/>
      <c r="U230" s="33"/>
      <c r="V230" s="33"/>
      <c r="W230" s="33"/>
      <c r="X230" s="33"/>
      <c r="Y230" s="33"/>
      <c r="Z230" s="33"/>
      <c r="AA230" s="33"/>
      <c r="AB23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1" spans="1:28" ht="15.75" x14ac:dyDescent="0.25">
      <c r="A231" s="4">
        <v>98</v>
      </c>
      <c r="B231" s="16" t="s">
        <v>72</v>
      </c>
      <c r="C231" s="16" t="s">
        <v>72</v>
      </c>
      <c r="D231" s="4"/>
      <c r="E231" s="10" t="s">
        <v>401</v>
      </c>
      <c r="F231" s="65"/>
      <c r="G231" s="22"/>
      <c r="H231" s="4"/>
      <c r="I231" s="4"/>
      <c r="J231" s="4"/>
      <c r="K231" s="4"/>
      <c r="L231" s="10"/>
      <c r="M231" s="4"/>
      <c r="N231" s="4"/>
      <c r="O231" s="4"/>
      <c r="P231" s="4"/>
      <c r="Q231" s="16">
        <v>788247417</v>
      </c>
      <c r="R231" s="4"/>
      <c r="S231" s="10" t="s">
        <v>599</v>
      </c>
      <c r="T231" s="32"/>
      <c r="U231" s="33"/>
      <c r="V231" s="33"/>
      <c r="W231" s="33"/>
      <c r="X231" s="33"/>
      <c r="Y231" s="33"/>
      <c r="Z231" s="33"/>
      <c r="AA231" s="33"/>
      <c r="AB23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2" spans="1:28" ht="15.75" x14ac:dyDescent="0.25">
      <c r="A232" s="4">
        <v>99</v>
      </c>
      <c r="B232" s="16" t="s">
        <v>73</v>
      </c>
      <c r="C232" s="16" t="s">
        <v>74</v>
      </c>
      <c r="D232" s="4"/>
      <c r="E232" s="10" t="s">
        <v>401</v>
      </c>
      <c r="F232" s="65"/>
      <c r="G232" s="22"/>
      <c r="H232" s="4"/>
      <c r="I232" s="4"/>
      <c r="J232" s="4"/>
      <c r="K232" s="4"/>
      <c r="L232" s="10"/>
      <c r="M232" s="4"/>
      <c r="N232" s="4"/>
      <c r="O232" s="4"/>
      <c r="P232" s="4"/>
      <c r="Q232" s="16" t="s">
        <v>436</v>
      </c>
      <c r="R232" s="4"/>
      <c r="S232" s="10" t="s">
        <v>599</v>
      </c>
      <c r="T232" s="32"/>
      <c r="U232" s="33"/>
      <c r="V232" s="33"/>
      <c r="W232" s="33"/>
      <c r="X232" s="33"/>
      <c r="Y232" s="33"/>
      <c r="Z232" s="33"/>
      <c r="AA232" s="33"/>
      <c r="AB23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3" spans="1:28" ht="15.75" x14ac:dyDescent="0.25">
      <c r="A233" s="4">
        <v>80</v>
      </c>
      <c r="B233" s="16" t="s">
        <v>47</v>
      </c>
      <c r="C233" s="16" t="s">
        <v>48</v>
      </c>
      <c r="D233" s="4"/>
      <c r="E233" s="10" t="s">
        <v>401</v>
      </c>
      <c r="F233" s="65"/>
      <c r="G233" s="22"/>
      <c r="H233" s="4"/>
      <c r="I233" s="4"/>
      <c r="J233" s="4"/>
      <c r="K233" s="4"/>
      <c r="L233" s="10"/>
      <c r="M233" s="4"/>
      <c r="N233" s="4"/>
      <c r="O233" s="4"/>
      <c r="P233" s="4"/>
      <c r="Q233" s="16">
        <v>788551661</v>
      </c>
      <c r="R233" s="4"/>
      <c r="S233" s="10" t="s">
        <v>602</v>
      </c>
      <c r="T233" s="32"/>
      <c r="U233" s="33"/>
      <c r="V233" s="33"/>
      <c r="W233" s="33"/>
      <c r="X233" s="33"/>
      <c r="Y233" s="33"/>
      <c r="Z233" s="33"/>
      <c r="AA233" s="33"/>
      <c r="AB23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4" spans="1:28" ht="15.75" x14ac:dyDescent="0.25">
      <c r="A234" s="4">
        <v>223</v>
      </c>
      <c r="B234" s="16" t="s">
        <v>365</v>
      </c>
      <c r="C234" s="16" t="s">
        <v>366</v>
      </c>
      <c r="D234" s="4"/>
      <c r="E234" s="10" t="s">
        <v>401</v>
      </c>
      <c r="F234" s="65"/>
      <c r="G234" s="22"/>
      <c r="H234" s="4"/>
      <c r="I234" s="4"/>
      <c r="J234" s="4"/>
      <c r="K234" s="4"/>
      <c r="L234" s="10"/>
      <c r="M234" s="4"/>
      <c r="N234" s="4"/>
      <c r="O234" s="4"/>
      <c r="P234" s="4"/>
      <c r="Q234" s="16">
        <v>788665896</v>
      </c>
      <c r="R234" s="4"/>
      <c r="S234" s="10" t="s">
        <v>602</v>
      </c>
      <c r="T234" s="32"/>
      <c r="U234" s="33"/>
      <c r="V234" s="33"/>
      <c r="W234" s="33"/>
      <c r="X234" s="33"/>
      <c r="Y234" s="33"/>
      <c r="Z234" s="33"/>
      <c r="AA234" s="33"/>
      <c r="AB23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5" spans="1:28" ht="15.75" x14ac:dyDescent="0.25">
      <c r="A235" s="4">
        <v>116</v>
      </c>
      <c r="B235" s="16" t="s">
        <v>111</v>
      </c>
      <c r="C235" s="16" t="s">
        <v>112</v>
      </c>
      <c r="D235" s="4"/>
      <c r="E235" s="10" t="s">
        <v>401</v>
      </c>
      <c r="F235" s="65"/>
      <c r="G235" s="22"/>
      <c r="H235" s="4"/>
      <c r="I235" s="4"/>
      <c r="J235" s="4"/>
      <c r="K235" s="4"/>
      <c r="L235" s="10"/>
      <c r="M235" s="4"/>
      <c r="N235" s="4"/>
      <c r="O235" s="4"/>
      <c r="P235" s="4"/>
      <c r="Q235" s="16" t="s">
        <v>455</v>
      </c>
      <c r="R235" s="4"/>
      <c r="S235" s="10" t="s">
        <v>598</v>
      </c>
      <c r="T235" s="32"/>
      <c r="U235" s="33"/>
      <c r="V235" s="33"/>
      <c r="W235" s="33"/>
      <c r="X235" s="33"/>
      <c r="Y235" s="33"/>
      <c r="Z235" s="33"/>
      <c r="AA235" s="33"/>
      <c r="AB23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6" spans="1:28" ht="31.5" x14ac:dyDescent="0.25">
      <c r="A236" s="4">
        <v>104</v>
      </c>
      <c r="B236" s="16" t="s">
        <v>83</v>
      </c>
      <c r="C236" s="16" t="s">
        <v>84</v>
      </c>
      <c r="D236" s="4"/>
      <c r="E236" s="10" t="s">
        <v>402</v>
      </c>
      <c r="F236" s="65"/>
      <c r="G236" s="22"/>
      <c r="H236" s="4"/>
      <c r="I236" s="4"/>
      <c r="J236" s="4"/>
      <c r="K236" s="4"/>
      <c r="L236" s="10"/>
      <c r="M236" s="4"/>
      <c r="N236" s="4"/>
      <c r="O236" s="4"/>
      <c r="P236" s="4"/>
      <c r="Q236" s="16" t="s">
        <v>440</v>
      </c>
      <c r="R236" s="4"/>
      <c r="S236" s="10" t="s">
        <v>599</v>
      </c>
      <c r="T236" s="32"/>
      <c r="U236" s="33"/>
      <c r="V236" s="33"/>
      <c r="W236" s="33"/>
      <c r="X236" s="33"/>
      <c r="Y236" s="33"/>
      <c r="Z236" s="33"/>
      <c r="AA236" s="33"/>
      <c r="AB23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7" spans="1:28" ht="31.5" x14ac:dyDescent="0.25">
      <c r="A237" s="4">
        <v>36</v>
      </c>
      <c r="B237" s="16" t="s">
        <v>339</v>
      </c>
      <c r="C237" s="16" t="s">
        <v>340</v>
      </c>
      <c r="D237" s="4" t="s">
        <v>658</v>
      </c>
      <c r="E237" s="10" t="s">
        <v>401</v>
      </c>
      <c r="F237" s="65">
        <v>111522148</v>
      </c>
      <c r="G237" s="22" t="s">
        <v>659</v>
      </c>
      <c r="H237" s="4" t="s">
        <v>584</v>
      </c>
      <c r="I237" s="4" t="s">
        <v>608</v>
      </c>
      <c r="J237" s="4" t="s">
        <v>5</v>
      </c>
      <c r="K237" s="4" t="s">
        <v>590</v>
      </c>
      <c r="L237" s="10" t="s">
        <v>643</v>
      </c>
      <c r="M237" s="4" t="s">
        <v>591</v>
      </c>
      <c r="N237" s="4">
        <v>2</v>
      </c>
      <c r="O237" s="4">
        <v>4</v>
      </c>
      <c r="P237" s="4"/>
      <c r="Q237" s="16" t="s">
        <v>562</v>
      </c>
      <c r="R237" s="4"/>
      <c r="S237" s="10" t="s">
        <v>598</v>
      </c>
      <c r="T237" s="32"/>
      <c r="U237" s="33"/>
      <c r="V237" s="33"/>
      <c r="W237" s="33"/>
      <c r="X237" s="33"/>
      <c r="Y237" s="33">
        <v>500000</v>
      </c>
      <c r="Z237" s="33">
        <v>500000</v>
      </c>
      <c r="AA237" s="33">
        <v>500000</v>
      </c>
      <c r="AB237" s="36">
        <f>Table1[[#This Row],[2019]]+Table1[[#This Row],[2020]]+Table1[[#This Row],[2021]]+Table1[[#This Row],[2022]]+Table1[[#This Row],[2023]]+Table1[[#This Row],[2024]]+Table1[[#This Row],[2025]]+Table1[[#This Row],[2026]]</f>
        <v>1500000</v>
      </c>
    </row>
    <row r="238" spans="1:28" x14ac:dyDescent="0.25">
      <c r="A238" s="4">
        <v>290</v>
      </c>
      <c r="B238" s="81" t="s">
        <v>339</v>
      </c>
      <c r="C238" s="4"/>
      <c r="D238" s="4"/>
      <c r="E238" s="4"/>
      <c r="F238" s="81">
        <v>111522148</v>
      </c>
      <c r="G238" s="79" t="s">
        <v>886</v>
      </c>
      <c r="H238" s="81" t="s">
        <v>895</v>
      </c>
      <c r="I238" s="81" t="s">
        <v>901</v>
      </c>
      <c r="J238" s="4"/>
      <c r="K238" s="4"/>
      <c r="L238" s="4"/>
      <c r="M238" s="4"/>
      <c r="N238" s="4"/>
      <c r="O238" s="4"/>
      <c r="P238" s="4"/>
      <c r="Q238" s="4"/>
      <c r="R238" s="81" t="s">
        <v>917</v>
      </c>
      <c r="S238" s="22"/>
      <c r="T238" s="33"/>
      <c r="U238" s="33"/>
      <c r="V238" s="33"/>
      <c r="W238" s="33"/>
      <c r="X238" s="33"/>
      <c r="Y238" s="33"/>
      <c r="Z238" s="33"/>
      <c r="AA238" s="33"/>
      <c r="AB23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39" spans="1:28" ht="30" x14ac:dyDescent="0.25">
      <c r="A239" s="4">
        <v>32</v>
      </c>
      <c r="B239" s="16" t="s">
        <v>323</v>
      </c>
      <c r="C239" s="16" t="s">
        <v>323</v>
      </c>
      <c r="D239" s="45"/>
      <c r="E239" s="10" t="s">
        <v>402</v>
      </c>
      <c r="F239" s="65">
        <v>110969275</v>
      </c>
      <c r="G239" s="46"/>
      <c r="H239" s="45" t="s">
        <v>623</v>
      </c>
      <c r="I239" s="45" t="s">
        <v>652</v>
      </c>
      <c r="J239" s="45" t="s">
        <v>20</v>
      </c>
      <c r="K239" s="45" t="s">
        <v>609</v>
      </c>
      <c r="L239" s="10" t="s">
        <v>643</v>
      </c>
      <c r="M239" s="45" t="s">
        <v>591</v>
      </c>
      <c r="N239" s="45">
        <v>1</v>
      </c>
      <c r="O239" s="45">
        <v>13</v>
      </c>
      <c r="P239" s="45"/>
      <c r="Q239" s="16" t="s">
        <v>554</v>
      </c>
      <c r="R239" s="47" t="s">
        <v>653</v>
      </c>
      <c r="S239" s="10" t="s">
        <v>598</v>
      </c>
      <c r="T239" s="32">
        <v>0</v>
      </c>
      <c r="U239" s="48">
        <v>0</v>
      </c>
      <c r="V239" s="48">
        <v>0</v>
      </c>
      <c r="W239" s="48">
        <v>0</v>
      </c>
      <c r="X239" s="48">
        <v>0</v>
      </c>
      <c r="Y239" s="48">
        <v>520000</v>
      </c>
      <c r="Z239" s="48">
        <v>500000</v>
      </c>
      <c r="AA239" s="48">
        <v>500000</v>
      </c>
      <c r="AB239" s="49">
        <f>Table1[[#This Row],[2019]]+Table1[[#This Row],[2020]]+Table1[[#This Row],[2021]]+Table1[[#This Row],[2022]]+Table1[[#This Row],[2023]]+Table1[[#This Row],[2024]]+Table1[[#This Row],[2025]]+Table1[[#This Row],[2026]]</f>
        <v>1520000</v>
      </c>
    </row>
    <row r="240" spans="1:28" x14ac:dyDescent="0.25">
      <c r="A240" s="4">
        <v>280</v>
      </c>
      <c r="B240" s="81" t="s">
        <v>323</v>
      </c>
      <c r="C240" s="4"/>
      <c r="D240" s="4"/>
      <c r="E240" s="4"/>
      <c r="F240" s="81">
        <v>110969275</v>
      </c>
      <c r="G240" s="79" t="s">
        <v>880</v>
      </c>
      <c r="H240" s="81" t="s">
        <v>894</v>
      </c>
      <c r="I240" s="81" t="s">
        <v>902</v>
      </c>
      <c r="J240" s="4"/>
      <c r="K240" s="4"/>
      <c r="L240" s="4"/>
      <c r="M240" s="4"/>
      <c r="N240" s="4"/>
      <c r="O240" s="4"/>
      <c r="P240" s="4"/>
      <c r="Q240" s="4"/>
      <c r="R240" s="81" t="s">
        <v>915</v>
      </c>
      <c r="S240" s="22"/>
      <c r="T240" s="33"/>
      <c r="U240" s="33"/>
      <c r="V240" s="33"/>
      <c r="W240" s="33"/>
      <c r="X240" s="33"/>
      <c r="Y240" s="33"/>
      <c r="Z240" s="33"/>
      <c r="AA240" s="33"/>
      <c r="AB24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41" spans="1:28" ht="30" x14ac:dyDescent="0.25">
      <c r="A241" s="4">
        <v>45</v>
      </c>
      <c r="B241" s="16" t="s">
        <v>341</v>
      </c>
      <c r="C241" s="16" t="s">
        <v>342</v>
      </c>
      <c r="D241" s="4" t="s">
        <v>684</v>
      </c>
      <c r="E241" s="10" t="s">
        <v>401</v>
      </c>
      <c r="F241" s="65">
        <v>119669779</v>
      </c>
      <c r="G241" s="22" t="s">
        <v>685</v>
      </c>
      <c r="H241" s="4" t="s">
        <v>584</v>
      </c>
      <c r="I241" s="4" t="s">
        <v>608</v>
      </c>
      <c r="J241" s="4" t="s">
        <v>20</v>
      </c>
      <c r="K241" s="4" t="s">
        <v>590</v>
      </c>
      <c r="L241" s="10" t="s">
        <v>643</v>
      </c>
      <c r="M241" s="4" t="s">
        <v>591</v>
      </c>
      <c r="N241" s="4">
        <v>2</v>
      </c>
      <c r="O241" s="4">
        <v>4</v>
      </c>
      <c r="P241" s="4"/>
      <c r="Q241" s="16" t="s">
        <v>563</v>
      </c>
      <c r="R241" s="25" t="s">
        <v>686</v>
      </c>
      <c r="S241" s="10" t="s">
        <v>598</v>
      </c>
      <c r="T241" s="32"/>
      <c r="U241" s="33"/>
      <c r="V241" s="33"/>
      <c r="W241" s="33"/>
      <c r="X241" s="33"/>
      <c r="Y241" s="33"/>
      <c r="Z241" s="33"/>
      <c r="AA241" s="33"/>
      <c r="AB24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42" spans="1:28" x14ac:dyDescent="0.25">
      <c r="A242" s="4">
        <v>278</v>
      </c>
      <c r="B242" s="81" t="s">
        <v>341</v>
      </c>
      <c r="C242" s="4"/>
      <c r="D242" s="4"/>
      <c r="E242" s="4"/>
      <c r="F242" s="81">
        <v>119669779</v>
      </c>
      <c r="G242" s="79">
        <v>1198480167014160</v>
      </c>
      <c r="H242" s="81" t="s">
        <v>895</v>
      </c>
      <c r="I242" s="81" t="s">
        <v>901</v>
      </c>
      <c r="J242" s="4"/>
      <c r="K242" s="4"/>
      <c r="L242" s="4"/>
      <c r="M242" s="4"/>
      <c r="N242" s="4"/>
      <c r="O242" s="4"/>
      <c r="P242" s="4"/>
      <c r="Q242" s="4"/>
      <c r="R242" s="81" t="s">
        <v>913</v>
      </c>
      <c r="S242" s="22"/>
      <c r="T242" s="33"/>
      <c r="U242" s="33"/>
      <c r="V242" s="33"/>
      <c r="W242" s="33"/>
      <c r="X242" s="33"/>
      <c r="Y242" s="33"/>
      <c r="Z242" s="33"/>
      <c r="AA242" s="33"/>
      <c r="AB24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43" spans="1:28" ht="15.75" x14ac:dyDescent="0.25">
      <c r="A243" s="4">
        <v>127</v>
      </c>
      <c r="B243" s="16" t="s">
        <v>135</v>
      </c>
      <c r="C243" s="16" t="s">
        <v>136</v>
      </c>
      <c r="D243" s="4"/>
      <c r="E243" s="10" t="s">
        <v>402</v>
      </c>
      <c r="F243" s="65"/>
      <c r="G243" s="22"/>
      <c r="H243" s="4"/>
      <c r="I243" s="4"/>
      <c r="J243" s="4"/>
      <c r="K243" s="4"/>
      <c r="L243" s="10"/>
      <c r="M243" s="4"/>
      <c r="N243" s="4"/>
      <c r="O243" s="4"/>
      <c r="P243" s="4"/>
      <c r="Q243" s="16" t="s">
        <v>463</v>
      </c>
      <c r="R243" s="4"/>
      <c r="S243" s="10" t="s">
        <v>598</v>
      </c>
      <c r="T243" s="32"/>
      <c r="U243" s="33"/>
      <c r="V243" s="33"/>
      <c r="W243" s="33"/>
      <c r="X243" s="33"/>
      <c r="Y243" s="33"/>
      <c r="Z243" s="33"/>
      <c r="AA243" s="33"/>
      <c r="AB24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44" spans="1:28" ht="40.5" x14ac:dyDescent="0.3">
      <c r="A244" s="4">
        <v>70</v>
      </c>
      <c r="B244" s="16" t="s">
        <v>23</v>
      </c>
      <c r="C244" s="16" t="s">
        <v>24</v>
      </c>
      <c r="D244" s="4"/>
      <c r="E244" s="10" t="s">
        <v>401</v>
      </c>
      <c r="F244" s="65"/>
      <c r="G244" s="22"/>
      <c r="H244" s="4" t="s">
        <v>588</v>
      </c>
      <c r="I244" s="4" t="s">
        <v>589</v>
      </c>
      <c r="J244" s="61" t="s">
        <v>20</v>
      </c>
      <c r="K244" s="4" t="s">
        <v>590</v>
      </c>
      <c r="L244" s="10" t="s">
        <v>714</v>
      </c>
      <c r="M244" s="4" t="s">
        <v>591</v>
      </c>
      <c r="N244" s="4"/>
      <c r="O244" s="4"/>
      <c r="P244" s="4"/>
      <c r="Q244" s="16" t="s">
        <v>408</v>
      </c>
      <c r="R244" s="4"/>
      <c r="S244" s="10">
        <v>2025</v>
      </c>
      <c r="T244" s="32"/>
      <c r="U244" s="33"/>
      <c r="V244" s="33"/>
      <c r="W244" s="33"/>
      <c r="X244" s="33"/>
      <c r="Y244" s="33"/>
      <c r="Z244" s="33">
        <v>150000</v>
      </c>
      <c r="AA244" s="33"/>
      <c r="AB244" s="36">
        <f>Table1[[#This Row],[2019]]+Table1[[#This Row],[2020]]+Table1[[#This Row],[2021]]+Table1[[#This Row],[2022]]+Table1[[#This Row],[2023]]+Table1[[#This Row],[2024]]+Table1[[#This Row],[2025]]+Table1[[#This Row],[2026]]</f>
        <v>150000</v>
      </c>
    </row>
    <row r="245" spans="1:28" ht="15.75" x14ac:dyDescent="0.25">
      <c r="A245" s="4">
        <v>100</v>
      </c>
      <c r="B245" s="16" t="s">
        <v>75</v>
      </c>
      <c r="C245" s="16" t="s">
        <v>76</v>
      </c>
      <c r="D245" s="4"/>
      <c r="E245" s="10" t="s">
        <v>401</v>
      </c>
      <c r="F245" s="65"/>
      <c r="G245" s="22"/>
      <c r="H245" s="4"/>
      <c r="I245" s="4"/>
      <c r="J245" s="4"/>
      <c r="K245" s="4"/>
      <c r="L245" s="10"/>
      <c r="M245" s="4"/>
      <c r="N245" s="4"/>
      <c r="O245" s="4"/>
      <c r="P245" s="4"/>
      <c r="Q245" s="16" t="s">
        <v>408</v>
      </c>
      <c r="R245" s="4"/>
      <c r="S245" s="10" t="s">
        <v>599</v>
      </c>
      <c r="T245" s="32"/>
      <c r="U245" s="33"/>
      <c r="V245" s="33"/>
      <c r="W245" s="33"/>
      <c r="X245" s="33"/>
      <c r="Y245" s="33"/>
      <c r="Z245" s="33"/>
      <c r="AA245" s="33"/>
      <c r="AB24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46" spans="1:28" ht="15.75" x14ac:dyDescent="0.25">
      <c r="A246" s="4">
        <v>128</v>
      </c>
      <c r="B246" s="16" t="s">
        <v>137</v>
      </c>
      <c r="C246" s="16" t="s">
        <v>137</v>
      </c>
      <c r="D246" s="4"/>
      <c r="E246" s="10" t="s">
        <v>402</v>
      </c>
      <c r="F246" s="65"/>
      <c r="G246" s="22"/>
      <c r="H246" s="4"/>
      <c r="I246" s="4"/>
      <c r="J246" s="4"/>
      <c r="K246" s="4"/>
      <c r="L246" s="10"/>
      <c r="M246" s="4"/>
      <c r="N246" s="4"/>
      <c r="O246" s="4"/>
      <c r="P246" s="4"/>
      <c r="Q246" s="16"/>
      <c r="R246" s="4"/>
      <c r="S246" s="10" t="s">
        <v>598</v>
      </c>
      <c r="T246" s="32"/>
      <c r="U246" s="33"/>
      <c r="V246" s="33"/>
      <c r="W246" s="33"/>
      <c r="X246" s="33"/>
      <c r="Y246" s="33"/>
      <c r="Z246" s="33"/>
      <c r="AA246" s="33"/>
      <c r="AB24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47" spans="1:28" ht="30" x14ac:dyDescent="0.25">
      <c r="A247" s="4">
        <v>35</v>
      </c>
      <c r="B247" s="16" t="s">
        <v>138</v>
      </c>
      <c r="C247" s="16" t="s">
        <v>138</v>
      </c>
      <c r="D247" s="4"/>
      <c r="E247" s="10" t="s">
        <v>402</v>
      </c>
      <c r="F247" s="65">
        <v>111487592</v>
      </c>
      <c r="G247" s="22"/>
      <c r="H247" s="4" t="s">
        <v>594</v>
      </c>
      <c r="I247" s="4" t="s">
        <v>595</v>
      </c>
      <c r="J247" s="4" t="s">
        <v>20</v>
      </c>
      <c r="K247" s="4"/>
      <c r="L247" s="10" t="s">
        <v>613</v>
      </c>
      <c r="M247" s="4"/>
      <c r="N247" s="4">
        <v>1</v>
      </c>
      <c r="O247" s="4">
        <v>1</v>
      </c>
      <c r="P247" s="4"/>
      <c r="Q247" s="16">
        <v>789530275</v>
      </c>
      <c r="R247" s="4"/>
      <c r="S247" s="10" t="s">
        <v>598</v>
      </c>
      <c r="T247" s="32"/>
      <c r="U247" s="33"/>
      <c r="V247" s="33"/>
      <c r="W247" s="33"/>
      <c r="X247" s="33"/>
      <c r="Y247" s="33">
        <v>320000</v>
      </c>
      <c r="Z247" s="33"/>
      <c r="AA247" s="33"/>
      <c r="AB247" s="36">
        <f>Table1[[#This Row],[2019]]+Table1[[#This Row],[2020]]+Table1[[#This Row],[2021]]+Table1[[#This Row],[2022]]+Table1[[#This Row],[2023]]+Table1[[#This Row],[2024]]+Table1[[#This Row],[2025]]+Table1[[#This Row],[2026]]</f>
        <v>320000</v>
      </c>
    </row>
    <row r="248" spans="1:28" ht="30" x14ac:dyDescent="0.25">
      <c r="A248" s="4">
        <v>55</v>
      </c>
      <c r="B248" s="16" t="s">
        <v>291</v>
      </c>
      <c r="C248" s="16" t="s">
        <v>291</v>
      </c>
      <c r="D248" s="4"/>
      <c r="E248" s="10" t="s">
        <v>402</v>
      </c>
      <c r="F248" s="65">
        <v>121725521</v>
      </c>
      <c r="G248" s="22" t="s">
        <v>762</v>
      </c>
      <c r="H248" s="4" t="s">
        <v>588</v>
      </c>
      <c r="I248" s="4" t="s">
        <v>700</v>
      </c>
      <c r="J248" s="4" t="s">
        <v>20</v>
      </c>
      <c r="K248" s="4" t="s">
        <v>609</v>
      </c>
      <c r="L248" s="10" t="s">
        <v>714</v>
      </c>
      <c r="M248" s="4"/>
      <c r="N248" s="4">
        <v>1</v>
      </c>
      <c r="O248" s="4">
        <v>1</v>
      </c>
      <c r="P248" s="4"/>
      <c r="Q248" s="16" t="s">
        <v>537</v>
      </c>
      <c r="R248" s="25" t="s">
        <v>763</v>
      </c>
      <c r="S248" s="10">
        <v>2025</v>
      </c>
      <c r="T248" s="32"/>
      <c r="U248" s="33"/>
      <c r="V248" s="33"/>
      <c r="W248" s="33"/>
      <c r="X248" s="33"/>
      <c r="Y248" s="33"/>
      <c r="Z248" s="33">
        <v>150000</v>
      </c>
      <c r="AA248" s="33"/>
      <c r="AB248" s="36">
        <f>Table1[[#This Row],[2019]]+Table1[[#This Row],[2020]]+Table1[[#This Row],[2021]]+Table1[[#This Row],[2022]]+Table1[[#This Row],[2023]]+Table1[[#This Row],[2024]]+Table1[[#This Row],[2025]]+Table1[[#This Row],[2026]]</f>
        <v>150000</v>
      </c>
    </row>
    <row r="249" spans="1:28" ht="15.75" x14ac:dyDescent="0.25">
      <c r="A249" s="4">
        <v>144</v>
      </c>
      <c r="B249" s="16" t="s">
        <v>178</v>
      </c>
      <c r="C249" s="16" t="s">
        <v>179</v>
      </c>
      <c r="D249" s="4"/>
      <c r="E249" s="10" t="s">
        <v>401</v>
      </c>
      <c r="F249" s="65"/>
      <c r="G249" s="22"/>
      <c r="H249" s="4"/>
      <c r="I249" s="4"/>
      <c r="J249" s="4"/>
      <c r="K249" s="4"/>
      <c r="L249" s="10"/>
      <c r="M249" s="4"/>
      <c r="N249" s="4"/>
      <c r="O249" s="4"/>
      <c r="P249" s="4"/>
      <c r="Q249" s="16" t="s">
        <v>482</v>
      </c>
      <c r="R249" s="4"/>
      <c r="S249" s="10" t="s">
        <v>602</v>
      </c>
      <c r="T249" s="32"/>
      <c r="U249" s="33"/>
      <c r="V249" s="33"/>
      <c r="W249" s="33"/>
      <c r="X249" s="33"/>
      <c r="Y249" s="33"/>
      <c r="Z249" s="33"/>
      <c r="AA249" s="33"/>
      <c r="AB24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50" spans="1:28" ht="15.75" x14ac:dyDescent="0.25">
      <c r="A250" s="4">
        <v>187</v>
      </c>
      <c r="B250" s="16" t="s">
        <v>270</v>
      </c>
      <c r="C250" s="16" t="s">
        <v>271</v>
      </c>
      <c r="D250" s="4"/>
      <c r="E250" s="10" t="s">
        <v>402</v>
      </c>
      <c r="F250" s="65"/>
      <c r="G250" s="22"/>
      <c r="H250" s="4" t="s">
        <v>623</v>
      </c>
      <c r="I250" s="4" t="s">
        <v>826</v>
      </c>
      <c r="J250" s="4" t="s">
        <v>5</v>
      </c>
      <c r="K250" s="4" t="s">
        <v>590</v>
      </c>
      <c r="L250" s="10" t="s">
        <v>643</v>
      </c>
      <c r="M250" s="4"/>
      <c r="N250" s="4"/>
      <c r="O250" s="4"/>
      <c r="P250" s="4"/>
      <c r="Q250" s="16" t="s">
        <v>528</v>
      </c>
      <c r="R250" s="4"/>
      <c r="S250" s="10" t="s">
        <v>598</v>
      </c>
      <c r="T250" s="32"/>
      <c r="U250" s="33"/>
      <c r="V250" s="33"/>
      <c r="W250" s="33"/>
      <c r="X250" s="33"/>
      <c r="Y250" s="33">
        <v>520000</v>
      </c>
      <c r="Z250" s="33"/>
      <c r="AA250" s="33"/>
      <c r="AB250" s="36">
        <f>Table1[[#This Row],[2019]]+Table1[[#This Row],[2020]]+Table1[[#This Row],[2021]]+Table1[[#This Row],[2022]]+Table1[[#This Row],[2023]]+Table1[[#This Row],[2024]]+Table1[[#This Row],[2025]]+Table1[[#This Row],[2026]]</f>
        <v>520000</v>
      </c>
    </row>
    <row r="251" spans="1:28" ht="30" x14ac:dyDescent="0.25">
      <c r="A251" s="4">
        <v>33</v>
      </c>
      <c r="B251" s="17" t="s">
        <v>347</v>
      </c>
      <c r="C251" s="17" t="s">
        <v>348</v>
      </c>
      <c r="D251" s="4"/>
      <c r="E251" s="4" t="s">
        <v>401</v>
      </c>
      <c r="F251" s="75">
        <v>111047538</v>
      </c>
      <c r="G251" s="22" t="s">
        <v>792</v>
      </c>
      <c r="H251" s="4" t="s">
        <v>584</v>
      </c>
      <c r="I251" s="4" t="s">
        <v>608</v>
      </c>
      <c r="J251" s="4" t="s">
        <v>767</v>
      </c>
      <c r="K251" s="4" t="s">
        <v>609</v>
      </c>
      <c r="L251" s="14" t="s">
        <v>714</v>
      </c>
      <c r="M251" s="4" t="s">
        <v>787</v>
      </c>
      <c r="N251" s="4">
        <v>9</v>
      </c>
      <c r="O251" s="4">
        <v>8</v>
      </c>
      <c r="P251" s="4"/>
      <c r="Q251" s="14">
        <v>781632705</v>
      </c>
      <c r="R251" s="25" t="s">
        <v>768</v>
      </c>
      <c r="S251" s="14">
        <v>2026</v>
      </c>
      <c r="T251" s="34"/>
      <c r="U251" s="33"/>
      <c r="V251" s="33"/>
      <c r="W251" s="33"/>
      <c r="X251" s="33"/>
      <c r="Y251" s="33"/>
      <c r="Z251" s="33"/>
      <c r="AA251" s="33">
        <v>50000</v>
      </c>
      <c r="AB251" s="36">
        <f>Table1[[#This Row],[2019]]+Table1[[#This Row],[2020]]+Table1[[#This Row],[2021]]+Table1[[#This Row],[2022]]+Table1[[#This Row],[2023]]+Table1[[#This Row],[2024]]+Table1[[#This Row],[2025]]+Table1[[#This Row],[2026]]</f>
        <v>50000</v>
      </c>
    </row>
    <row r="252" spans="1:28" ht="15.75" x14ac:dyDescent="0.25">
      <c r="A252" s="4">
        <v>224</v>
      </c>
      <c r="B252" s="16" t="s">
        <v>367</v>
      </c>
      <c r="C252" s="16" t="s">
        <v>368</v>
      </c>
      <c r="D252" s="4"/>
      <c r="E252" s="10" t="s">
        <v>401</v>
      </c>
      <c r="F252" s="65"/>
      <c r="G252" s="22"/>
      <c r="H252" s="4"/>
      <c r="I252" s="4"/>
      <c r="J252" s="4"/>
      <c r="K252" s="4"/>
      <c r="L252" s="10"/>
      <c r="M252" s="4"/>
      <c r="N252" s="4"/>
      <c r="O252" s="4"/>
      <c r="P252" s="4"/>
      <c r="Q252" s="16" t="s">
        <v>570</v>
      </c>
      <c r="R252" s="4"/>
      <c r="S252" s="10" t="s">
        <v>602</v>
      </c>
      <c r="T252" s="32"/>
      <c r="U252" s="33"/>
      <c r="V252" s="33"/>
      <c r="W252" s="33"/>
      <c r="X252" s="33"/>
      <c r="Y252" s="33"/>
      <c r="Z252" s="33"/>
      <c r="AA252" s="33"/>
      <c r="AB25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53" spans="1:28" ht="30" x14ac:dyDescent="0.25">
      <c r="A253" s="4">
        <v>172</v>
      </c>
      <c r="B253" s="16" t="s">
        <v>236</v>
      </c>
      <c r="C253" s="16" t="s">
        <v>236</v>
      </c>
      <c r="D253" s="4"/>
      <c r="E253" s="10" t="s">
        <v>401</v>
      </c>
      <c r="F253" s="65"/>
      <c r="G253" s="22"/>
      <c r="H253" s="4" t="s">
        <v>594</v>
      </c>
      <c r="I253" s="4" t="s">
        <v>595</v>
      </c>
      <c r="J253" s="4" t="s">
        <v>20</v>
      </c>
      <c r="K253" s="4" t="s">
        <v>590</v>
      </c>
      <c r="L253" s="10" t="s">
        <v>643</v>
      </c>
      <c r="M253" s="4" t="s">
        <v>591</v>
      </c>
      <c r="N253" s="4"/>
      <c r="O253" s="4"/>
      <c r="P253" s="4"/>
      <c r="Q253" s="16" t="s">
        <v>514</v>
      </c>
      <c r="R253" s="4"/>
      <c r="S253" s="10" t="s">
        <v>602</v>
      </c>
      <c r="T253" s="32"/>
      <c r="U253" s="33"/>
      <c r="V253" s="33"/>
      <c r="W253" s="33"/>
      <c r="X253" s="33"/>
      <c r="Y253" s="33"/>
      <c r="Z253" s="33"/>
      <c r="AA253" s="33"/>
      <c r="AB25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54" spans="1:28" ht="30" x14ac:dyDescent="0.25">
      <c r="A254" s="4">
        <v>154</v>
      </c>
      <c r="B254" s="16" t="s">
        <v>203</v>
      </c>
      <c r="C254" s="16" t="s">
        <v>204</v>
      </c>
      <c r="D254" s="4"/>
      <c r="E254" s="10" t="s">
        <v>401</v>
      </c>
      <c r="F254" s="65"/>
      <c r="G254" s="22"/>
      <c r="H254" s="4" t="s">
        <v>623</v>
      </c>
      <c r="I254" s="4" t="s">
        <v>667</v>
      </c>
      <c r="J254" s="4" t="s">
        <v>20</v>
      </c>
      <c r="K254" s="4" t="s">
        <v>590</v>
      </c>
      <c r="L254" s="10" t="s">
        <v>643</v>
      </c>
      <c r="M254" s="4"/>
      <c r="N254" s="4"/>
      <c r="O254" s="4"/>
      <c r="P254" s="4"/>
      <c r="Q254" s="16" t="s">
        <v>496</v>
      </c>
      <c r="R254" s="4"/>
      <c r="S254" s="10" t="s">
        <v>598</v>
      </c>
      <c r="T254" s="32"/>
      <c r="U254" s="33"/>
      <c r="V254" s="33"/>
      <c r="W254" s="33"/>
      <c r="X254" s="33"/>
      <c r="Y254" s="33">
        <v>500000</v>
      </c>
      <c r="Z254" s="33"/>
      <c r="AA254" s="33"/>
      <c r="AB254" s="36">
        <f>Table1[[#This Row],[2019]]+Table1[[#This Row],[2020]]+Table1[[#This Row],[2021]]+Table1[[#This Row],[2022]]+Table1[[#This Row],[2023]]+Table1[[#This Row],[2024]]+Table1[[#This Row],[2025]]+Table1[[#This Row],[2026]]</f>
        <v>500000</v>
      </c>
    </row>
    <row r="255" spans="1:28" ht="30" x14ac:dyDescent="0.25">
      <c r="A255" s="4">
        <v>131</v>
      </c>
      <c r="B255" s="16" t="s">
        <v>142</v>
      </c>
      <c r="C255" s="16" t="s">
        <v>143</v>
      </c>
      <c r="D255" s="4" t="s">
        <v>690</v>
      </c>
      <c r="E255" s="10" t="s">
        <v>402</v>
      </c>
      <c r="F255" s="65"/>
      <c r="G255" s="22"/>
      <c r="H255" s="4" t="s">
        <v>594</v>
      </c>
      <c r="I255" s="4" t="s">
        <v>595</v>
      </c>
      <c r="J255" s="4" t="s">
        <v>20</v>
      </c>
      <c r="K255" s="4" t="s">
        <v>590</v>
      </c>
      <c r="L255" s="10" t="s">
        <v>613</v>
      </c>
      <c r="M255" s="4"/>
      <c r="N255" s="4"/>
      <c r="O255" s="4">
        <v>2</v>
      </c>
      <c r="P255" s="4"/>
      <c r="Q255" s="16" t="s">
        <v>465</v>
      </c>
      <c r="R255" s="4"/>
      <c r="S255" s="10" t="s">
        <v>598</v>
      </c>
      <c r="T255" s="32"/>
      <c r="U255" s="33"/>
      <c r="V255" s="33"/>
      <c r="W255" s="33"/>
      <c r="X255" s="33"/>
      <c r="Y255" s="33">
        <v>220000</v>
      </c>
      <c r="Z255" s="33">
        <v>400000</v>
      </c>
      <c r="AA255" s="33">
        <v>300000</v>
      </c>
      <c r="AB255" s="36">
        <f>Table1[[#This Row],[2019]]+Table1[[#This Row],[2020]]+Table1[[#This Row],[2021]]+Table1[[#This Row],[2022]]+Table1[[#This Row],[2023]]+Table1[[#This Row],[2024]]+Table1[[#This Row],[2025]]+Table1[[#This Row],[2026]]</f>
        <v>920000</v>
      </c>
    </row>
    <row r="256" spans="1:28" x14ac:dyDescent="0.25">
      <c r="A256" s="4">
        <v>264</v>
      </c>
      <c r="B256" s="81" t="s">
        <v>142</v>
      </c>
      <c r="C256" s="4"/>
      <c r="D256" s="4"/>
      <c r="E256" s="4"/>
      <c r="F256" s="81">
        <v>119884949</v>
      </c>
      <c r="G256" s="79" t="s">
        <v>869</v>
      </c>
      <c r="H256" s="81" t="s">
        <v>892</v>
      </c>
      <c r="I256" s="81" t="s">
        <v>897</v>
      </c>
      <c r="J256" s="4"/>
      <c r="K256" s="4"/>
      <c r="L256" s="4"/>
      <c r="M256" s="4"/>
      <c r="N256" s="4"/>
      <c r="O256" s="4"/>
      <c r="P256" s="4"/>
      <c r="Q256" s="4"/>
      <c r="R256" s="81" t="s">
        <v>906</v>
      </c>
      <c r="S256" s="22"/>
      <c r="T256" s="33"/>
      <c r="U256" s="33"/>
      <c r="V256" s="33"/>
      <c r="W256" s="33"/>
      <c r="X256" s="33"/>
      <c r="Y256" s="33"/>
      <c r="Z256" s="33"/>
      <c r="AA256" s="33"/>
      <c r="AB25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57" spans="1:28" ht="30" x14ac:dyDescent="0.25">
      <c r="A257" s="4">
        <v>137</v>
      </c>
      <c r="B257" s="16" t="s">
        <v>161</v>
      </c>
      <c r="C257" s="16" t="s">
        <v>162</v>
      </c>
      <c r="D257" s="4"/>
      <c r="E257" s="10" t="s">
        <v>401</v>
      </c>
      <c r="F257" s="76">
        <v>109389489</v>
      </c>
      <c r="G257" s="77" t="s">
        <v>846</v>
      </c>
      <c r="H257" s="4" t="s">
        <v>594</v>
      </c>
      <c r="I257" s="4" t="s">
        <v>595</v>
      </c>
      <c r="J257" s="4" t="s">
        <v>20</v>
      </c>
      <c r="K257" s="4" t="s">
        <v>590</v>
      </c>
      <c r="L257" s="10" t="s">
        <v>615</v>
      </c>
      <c r="M257" s="4"/>
      <c r="N257" s="4"/>
      <c r="O257" s="4"/>
      <c r="P257" s="4"/>
      <c r="Q257" s="16" t="s">
        <v>472</v>
      </c>
      <c r="R257" s="76" t="s">
        <v>847</v>
      </c>
      <c r="S257" s="10" t="s">
        <v>601</v>
      </c>
      <c r="T257" s="32"/>
      <c r="U257" s="33"/>
      <c r="V257" s="33"/>
      <c r="W257" s="33"/>
      <c r="X257" s="33"/>
      <c r="Y257" s="33"/>
      <c r="Z257" s="33"/>
      <c r="AA257" s="33"/>
      <c r="AB25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58" spans="1:28" ht="15.75" x14ac:dyDescent="0.25">
      <c r="A258" s="4">
        <v>257</v>
      </c>
      <c r="B258" s="80" t="s">
        <v>161</v>
      </c>
      <c r="C258" s="53"/>
      <c r="D258" s="4"/>
      <c r="E258" s="4"/>
      <c r="F258" s="80">
        <v>109389489</v>
      </c>
      <c r="G258" s="77" t="s">
        <v>846</v>
      </c>
      <c r="H258" s="80" t="s">
        <v>892</v>
      </c>
      <c r="I258" s="80" t="s">
        <v>893</v>
      </c>
      <c r="J258" s="4"/>
      <c r="K258" s="4"/>
      <c r="L258" s="52"/>
      <c r="M258" s="4"/>
      <c r="N258" s="4"/>
      <c r="O258" s="4"/>
      <c r="P258" s="4"/>
      <c r="Q258" s="29"/>
      <c r="R258" s="80" t="s">
        <v>847</v>
      </c>
      <c r="S258" s="22"/>
      <c r="T258" s="33"/>
      <c r="U258" s="33"/>
      <c r="V258" s="33"/>
      <c r="W258" s="33"/>
      <c r="X258" s="33"/>
      <c r="Y258" s="33"/>
      <c r="Z258" s="33"/>
      <c r="AA258" s="33"/>
      <c r="AB258" s="55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59" spans="1:28" ht="30" x14ac:dyDescent="0.25">
      <c r="A259" s="4">
        <v>17</v>
      </c>
      <c r="B259" s="16" t="s">
        <v>113</v>
      </c>
      <c r="C259" s="16" t="s">
        <v>114</v>
      </c>
      <c r="D259" s="4" t="s">
        <v>680</v>
      </c>
      <c r="E259" s="10" t="s">
        <v>401</v>
      </c>
      <c r="F259" s="65">
        <v>103530415</v>
      </c>
      <c r="G259" s="22" t="s">
        <v>677</v>
      </c>
      <c r="H259" s="4" t="s">
        <v>594</v>
      </c>
      <c r="I259" s="4" t="s">
        <v>595</v>
      </c>
      <c r="J259" s="4" t="s">
        <v>5</v>
      </c>
      <c r="K259" s="4" t="s">
        <v>590</v>
      </c>
      <c r="L259" s="10" t="s">
        <v>643</v>
      </c>
      <c r="M259" s="4"/>
      <c r="N259" s="4"/>
      <c r="O259" s="4"/>
      <c r="P259" s="4"/>
      <c r="Q259" s="16" t="s">
        <v>456</v>
      </c>
      <c r="R259" s="25" t="s">
        <v>678</v>
      </c>
      <c r="S259" s="10" t="s">
        <v>598</v>
      </c>
      <c r="T259" s="32"/>
      <c r="U259" s="33"/>
      <c r="V259" s="33"/>
      <c r="W259" s="33"/>
      <c r="X259" s="33"/>
      <c r="Y259" s="33">
        <v>520000</v>
      </c>
      <c r="Z259" s="33">
        <v>500000</v>
      </c>
      <c r="AA259" s="33"/>
      <c r="AB259" s="36">
        <f>Table1[[#This Row],[2019]]+Table1[[#This Row],[2020]]+Table1[[#This Row],[2021]]+Table1[[#This Row],[2022]]+Table1[[#This Row],[2023]]+Table1[[#This Row],[2024]]+Table1[[#This Row],[2025]]+Table1[[#This Row],[2026]]</f>
        <v>1020000</v>
      </c>
    </row>
    <row r="260" spans="1:28" ht="15.75" x14ac:dyDescent="0.25">
      <c r="A260" s="4">
        <v>133</v>
      </c>
      <c r="B260" s="16" t="s">
        <v>149</v>
      </c>
      <c r="C260" s="16" t="s">
        <v>150</v>
      </c>
      <c r="D260" s="4"/>
      <c r="E260" s="10" t="s">
        <v>401</v>
      </c>
      <c r="F260" s="65"/>
      <c r="G260" s="22"/>
      <c r="H260" s="4"/>
      <c r="I260" s="4"/>
      <c r="J260" s="4"/>
      <c r="K260" s="4"/>
      <c r="L260" s="10"/>
      <c r="M260" s="4"/>
      <c r="N260" s="4"/>
      <c r="O260" s="4"/>
      <c r="P260" s="4"/>
      <c r="Q260" s="16" t="s">
        <v>468</v>
      </c>
      <c r="R260" s="4"/>
      <c r="S260" s="10" t="s">
        <v>600</v>
      </c>
      <c r="T260" s="32"/>
      <c r="U260" s="33"/>
      <c r="V260" s="33"/>
      <c r="W260" s="33"/>
      <c r="X260" s="33"/>
      <c r="Y260" s="33"/>
      <c r="Z260" s="33"/>
      <c r="AA260" s="33"/>
      <c r="AB26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1" spans="1:28" ht="15.75" x14ac:dyDescent="0.25">
      <c r="A261" s="4">
        <v>243</v>
      </c>
      <c r="B261" s="16" t="s">
        <v>393</v>
      </c>
      <c r="C261" s="16" t="s">
        <v>394</v>
      </c>
      <c r="D261" s="4"/>
      <c r="E261" s="10" t="s">
        <v>402</v>
      </c>
      <c r="F261" s="65"/>
      <c r="G261" s="22"/>
      <c r="H261" s="4"/>
      <c r="I261" s="4"/>
      <c r="J261" s="4"/>
      <c r="K261" s="4"/>
      <c r="L261" s="10"/>
      <c r="M261" s="4"/>
      <c r="N261" s="4"/>
      <c r="O261" s="4"/>
      <c r="P261" s="4"/>
      <c r="Q261" s="16" t="s">
        <v>579</v>
      </c>
      <c r="R261" s="4"/>
      <c r="S261" s="10" t="s">
        <v>599</v>
      </c>
      <c r="T261" s="32"/>
      <c r="U261" s="33"/>
      <c r="V261" s="33"/>
      <c r="W261" s="33"/>
      <c r="X261" s="33"/>
      <c r="Y261" s="33"/>
      <c r="Z261" s="33"/>
      <c r="AA261" s="33"/>
      <c r="AB26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2" spans="1:28" ht="15.75" x14ac:dyDescent="0.25">
      <c r="A262" s="4">
        <v>225</v>
      </c>
      <c r="B262" s="16" t="s">
        <v>369</v>
      </c>
      <c r="C262" s="16" t="s">
        <v>370</v>
      </c>
      <c r="D262" s="4"/>
      <c r="E262" s="10" t="s">
        <v>401</v>
      </c>
      <c r="F262" s="65"/>
      <c r="G262" s="22"/>
      <c r="H262" s="4"/>
      <c r="I262" s="4"/>
      <c r="J262" s="4"/>
      <c r="K262" s="4"/>
      <c r="L262" s="10"/>
      <c r="M262" s="4"/>
      <c r="N262" s="4"/>
      <c r="O262" s="4"/>
      <c r="P262" s="4"/>
      <c r="Q262" s="16" t="s">
        <v>571</v>
      </c>
      <c r="R262" s="4"/>
      <c r="S262" s="10" t="s">
        <v>602</v>
      </c>
      <c r="T262" s="32"/>
      <c r="U262" s="33"/>
      <c r="V262" s="33"/>
      <c r="W262" s="33"/>
      <c r="X262" s="33"/>
      <c r="Y262" s="33"/>
      <c r="Z262" s="33"/>
      <c r="AA262" s="33"/>
      <c r="AB26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3" spans="1:28" x14ac:dyDescent="0.25">
      <c r="A263" s="4">
        <v>284</v>
      </c>
      <c r="B263" s="81" t="s">
        <v>859</v>
      </c>
      <c r="C263" s="4"/>
      <c r="D263" s="4"/>
      <c r="E263" s="4"/>
      <c r="F263" s="81">
        <v>134092799</v>
      </c>
      <c r="G263" s="79" t="s">
        <v>883</v>
      </c>
      <c r="H263" s="81" t="s">
        <v>892</v>
      </c>
      <c r="I263" s="81" t="s">
        <v>900</v>
      </c>
      <c r="J263" s="4"/>
      <c r="K263" s="4"/>
      <c r="L263" s="4"/>
      <c r="M263" s="4"/>
      <c r="N263" s="4"/>
      <c r="O263" s="4"/>
      <c r="P263" s="4"/>
      <c r="Q263" s="4"/>
      <c r="R263" s="83"/>
      <c r="S263" s="22"/>
      <c r="T263" s="33"/>
      <c r="U263" s="33"/>
      <c r="V263" s="33"/>
      <c r="W263" s="33"/>
      <c r="X263" s="33"/>
      <c r="Y263" s="33"/>
      <c r="Z263" s="33"/>
      <c r="AA263" s="33"/>
      <c r="AB26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4" spans="1:28" x14ac:dyDescent="0.25">
      <c r="A264" s="4">
        <v>305</v>
      </c>
      <c r="B264" s="4"/>
      <c r="C264" s="4"/>
      <c r="D264" s="4"/>
      <c r="E264" s="4"/>
      <c r="F264" s="65"/>
      <c r="G264" s="22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22"/>
      <c r="T264" s="33"/>
      <c r="U264" s="33"/>
      <c r="V264" s="33"/>
      <c r="W264" s="33"/>
      <c r="X264" s="33"/>
      <c r="Y264" s="33"/>
      <c r="Z264" s="33"/>
      <c r="AA264" s="33"/>
      <c r="AB26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5" spans="1:28" x14ac:dyDescent="0.25">
      <c r="A265" s="4">
        <v>306</v>
      </c>
      <c r="B265" s="4"/>
      <c r="C265" s="4"/>
      <c r="D265" s="4"/>
      <c r="E265" s="4"/>
      <c r="F265" s="65"/>
      <c r="G265" s="22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22"/>
      <c r="T265" s="33"/>
      <c r="U265" s="33"/>
      <c r="V265" s="33"/>
      <c r="W265" s="33"/>
      <c r="X265" s="33"/>
      <c r="Y265" s="33"/>
      <c r="Z265" s="33"/>
      <c r="AA265" s="33"/>
      <c r="AB26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6" spans="1:28" x14ac:dyDescent="0.25">
      <c r="A266" s="4">
        <v>307</v>
      </c>
      <c r="B266" s="4"/>
      <c r="C266" s="4"/>
      <c r="D266" s="4"/>
      <c r="E266" s="4"/>
      <c r="F266" s="65"/>
      <c r="G266" s="22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22"/>
      <c r="T266" s="33"/>
      <c r="U266" s="33"/>
      <c r="V266" s="33"/>
      <c r="W266" s="33"/>
      <c r="X266" s="33"/>
      <c r="Y266" s="33"/>
      <c r="Z266" s="33"/>
      <c r="AA266" s="33"/>
      <c r="AB26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7" spans="1:28" x14ac:dyDescent="0.25">
      <c r="A267" s="4">
        <v>308</v>
      </c>
      <c r="B267" s="4"/>
      <c r="C267" s="4"/>
      <c r="D267" s="4"/>
      <c r="E267" s="4"/>
      <c r="F267" s="65"/>
      <c r="G267" s="22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22"/>
      <c r="T267" s="33"/>
      <c r="U267" s="33"/>
      <c r="V267" s="33"/>
      <c r="W267" s="33"/>
      <c r="X267" s="33"/>
      <c r="Y267" s="33"/>
      <c r="Z267" s="33"/>
      <c r="AA267" s="33"/>
      <c r="AB26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8" spans="1:28" x14ac:dyDescent="0.25">
      <c r="A268" s="4">
        <v>309</v>
      </c>
      <c r="B268" s="4"/>
      <c r="C268" s="4"/>
      <c r="D268" s="4"/>
      <c r="E268" s="4"/>
      <c r="F268" s="65"/>
      <c r="G268" s="22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22"/>
      <c r="T268" s="33"/>
      <c r="U268" s="33"/>
      <c r="V268" s="33"/>
      <c r="W268" s="33"/>
      <c r="X268" s="33"/>
      <c r="Y268" s="33"/>
      <c r="Z268" s="33"/>
      <c r="AA268" s="33"/>
      <c r="AB26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69" spans="1:28" x14ac:dyDescent="0.25">
      <c r="A269" s="4">
        <v>310</v>
      </c>
      <c r="B269" s="4"/>
      <c r="C269" s="4"/>
      <c r="D269" s="4"/>
      <c r="E269" s="4"/>
      <c r="F269" s="65"/>
      <c r="G269" s="22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22"/>
      <c r="T269" s="33"/>
      <c r="U269" s="33"/>
      <c r="V269" s="33"/>
      <c r="W269" s="33"/>
      <c r="X269" s="33"/>
      <c r="Y269" s="33"/>
      <c r="Z269" s="33"/>
      <c r="AA269" s="33"/>
      <c r="AB26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0" spans="1:28" x14ac:dyDescent="0.25">
      <c r="A270" s="4">
        <v>311</v>
      </c>
      <c r="B270" s="4"/>
      <c r="C270" s="4"/>
      <c r="D270" s="4"/>
      <c r="E270" s="4"/>
      <c r="F270" s="65"/>
      <c r="G270" s="22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22"/>
      <c r="T270" s="33"/>
      <c r="U270" s="33"/>
      <c r="V270" s="33"/>
      <c r="W270" s="33"/>
      <c r="X270" s="33"/>
      <c r="Y270" s="33"/>
      <c r="Z270" s="33"/>
      <c r="AA270" s="33"/>
      <c r="AB27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1" spans="1:28" x14ac:dyDescent="0.25">
      <c r="A271" s="4">
        <v>312</v>
      </c>
      <c r="B271" s="4"/>
      <c r="C271" s="4"/>
      <c r="D271" s="4"/>
      <c r="E271" s="4"/>
      <c r="F271" s="65"/>
      <c r="G271" s="22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22"/>
      <c r="T271" s="33"/>
      <c r="U271" s="33"/>
      <c r="V271" s="33"/>
      <c r="W271" s="33"/>
      <c r="X271" s="33"/>
      <c r="Y271" s="33"/>
      <c r="Z271" s="33"/>
      <c r="AA271" s="33"/>
      <c r="AB27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2" spans="1:28" x14ac:dyDescent="0.25">
      <c r="A272" s="4">
        <v>313</v>
      </c>
      <c r="B272" s="4"/>
      <c r="C272" s="4"/>
      <c r="D272" s="4"/>
      <c r="E272" s="4"/>
      <c r="F272" s="65"/>
      <c r="G272" s="22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22"/>
      <c r="T272" s="33"/>
      <c r="U272" s="33"/>
      <c r="V272" s="33"/>
      <c r="W272" s="33"/>
      <c r="X272" s="33"/>
      <c r="Y272" s="33"/>
      <c r="Z272" s="33"/>
      <c r="AA272" s="33"/>
      <c r="AB27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3" spans="1:28" x14ac:dyDescent="0.25">
      <c r="A273" s="4">
        <v>314</v>
      </c>
      <c r="B273" s="4"/>
      <c r="C273" s="4"/>
      <c r="D273" s="4"/>
      <c r="E273" s="4"/>
      <c r="F273" s="65"/>
      <c r="G273" s="22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22"/>
      <c r="T273" s="33"/>
      <c r="U273" s="33"/>
      <c r="V273" s="33"/>
      <c r="W273" s="33"/>
      <c r="X273" s="33"/>
      <c r="Y273" s="33"/>
      <c r="Z273" s="33"/>
      <c r="AA273" s="33"/>
      <c r="AB27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4" spans="1:28" x14ac:dyDescent="0.25">
      <c r="A274" s="4">
        <v>315</v>
      </c>
      <c r="B274" s="4"/>
      <c r="C274" s="4"/>
      <c r="D274" s="4"/>
      <c r="E274" s="4"/>
      <c r="F274" s="65"/>
      <c r="G274" s="22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22"/>
      <c r="T274" s="33"/>
      <c r="U274" s="33"/>
      <c r="V274" s="33"/>
      <c r="W274" s="33"/>
      <c r="X274" s="33"/>
      <c r="Y274" s="33"/>
      <c r="Z274" s="33"/>
      <c r="AA274" s="33"/>
      <c r="AB27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5" spans="1:28" x14ac:dyDescent="0.25">
      <c r="A275" s="4">
        <v>316</v>
      </c>
      <c r="B275" s="4"/>
      <c r="C275" s="4"/>
      <c r="D275" s="4"/>
      <c r="E275" s="4"/>
      <c r="F275" s="65"/>
      <c r="G275" s="22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22"/>
      <c r="T275" s="33"/>
      <c r="U275" s="33"/>
      <c r="V275" s="33"/>
      <c r="W275" s="33"/>
      <c r="X275" s="33"/>
      <c r="Y275" s="33"/>
      <c r="Z275" s="33"/>
      <c r="AA275" s="33"/>
      <c r="AB27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6" spans="1:28" x14ac:dyDescent="0.25">
      <c r="A276" s="4">
        <v>317</v>
      </c>
      <c r="B276" s="4"/>
      <c r="C276" s="4"/>
      <c r="D276" s="4"/>
      <c r="E276" s="4"/>
      <c r="F276" s="65"/>
      <c r="G276" s="22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22"/>
      <c r="T276" s="33"/>
      <c r="U276" s="33"/>
      <c r="V276" s="33"/>
      <c r="W276" s="33"/>
      <c r="X276" s="33"/>
      <c r="Y276" s="33"/>
      <c r="Z276" s="33"/>
      <c r="AA276" s="33"/>
      <c r="AB27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7" spans="1:28" x14ac:dyDescent="0.25">
      <c r="A277" s="4">
        <v>318</v>
      </c>
      <c r="B277" s="4"/>
      <c r="C277" s="4"/>
      <c r="D277" s="4"/>
      <c r="E277" s="4"/>
      <c r="F277" s="65"/>
      <c r="G277" s="22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22"/>
      <c r="T277" s="33"/>
      <c r="U277" s="33"/>
      <c r="V277" s="33"/>
      <c r="W277" s="33"/>
      <c r="X277" s="33"/>
      <c r="Y277" s="33"/>
      <c r="Z277" s="33"/>
      <c r="AA277" s="33"/>
      <c r="AB27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8" spans="1:28" x14ac:dyDescent="0.25">
      <c r="A278" s="4">
        <v>319</v>
      </c>
      <c r="B278" s="4"/>
      <c r="C278" s="4"/>
      <c r="D278" s="4"/>
      <c r="E278" s="4"/>
      <c r="F278" s="65"/>
      <c r="G278" s="22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22"/>
      <c r="T278" s="33"/>
      <c r="U278" s="33"/>
      <c r="V278" s="33"/>
      <c r="W278" s="33"/>
      <c r="X278" s="33"/>
      <c r="Y278" s="33"/>
      <c r="Z278" s="33"/>
      <c r="AA278" s="33"/>
      <c r="AB27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79" spans="1:28" x14ac:dyDescent="0.25">
      <c r="A279" s="4">
        <v>320</v>
      </c>
      <c r="B279" s="4"/>
      <c r="C279" s="4"/>
      <c r="D279" s="4"/>
      <c r="E279" s="4"/>
      <c r="F279" s="65"/>
      <c r="G279" s="22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22"/>
      <c r="T279" s="33"/>
      <c r="U279" s="33"/>
      <c r="V279" s="33"/>
      <c r="W279" s="33"/>
      <c r="X279" s="33"/>
      <c r="Y279" s="33"/>
      <c r="Z279" s="33"/>
      <c r="AA279" s="33"/>
      <c r="AB27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0" spans="1:28" x14ac:dyDescent="0.25">
      <c r="A280" s="4">
        <v>321</v>
      </c>
      <c r="B280" s="4"/>
      <c r="C280" s="4"/>
      <c r="D280" s="4"/>
      <c r="E280" s="4"/>
      <c r="F280" s="65"/>
      <c r="G280" s="22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22"/>
      <c r="T280" s="33"/>
      <c r="U280" s="33"/>
      <c r="V280" s="33"/>
      <c r="W280" s="33"/>
      <c r="X280" s="33"/>
      <c r="Y280" s="33"/>
      <c r="Z280" s="33"/>
      <c r="AA280" s="33"/>
      <c r="AB28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1" spans="1:28" x14ac:dyDescent="0.25">
      <c r="A281" s="4">
        <v>322</v>
      </c>
      <c r="B281" s="4"/>
      <c r="C281" s="4"/>
      <c r="D281" s="4"/>
      <c r="E281" s="4"/>
      <c r="F281" s="65"/>
      <c r="G281" s="22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22"/>
      <c r="T281" s="33"/>
      <c r="U281" s="33"/>
      <c r="V281" s="33"/>
      <c r="W281" s="33"/>
      <c r="X281" s="33"/>
      <c r="Y281" s="33"/>
      <c r="Z281" s="33"/>
      <c r="AA281" s="33"/>
      <c r="AB28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2" spans="1:28" x14ac:dyDescent="0.25">
      <c r="A282" s="4">
        <v>323</v>
      </c>
      <c r="B282" s="4"/>
      <c r="C282" s="4"/>
      <c r="D282" s="4"/>
      <c r="E282" s="4"/>
      <c r="F282" s="65"/>
      <c r="G282" s="22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22"/>
      <c r="T282" s="33"/>
      <c r="U282" s="33"/>
      <c r="V282" s="33"/>
      <c r="W282" s="33"/>
      <c r="X282" s="33"/>
      <c r="Y282" s="33"/>
      <c r="Z282" s="33"/>
      <c r="AA282" s="33"/>
      <c r="AB28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3" spans="1:28" x14ac:dyDescent="0.25">
      <c r="A283" s="4">
        <v>324</v>
      </c>
      <c r="B283" s="4"/>
      <c r="C283" s="4"/>
      <c r="D283" s="4"/>
      <c r="E283" s="4"/>
      <c r="F283" s="65"/>
      <c r="G283" s="22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22"/>
      <c r="T283" s="33"/>
      <c r="U283" s="33"/>
      <c r="V283" s="33"/>
      <c r="W283" s="33"/>
      <c r="X283" s="33"/>
      <c r="Y283" s="33"/>
      <c r="Z283" s="33"/>
      <c r="AA283" s="33"/>
      <c r="AB28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4" spans="1:28" x14ac:dyDescent="0.25">
      <c r="A284" s="4">
        <v>325</v>
      </c>
      <c r="B284" s="4"/>
      <c r="C284" s="4"/>
      <c r="D284" s="4"/>
      <c r="E284" s="4"/>
      <c r="F284" s="65"/>
      <c r="G284" s="22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22"/>
      <c r="T284" s="33"/>
      <c r="U284" s="33"/>
      <c r="V284" s="33"/>
      <c r="W284" s="33"/>
      <c r="X284" s="33"/>
      <c r="Y284" s="33"/>
      <c r="Z284" s="33"/>
      <c r="AA284" s="33"/>
      <c r="AB28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5" spans="1:28" x14ac:dyDescent="0.25">
      <c r="A285" s="4">
        <v>326</v>
      </c>
      <c r="B285" s="4"/>
      <c r="C285" s="4"/>
      <c r="D285" s="4"/>
      <c r="E285" s="4"/>
      <c r="F285" s="65"/>
      <c r="G285" s="22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22"/>
      <c r="T285" s="33"/>
      <c r="U285" s="33"/>
      <c r="V285" s="33"/>
      <c r="W285" s="33"/>
      <c r="X285" s="33"/>
      <c r="Y285" s="33"/>
      <c r="Z285" s="33"/>
      <c r="AA285" s="33"/>
      <c r="AB28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6" spans="1:28" x14ac:dyDescent="0.25">
      <c r="A286" s="4">
        <v>327</v>
      </c>
      <c r="B286" s="4"/>
      <c r="C286" s="4"/>
      <c r="D286" s="4"/>
      <c r="E286" s="4"/>
      <c r="F286" s="65"/>
      <c r="G286" s="22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22"/>
      <c r="T286" s="33"/>
      <c r="U286" s="33"/>
      <c r="V286" s="33"/>
      <c r="W286" s="33"/>
      <c r="X286" s="33"/>
      <c r="Y286" s="33"/>
      <c r="Z286" s="33"/>
      <c r="AA286" s="33"/>
      <c r="AB28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7" spans="1:28" x14ac:dyDescent="0.25">
      <c r="A287" s="4">
        <v>328</v>
      </c>
      <c r="B287" s="4"/>
      <c r="C287" s="4"/>
      <c r="D287" s="4"/>
      <c r="E287" s="4"/>
      <c r="F287" s="65"/>
      <c r="G287" s="22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22"/>
      <c r="T287" s="33"/>
      <c r="U287" s="33"/>
      <c r="V287" s="33"/>
      <c r="W287" s="33"/>
      <c r="X287" s="33"/>
      <c r="Y287" s="33"/>
      <c r="Z287" s="33"/>
      <c r="AA287" s="33"/>
      <c r="AB28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8" spans="1:28" x14ac:dyDescent="0.25">
      <c r="A288" s="4">
        <v>329</v>
      </c>
      <c r="B288" s="4"/>
      <c r="C288" s="4"/>
      <c r="D288" s="4"/>
      <c r="E288" s="4"/>
      <c r="F288" s="65"/>
      <c r="G288" s="22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22"/>
      <c r="T288" s="33"/>
      <c r="U288" s="33"/>
      <c r="V288" s="33"/>
      <c r="W288" s="33"/>
      <c r="X288" s="33"/>
      <c r="Y288" s="33"/>
      <c r="Z288" s="33"/>
      <c r="AA288" s="33"/>
      <c r="AB28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89" spans="1:28" x14ac:dyDescent="0.25">
      <c r="A289" s="4">
        <v>330</v>
      </c>
      <c r="B289" s="4"/>
      <c r="C289" s="4"/>
      <c r="D289" s="4"/>
      <c r="E289" s="4"/>
      <c r="F289" s="65"/>
      <c r="G289" s="22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22"/>
      <c r="T289" s="33"/>
      <c r="U289" s="33"/>
      <c r="V289" s="33"/>
      <c r="W289" s="36"/>
      <c r="X289" s="36"/>
      <c r="Y289" s="36"/>
      <c r="Z289" s="36"/>
      <c r="AA289" s="36"/>
      <c r="AB28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0" spans="1:28" x14ac:dyDescent="0.25">
      <c r="A290" s="4">
        <v>331</v>
      </c>
      <c r="B290" s="4"/>
      <c r="C290" s="4"/>
      <c r="D290" s="4"/>
      <c r="E290" s="4"/>
      <c r="F290" s="65"/>
      <c r="G290" s="22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22"/>
      <c r="T290" s="33"/>
      <c r="U290" s="33"/>
      <c r="V290" s="33"/>
      <c r="W290" s="36"/>
      <c r="X290" s="36"/>
      <c r="Y290" s="36"/>
      <c r="Z290" s="36"/>
      <c r="AA290" s="36"/>
      <c r="AB29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1" spans="1:28" x14ac:dyDescent="0.25">
      <c r="A291" s="4">
        <v>332</v>
      </c>
      <c r="B291" s="4"/>
      <c r="C291" s="4"/>
      <c r="D291" s="4"/>
      <c r="E291" s="4"/>
      <c r="F291" s="65"/>
      <c r="G291" s="22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22"/>
      <c r="T291" s="33"/>
      <c r="U291" s="33"/>
      <c r="V291" s="33"/>
      <c r="W291" s="36"/>
      <c r="X291" s="36"/>
      <c r="Y291" s="36"/>
      <c r="Z291" s="36"/>
      <c r="AA291" s="36"/>
      <c r="AB29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2" spans="1:28" x14ac:dyDescent="0.25">
      <c r="A292" s="4">
        <v>333</v>
      </c>
      <c r="B292" s="4"/>
      <c r="C292" s="4"/>
      <c r="D292" s="4"/>
      <c r="E292" s="4"/>
      <c r="F292" s="65"/>
      <c r="G292" s="22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22"/>
      <c r="T292" s="33"/>
      <c r="U292" s="33"/>
      <c r="V292" s="33"/>
      <c r="W292" s="36"/>
      <c r="X292" s="36"/>
      <c r="Y292" s="36"/>
      <c r="Z292" s="36"/>
      <c r="AA292" s="36"/>
      <c r="AB29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3" spans="1:28" x14ac:dyDescent="0.25">
      <c r="A293" s="4">
        <v>334</v>
      </c>
      <c r="B293" s="4"/>
      <c r="C293" s="4"/>
      <c r="D293" s="4"/>
      <c r="E293" s="4"/>
      <c r="F293" s="65"/>
      <c r="G293" s="22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22"/>
      <c r="T293" s="33"/>
      <c r="U293" s="33"/>
      <c r="V293" s="33"/>
      <c r="W293" s="36"/>
      <c r="X293" s="36"/>
      <c r="Y293" s="36"/>
      <c r="Z293" s="36"/>
      <c r="AA293" s="36"/>
      <c r="AB29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4" spans="1:28" x14ac:dyDescent="0.25">
      <c r="A294" s="4">
        <v>335</v>
      </c>
      <c r="B294" s="4"/>
      <c r="C294" s="4"/>
      <c r="D294" s="4"/>
      <c r="E294" s="4"/>
      <c r="F294" s="65"/>
      <c r="G294" s="22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22"/>
      <c r="T294" s="33"/>
      <c r="U294" s="33"/>
      <c r="V294" s="33"/>
      <c r="W294" s="36"/>
      <c r="X294" s="36"/>
      <c r="Y294" s="36"/>
      <c r="Z294" s="36"/>
      <c r="AA294" s="36"/>
      <c r="AB29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5" spans="1:28" x14ac:dyDescent="0.25">
      <c r="A295" s="4">
        <v>336</v>
      </c>
      <c r="B295" s="4"/>
      <c r="C295" s="4"/>
      <c r="D295" s="4"/>
      <c r="E295" s="4"/>
      <c r="F295" s="65"/>
      <c r="G295" s="22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22"/>
      <c r="T295" s="33"/>
      <c r="U295" s="33"/>
      <c r="V295" s="33"/>
      <c r="W295" s="36"/>
      <c r="X295" s="36"/>
      <c r="Y295" s="36"/>
      <c r="Z295" s="36"/>
      <c r="AA295" s="36"/>
      <c r="AB29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6" spans="1:28" x14ac:dyDescent="0.25">
      <c r="A296" s="4">
        <v>337</v>
      </c>
      <c r="B296" s="4"/>
      <c r="C296" s="4"/>
      <c r="D296" s="4"/>
      <c r="E296" s="4"/>
      <c r="F296" s="65"/>
      <c r="G296" s="22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22"/>
      <c r="T296" s="33"/>
      <c r="U296" s="33"/>
      <c r="V296" s="33"/>
      <c r="W296" s="36"/>
      <c r="X296" s="36"/>
      <c r="Y296" s="36"/>
      <c r="Z296" s="36"/>
      <c r="AA296" s="36"/>
      <c r="AB29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7" spans="1:28" x14ac:dyDescent="0.25">
      <c r="A297" s="4">
        <v>338</v>
      </c>
      <c r="B297" s="4"/>
      <c r="C297" s="4"/>
      <c r="D297" s="4"/>
      <c r="E297" s="4"/>
      <c r="F297" s="65"/>
      <c r="G297" s="22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22"/>
      <c r="T297" s="33"/>
      <c r="U297" s="33"/>
      <c r="V297" s="33"/>
      <c r="W297" s="36"/>
      <c r="X297" s="36"/>
      <c r="Y297" s="36"/>
      <c r="Z297" s="36"/>
      <c r="AA297" s="36"/>
      <c r="AB29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8" spans="1:28" x14ac:dyDescent="0.25">
      <c r="A298" s="4">
        <v>339</v>
      </c>
      <c r="B298" s="4"/>
      <c r="C298" s="4"/>
      <c r="D298" s="4"/>
      <c r="E298" s="4"/>
      <c r="F298" s="65"/>
      <c r="G298" s="22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22"/>
      <c r="T298" s="33"/>
      <c r="U298" s="33"/>
      <c r="V298" s="33"/>
      <c r="W298" s="36"/>
      <c r="X298" s="36"/>
      <c r="Y298" s="36"/>
      <c r="Z298" s="36"/>
      <c r="AA298" s="36"/>
      <c r="AB29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299" spans="1:28" x14ac:dyDescent="0.25">
      <c r="A299" s="4">
        <v>340</v>
      </c>
      <c r="B299" s="4"/>
      <c r="C299" s="4"/>
      <c r="D299" s="4"/>
      <c r="E299" s="4"/>
      <c r="F299" s="65"/>
      <c r="G299" s="22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22"/>
      <c r="T299" s="33"/>
      <c r="U299" s="33"/>
      <c r="V299" s="33"/>
      <c r="W299" s="36"/>
      <c r="X299" s="36"/>
      <c r="Y299" s="36"/>
      <c r="Z299" s="36"/>
      <c r="AA299" s="36"/>
      <c r="AB29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0" spans="1:28" x14ac:dyDescent="0.25">
      <c r="A300" s="4">
        <v>341</v>
      </c>
      <c r="B300" s="4"/>
      <c r="C300" s="4"/>
      <c r="D300" s="4"/>
      <c r="E300" s="4"/>
      <c r="F300" s="65"/>
      <c r="G300" s="22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22"/>
      <c r="T300" s="33"/>
      <c r="U300" s="33"/>
      <c r="V300" s="33"/>
      <c r="W300" s="36"/>
      <c r="X300" s="36"/>
      <c r="Y300" s="36"/>
      <c r="Z300" s="36"/>
      <c r="AA300" s="36"/>
      <c r="AB30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1" spans="1:28" x14ac:dyDescent="0.25">
      <c r="A301" s="4">
        <v>342</v>
      </c>
      <c r="B301" s="4"/>
      <c r="C301" s="4"/>
      <c r="D301" s="4"/>
      <c r="E301" s="4"/>
      <c r="F301" s="65"/>
      <c r="G301" s="22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22"/>
      <c r="T301" s="33"/>
      <c r="U301" s="33"/>
      <c r="V301" s="33"/>
      <c r="W301" s="36"/>
      <c r="X301" s="36"/>
      <c r="Y301" s="36"/>
      <c r="Z301" s="36"/>
      <c r="AA301" s="36"/>
      <c r="AB30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2" spans="1:28" x14ac:dyDescent="0.25">
      <c r="A302" s="4">
        <v>343</v>
      </c>
      <c r="B302" s="4"/>
      <c r="C302" s="4"/>
      <c r="D302" s="4"/>
      <c r="E302" s="4"/>
      <c r="F302" s="65"/>
      <c r="G302" s="22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22"/>
      <c r="T302" s="33"/>
      <c r="U302" s="33"/>
      <c r="V302" s="33"/>
      <c r="W302" s="36"/>
      <c r="X302" s="36"/>
      <c r="Y302" s="36"/>
      <c r="Z302" s="36"/>
      <c r="AA302" s="36"/>
      <c r="AB30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3" spans="1:28" x14ac:dyDescent="0.25">
      <c r="A303" s="4">
        <v>344</v>
      </c>
      <c r="B303" s="4"/>
      <c r="C303" s="4"/>
      <c r="D303" s="4"/>
      <c r="E303" s="4"/>
      <c r="F303" s="65"/>
      <c r="G303" s="22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22"/>
      <c r="T303" s="33"/>
      <c r="U303" s="33"/>
      <c r="V303" s="33"/>
      <c r="W303" s="36"/>
      <c r="X303" s="36"/>
      <c r="Y303" s="36"/>
      <c r="Z303" s="36"/>
      <c r="AA303" s="36"/>
      <c r="AB30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4" spans="1:28" x14ac:dyDescent="0.25">
      <c r="A304" s="4">
        <v>345</v>
      </c>
      <c r="B304" s="4"/>
      <c r="C304" s="4"/>
      <c r="D304" s="4"/>
      <c r="E304" s="4"/>
      <c r="F304" s="65"/>
      <c r="G304" s="22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22"/>
      <c r="T304" s="33"/>
      <c r="U304" s="33"/>
      <c r="V304" s="33"/>
      <c r="W304" s="36"/>
      <c r="X304" s="36"/>
      <c r="Y304" s="36"/>
      <c r="Z304" s="36"/>
      <c r="AA304" s="36"/>
      <c r="AB30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5" spans="1:28" x14ac:dyDescent="0.25">
      <c r="A305" s="4">
        <v>346</v>
      </c>
      <c r="B305" s="4"/>
      <c r="C305" s="4"/>
      <c r="D305" s="4"/>
      <c r="E305" s="4"/>
      <c r="F305" s="65"/>
      <c r="G305" s="22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22"/>
      <c r="T305" s="33"/>
      <c r="U305" s="33"/>
      <c r="V305" s="33"/>
      <c r="W305" s="36"/>
      <c r="X305" s="36"/>
      <c r="Y305" s="36"/>
      <c r="Z305" s="36"/>
      <c r="AA305" s="36"/>
      <c r="AB30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6" spans="1:28" x14ac:dyDescent="0.25">
      <c r="A306" s="4">
        <v>347</v>
      </c>
      <c r="B306" s="4"/>
      <c r="C306" s="4"/>
      <c r="D306" s="4"/>
      <c r="E306" s="4"/>
      <c r="F306" s="65"/>
      <c r="G306" s="22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22"/>
      <c r="T306" s="33"/>
      <c r="U306" s="33"/>
      <c r="V306" s="33"/>
      <c r="W306" s="36"/>
      <c r="X306" s="36"/>
      <c r="Y306" s="36"/>
      <c r="Z306" s="36"/>
      <c r="AA306" s="36"/>
      <c r="AB30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7" spans="1:28" x14ac:dyDescent="0.25">
      <c r="A307" s="4">
        <v>348</v>
      </c>
      <c r="B307" s="4"/>
      <c r="C307" s="4"/>
      <c r="D307" s="4"/>
      <c r="E307" s="4"/>
      <c r="F307" s="65"/>
      <c r="G307" s="22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22"/>
      <c r="T307" s="33"/>
      <c r="U307" s="33"/>
      <c r="V307" s="33"/>
      <c r="W307" s="36"/>
      <c r="X307" s="36"/>
      <c r="Y307" s="36"/>
      <c r="Z307" s="36"/>
      <c r="AA307" s="36"/>
      <c r="AB30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8" spans="1:28" x14ac:dyDescent="0.25">
      <c r="A308" s="4">
        <v>349</v>
      </c>
      <c r="B308" s="4"/>
      <c r="C308" s="4"/>
      <c r="D308" s="4"/>
      <c r="E308" s="4"/>
      <c r="F308" s="65"/>
      <c r="G308" s="22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22"/>
      <c r="T308" s="33"/>
      <c r="U308" s="33"/>
      <c r="V308" s="33"/>
      <c r="W308" s="36"/>
      <c r="X308" s="36"/>
      <c r="Y308" s="36"/>
      <c r="Z308" s="36"/>
      <c r="AA308" s="36"/>
      <c r="AB30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09" spans="1:28" x14ac:dyDescent="0.25">
      <c r="A309" s="4">
        <v>350</v>
      </c>
      <c r="B309" s="4"/>
      <c r="C309" s="4"/>
      <c r="D309" s="4"/>
      <c r="E309" s="4"/>
      <c r="F309" s="65"/>
      <c r="G309" s="22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22"/>
      <c r="T309" s="33"/>
      <c r="U309" s="33"/>
      <c r="V309" s="33"/>
      <c r="W309" s="36"/>
      <c r="X309" s="36"/>
      <c r="Y309" s="36"/>
      <c r="Z309" s="36"/>
      <c r="AA309" s="36"/>
      <c r="AB30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0" spans="1:28" x14ac:dyDescent="0.25">
      <c r="A310" s="4">
        <v>351</v>
      </c>
      <c r="B310" s="4"/>
      <c r="C310" s="4"/>
      <c r="D310" s="4"/>
      <c r="E310" s="4"/>
      <c r="F310" s="65"/>
      <c r="G310" s="22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22"/>
      <c r="T310" s="33"/>
      <c r="U310" s="33"/>
      <c r="V310" s="33"/>
      <c r="W310" s="36"/>
      <c r="X310" s="36"/>
      <c r="Y310" s="36"/>
      <c r="Z310" s="36"/>
      <c r="AA310" s="36"/>
      <c r="AB31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1" spans="1:28" x14ac:dyDescent="0.25">
      <c r="A311" s="4">
        <v>352</v>
      </c>
      <c r="B311" s="4"/>
      <c r="C311" s="4"/>
      <c r="D311" s="4"/>
      <c r="E311" s="4"/>
      <c r="F311" s="65"/>
      <c r="G311" s="22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22"/>
      <c r="T311" s="33"/>
      <c r="U311" s="33"/>
      <c r="V311" s="33"/>
      <c r="W311" s="36"/>
      <c r="X311" s="36"/>
      <c r="Y311" s="36"/>
      <c r="Z311" s="36"/>
      <c r="AA311" s="36"/>
      <c r="AB31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2" spans="1:28" x14ac:dyDescent="0.25">
      <c r="A312" s="4">
        <v>353</v>
      </c>
      <c r="B312" s="4"/>
      <c r="C312" s="4"/>
      <c r="D312" s="4"/>
      <c r="E312" s="4"/>
      <c r="F312" s="65"/>
      <c r="G312" s="22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22"/>
      <c r="T312" s="33"/>
      <c r="U312" s="33"/>
      <c r="V312" s="33"/>
      <c r="W312" s="36"/>
      <c r="X312" s="36"/>
      <c r="Y312" s="36"/>
      <c r="Z312" s="36"/>
      <c r="AA312" s="36"/>
      <c r="AB31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3" spans="1:28" x14ac:dyDescent="0.25">
      <c r="A313" s="4">
        <v>354</v>
      </c>
      <c r="B313" s="4"/>
      <c r="C313" s="4"/>
      <c r="D313" s="4"/>
      <c r="E313" s="4"/>
      <c r="F313" s="65"/>
      <c r="G313" s="22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22"/>
      <c r="T313" s="33"/>
      <c r="U313" s="33"/>
      <c r="V313" s="33"/>
      <c r="W313" s="36"/>
      <c r="X313" s="36"/>
      <c r="Y313" s="36"/>
      <c r="Z313" s="36"/>
      <c r="AA313" s="36"/>
      <c r="AB31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4" spans="1:28" x14ac:dyDescent="0.25">
      <c r="A314" s="4">
        <v>355</v>
      </c>
      <c r="B314" s="4"/>
      <c r="C314" s="4"/>
      <c r="D314" s="4"/>
      <c r="E314" s="4"/>
      <c r="F314" s="65"/>
      <c r="G314" s="22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22"/>
      <c r="T314" s="33"/>
      <c r="U314" s="33"/>
      <c r="V314" s="33"/>
      <c r="W314" s="36"/>
      <c r="X314" s="36"/>
      <c r="Y314" s="36"/>
      <c r="Z314" s="36"/>
      <c r="AA314" s="36"/>
      <c r="AB31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5" spans="1:28" x14ac:dyDescent="0.25">
      <c r="A315" s="4">
        <v>356</v>
      </c>
      <c r="B315" s="4"/>
      <c r="C315" s="4"/>
      <c r="D315" s="4"/>
      <c r="E315" s="4"/>
      <c r="F315" s="65"/>
      <c r="G315" s="22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22"/>
      <c r="T315" s="33"/>
      <c r="U315" s="33"/>
      <c r="V315" s="33"/>
      <c r="W315" s="36"/>
      <c r="X315" s="36"/>
      <c r="Y315" s="36"/>
      <c r="Z315" s="36"/>
      <c r="AA315" s="36"/>
      <c r="AB31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6" spans="1:28" x14ac:dyDescent="0.25">
      <c r="A316" s="4">
        <v>357</v>
      </c>
      <c r="B316" s="4"/>
      <c r="C316" s="4"/>
      <c r="D316" s="4"/>
      <c r="E316" s="4"/>
      <c r="F316" s="65"/>
      <c r="G316" s="22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22"/>
      <c r="T316" s="33"/>
      <c r="U316" s="33"/>
      <c r="V316" s="33"/>
      <c r="W316" s="36"/>
      <c r="X316" s="36"/>
      <c r="Y316" s="36"/>
      <c r="Z316" s="36"/>
      <c r="AA316" s="36"/>
      <c r="AB31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7" spans="1:28" x14ac:dyDescent="0.25">
      <c r="A317" s="4">
        <v>358</v>
      </c>
      <c r="B317" s="4"/>
      <c r="C317" s="4"/>
      <c r="D317" s="4"/>
      <c r="E317" s="4"/>
      <c r="F317" s="65"/>
      <c r="G317" s="22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22"/>
      <c r="T317" s="33"/>
      <c r="U317" s="33"/>
      <c r="V317" s="33"/>
      <c r="W317" s="36"/>
      <c r="X317" s="36"/>
      <c r="Y317" s="36"/>
      <c r="Z317" s="36"/>
      <c r="AA317" s="36"/>
      <c r="AB31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8" spans="1:28" x14ac:dyDescent="0.25">
      <c r="A318" s="4">
        <v>359</v>
      </c>
      <c r="B318" s="4"/>
      <c r="C318" s="4"/>
      <c r="D318" s="4"/>
      <c r="E318" s="4"/>
      <c r="F318" s="65"/>
      <c r="G318" s="22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22"/>
      <c r="T318" s="33"/>
      <c r="U318" s="33"/>
      <c r="V318" s="33"/>
      <c r="W318" s="36"/>
      <c r="X318" s="36"/>
      <c r="Y318" s="36"/>
      <c r="Z318" s="36"/>
      <c r="AA318" s="36"/>
      <c r="AB31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19" spans="1:28" x14ac:dyDescent="0.25">
      <c r="A319" s="4">
        <v>360</v>
      </c>
      <c r="B319" s="4"/>
      <c r="C319" s="4"/>
      <c r="D319" s="4"/>
      <c r="E319" s="4"/>
      <c r="F319" s="65"/>
      <c r="G319" s="22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22"/>
      <c r="T319" s="33"/>
      <c r="U319" s="33"/>
      <c r="V319" s="33"/>
      <c r="W319" s="36"/>
      <c r="X319" s="36"/>
      <c r="Y319" s="36"/>
      <c r="Z319" s="36"/>
      <c r="AA319" s="36"/>
      <c r="AB31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0" spans="1:28" x14ac:dyDescent="0.25">
      <c r="A320" s="4">
        <v>361</v>
      </c>
      <c r="B320" s="4"/>
      <c r="C320" s="4"/>
      <c r="D320" s="4"/>
      <c r="E320" s="4"/>
      <c r="F320" s="65"/>
      <c r="G320" s="22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22"/>
      <c r="T320" s="33"/>
      <c r="U320" s="33"/>
      <c r="V320" s="33"/>
      <c r="W320" s="36"/>
      <c r="X320" s="36"/>
      <c r="Y320" s="36"/>
      <c r="Z320" s="36"/>
      <c r="AA320" s="36"/>
      <c r="AB32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1" spans="1:28" x14ac:dyDescent="0.25">
      <c r="A321" s="4">
        <v>362</v>
      </c>
      <c r="B321" s="4"/>
      <c r="C321" s="4"/>
      <c r="D321" s="4"/>
      <c r="E321" s="4"/>
      <c r="F321" s="65"/>
      <c r="G321" s="22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22"/>
      <c r="T321" s="33"/>
      <c r="U321" s="33"/>
      <c r="V321" s="33"/>
      <c r="W321" s="36"/>
      <c r="X321" s="36"/>
      <c r="Y321" s="36"/>
      <c r="Z321" s="36"/>
      <c r="AA321" s="36"/>
      <c r="AB32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2" spans="1:28" x14ac:dyDescent="0.25">
      <c r="A322" s="4">
        <v>363</v>
      </c>
      <c r="B322" s="4"/>
      <c r="C322" s="4"/>
      <c r="D322" s="4"/>
      <c r="E322" s="4"/>
      <c r="F322" s="65"/>
      <c r="G322" s="22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22"/>
      <c r="T322" s="33"/>
      <c r="U322" s="33"/>
      <c r="V322" s="33"/>
      <c r="W322" s="36"/>
      <c r="X322" s="36"/>
      <c r="Y322" s="36"/>
      <c r="Z322" s="36"/>
      <c r="AA322" s="36"/>
      <c r="AB32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3" spans="1:28" x14ac:dyDescent="0.25">
      <c r="A323" s="4">
        <v>364</v>
      </c>
      <c r="B323" s="4"/>
      <c r="C323" s="4"/>
      <c r="D323" s="4"/>
      <c r="E323" s="4"/>
      <c r="F323" s="65"/>
      <c r="G323" s="22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22"/>
      <c r="T323" s="33"/>
      <c r="U323" s="33"/>
      <c r="V323" s="33"/>
      <c r="W323" s="36"/>
      <c r="X323" s="36"/>
      <c r="Y323" s="36"/>
      <c r="Z323" s="36"/>
      <c r="AA323" s="36"/>
      <c r="AB32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4" spans="1:28" x14ac:dyDescent="0.25">
      <c r="A324" s="4">
        <v>365</v>
      </c>
      <c r="B324" s="4"/>
      <c r="C324" s="4"/>
      <c r="D324" s="4"/>
      <c r="E324" s="4"/>
      <c r="F324" s="65"/>
      <c r="G324" s="22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22"/>
      <c r="T324" s="33"/>
      <c r="U324" s="33"/>
      <c r="V324" s="33"/>
      <c r="W324" s="36"/>
      <c r="X324" s="36"/>
      <c r="Y324" s="36"/>
      <c r="Z324" s="36"/>
      <c r="AA324" s="36"/>
      <c r="AB32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5" spans="1:28" x14ac:dyDescent="0.25">
      <c r="A325" s="4">
        <v>366</v>
      </c>
      <c r="B325" s="4"/>
      <c r="C325" s="4"/>
      <c r="D325" s="4"/>
      <c r="E325" s="4"/>
      <c r="F325" s="65"/>
      <c r="G325" s="22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22"/>
      <c r="T325" s="33"/>
      <c r="U325" s="33"/>
      <c r="V325" s="33"/>
      <c r="W325" s="36"/>
      <c r="X325" s="36"/>
      <c r="Y325" s="36"/>
      <c r="Z325" s="36"/>
      <c r="AA325" s="36"/>
      <c r="AB32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6" spans="1:28" x14ac:dyDescent="0.25">
      <c r="A326" s="4">
        <v>367</v>
      </c>
      <c r="B326" s="4"/>
      <c r="C326" s="4"/>
      <c r="D326" s="4"/>
      <c r="E326" s="4"/>
      <c r="F326" s="65"/>
      <c r="G326" s="22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22"/>
      <c r="T326" s="33"/>
      <c r="U326" s="33"/>
      <c r="V326" s="33"/>
      <c r="W326" s="36"/>
      <c r="X326" s="36"/>
      <c r="Y326" s="36"/>
      <c r="Z326" s="36"/>
      <c r="AA326" s="36"/>
      <c r="AB32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7" spans="1:28" x14ac:dyDescent="0.25">
      <c r="A327" s="4">
        <v>368</v>
      </c>
      <c r="B327" s="4"/>
      <c r="C327" s="4"/>
      <c r="D327" s="4"/>
      <c r="E327" s="4"/>
      <c r="F327" s="65"/>
      <c r="G327" s="22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22"/>
      <c r="T327" s="33"/>
      <c r="U327" s="33"/>
      <c r="V327" s="33"/>
      <c r="W327" s="36"/>
      <c r="X327" s="36"/>
      <c r="Y327" s="36"/>
      <c r="Z327" s="36"/>
      <c r="AA327" s="36"/>
      <c r="AB32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8" spans="1:28" x14ac:dyDescent="0.25">
      <c r="A328" s="4">
        <v>369</v>
      </c>
      <c r="B328" s="4"/>
      <c r="C328" s="4"/>
      <c r="D328" s="4"/>
      <c r="E328" s="4"/>
      <c r="F328" s="65"/>
      <c r="G328" s="22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22"/>
      <c r="T328" s="33"/>
      <c r="U328" s="33"/>
      <c r="V328" s="33"/>
      <c r="W328" s="36"/>
      <c r="X328" s="36"/>
      <c r="Y328" s="36"/>
      <c r="Z328" s="36"/>
      <c r="AA328" s="36"/>
      <c r="AB32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29" spans="1:28" x14ac:dyDescent="0.25">
      <c r="A329" s="4">
        <v>370</v>
      </c>
      <c r="B329" s="4"/>
      <c r="C329" s="4"/>
      <c r="D329" s="4"/>
      <c r="E329" s="4"/>
      <c r="F329" s="65"/>
      <c r="G329" s="22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22"/>
      <c r="T329" s="33"/>
      <c r="U329" s="33"/>
      <c r="V329" s="33"/>
      <c r="W329" s="36"/>
      <c r="X329" s="36"/>
      <c r="Y329" s="36"/>
      <c r="Z329" s="36"/>
      <c r="AA329" s="36"/>
      <c r="AB32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0" spans="1:28" x14ac:dyDescent="0.25">
      <c r="A330" s="4">
        <v>371</v>
      </c>
      <c r="B330" s="4"/>
      <c r="C330" s="4"/>
      <c r="D330" s="4"/>
      <c r="E330" s="4"/>
      <c r="F330" s="65"/>
      <c r="G330" s="22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22"/>
      <c r="T330" s="33"/>
      <c r="U330" s="33"/>
      <c r="V330" s="33"/>
      <c r="W330" s="36"/>
      <c r="X330" s="36"/>
      <c r="Y330" s="36"/>
      <c r="Z330" s="36"/>
      <c r="AA330" s="36"/>
      <c r="AB33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1" spans="1:28" x14ac:dyDescent="0.25">
      <c r="A331" s="4">
        <v>372</v>
      </c>
      <c r="B331" s="4"/>
      <c r="C331" s="4"/>
      <c r="D331" s="4"/>
      <c r="E331" s="4"/>
      <c r="F331" s="65"/>
      <c r="G331" s="22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22"/>
      <c r="T331" s="33"/>
      <c r="U331" s="33"/>
      <c r="V331" s="33"/>
      <c r="W331" s="36"/>
      <c r="X331" s="36"/>
      <c r="Y331" s="36"/>
      <c r="Z331" s="36"/>
      <c r="AA331" s="36"/>
      <c r="AB33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2" spans="1:28" x14ac:dyDescent="0.25">
      <c r="A332" s="4">
        <v>373</v>
      </c>
      <c r="B332" s="4"/>
      <c r="C332" s="4"/>
      <c r="D332" s="4"/>
      <c r="E332" s="4"/>
      <c r="F332" s="65"/>
      <c r="G332" s="22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22"/>
      <c r="T332" s="33"/>
      <c r="U332" s="33"/>
      <c r="V332" s="33"/>
      <c r="W332" s="36"/>
      <c r="X332" s="36"/>
      <c r="Y332" s="36"/>
      <c r="Z332" s="36"/>
      <c r="AA332" s="36"/>
      <c r="AB33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3" spans="1:28" x14ac:dyDescent="0.25">
      <c r="A333" s="4">
        <v>374</v>
      </c>
      <c r="B333" s="4"/>
      <c r="C333" s="4"/>
      <c r="D333" s="4"/>
      <c r="E333" s="4"/>
      <c r="F333" s="65"/>
      <c r="G333" s="22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22"/>
      <c r="T333" s="33"/>
      <c r="U333" s="33"/>
      <c r="V333" s="33"/>
      <c r="W333" s="36"/>
      <c r="X333" s="36"/>
      <c r="Y333" s="36"/>
      <c r="Z333" s="36"/>
      <c r="AA333" s="36"/>
      <c r="AB33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4" spans="1:28" x14ac:dyDescent="0.25">
      <c r="A334" s="4">
        <v>375</v>
      </c>
      <c r="B334" s="4"/>
      <c r="C334" s="4"/>
      <c r="D334" s="4"/>
      <c r="E334" s="4"/>
      <c r="F334" s="65"/>
      <c r="G334" s="22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22"/>
      <c r="T334" s="33"/>
      <c r="U334" s="33"/>
      <c r="V334" s="33"/>
      <c r="W334" s="36"/>
      <c r="X334" s="36"/>
      <c r="Y334" s="36"/>
      <c r="Z334" s="36"/>
      <c r="AA334" s="36"/>
      <c r="AB33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5" spans="1:28" x14ac:dyDescent="0.25">
      <c r="A335" s="4">
        <v>376</v>
      </c>
      <c r="B335" s="4"/>
      <c r="C335" s="4"/>
      <c r="D335" s="4"/>
      <c r="E335" s="4"/>
      <c r="F335" s="65"/>
      <c r="G335" s="22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22"/>
      <c r="T335" s="33"/>
      <c r="U335" s="33"/>
      <c r="V335" s="33"/>
      <c r="W335" s="36"/>
      <c r="X335" s="36"/>
      <c r="Y335" s="36"/>
      <c r="Z335" s="36"/>
      <c r="AA335" s="36"/>
      <c r="AB33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6" spans="1:28" x14ac:dyDescent="0.25">
      <c r="A336" s="4">
        <v>377</v>
      </c>
      <c r="B336" s="4"/>
      <c r="C336" s="4"/>
      <c r="D336" s="4"/>
      <c r="E336" s="4"/>
      <c r="F336" s="65"/>
      <c r="G336" s="22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22"/>
      <c r="T336" s="33"/>
      <c r="U336" s="33"/>
      <c r="V336" s="33"/>
      <c r="W336" s="36"/>
      <c r="X336" s="36"/>
      <c r="Y336" s="36"/>
      <c r="Z336" s="36"/>
      <c r="AA336" s="36"/>
      <c r="AB33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7" spans="1:28" x14ac:dyDescent="0.25">
      <c r="A337" s="4">
        <v>378</v>
      </c>
      <c r="B337" s="4"/>
      <c r="C337" s="4"/>
      <c r="D337" s="4"/>
      <c r="E337" s="4"/>
      <c r="F337" s="65"/>
      <c r="G337" s="22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22"/>
      <c r="T337" s="33"/>
      <c r="U337" s="33"/>
      <c r="V337" s="33"/>
      <c r="W337" s="36"/>
      <c r="X337" s="36"/>
      <c r="Y337" s="36"/>
      <c r="Z337" s="36"/>
      <c r="AA337" s="36"/>
      <c r="AB33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8" spans="1:28" x14ac:dyDescent="0.25">
      <c r="A338" s="4">
        <v>379</v>
      </c>
      <c r="B338" s="4"/>
      <c r="C338" s="4"/>
      <c r="D338" s="4"/>
      <c r="E338" s="4"/>
      <c r="F338" s="65"/>
      <c r="G338" s="22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22"/>
      <c r="T338" s="33"/>
      <c r="U338" s="33"/>
      <c r="V338" s="33"/>
      <c r="W338" s="36"/>
      <c r="X338" s="36"/>
      <c r="Y338" s="36"/>
      <c r="Z338" s="36"/>
      <c r="AA338" s="36"/>
      <c r="AB33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39" spans="1:28" x14ac:dyDescent="0.25">
      <c r="A339" s="4">
        <v>380</v>
      </c>
      <c r="B339" s="4"/>
      <c r="C339" s="4"/>
      <c r="D339" s="4"/>
      <c r="E339" s="4"/>
      <c r="F339" s="65"/>
      <c r="G339" s="22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22"/>
      <c r="T339" s="33"/>
      <c r="U339" s="33"/>
      <c r="V339" s="33"/>
      <c r="W339" s="36"/>
      <c r="X339" s="36"/>
      <c r="Y339" s="36"/>
      <c r="Z339" s="36"/>
      <c r="AA339" s="36"/>
      <c r="AB33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0" spans="1:28" x14ac:dyDescent="0.25">
      <c r="A340" s="4">
        <v>381</v>
      </c>
      <c r="B340" s="4"/>
      <c r="C340" s="4"/>
      <c r="D340" s="4"/>
      <c r="E340" s="4"/>
      <c r="F340" s="65"/>
      <c r="G340" s="22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22"/>
      <c r="T340" s="33"/>
      <c r="U340" s="33"/>
      <c r="V340" s="33"/>
      <c r="W340" s="36"/>
      <c r="X340" s="36"/>
      <c r="Y340" s="36"/>
      <c r="Z340" s="36"/>
      <c r="AA340" s="36"/>
      <c r="AB34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1" spans="1:28" x14ac:dyDescent="0.25">
      <c r="A341" s="4">
        <v>382</v>
      </c>
      <c r="B341" s="4"/>
      <c r="C341" s="4"/>
      <c r="D341" s="4"/>
      <c r="E341" s="4"/>
      <c r="F341" s="65"/>
      <c r="G341" s="22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22"/>
      <c r="T341" s="33"/>
      <c r="U341" s="33"/>
      <c r="V341" s="33"/>
      <c r="W341" s="36"/>
      <c r="X341" s="36"/>
      <c r="Y341" s="36"/>
      <c r="Z341" s="36"/>
      <c r="AA341" s="36"/>
      <c r="AB34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2" spans="1:28" x14ac:dyDescent="0.25">
      <c r="A342" s="4">
        <v>383</v>
      </c>
      <c r="B342" s="4"/>
      <c r="C342" s="4"/>
      <c r="D342" s="4"/>
      <c r="E342" s="4"/>
      <c r="F342" s="65"/>
      <c r="G342" s="22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22"/>
      <c r="T342" s="33"/>
      <c r="U342" s="33"/>
      <c r="V342" s="33"/>
      <c r="W342" s="36"/>
      <c r="X342" s="36"/>
      <c r="Y342" s="36"/>
      <c r="Z342" s="36"/>
      <c r="AA342" s="36"/>
      <c r="AB34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3" spans="1:28" x14ac:dyDescent="0.25">
      <c r="A343" s="4">
        <v>384</v>
      </c>
      <c r="B343" s="4"/>
      <c r="C343" s="4"/>
      <c r="D343" s="4"/>
      <c r="E343" s="4"/>
      <c r="F343" s="65"/>
      <c r="G343" s="22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22"/>
      <c r="T343" s="33"/>
      <c r="U343" s="33"/>
      <c r="V343" s="33"/>
      <c r="W343" s="36"/>
      <c r="X343" s="36"/>
      <c r="Y343" s="36"/>
      <c r="Z343" s="36"/>
      <c r="AA343" s="36"/>
      <c r="AB34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4" spans="1:28" x14ac:dyDescent="0.25">
      <c r="A344" s="4">
        <v>366</v>
      </c>
      <c r="B344" s="4"/>
      <c r="C344" s="4"/>
      <c r="D344" s="4"/>
      <c r="E344" s="4"/>
      <c r="F344" s="65"/>
      <c r="G344" s="22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22"/>
      <c r="T344" s="33"/>
      <c r="U344" s="33"/>
      <c r="V344" s="33"/>
      <c r="W344" s="36"/>
      <c r="X344" s="36"/>
      <c r="Y344" s="36"/>
      <c r="Z344" s="36"/>
      <c r="AA344" s="36"/>
      <c r="AB34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5" spans="1:28" x14ac:dyDescent="0.25">
      <c r="A345" s="4">
        <v>367</v>
      </c>
      <c r="B345" s="4"/>
      <c r="C345" s="4"/>
      <c r="D345" s="4"/>
      <c r="E345" s="4"/>
      <c r="F345" s="65"/>
      <c r="G345" s="22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22"/>
      <c r="T345" s="33"/>
      <c r="U345" s="33"/>
      <c r="V345" s="33"/>
      <c r="W345" s="36"/>
      <c r="X345" s="36"/>
      <c r="Y345" s="36"/>
      <c r="Z345" s="36"/>
      <c r="AA345" s="36"/>
      <c r="AB34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6" spans="1:28" x14ac:dyDescent="0.25">
      <c r="A346" s="4">
        <v>368</v>
      </c>
      <c r="B346" s="4"/>
      <c r="C346" s="4"/>
      <c r="D346" s="4"/>
      <c r="E346" s="4"/>
      <c r="F346" s="65"/>
      <c r="G346" s="22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22"/>
      <c r="T346" s="33"/>
      <c r="U346" s="33"/>
      <c r="V346" s="33"/>
      <c r="W346" s="36"/>
      <c r="X346" s="36"/>
      <c r="Y346" s="36"/>
      <c r="Z346" s="36"/>
      <c r="AA346" s="36"/>
      <c r="AB34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7" spans="1:28" x14ac:dyDescent="0.25">
      <c r="A347" s="4">
        <v>369</v>
      </c>
      <c r="B347" s="4"/>
      <c r="C347" s="4"/>
      <c r="D347" s="4"/>
      <c r="E347" s="4"/>
      <c r="F347" s="65"/>
      <c r="G347" s="22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22"/>
      <c r="T347" s="33"/>
      <c r="U347" s="33"/>
      <c r="V347" s="33"/>
      <c r="W347" s="36"/>
      <c r="X347" s="36"/>
      <c r="Y347" s="36"/>
      <c r="Z347" s="36"/>
      <c r="AA347" s="36"/>
      <c r="AB34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8" spans="1:28" x14ac:dyDescent="0.25">
      <c r="A348" s="4">
        <v>370</v>
      </c>
      <c r="B348" s="4"/>
      <c r="C348" s="4"/>
      <c r="D348" s="4"/>
      <c r="E348" s="4"/>
      <c r="F348" s="65"/>
      <c r="G348" s="22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22"/>
      <c r="T348" s="33"/>
      <c r="U348" s="33"/>
      <c r="V348" s="33"/>
      <c r="W348" s="36"/>
      <c r="X348" s="36"/>
      <c r="Y348" s="36"/>
      <c r="Z348" s="36"/>
      <c r="AA348" s="36"/>
      <c r="AB34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49" spans="1:28" x14ac:dyDescent="0.25">
      <c r="A349" s="4">
        <v>371</v>
      </c>
      <c r="B349" s="4"/>
      <c r="C349" s="4"/>
      <c r="D349" s="4"/>
      <c r="E349" s="4"/>
      <c r="F349" s="65"/>
      <c r="G349" s="22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22"/>
      <c r="T349" s="33"/>
      <c r="U349" s="33"/>
      <c r="V349" s="33"/>
      <c r="W349" s="36"/>
      <c r="X349" s="36"/>
      <c r="Y349" s="36"/>
      <c r="Z349" s="36"/>
      <c r="AA349" s="36"/>
      <c r="AB34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0" spans="1:28" x14ac:dyDescent="0.25">
      <c r="A350" s="4">
        <v>372</v>
      </c>
      <c r="B350" s="4"/>
      <c r="C350" s="4"/>
      <c r="D350" s="4"/>
      <c r="E350" s="4"/>
      <c r="F350" s="65"/>
      <c r="G350" s="22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22"/>
      <c r="T350" s="33"/>
      <c r="U350" s="33"/>
      <c r="V350" s="33"/>
      <c r="W350" s="36"/>
      <c r="X350" s="36"/>
      <c r="Y350" s="36"/>
      <c r="Z350" s="36"/>
      <c r="AA350" s="36"/>
      <c r="AB35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1" spans="1:28" x14ac:dyDescent="0.25">
      <c r="A351" s="4">
        <v>373</v>
      </c>
      <c r="B351" s="4"/>
      <c r="C351" s="4"/>
      <c r="D351" s="4"/>
      <c r="E351" s="4"/>
      <c r="F351" s="65"/>
      <c r="G351" s="22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22"/>
      <c r="T351" s="33"/>
      <c r="U351" s="33"/>
      <c r="V351" s="33"/>
      <c r="W351" s="36"/>
      <c r="X351" s="36"/>
      <c r="Y351" s="36"/>
      <c r="Z351" s="36"/>
      <c r="AA351" s="36"/>
      <c r="AB35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2" spans="1:28" x14ac:dyDescent="0.25">
      <c r="A352" s="4">
        <v>374</v>
      </c>
      <c r="B352" s="4"/>
      <c r="C352" s="4"/>
      <c r="D352" s="4"/>
      <c r="E352" s="4"/>
      <c r="F352" s="65"/>
      <c r="G352" s="22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22"/>
      <c r="T352" s="33"/>
      <c r="U352" s="33"/>
      <c r="V352" s="33"/>
      <c r="W352" s="36"/>
      <c r="X352" s="36"/>
      <c r="Y352" s="36"/>
      <c r="Z352" s="36"/>
      <c r="AA352" s="36"/>
      <c r="AB35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3" spans="1:28" x14ac:dyDescent="0.25">
      <c r="A353" s="4">
        <v>375</v>
      </c>
      <c r="B353" s="4"/>
      <c r="C353" s="4"/>
      <c r="D353" s="4"/>
      <c r="E353" s="4"/>
      <c r="F353" s="65"/>
      <c r="G353" s="22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22"/>
      <c r="T353" s="33"/>
      <c r="U353" s="33"/>
      <c r="V353" s="33"/>
      <c r="W353" s="36"/>
      <c r="X353" s="36"/>
      <c r="Y353" s="36"/>
      <c r="Z353" s="36"/>
      <c r="AA353" s="36"/>
      <c r="AB35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4" spans="1:28" x14ac:dyDescent="0.25">
      <c r="A354" s="4">
        <v>376</v>
      </c>
      <c r="B354" s="4"/>
      <c r="C354" s="4"/>
      <c r="D354" s="4"/>
      <c r="E354" s="4"/>
      <c r="F354" s="65"/>
      <c r="G354" s="22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22"/>
      <c r="T354" s="33"/>
      <c r="U354" s="33"/>
      <c r="V354" s="33"/>
      <c r="W354" s="36"/>
      <c r="X354" s="36"/>
      <c r="Y354" s="36"/>
      <c r="Z354" s="36"/>
      <c r="AA354" s="36"/>
      <c r="AB35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5" spans="1:28" x14ac:dyDescent="0.25">
      <c r="A355" s="4">
        <v>377</v>
      </c>
      <c r="B355" s="4"/>
      <c r="C355" s="4"/>
      <c r="D355" s="4"/>
      <c r="E355" s="4"/>
      <c r="F355" s="65"/>
      <c r="G355" s="22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22"/>
      <c r="T355" s="33"/>
      <c r="U355" s="33"/>
      <c r="V355" s="33"/>
      <c r="W355" s="36"/>
      <c r="X355" s="36"/>
      <c r="Y355" s="36"/>
      <c r="Z355" s="36"/>
      <c r="AA355" s="36"/>
      <c r="AB35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6" spans="1:28" x14ac:dyDescent="0.25">
      <c r="A356" s="4">
        <v>378</v>
      </c>
      <c r="B356" s="4"/>
      <c r="C356" s="4"/>
      <c r="D356" s="4"/>
      <c r="E356" s="4"/>
      <c r="F356" s="65"/>
      <c r="G356" s="22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22"/>
      <c r="T356" s="33"/>
      <c r="U356" s="33"/>
      <c r="V356" s="33"/>
      <c r="W356" s="36"/>
      <c r="X356" s="36"/>
      <c r="Y356" s="36"/>
      <c r="Z356" s="36"/>
      <c r="AA356" s="36"/>
      <c r="AB35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7" spans="1:28" x14ac:dyDescent="0.25">
      <c r="A357" s="4">
        <v>379</v>
      </c>
      <c r="B357" s="4"/>
      <c r="C357" s="4"/>
      <c r="D357" s="4"/>
      <c r="E357" s="4"/>
      <c r="F357" s="65"/>
      <c r="G357" s="22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22"/>
      <c r="T357" s="33"/>
      <c r="U357" s="33"/>
      <c r="V357" s="33"/>
      <c r="W357" s="36"/>
      <c r="X357" s="36"/>
      <c r="Y357" s="36"/>
      <c r="Z357" s="36"/>
      <c r="AA357" s="36"/>
      <c r="AB35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8" spans="1:28" x14ac:dyDescent="0.25">
      <c r="A358" s="4">
        <v>380</v>
      </c>
      <c r="B358" s="4"/>
      <c r="C358" s="4"/>
      <c r="D358" s="4"/>
      <c r="E358" s="4"/>
      <c r="F358" s="65"/>
      <c r="G358" s="22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22"/>
      <c r="T358" s="33"/>
      <c r="U358" s="33"/>
      <c r="V358" s="33"/>
      <c r="W358" s="36"/>
      <c r="X358" s="36"/>
      <c r="Y358" s="36"/>
      <c r="Z358" s="36"/>
      <c r="AA358" s="36"/>
      <c r="AB35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59" spans="1:28" x14ac:dyDescent="0.25">
      <c r="A359" s="4">
        <v>381</v>
      </c>
      <c r="B359" s="4"/>
      <c r="C359" s="4"/>
      <c r="D359" s="4"/>
      <c r="E359" s="4"/>
      <c r="F359" s="65"/>
      <c r="G359" s="22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22"/>
      <c r="T359" s="33"/>
      <c r="U359" s="33"/>
      <c r="V359" s="33"/>
      <c r="W359" s="36"/>
      <c r="X359" s="36"/>
      <c r="Y359" s="36"/>
      <c r="Z359" s="36"/>
      <c r="AA359" s="36"/>
      <c r="AB35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0" spans="1:28" x14ac:dyDescent="0.25">
      <c r="A360" s="4">
        <v>382</v>
      </c>
      <c r="B360" s="4"/>
      <c r="C360" s="4"/>
      <c r="D360" s="4"/>
      <c r="E360" s="4"/>
      <c r="F360" s="65"/>
      <c r="G360" s="22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22"/>
      <c r="T360" s="33"/>
      <c r="U360" s="33"/>
      <c r="V360" s="33"/>
      <c r="W360" s="36"/>
      <c r="X360" s="36"/>
      <c r="Y360" s="36"/>
      <c r="Z360" s="36"/>
      <c r="AA360" s="36"/>
      <c r="AB36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1" spans="1:28" x14ac:dyDescent="0.25">
      <c r="A361" s="4">
        <v>383</v>
      </c>
      <c r="B361" s="4"/>
      <c r="C361" s="4"/>
      <c r="D361" s="4"/>
      <c r="E361" s="4"/>
      <c r="F361" s="65"/>
      <c r="G361" s="22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22"/>
      <c r="T361" s="33"/>
      <c r="U361" s="33"/>
      <c r="V361" s="33"/>
      <c r="W361" s="36"/>
      <c r="X361" s="36"/>
      <c r="Y361" s="36"/>
      <c r="Z361" s="36"/>
      <c r="AA361" s="36"/>
      <c r="AB36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2" spans="1:28" x14ac:dyDescent="0.25">
      <c r="A362" s="4">
        <v>384</v>
      </c>
      <c r="B362" s="4"/>
      <c r="C362" s="4"/>
      <c r="D362" s="4"/>
      <c r="E362" s="4"/>
      <c r="F362" s="65"/>
      <c r="G362" s="22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22"/>
      <c r="T362" s="33"/>
      <c r="U362" s="33"/>
      <c r="V362" s="33"/>
      <c r="W362" s="36"/>
      <c r="X362" s="36"/>
      <c r="Y362" s="36"/>
      <c r="Z362" s="36"/>
      <c r="AA362" s="36"/>
      <c r="AB36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3" spans="1:28" x14ac:dyDescent="0.25">
      <c r="A363" s="4">
        <v>385</v>
      </c>
      <c r="B363" s="4"/>
      <c r="C363" s="4"/>
      <c r="D363" s="4"/>
      <c r="E363" s="4"/>
      <c r="F363" s="65"/>
      <c r="G363" s="22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22"/>
      <c r="T363" s="33"/>
      <c r="U363" s="33"/>
      <c r="V363" s="33"/>
      <c r="W363" s="36"/>
      <c r="X363" s="36"/>
      <c r="Y363" s="36"/>
      <c r="Z363" s="36"/>
      <c r="AA363" s="36"/>
      <c r="AB36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4" spans="1:28" x14ac:dyDescent="0.25">
      <c r="A364" s="4">
        <v>386</v>
      </c>
      <c r="B364" s="4"/>
      <c r="C364" s="4"/>
      <c r="D364" s="4"/>
      <c r="E364" s="4"/>
      <c r="F364" s="65"/>
      <c r="G364" s="22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22"/>
      <c r="T364" s="33"/>
      <c r="U364" s="33"/>
      <c r="V364" s="33"/>
      <c r="W364" s="36"/>
      <c r="X364" s="36"/>
      <c r="Y364" s="36"/>
      <c r="Z364" s="36"/>
      <c r="AA364" s="36"/>
      <c r="AB36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5" spans="1:28" x14ac:dyDescent="0.25">
      <c r="A365" s="4">
        <v>387</v>
      </c>
      <c r="B365" s="4"/>
      <c r="C365" s="4"/>
      <c r="D365" s="4"/>
      <c r="E365" s="4"/>
      <c r="F365" s="65"/>
      <c r="G365" s="22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22"/>
      <c r="T365" s="33"/>
      <c r="U365" s="33"/>
      <c r="V365" s="33"/>
      <c r="W365" s="36"/>
      <c r="X365" s="36"/>
      <c r="Y365" s="36"/>
      <c r="Z365" s="36"/>
      <c r="AA365" s="36"/>
      <c r="AB36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6" spans="1:28" x14ac:dyDescent="0.25">
      <c r="A366" s="4">
        <v>388</v>
      </c>
      <c r="B366" s="4"/>
      <c r="C366" s="4"/>
      <c r="D366" s="4"/>
      <c r="E366" s="4"/>
      <c r="F366" s="65"/>
      <c r="G366" s="22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22"/>
      <c r="T366" s="33"/>
      <c r="U366" s="33"/>
      <c r="V366" s="33"/>
      <c r="W366" s="36"/>
      <c r="X366" s="36"/>
      <c r="Y366" s="36"/>
      <c r="Z366" s="36"/>
      <c r="AA366" s="36"/>
      <c r="AB36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7" spans="1:28" x14ac:dyDescent="0.25">
      <c r="A367" s="4">
        <v>389</v>
      </c>
      <c r="B367" s="4"/>
      <c r="C367" s="4"/>
      <c r="D367" s="4"/>
      <c r="E367" s="4"/>
      <c r="F367" s="65"/>
      <c r="G367" s="22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22"/>
      <c r="T367" s="33"/>
      <c r="U367" s="33"/>
      <c r="V367" s="33"/>
      <c r="W367" s="36"/>
      <c r="X367" s="36"/>
      <c r="Y367" s="36"/>
      <c r="Z367" s="36"/>
      <c r="AA367" s="36"/>
      <c r="AB36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8" spans="1:28" x14ac:dyDescent="0.25">
      <c r="A368" s="4">
        <v>390</v>
      </c>
      <c r="B368" s="4"/>
      <c r="C368" s="4"/>
      <c r="D368" s="4"/>
      <c r="E368" s="4"/>
      <c r="F368" s="65"/>
      <c r="G368" s="22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22"/>
      <c r="T368" s="33"/>
      <c r="U368" s="33"/>
      <c r="V368" s="33"/>
      <c r="W368" s="36"/>
      <c r="X368" s="36"/>
      <c r="Y368" s="36"/>
      <c r="Z368" s="36"/>
      <c r="AA368" s="36"/>
      <c r="AB36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69" spans="1:28" x14ac:dyDescent="0.25">
      <c r="A369" s="4">
        <v>391</v>
      </c>
      <c r="B369" s="4"/>
      <c r="C369" s="4"/>
      <c r="D369" s="4"/>
      <c r="E369" s="4"/>
      <c r="F369" s="65"/>
      <c r="G369" s="22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22"/>
      <c r="T369" s="33"/>
      <c r="U369" s="33"/>
      <c r="V369" s="33"/>
      <c r="W369" s="36"/>
      <c r="X369" s="36"/>
      <c r="Y369" s="36"/>
      <c r="Z369" s="36"/>
      <c r="AA369" s="36"/>
      <c r="AB36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0" spans="1:28" x14ac:dyDescent="0.25">
      <c r="A370" s="4">
        <v>392</v>
      </c>
      <c r="B370" s="4"/>
      <c r="C370" s="4"/>
      <c r="D370" s="4"/>
      <c r="E370" s="4"/>
      <c r="F370" s="65"/>
      <c r="G370" s="22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22"/>
      <c r="T370" s="33"/>
      <c r="U370" s="33"/>
      <c r="V370" s="33"/>
      <c r="W370" s="36"/>
      <c r="X370" s="36"/>
      <c r="Y370" s="36"/>
      <c r="Z370" s="36"/>
      <c r="AA370" s="36"/>
      <c r="AB37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1" spans="1:28" x14ac:dyDescent="0.25">
      <c r="A371" s="4">
        <v>393</v>
      </c>
      <c r="B371" s="4"/>
      <c r="C371" s="4"/>
      <c r="D371" s="4"/>
      <c r="E371" s="4"/>
      <c r="F371" s="65"/>
      <c r="G371" s="22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22"/>
      <c r="T371" s="33"/>
      <c r="U371" s="33"/>
      <c r="V371" s="33"/>
      <c r="W371" s="36"/>
      <c r="X371" s="36"/>
      <c r="Y371" s="36"/>
      <c r="Z371" s="36"/>
      <c r="AA371" s="36"/>
      <c r="AB37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2" spans="1:28" x14ac:dyDescent="0.25">
      <c r="A372" s="4">
        <v>394</v>
      </c>
      <c r="B372" s="4"/>
      <c r="C372" s="4"/>
      <c r="D372" s="4"/>
      <c r="E372" s="4"/>
      <c r="F372" s="65"/>
      <c r="G372" s="22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22"/>
      <c r="T372" s="33"/>
      <c r="U372" s="33"/>
      <c r="V372" s="33"/>
      <c r="W372" s="36"/>
      <c r="X372" s="36"/>
      <c r="Y372" s="36"/>
      <c r="Z372" s="36"/>
      <c r="AA372" s="36"/>
      <c r="AB37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3" spans="1:28" x14ac:dyDescent="0.25">
      <c r="A373" s="4">
        <v>395</v>
      </c>
      <c r="B373" s="4"/>
      <c r="C373" s="4"/>
      <c r="D373" s="4"/>
      <c r="E373" s="4"/>
      <c r="F373" s="65"/>
      <c r="G373" s="22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22"/>
      <c r="T373" s="33"/>
      <c r="U373" s="33"/>
      <c r="V373" s="33"/>
      <c r="W373" s="36"/>
      <c r="X373" s="36"/>
      <c r="Y373" s="36"/>
      <c r="Z373" s="36"/>
      <c r="AA373" s="36"/>
      <c r="AB37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4" spans="1:28" x14ac:dyDescent="0.25">
      <c r="A374" s="4">
        <v>396</v>
      </c>
      <c r="B374" s="4"/>
      <c r="C374" s="4"/>
      <c r="D374" s="4"/>
      <c r="E374" s="4"/>
      <c r="F374" s="65"/>
      <c r="G374" s="22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22"/>
      <c r="T374" s="33"/>
      <c r="U374" s="33"/>
      <c r="V374" s="33"/>
      <c r="W374" s="36"/>
      <c r="X374" s="36"/>
      <c r="Y374" s="36"/>
      <c r="Z374" s="36"/>
      <c r="AA374" s="36"/>
      <c r="AB37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5" spans="1:28" x14ac:dyDescent="0.25">
      <c r="A375" s="4">
        <v>397</v>
      </c>
      <c r="B375" s="4"/>
      <c r="C375" s="4"/>
      <c r="D375" s="4"/>
      <c r="E375" s="4"/>
      <c r="F375" s="65"/>
      <c r="G375" s="22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22"/>
      <c r="T375" s="33"/>
      <c r="U375" s="33"/>
      <c r="V375" s="33"/>
      <c r="W375" s="36"/>
      <c r="X375" s="36"/>
      <c r="Y375" s="36"/>
      <c r="Z375" s="36"/>
      <c r="AA375" s="36"/>
      <c r="AB37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6" spans="1:28" x14ac:dyDescent="0.25">
      <c r="A376" s="4">
        <v>398</v>
      </c>
      <c r="B376" s="4"/>
      <c r="C376" s="4"/>
      <c r="D376" s="4"/>
      <c r="E376" s="4"/>
      <c r="F376" s="65"/>
      <c r="G376" s="22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22"/>
      <c r="T376" s="33"/>
      <c r="U376" s="33"/>
      <c r="V376" s="33"/>
      <c r="W376" s="36"/>
      <c r="X376" s="36"/>
      <c r="Y376" s="36"/>
      <c r="Z376" s="36"/>
      <c r="AA376" s="36"/>
      <c r="AB37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7" spans="1:28" x14ac:dyDescent="0.25">
      <c r="A377" s="4">
        <v>399</v>
      </c>
      <c r="B377" s="4"/>
      <c r="C377" s="4"/>
      <c r="D377" s="4"/>
      <c r="E377" s="4"/>
      <c r="F377" s="65"/>
      <c r="G377" s="22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22"/>
      <c r="T377" s="33"/>
      <c r="U377" s="33"/>
      <c r="V377" s="33"/>
      <c r="W377" s="36"/>
      <c r="X377" s="36"/>
      <c r="Y377" s="36"/>
      <c r="Z377" s="36"/>
      <c r="AA377" s="36"/>
      <c r="AB37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8" spans="1:28" x14ac:dyDescent="0.25">
      <c r="A378" s="4">
        <v>400</v>
      </c>
      <c r="B378" s="4"/>
      <c r="C378" s="4"/>
      <c r="D378" s="4"/>
      <c r="E378" s="4"/>
      <c r="F378" s="65"/>
      <c r="G378" s="22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22"/>
      <c r="T378" s="33"/>
      <c r="U378" s="33"/>
      <c r="V378" s="33"/>
      <c r="W378" s="36"/>
      <c r="X378" s="36"/>
      <c r="Y378" s="36"/>
      <c r="Z378" s="36"/>
      <c r="AA378" s="36"/>
      <c r="AB37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79" spans="1:28" x14ac:dyDescent="0.25">
      <c r="A379" s="4">
        <v>401</v>
      </c>
      <c r="B379" s="4"/>
      <c r="C379" s="4"/>
      <c r="D379" s="4"/>
      <c r="E379" s="4"/>
      <c r="F379" s="65"/>
      <c r="G379" s="22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22"/>
      <c r="T379" s="33"/>
      <c r="U379" s="33"/>
      <c r="V379" s="33"/>
      <c r="W379" s="36"/>
      <c r="X379" s="36"/>
      <c r="Y379" s="36"/>
      <c r="Z379" s="36"/>
      <c r="AA379" s="36"/>
      <c r="AB37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0" spans="1:28" x14ac:dyDescent="0.25">
      <c r="A380" s="4">
        <v>402</v>
      </c>
      <c r="B380" s="4"/>
      <c r="C380" s="4"/>
      <c r="D380" s="4"/>
      <c r="E380" s="4"/>
      <c r="F380" s="65"/>
      <c r="G380" s="22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22"/>
      <c r="T380" s="33"/>
      <c r="U380" s="33"/>
      <c r="V380" s="33"/>
      <c r="W380" s="36"/>
      <c r="X380" s="36"/>
      <c r="Y380" s="36"/>
      <c r="Z380" s="36"/>
      <c r="AA380" s="36"/>
      <c r="AB38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1" spans="1:28" x14ac:dyDescent="0.25">
      <c r="A381" s="4">
        <v>403</v>
      </c>
      <c r="B381" s="4"/>
      <c r="C381" s="4"/>
      <c r="D381" s="4"/>
      <c r="E381" s="4"/>
      <c r="F381" s="65"/>
      <c r="G381" s="22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22"/>
      <c r="T381" s="33"/>
      <c r="U381" s="33"/>
      <c r="V381" s="33"/>
      <c r="W381" s="36"/>
      <c r="X381" s="36"/>
      <c r="Y381" s="36"/>
      <c r="Z381" s="36"/>
      <c r="AA381" s="36"/>
      <c r="AB38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2" spans="1:28" x14ac:dyDescent="0.25">
      <c r="A382" s="4">
        <v>404</v>
      </c>
      <c r="B382" s="4"/>
      <c r="C382" s="4"/>
      <c r="D382" s="4"/>
      <c r="E382" s="4"/>
      <c r="F382" s="65"/>
      <c r="G382" s="22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22"/>
      <c r="T382" s="33"/>
      <c r="U382" s="33"/>
      <c r="V382" s="33"/>
      <c r="W382" s="36"/>
      <c r="X382" s="36"/>
      <c r="Y382" s="36"/>
      <c r="Z382" s="36"/>
      <c r="AA382" s="36"/>
      <c r="AB38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3" spans="1:28" x14ac:dyDescent="0.25">
      <c r="A383" s="4">
        <v>405</v>
      </c>
      <c r="B383" s="4"/>
      <c r="C383" s="4"/>
      <c r="D383" s="4"/>
      <c r="E383" s="4"/>
      <c r="F383" s="65"/>
      <c r="G383" s="22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22"/>
      <c r="T383" s="33"/>
      <c r="U383" s="33"/>
      <c r="V383" s="33"/>
      <c r="W383" s="36"/>
      <c r="X383" s="36"/>
      <c r="Y383" s="36"/>
      <c r="Z383" s="36"/>
      <c r="AA383" s="36"/>
      <c r="AB38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4" spans="1:28" x14ac:dyDescent="0.25">
      <c r="A384" s="4">
        <v>406</v>
      </c>
      <c r="B384" s="4"/>
      <c r="C384" s="4"/>
      <c r="D384" s="4"/>
      <c r="E384" s="4"/>
      <c r="F384" s="65"/>
      <c r="G384" s="22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22"/>
      <c r="T384" s="33"/>
      <c r="U384" s="33"/>
      <c r="V384" s="33"/>
      <c r="W384" s="36"/>
      <c r="X384" s="36"/>
      <c r="Y384" s="36"/>
      <c r="Z384" s="36"/>
      <c r="AA384" s="36"/>
      <c r="AB38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5" spans="1:28" x14ac:dyDescent="0.25">
      <c r="A385" s="4">
        <v>407</v>
      </c>
      <c r="B385" s="4"/>
      <c r="C385" s="4"/>
      <c r="D385" s="4"/>
      <c r="E385" s="4"/>
      <c r="F385" s="65"/>
      <c r="G385" s="22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22"/>
      <c r="T385" s="33"/>
      <c r="U385" s="33"/>
      <c r="V385" s="33"/>
      <c r="W385" s="36"/>
      <c r="X385" s="36"/>
      <c r="Y385" s="36"/>
      <c r="Z385" s="36"/>
      <c r="AA385" s="36"/>
      <c r="AB38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6" spans="1:28" x14ac:dyDescent="0.25">
      <c r="A386" s="4">
        <v>408</v>
      </c>
      <c r="B386" s="4"/>
      <c r="C386" s="4"/>
      <c r="D386" s="4"/>
      <c r="E386" s="4"/>
      <c r="F386" s="65"/>
      <c r="G386" s="22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22"/>
      <c r="T386" s="33"/>
      <c r="U386" s="33"/>
      <c r="V386" s="33"/>
      <c r="W386" s="36"/>
      <c r="X386" s="36"/>
      <c r="Y386" s="36"/>
      <c r="Z386" s="36"/>
      <c r="AA386" s="36"/>
      <c r="AB38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7" spans="1:28" x14ac:dyDescent="0.25">
      <c r="A387" s="4">
        <v>409</v>
      </c>
      <c r="B387" s="4"/>
      <c r="C387" s="4"/>
      <c r="D387" s="4"/>
      <c r="E387" s="4"/>
      <c r="F387" s="65"/>
      <c r="G387" s="22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22"/>
      <c r="T387" s="33"/>
      <c r="U387" s="33"/>
      <c r="V387" s="33"/>
      <c r="W387" s="36"/>
      <c r="X387" s="36"/>
      <c r="Y387" s="36"/>
      <c r="Z387" s="36"/>
      <c r="AA387" s="36"/>
      <c r="AB38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8" spans="1:28" x14ac:dyDescent="0.25">
      <c r="A388" s="4">
        <v>410</v>
      </c>
      <c r="B388" s="4"/>
      <c r="C388" s="4"/>
      <c r="D388" s="4"/>
      <c r="E388" s="4"/>
      <c r="F388" s="65"/>
      <c r="G388" s="22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22"/>
      <c r="T388" s="33"/>
      <c r="U388" s="33"/>
      <c r="V388" s="33"/>
      <c r="W388" s="36"/>
      <c r="X388" s="36"/>
      <c r="Y388" s="36"/>
      <c r="Z388" s="36"/>
      <c r="AA388" s="36"/>
      <c r="AB38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89" spans="1:28" x14ac:dyDescent="0.25">
      <c r="A389" s="4">
        <v>411</v>
      </c>
      <c r="B389" s="4"/>
      <c r="C389" s="4"/>
      <c r="D389" s="4"/>
      <c r="E389" s="4"/>
      <c r="F389" s="65"/>
      <c r="G389" s="22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22"/>
      <c r="T389" s="33"/>
      <c r="U389" s="33"/>
      <c r="V389" s="33"/>
      <c r="W389" s="36"/>
      <c r="X389" s="36"/>
      <c r="Y389" s="36"/>
      <c r="Z389" s="36"/>
      <c r="AA389" s="36"/>
      <c r="AB38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0" spans="1:28" x14ac:dyDescent="0.25">
      <c r="A390" s="4">
        <v>412</v>
      </c>
      <c r="B390" s="4"/>
      <c r="C390" s="4"/>
      <c r="D390" s="4"/>
      <c r="E390" s="4"/>
      <c r="F390" s="65"/>
      <c r="G390" s="22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22"/>
      <c r="T390" s="33"/>
      <c r="U390" s="33"/>
      <c r="V390" s="33"/>
      <c r="W390" s="36"/>
      <c r="X390" s="36"/>
      <c r="Y390" s="36"/>
      <c r="Z390" s="36"/>
      <c r="AA390" s="36"/>
      <c r="AB39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1" spans="1:28" x14ac:dyDescent="0.25">
      <c r="A391" s="4">
        <v>413</v>
      </c>
      <c r="B391" s="4"/>
      <c r="C391" s="4"/>
      <c r="D391" s="4"/>
      <c r="E391" s="4"/>
      <c r="F391" s="65"/>
      <c r="G391" s="22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22"/>
      <c r="T391" s="33"/>
      <c r="U391" s="33"/>
      <c r="V391" s="33"/>
      <c r="W391" s="36"/>
      <c r="X391" s="36"/>
      <c r="Y391" s="36"/>
      <c r="Z391" s="36"/>
      <c r="AA391" s="36"/>
      <c r="AB39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2" spans="1:28" x14ac:dyDescent="0.25">
      <c r="A392" s="4">
        <v>414</v>
      </c>
      <c r="B392" s="4"/>
      <c r="C392" s="4"/>
      <c r="D392" s="4"/>
      <c r="E392" s="4"/>
      <c r="F392" s="65"/>
      <c r="G392" s="22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22"/>
      <c r="T392" s="33"/>
      <c r="U392" s="33"/>
      <c r="V392" s="33"/>
      <c r="W392" s="36"/>
      <c r="X392" s="36"/>
      <c r="Y392" s="36"/>
      <c r="Z392" s="36"/>
      <c r="AA392" s="36"/>
      <c r="AB39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3" spans="1:28" x14ac:dyDescent="0.25">
      <c r="A393" s="4">
        <v>415</v>
      </c>
      <c r="B393" s="4"/>
      <c r="C393" s="4"/>
      <c r="D393" s="4"/>
      <c r="E393" s="4"/>
      <c r="F393" s="65"/>
      <c r="G393" s="22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22"/>
      <c r="T393" s="33"/>
      <c r="U393" s="33"/>
      <c r="V393" s="33"/>
      <c r="W393" s="36"/>
      <c r="X393" s="36"/>
      <c r="Y393" s="36"/>
      <c r="Z393" s="36"/>
      <c r="AA393" s="36"/>
      <c r="AB39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4" spans="1:28" x14ac:dyDescent="0.25">
      <c r="A394" s="4">
        <v>416</v>
      </c>
      <c r="B394" s="4"/>
      <c r="C394" s="4"/>
      <c r="D394" s="4"/>
      <c r="E394" s="4"/>
      <c r="F394" s="65"/>
      <c r="G394" s="22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22"/>
      <c r="T394" s="33"/>
      <c r="U394" s="33"/>
      <c r="V394" s="33"/>
      <c r="W394" s="36"/>
      <c r="X394" s="36"/>
      <c r="Y394" s="36"/>
      <c r="Z394" s="36"/>
      <c r="AA394" s="36"/>
      <c r="AB39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5" spans="1:28" x14ac:dyDescent="0.25">
      <c r="A395" s="4">
        <v>417</v>
      </c>
      <c r="B395" s="4"/>
      <c r="C395" s="4"/>
      <c r="D395" s="4"/>
      <c r="E395" s="4"/>
      <c r="F395" s="65"/>
      <c r="G395" s="22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22"/>
      <c r="T395" s="33"/>
      <c r="U395" s="33"/>
      <c r="V395" s="33"/>
      <c r="W395" s="36"/>
      <c r="X395" s="36"/>
      <c r="Y395" s="36"/>
      <c r="Z395" s="36"/>
      <c r="AA395" s="36"/>
      <c r="AB39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6" spans="1:28" x14ac:dyDescent="0.25">
      <c r="A396" s="4">
        <v>418</v>
      </c>
      <c r="B396" s="4"/>
      <c r="C396" s="4"/>
      <c r="D396" s="4"/>
      <c r="E396" s="4"/>
      <c r="F396" s="65"/>
      <c r="G396" s="22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22"/>
      <c r="T396" s="33"/>
      <c r="U396" s="33"/>
      <c r="V396" s="33"/>
      <c r="W396" s="36"/>
      <c r="X396" s="36"/>
      <c r="Y396" s="36"/>
      <c r="Z396" s="36"/>
      <c r="AA396" s="36"/>
      <c r="AB39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7" spans="1:28" x14ac:dyDescent="0.25">
      <c r="A397" s="4">
        <v>419</v>
      </c>
      <c r="B397" s="4"/>
      <c r="C397" s="4"/>
      <c r="D397" s="4"/>
      <c r="E397" s="4"/>
      <c r="F397" s="65"/>
      <c r="G397" s="22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22"/>
      <c r="T397" s="33"/>
      <c r="U397" s="33"/>
      <c r="V397" s="33"/>
      <c r="W397" s="36"/>
      <c r="X397" s="36"/>
      <c r="Y397" s="36"/>
      <c r="Z397" s="36"/>
      <c r="AA397" s="36"/>
      <c r="AB39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8" spans="1:28" x14ac:dyDescent="0.25">
      <c r="A398" s="4">
        <v>420</v>
      </c>
      <c r="B398" s="4"/>
      <c r="C398" s="4"/>
      <c r="D398" s="4"/>
      <c r="E398" s="4"/>
      <c r="F398" s="65"/>
      <c r="G398" s="22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22"/>
      <c r="T398" s="33"/>
      <c r="U398" s="33"/>
      <c r="V398" s="33"/>
      <c r="W398" s="36"/>
      <c r="X398" s="36"/>
      <c r="Y398" s="36"/>
      <c r="Z398" s="36"/>
      <c r="AA398" s="36"/>
      <c r="AB39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399" spans="1:28" x14ac:dyDescent="0.25">
      <c r="A399" s="4">
        <v>421</v>
      </c>
      <c r="B399" s="4"/>
      <c r="C399" s="4"/>
      <c r="D399" s="4"/>
      <c r="E399" s="4"/>
      <c r="F399" s="65"/>
      <c r="G399" s="22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22"/>
      <c r="T399" s="33"/>
      <c r="U399" s="33"/>
      <c r="V399" s="33"/>
      <c r="W399" s="36"/>
      <c r="X399" s="36"/>
      <c r="Y399" s="36"/>
      <c r="Z399" s="36"/>
      <c r="AA399" s="36"/>
      <c r="AB39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0" spans="1:28" x14ac:dyDescent="0.25">
      <c r="A400" s="4">
        <v>422</v>
      </c>
      <c r="B400" s="4"/>
      <c r="C400" s="4"/>
      <c r="D400" s="4"/>
      <c r="E400" s="4"/>
      <c r="F400" s="65"/>
      <c r="G400" s="22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22"/>
      <c r="T400" s="33"/>
      <c r="U400" s="33"/>
      <c r="V400" s="33"/>
      <c r="W400" s="36"/>
      <c r="X400" s="36"/>
      <c r="Y400" s="36"/>
      <c r="Z400" s="36"/>
      <c r="AA400" s="36"/>
      <c r="AB40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1" spans="1:28" x14ac:dyDescent="0.25">
      <c r="A401" s="4">
        <v>423</v>
      </c>
      <c r="B401" s="4"/>
      <c r="C401" s="4"/>
      <c r="D401" s="4"/>
      <c r="E401" s="4"/>
      <c r="F401" s="65"/>
      <c r="G401" s="22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22"/>
      <c r="T401" s="33"/>
      <c r="U401" s="33"/>
      <c r="V401" s="33"/>
      <c r="W401" s="36"/>
      <c r="X401" s="36"/>
      <c r="Y401" s="36"/>
      <c r="Z401" s="36"/>
      <c r="AA401" s="36"/>
      <c r="AB40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2" spans="1:28" x14ac:dyDescent="0.25">
      <c r="A402" s="4">
        <v>424</v>
      </c>
      <c r="B402" s="4"/>
      <c r="C402" s="4"/>
      <c r="D402" s="4"/>
      <c r="E402" s="4"/>
      <c r="F402" s="65"/>
      <c r="G402" s="22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22"/>
      <c r="T402" s="33"/>
      <c r="U402" s="33"/>
      <c r="V402" s="33"/>
      <c r="W402" s="36"/>
      <c r="X402" s="36"/>
      <c r="Y402" s="36"/>
      <c r="Z402" s="36"/>
      <c r="AA402" s="36"/>
      <c r="AB40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3" spans="1:28" x14ac:dyDescent="0.25">
      <c r="A403" s="4">
        <v>425</v>
      </c>
      <c r="B403" s="4"/>
      <c r="C403" s="4"/>
      <c r="D403" s="4"/>
      <c r="E403" s="4"/>
      <c r="F403" s="65"/>
      <c r="G403" s="22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22"/>
      <c r="T403" s="33"/>
      <c r="U403" s="33"/>
      <c r="V403" s="33"/>
      <c r="W403" s="36"/>
      <c r="X403" s="36"/>
      <c r="Y403" s="36"/>
      <c r="Z403" s="36"/>
      <c r="AA403" s="36"/>
      <c r="AB40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4" spans="1:28" x14ac:dyDescent="0.25">
      <c r="A404" s="4">
        <v>426</v>
      </c>
      <c r="B404" s="4"/>
      <c r="C404" s="4"/>
      <c r="D404" s="4"/>
      <c r="E404" s="4"/>
      <c r="F404" s="65"/>
      <c r="G404" s="22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22"/>
      <c r="T404" s="33"/>
      <c r="U404" s="33"/>
      <c r="V404" s="33"/>
      <c r="W404" s="36"/>
      <c r="X404" s="36"/>
      <c r="Y404" s="36"/>
      <c r="Z404" s="36"/>
      <c r="AA404" s="36"/>
      <c r="AB40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5" spans="1:28" x14ac:dyDescent="0.25">
      <c r="A405" s="4">
        <v>427</v>
      </c>
      <c r="B405" s="4"/>
      <c r="C405" s="4"/>
      <c r="D405" s="4"/>
      <c r="E405" s="4"/>
      <c r="F405" s="65"/>
      <c r="G405" s="22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22"/>
      <c r="T405" s="33"/>
      <c r="U405" s="33"/>
      <c r="V405" s="33"/>
      <c r="W405" s="36"/>
      <c r="X405" s="36"/>
      <c r="Y405" s="36"/>
      <c r="Z405" s="36"/>
      <c r="AA405" s="36"/>
      <c r="AB40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6" spans="1:28" x14ac:dyDescent="0.25">
      <c r="A406" s="4">
        <v>428</v>
      </c>
      <c r="B406" s="4"/>
      <c r="C406" s="4"/>
      <c r="D406" s="4"/>
      <c r="E406" s="4"/>
      <c r="F406" s="65"/>
      <c r="G406" s="22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22"/>
      <c r="T406" s="33"/>
      <c r="U406" s="33"/>
      <c r="V406" s="33"/>
      <c r="W406" s="36"/>
      <c r="X406" s="36"/>
      <c r="Y406" s="36"/>
      <c r="Z406" s="36"/>
      <c r="AA406" s="36"/>
      <c r="AB40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7" spans="1:28" x14ac:dyDescent="0.25">
      <c r="A407" s="4">
        <v>429</v>
      </c>
      <c r="B407" s="4"/>
      <c r="C407" s="4"/>
      <c r="D407" s="4"/>
      <c r="E407" s="4"/>
      <c r="F407" s="65"/>
      <c r="G407" s="22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22"/>
      <c r="T407" s="33"/>
      <c r="U407" s="33"/>
      <c r="V407" s="33"/>
      <c r="W407" s="36"/>
      <c r="X407" s="36"/>
      <c r="Y407" s="36"/>
      <c r="Z407" s="36"/>
      <c r="AA407" s="36"/>
      <c r="AB40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8" spans="1:28" x14ac:dyDescent="0.25">
      <c r="A408" s="4">
        <v>430</v>
      </c>
      <c r="B408" s="4"/>
      <c r="C408" s="4"/>
      <c r="D408" s="4"/>
      <c r="E408" s="4"/>
      <c r="F408" s="65"/>
      <c r="G408" s="22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22"/>
      <c r="T408" s="33"/>
      <c r="U408" s="33"/>
      <c r="V408" s="33"/>
      <c r="W408" s="36"/>
      <c r="X408" s="36"/>
      <c r="Y408" s="36"/>
      <c r="Z408" s="36"/>
      <c r="AA408" s="36"/>
      <c r="AB40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09" spans="1:28" x14ac:dyDescent="0.25">
      <c r="A409" s="4">
        <v>431</v>
      </c>
      <c r="B409" s="4"/>
      <c r="C409" s="4"/>
      <c r="D409" s="4"/>
      <c r="E409" s="4"/>
      <c r="F409" s="65"/>
      <c r="G409" s="22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22"/>
      <c r="T409" s="33"/>
      <c r="U409" s="33"/>
      <c r="V409" s="33"/>
      <c r="W409" s="36"/>
      <c r="X409" s="36"/>
      <c r="Y409" s="36"/>
      <c r="Z409" s="36"/>
      <c r="AA409" s="36"/>
      <c r="AB40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0" spans="1:28" x14ac:dyDescent="0.25">
      <c r="A410" s="4">
        <v>432</v>
      </c>
      <c r="B410" s="4"/>
      <c r="C410" s="4"/>
      <c r="D410" s="4"/>
      <c r="E410" s="4"/>
      <c r="F410" s="65"/>
      <c r="G410" s="22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22"/>
      <c r="T410" s="33"/>
      <c r="U410" s="33"/>
      <c r="V410" s="33"/>
      <c r="W410" s="36"/>
      <c r="X410" s="36"/>
      <c r="Y410" s="36"/>
      <c r="Z410" s="36"/>
      <c r="AA410" s="36"/>
      <c r="AB41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1" spans="1:28" x14ac:dyDescent="0.25">
      <c r="A411" s="4">
        <v>433</v>
      </c>
      <c r="B411" s="4"/>
      <c r="C411" s="4"/>
      <c r="D411" s="4"/>
      <c r="E411" s="4"/>
      <c r="F411" s="65"/>
      <c r="G411" s="22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22"/>
      <c r="T411" s="33"/>
      <c r="U411" s="33"/>
      <c r="V411" s="33"/>
      <c r="W411" s="36"/>
      <c r="X411" s="36"/>
      <c r="Y411" s="36"/>
      <c r="Z411" s="36"/>
      <c r="AA411" s="36"/>
      <c r="AB41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2" spans="1:28" x14ac:dyDescent="0.25">
      <c r="A412" s="4">
        <v>434</v>
      </c>
      <c r="B412" s="4"/>
      <c r="C412" s="4"/>
      <c r="D412" s="4"/>
      <c r="E412" s="4"/>
      <c r="F412" s="65"/>
      <c r="G412" s="22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22"/>
      <c r="T412" s="33"/>
      <c r="U412" s="33"/>
      <c r="V412" s="33"/>
      <c r="W412" s="36"/>
      <c r="X412" s="36"/>
      <c r="Y412" s="36"/>
      <c r="Z412" s="36"/>
      <c r="AA412" s="36"/>
      <c r="AB41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3" spans="1:28" x14ac:dyDescent="0.25">
      <c r="A413" s="4">
        <v>435</v>
      </c>
      <c r="B413" s="4"/>
      <c r="C413" s="4"/>
      <c r="D413" s="4"/>
      <c r="E413" s="4"/>
      <c r="F413" s="65"/>
      <c r="G413" s="22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22"/>
      <c r="T413" s="33"/>
      <c r="U413" s="33"/>
      <c r="V413" s="33"/>
      <c r="W413" s="36"/>
      <c r="X413" s="36"/>
      <c r="Y413" s="36"/>
      <c r="Z413" s="36"/>
      <c r="AA413" s="36"/>
      <c r="AB41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4" spans="1:28" x14ac:dyDescent="0.25">
      <c r="A414" s="4">
        <v>436</v>
      </c>
      <c r="B414" s="4"/>
      <c r="C414" s="4"/>
      <c r="D414" s="4"/>
      <c r="E414" s="4"/>
      <c r="F414" s="65"/>
      <c r="G414" s="22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22"/>
      <c r="T414" s="33"/>
      <c r="U414" s="33"/>
      <c r="V414" s="33"/>
      <c r="W414" s="36"/>
      <c r="X414" s="36"/>
      <c r="Y414" s="36"/>
      <c r="Z414" s="36"/>
      <c r="AA414" s="36"/>
      <c r="AB41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5" spans="1:28" x14ac:dyDescent="0.25">
      <c r="A415" s="4">
        <v>437</v>
      </c>
      <c r="B415" s="4"/>
      <c r="C415" s="4"/>
      <c r="D415" s="4"/>
      <c r="E415" s="4"/>
      <c r="F415" s="65"/>
      <c r="G415" s="22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22"/>
      <c r="T415" s="33"/>
      <c r="U415" s="33"/>
      <c r="V415" s="33"/>
      <c r="W415" s="36"/>
      <c r="X415" s="36"/>
      <c r="Y415" s="36"/>
      <c r="Z415" s="36"/>
      <c r="AA415" s="36"/>
      <c r="AB41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6" spans="1:28" x14ac:dyDescent="0.25">
      <c r="A416" s="4">
        <v>438</v>
      </c>
      <c r="B416" s="4"/>
      <c r="C416" s="4"/>
      <c r="D416" s="4"/>
      <c r="E416" s="4"/>
      <c r="F416" s="65"/>
      <c r="G416" s="22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22"/>
      <c r="T416" s="33"/>
      <c r="U416" s="33"/>
      <c r="V416" s="33"/>
      <c r="W416" s="36"/>
      <c r="X416" s="36"/>
      <c r="Y416" s="36"/>
      <c r="Z416" s="36"/>
      <c r="AA416" s="36"/>
      <c r="AB41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7" spans="1:28" x14ac:dyDescent="0.25">
      <c r="A417" s="4">
        <v>439</v>
      </c>
      <c r="B417" s="4"/>
      <c r="C417" s="4"/>
      <c r="D417" s="4"/>
      <c r="E417" s="4"/>
      <c r="F417" s="65"/>
      <c r="G417" s="22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22"/>
      <c r="T417" s="33"/>
      <c r="U417" s="33"/>
      <c r="V417" s="33"/>
      <c r="W417" s="36"/>
      <c r="X417" s="36"/>
      <c r="Y417" s="36"/>
      <c r="Z417" s="36"/>
      <c r="AA417" s="36"/>
      <c r="AB41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8" spans="1:28" x14ac:dyDescent="0.25">
      <c r="A418" s="4">
        <v>440</v>
      </c>
      <c r="B418" s="4"/>
      <c r="C418" s="4"/>
      <c r="D418" s="4"/>
      <c r="E418" s="4"/>
      <c r="F418" s="65"/>
      <c r="G418" s="22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22"/>
      <c r="T418" s="33"/>
      <c r="U418" s="33"/>
      <c r="V418" s="33"/>
      <c r="W418" s="36"/>
      <c r="X418" s="36"/>
      <c r="Y418" s="36"/>
      <c r="Z418" s="36"/>
      <c r="AA418" s="36"/>
      <c r="AB41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19" spans="1:28" x14ac:dyDescent="0.25">
      <c r="A419" s="4">
        <v>441</v>
      </c>
      <c r="B419" s="4"/>
      <c r="C419" s="4"/>
      <c r="D419" s="4"/>
      <c r="E419" s="4"/>
      <c r="F419" s="65"/>
      <c r="G419" s="22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22"/>
      <c r="T419" s="33"/>
      <c r="U419" s="33"/>
      <c r="V419" s="33"/>
      <c r="W419" s="36"/>
      <c r="X419" s="36"/>
      <c r="Y419" s="36"/>
      <c r="Z419" s="36"/>
      <c r="AA419" s="36"/>
      <c r="AB41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0" spans="1:28" x14ac:dyDescent="0.25">
      <c r="A420" s="4">
        <v>442</v>
      </c>
      <c r="B420" s="4"/>
      <c r="C420" s="4"/>
      <c r="D420" s="4"/>
      <c r="E420" s="4"/>
      <c r="F420" s="65"/>
      <c r="G420" s="22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22"/>
      <c r="T420" s="33"/>
      <c r="U420" s="33"/>
      <c r="V420" s="33"/>
      <c r="W420" s="36"/>
      <c r="X420" s="36"/>
      <c r="Y420" s="36"/>
      <c r="Z420" s="36"/>
      <c r="AA420" s="36"/>
      <c r="AB42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1" spans="1:28" x14ac:dyDescent="0.25">
      <c r="A421" s="4">
        <v>443</v>
      </c>
      <c r="B421" s="4"/>
      <c r="C421" s="4"/>
      <c r="D421" s="4"/>
      <c r="E421" s="4"/>
      <c r="F421" s="65"/>
      <c r="G421" s="22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22"/>
      <c r="T421" s="33"/>
      <c r="U421" s="33"/>
      <c r="V421" s="33"/>
      <c r="W421" s="36"/>
      <c r="X421" s="36"/>
      <c r="Y421" s="36"/>
      <c r="Z421" s="36"/>
      <c r="AA421" s="36"/>
      <c r="AB42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2" spans="1:28" x14ac:dyDescent="0.25">
      <c r="A422" s="4">
        <v>444</v>
      </c>
      <c r="B422" s="4"/>
      <c r="C422" s="4"/>
      <c r="D422" s="4"/>
      <c r="E422" s="4"/>
      <c r="F422" s="65"/>
      <c r="G422" s="22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22"/>
      <c r="T422" s="33"/>
      <c r="U422" s="33"/>
      <c r="V422" s="33"/>
      <c r="W422" s="36"/>
      <c r="X422" s="36"/>
      <c r="Y422" s="36"/>
      <c r="Z422" s="36"/>
      <c r="AA422" s="36"/>
      <c r="AB42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3" spans="1:28" x14ac:dyDescent="0.25">
      <c r="A423" s="4">
        <v>445</v>
      </c>
      <c r="B423" s="4"/>
      <c r="C423" s="4"/>
      <c r="D423" s="4"/>
      <c r="E423" s="4"/>
      <c r="F423" s="65"/>
      <c r="G423" s="22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22"/>
      <c r="T423" s="33"/>
      <c r="U423" s="33"/>
      <c r="V423" s="33"/>
      <c r="W423" s="36"/>
      <c r="X423" s="36"/>
      <c r="Y423" s="36"/>
      <c r="Z423" s="36"/>
      <c r="AA423" s="36"/>
      <c r="AB42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4" spans="1:28" x14ac:dyDescent="0.25">
      <c r="A424" s="4">
        <v>446</v>
      </c>
      <c r="B424" s="4"/>
      <c r="C424" s="4"/>
      <c r="D424" s="4"/>
      <c r="E424" s="4"/>
      <c r="F424" s="65"/>
      <c r="G424" s="22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22"/>
      <c r="T424" s="33"/>
      <c r="U424" s="33"/>
      <c r="V424" s="33"/>
      <c r="W424" s="36"/>
      <c r="X424" s="36"/>
      <c r="Y424" s="36"/>
      <c r="Z424" s="36"/>
      <c r="AA424" s="36"/>
      <c r="AB42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5" spans="1:28" x14ac:dyDescent="0.25">
      <c r="A425" s="4">
        <v>447</v>
      </c>
      <c r="B425" s="4"/>
      <c r="C425" s="4"/>
      <c r="D425" s="4"/>
      <c r="E425" s="4"/>
      <c r="F425" s="65"/>
      <c r="G425" s="22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22"/>
      <c r="T425" s="33"/>
      <c r="U425" s="33"/>
      <c r="V425" s="33"/>
      <c r="W425" s="36"/>
      <c r="X425" s="36"/>
      <c r="Y425" s="36"/>
      <c r="Z425" s="36"/>
      <c r="AA425" s="36"/>
      <c r="AB42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6" spans="1:28" x14ac:dyDescent="0.25">
      <c r="A426" s="4">
        <v>448</v>
      </c>
      <c r="B426" s="4"/>
      <c r="C426" s="4"/>
      <c r="D426" s="4"/>
      <c r="E426" s="4"/>
      <c r="F426" s="65"/>
      <c r="G426" s="22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22"/>
      <c r="T426" s="33"/>
      <c r="U426" s="33"/>
      <c r="V426" s="33"/>
      <c r="W426" s="36"/>
      <c r="X426" s="36"/>
      <c r="Y426" s="36"/>
      <c r="Z426" s="36"/>
      <c r="AA426" s="36"/>
      <c r="AB42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7" spans="1:28" x14ac:dyDescent="0.25">
      <c r="A427" s="4">
        <v>449</v>
      </c>
      <c r="B427" s="4"/>
      <c r="C427" s="4"/>
      <c r="D427" s="4"/>
      <c r="E427" s="4"/>
      <c r="F427" s="65"/>
      <c r="G427" s="22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22"/>
      <c r="T427" s="33"/>
      <c r="U427" s="33"/>
      <c r="V427" s="33"/>
      <c r="W427" s="36"/>
      <c r="X427" s="36"/>
      <c r="Y427" s="36"/>
      <c r="Z427" s="36"/>
      <c r="AA427" s="36"/>
      <c r="AB42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8" spans="1:28" x14ac:dyDescent="0.25">
      <c r="A428" s="4">
        <v>450</v>
      </c>
      <c r="B428" s="4"/>
      <c r="C428" s="4"/>
      <c r="D428" s="4"/>
      <c r="E428" s="4"/>
      <c r="F428" s="65"/>
      <c r="G428" s="22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22"/>
      <c r="T428" s="33"/>
      <c r="U428" s="33"/>
      <c r="V428" s="33"/>
      <c r="W428" s="36"/>
      <c r="X428" s="36"/>
      <c r="Y428" s="36"/>
      <c r="Z428" s="36"/>
      <c r="AA428" s="36"/>
      <c r="AB42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29" spans="1:28" x14ac:dyDescent="0.25">
      <c r="A429" s="4">
        <v>451</v>
      </c>
      <c r="B429" s="4"/>
      <c r="C429" s="4"/>
      <c r="D429" s="4"/>
      <c r="E429" s="4"/>
      <c r="F429" s="65"/>
      <c r="G429" s="22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22"/>
      <c r="T429" s="33"/>
      <c r="U429" s="33"/>
      <c r="V429" s="33"/>
      <c r="W429" s="36"/>
      <c r="X429" s="36"/>
      <c r="Y429" s="36"/>
      <c r="Z429" s="36"/>
      <c r="AA429" s="36"/>
      <c r="AB42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0" spans="1:28" x14ac:dyDescent="0.25">
      <c r="A430" s="4">
        <v>452</v>
      </c>
      <c r="B430" s="4"/>
      <c r="C430" s="4"/>
      <c r="D430" s="4"/>
      <c r="E430" s="4"/>
      <c r="F430" s="65"/>
      <c r="G430" s="22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22"/>
      <c r="T430" s="33"/>
      <c r="U430" s="33"/>
      <c r="V430" s="33"/>
      <c r="W430" s="36"/>
      <c r="X430" s="36"/>
      <c r="Y430" s="36"/>
      <c r="Z430" s="36"/>
      <c r="AA430" s="36"/>
      <c r="AB43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1" spans="1:28" x14ac:dyDescent="0.25">
      <c r="A431" s="4">
        <v>453</v>
      </c>
      <c r="B431" s="4"/>
      <c r="C431" s="4"/>
      <c r="D431" s="4"/>
      <c r="E431" s="4"/>
      <c r="F431" s="65"/>
      <c r="G431" s="22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22"/>
      <c r="T431" s="33"/>
      <c r="U431" s="33"/>
      <c r="V431" s="33"/>
      <c r="W431" s="36"/>
      <c r="X431" s="36"/>
      <c r="Y431" s="36"/>
      <c r="Z431" s="36"/>
      <c r="AA431" s="36"/>
      <c r="AB43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2" spans="1:28" x14ac:dyDescent="0.25">
      <c r="A432" s="4">
        <v>454</v>
      </c>
      <c r="B432" s="4"/>
      <c r="C432" s="4"/>
      <c r="D432" s="4"/>
      <c r="E432" s="4"/>
      <c r="F432" s="65"/>
      <c r="G432" s="22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22"/>
      <c r="T432" s="33"/>
      <c r="U432" s="33"/>
      <c r="V432" s="33"/>
      <c r="W432" s="36"/>
      <c r="X432" s="36"/>
      <c r="Y432" s="36"/>
      <c r="Z432" s="36"/>
      <c r="AA432" s="36"/>
      <c r="AB43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3" spans="1:28" x14ac:dyDescent="0.25">
      <c r="A433" s="4">
        <v>455</v>
      </c>
      <c r="B433" s="4"/>
      <c r="C433" s="4"/>
      <c r="D433" s="4"/>
      <c r="E433" s="4"/>
      <c r="F433" s="65"/>
      <c r="G433" s="22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22"/>
      <c r="T433" s="33"/>
      <c r="U433" s="33"/>
      <c r="V433" s="33"/>
      <c r="W433" s="36"/>
      <c r="X433" s="36"/>
      <c r="Y433" s="36"/>
      <c r="Z433" s="36"/>
      <c r="AA433" s="36"/>
      <c r="AB43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4" spans="1:28" x14ac:dyDescent="0.25">
      <c r="A434" s="4">
        <v>456</v>
      </c>
      <c r="B434" s="4"/>
      <c r="C434" s="4"/>
      <c r="D434" s="4"/>
      <c r="E434" s="4"/>
      <c r="F434" s="65"/>
      <c r="G434" s="22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22"/>
      <c r="T434" s="33"/>
      <c r="U434" s="33"/>
      <c r="V434" s="33"/>
      <c r="W434" s="36"/>
      <c r="X434" s="36"/>
      <c r="Y434" s="36"/>
      <c r="Z434" s="36"/>
      <c r="AA434" s="36"/>
      <c r="AB43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5" spans="1:28" x14ac:dyDescent="0.25">
      <c r="A435" s="4">
        <v>457</v>
      </c>
      <c r="B435" s="4"/>
      <c r="C435" s="4"/>
      <c r="D435" s="4"/>
      <c r="E435" s="4"/>
      <c r="F435" s="65"/>
      <c r="G435" s="22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22"/>
      <c r="T435" s="33"/>
      <c r="U435" s="33"/>
      <c r="V435" s="33"/>
      <c r="W435" s="36"/>
      <c r="X435" s="36"/>
      <c r="Y435" s="36"/>
      <c r="Z435" s="36"/>
      <c r="AA435" s="36"/>
      <c r="AB43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6" spans="1:28" x14ac:dyDescent="0.25">
      <c r="A436" s="4">
        <v>458</v>
      </c>
      <c r="B436" s="4"/>
      <c r="C436" s="4"/>
      <c r="D436" s="4"/>
      <c r="E436" s="4"/>
      <c r="F436" s="65"/>
      <c r="G436" s="22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22"/>
      <c r="T436" s="33"/>
      <c r="U436" s="33"/>
      <c r="V436" s="33"/>
      <c r="W436" s="36"/>
      <c r="X436" s="36"/>
      <c r="Y436" s="36"/>
      <c r="Z436" s="36"/>
      <c r="AA436" s="36"/>
      <c r="AB43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7" spans="1:28" x14ac:dyDescent="0.25">
      <c r="A437" s="4">
        <v>459</v>
      </c>
      <c r="B437" s="4"/>
      <c r="C437" s="4"/>
      <c r="D437" s="4"/>
      <c r="E437" s="4"/>
      <c r="F437" s="65"/>
      <c r="G437" s="22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22"/>
      <c r="T437" s="33"/>
      <c r="U437" s="33"/>
      <c r="V437" s="33"/>
      <c r="W437" s="36"/>
      <c r="X437" s="36"/>
      <c r="Y437" s="36"/>
      <c r="Z437" s="36"/>
      <c r="AA437" s="36"/>
      <c r="AB43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8" spans="1:28" x14ac:dyDescent="0.25">
      <c r="A438" s="4">
        <v>460</v>
      </c>
      <c r="B438" s="4"/>
      <c r="C438" s="4"/>
      <c r="D438" s="4"/>
      <c r="E438" s="4"/>
      <c r="F438" s="65"/>
      <c r="G438" s="22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22"/>
      <c r="T438" s="33"/>
      <c r="U438" s="33"/>
      <c r="V438" s="33"/>
      <c r="W438" s="36"/>
      <c r="X438" s="36"/>
      <c r="Y438" s="36"/>
      <c r="Z438" s="36"/>
      <c r="AA438" s="36"/>
      <c r="AB43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39" spans="1:28" x14ac:dyDescent="0.25">
      <c r="A439" s="4">
        <v>461</v>
      </c>
      <c r="B439" s="4"/>
      <c r="C439" s="4"/>
      <c r="D439" s="4"/>
      <c r="E439" s="4"/>
      <c r="F439" s="65"/>
      <c r="G439" s="22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22"/>
      <c r="T439" s="33"/>
      <c r="U439" s="33"/>
      <c r="V439" s="33"/>
      <c r="W439" s="36"/>
      <c r="X439" s="36"/>
      <c r="Y439" s="36"/>
      <c r="Z439" s="36"/>
      <c r="AA439" s="36"/>
      <c r="AB43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0" spans="1:28" x14ac:dyDescent="0.25">
      <c r="A440" s="4">
        <v>462</v>
      </c>
      <c r="B440" s="4"/>
      <c r="C440" s="4"/>
      <c r="D440" s="4"/>
      <c r="E440" s="4"/>
      <c r="F440" s="65"/>
      <c r="G440" s="22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22"/>
      <c r="T440" s="33"/>
      <c r="U440" s="33"/>
      <c r="V440" s="33"/>
      <c r="W440" s="36"/>
      <c r="X440" s="36"/>
      <c r="Y440" s="36"/>
      <c r="Z440" s="36"/>
      <c r="AA440" s="36"/>
      <c r="AB44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1" spans="1:28" x14ac:dyDescent="0.25">
      <c r="A441" s="4">
        <v>463</v>
      </c>
      <c r="B441" s="4"/>
      <c r="C441" s="4"/>
      <c r="D441" s="4"/>
      <c r="E441" s="4"/>
      <c r="F441" s="65"/>
      <c r="G441" s="22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22"/>
      <c r="T441" s="33"/>
      <c r="U441" s="33"/>
      <c r="V441" s="33"/>
      <c r="W441" s="36"/>
      <c r="X441" s="36"/>
      <c r="Y441" s="36"/>
      <c r="Z441" s="36"/>
      <c r="AA441" s="36"/>
      <c r="AB44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2" spans="1:28" x14ac:dyDescent="0.25">
      <c r="A442" s="4">
        <v>464</v>
      </c>
      <c r="B442" s="4"/>
      <c r="C442" s="4"/>
      <c r="D442" s="4"/>
      <c r="E442" s="4"/>
      <c r="F442" s="65"/>
      <c r="G442" s="22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22"/>
      <c r="T442" s="33"/>
      <c r="U442" s="33"/>
      <c r="V442" s="33"/>
      <c r="W442" s="36"/>
      <c r="X442" s="36"/>
      <c r="Y442" s="36"/>
      <c r="Z442" s="36"/>
      <c r="AA442" s="36"/>
      <c r="AB44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3" spans="1:28" x14ac:dyDescent="0.25">
      <c r="A443" s="4">
        <v>465</v>
      </c>
      <c r="B443" s="4"/>
      <c r="C443" s="4"/>
      <c r="D443" s="4"/>
      <c r="E443" s="4"/>
      <c r="F443" s="65"/>
      <c r="G443" s="22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22"/>
      <c r="T443" s="33"/>
      <c r="U443" s="33"/>
      <c r="V443" s="33"/>
      <c r="W443" s="36"/>
      <c r="X443" s="36"/>
      <c r="Y443" s="36"/>
      <c r="Z443" s="36"/>
      <c r="AA443" s="36"/>
      <c r="AB44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4" spans="1:28" x14ac:dyDescent="0.25">
      <c r="A444" s="4">
        <v>466</v>
      </c>
      <c r="B444" s="4"/>
      <c r="C444" s="4"/>
      <c r="D444" s="4"/>
      <c r="E444" s="4"/>
      <c r="F444" s="65"/>
      <c r="G444" s="22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22"/>
      <c r="T444" s="33"/>
      <c r="U444" s="33"/>
      <c r="V444" s="33"/>
      <c r="W444" s="36"/>
      <c r="X444" s="36"/>
      <c r="Y444" s="36"/>
      <c r="Z444" s="36"/>
      <c r="AA444" s="36"/>
      <c r="AB44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5" spans="1:28" x14ac:dyDescent="0.25">
      <c r="A445" s="4">
        <v>467</v>
      </c>
      <c r="B445" s="4"/>
      <c r="C445" s="4"/>
      <c r="D445" s="4"/>
      <c r="E445" s="4"/>
      <c r="F445" s="65"/>
      <c r="G445" s="22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22"/>
      <c r="T445" s="33"/>
      <c r="U445" s="33"/>
      <c r="V445" s="33"/>
      <c r="W445" s="36"/>
      <c r="X445" s="36"/>
      <c r="Y445" s="36"/>
      <c r="Z445" s="36"/>
      <c r="AA445" s="36"/>
      <c r="AB44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6" spans="1:28" x14ac:dyDescent="0.25">
      <c r="A446" s="4">
        <v>468</v>
      </c>
      <c r="B446" s="4"/>
      <c r="C446" s="4"/>
      <c r="D446" s="4"/>
      <c r="E446" s="4"/>
      <c r="F446" s="65"/>
      <c r="G446" s="22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22"/>
      <c r="T446" s="33"/>
      <c r="U446" s="33"/>
      <c r="V446" s="33"/>
      <c r="W446" s="36"/>
      <c r="X446" s="36"/>
      <c r="Y446" s="36"/>
      <c r="Z446" s="36"/>
      <c r="AA446" s="36"/>
      <c r="AB44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7" spans="1:28" x14ac:dyDescent="0.25">
      <c r="A447" s="4">
        <v>469</v>
      </c>
      <c r="B447" s="4"/>
      <c r="C447" s="4"/>
      <c r="D447" s="4"/>
      <c r="E447" s="4"/>
      <c r="F447" s="65"/>
      <c r="G447" s="22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22"/>
      <c r="T447" s="33"/>
      <c r="U447" s="33"/>
      <c r="V447" s="33"/>
      <c r="W447" s="36"/>
      <c r="X447" s="36"/>
      <c r="Y447" s="36"/>
      <c r="Z447" s="36"/>
      <c r="AA447" s="36"/>
      <c r="AB44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8" spans="1:28" x14ac:dyDescent="0.25">
      <c r="A448" s="4">
        <v>470</v>
      </c>
      <c r="B448" s="4"/>
      <c r="C448" s="4"/>
      <c r="D448" s="4"/>
      <c r="E448" s="4"/>
      <c r="F448" s="65"/>
      <c r="G448" s="22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22"/>
      <c r="T448" s="33"/>
      <c r="U448" s="33"/>
      <c r="V448" s="33"/>
      <c r="W448" s="36"/>
      <c r="X448" s="36"/>
      <c r="Y448" s="36"/>
      <c r="Z448" s="36"/>
      <c r="AA448" s="36"/>
      <c r="AB44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49" spans="1:28" x14ac:dyDescent="0.25">
      <c r="A449" s="4">
        <v>471</v>
      </c>
      <c r="B449" s="4"/>
      <c r="C449" s="4"/>
      <c r="D449" s="4"/>
      <c r="E449" s="4"/>
      <c r="F449" s="65"/>
      <c r="G449" s="22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22"/>
      <c r="T449" s="33"/>
      <c r="U449" s="33"/>
      <c r="V449" s="33"/>
      <c r="W449" s="36"/>
      <c r="X449" s="36"/>
      <c r="Y449" s="36"/>
      <c r="Z449" s="36"/>
      <c r="AA449" s="36"/>
      <c r="AB44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0" spans="1:28" x14ac:dyDescent="0.25">
      <c r="A450" s="4">
        <v>472</v>
      </c>
      <c r="B450" s="4"/>
      <c r="C450" s="4"/>
      <c r="D450" s="4"/>
      <c r="E450" s="4"/>
      <c r="F450" s="65"/>
      <c r="G450" s="22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22"/>
      <c r="T450" s="33"/>
      <c r="U450" s="33"/>
      <c r="V450" s="33"/>
      <c r="W450" s="36"/>
      <c r="X450" s="36"/>
      <c r="Y450" s="36"/>
      <c r="Z450" s="36"/>
      <c r="AA450" s="36"/>
      <c r="AB45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1" spans="1:28" x14ac:dyDescent="0.25">
      <c r="A451" s="4">
        <v>473</v>
      </c>
      <c r="B451" s="4"/>
      <c r="C451" s="4"/>
      <c r="D451" s="4"/>
      <c r="E451" s="4"/>
      <c r="F451" s="65"/>
      <c r="G451" s="22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22"/>
      <c r="T451" s="33"/>
      <c r="U451" s="33"/>
      <c r="V451" s="33"/>
      <c r="W451" s="36"/>
      <c r="X451" s="36"/>
      <c r="Y451" s="36"/>
      <c r="Z451" s="36"/>
      <c r="AA451" s="36"/>
      <c r="AB45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2" spans="1:28" x14ac:dyDescent="0.25">
      <c r="A452" s="4">
        <v>474</v>
      </c>
      <c r="B452" s="4"/>
      <c r="C452" s="4"/>
      <c r="D452" s="4"/>
      <c r="E452" s="4"/>
      <c r="F452" s="65"/>
      <c r="G452" s="22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22"/>
      <c r="T452" s="33"/>
      <c r="U452" s="33"/>
      <c r="V452" s="33"/>
      <c r="W452" s="36"/>
      <c r="X452" s="36"/>
      <c r="Y452" s="36"/>
      <c r="Z452" s="36"/>
      <c r="AA452" s="36"/>
      <c r="AB45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3" spans="1:28" x14ac:dyDescent="0.25">
      <c r="A453" s="4">
        <v>475</v>
      </c>
      <c r="B453" s="4"/>
      <c r="C453" s="4"/>
      <c r="D453" s="4"/>
      <c r="E453" s="4"/>
      <c r="F453" s="65"/>
      <c r="G453" s="22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22"/>
      <c r="T453" s="33"/>
      <c r="U453" s="33"/>
      <c r="V453" s="33"/>
      <c r="W453" s="36"/>
      <c r="X453" s="36"/>
      <c r="Y453" s="36"/>
      <c r="Z453" s="36"/>
      <c r="AA453" s="36"/>
      <c r="AB45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4" spans="1:28" x14ac:dyDescent="0.25">
      <c r="A454" s="4">
        <v>476</v>
      </c>
      <c r="B454" s="4"/>
      <c r="C454" s="4"/>
      <c r="D454" s="4"/>
      <c r="E454" s="4"/>
      <c r="F454" s="65"/>
      <c r="G454" s="22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22"/>
      <c r="T454" s="33"/>
      <c r="U454" s="33"/>
      <c r="V454" s="33"/>
      <c r="W454" s="36"/>
      <c r="X454" s="36"/>
      <c r="Y454" s="36"/>
      <c r="Z454" s="36"/>
      <c r="AA454" s="36"/>
      <c r="AB45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5" spans="1:28" x14ac:dyDescent="0.25">
      <c r="A455" s="4">
        <v>477</v>
      </c>
      <c r="B455" s="4"/>
      <c r="C455" s="4"/>
      <c r="D455" s="4"/>
      <c r="E455" s="4"/>
      <c r="F455" s="65"/>
      <c r="G455" s="22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22"/>
      <c r="T455" s="33"/>
      <c r="U455" s="33"/>
      <c r="V455" s="33"/>
      <c r="W455" s="36"/>
      <c r="X455" s="36"/>
      <c r="Y455" s="36"/>
      <c r="Z455" s="36"/>
      <c r="AA455" s="36"/>
      <c r="AB45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6" spans="1:28" x14ac:dyDescent="0.25">
      <c r="A456" s="4">
        <v>478</v>
      </c>
      <c r="B456" s="4"/>
      <c r="C456" s="4"/>
      <c r="D456" s="4"/>
      <c r="E456" s="4"/>
      <c r="F456" s="65"/>
      <c r="G456" s="22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22"/>
      <c r="T456" s="33"/>
      <c r="U456" s="33"/>
      <c r="V456" s="33"/>
      <c r="W456" s="36"/>
      <c r="X456" s="36"/>
      <c r="Y456" s="36"/>
      <c r="Z456" s="36"/>
      <c r="AA456" s="36"/>
      <c r="AB45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7" spans="1:28" x14ac:dyDescent="0.25">
      <c r="A457" s="4">
        <v>479</v>
      </c>
      <c r="B457" s="4"/>
      <c r="C457" s="4"/>
      <c r="D457" s="4"/>
      <c r="E457" s="4"/>
      <c r="F457" s="65"/>
      <c r="G457" s="22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22"/>
      <c r="T457" s="33"/>
      <c r="U457" s="33"/>
      <c r="V457" s="33"/>
      <c r="W457" s="36"/>
      <c r="X457" s="36"/>
      <c r="Y457" s="36"/>
      <c r="Z457" s="36"/>
      <c r="AA457" s="36"/>
      <c r="AB45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8" spans="1:28" x14ac:dyDescent="0.25">
      <c r="A458" s="4">
        <v>480</v>
      </c>
      <c r="B458" s="4"/>
      <c r="C458" s="4"/>
      <c r="D458" s="4"/>
      <c r="E458" s="4"/>
      <c r="F458" s="65"/>
      <c r="G458" s="22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22"/>
      <c r="T458" s="33"/>
      <c r="U458" s="33"/>
      <c r="V458" s="33"/>
      <c r="W458" s="36"/>
      <c r="X458" s="36"/>
      <c r="Y458" s="36"/>
      <c r="Z458" s="36"/>
      <c r="AA458" s="36"/>
      <c r="AB45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59" spans="1:28" x14ac:dyDescent="0.25">
      <c r="A459" s="4">
        <v>481</v>
      </c>
      <c r="B459" s="4"/>
      <c r="C459" s="4"/>
      <c r="D459" s="4"/>
      <c r="E459" s="4"/>
      <c r="F459" s="65"/>
      <c r="G459" s="22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22"/>
      <c r="T459" s="33"/>
      <c r="U459" s="33"/>
      <c r="V459" s="33"/>
      <c r="W459" s="36"/>
      <c r="X459" s="36"/>
      <c r="Y459" s="36"/>
      <c r="Z459" s="36"/>
      <c r="AA459" s="36"/>
      <c r="AB45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0" spans="1:28" x14ac:dyDescent="0.25">
      <c r="A460" s="4">
        <v>482</v>
      </c>
      <c r="B460" s="4"/>
      <c r="C460" s="4"/>
      <c r="D460" s="4"/>
      <c r="E460" s="4"/>
      <c r="F460" s="65"/>
      <c r="G460" s="22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22"/>
      <c r="T460" s="33"/>
      <c r="U460" s="33"/>
      <c r="V460" s="33"/>
      <c r="W460" s="36"/>
      <c r="X460" s="36"/>
      <c r="Y460" s="36"/>
      <c r="Z460" s="36"/>
      <c r="AA460" s="36"/>
      <c r="AB46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1" spans="1:28" x14ac:dyDescent="0.25">
      <c r="A461" s="4">
        <v>483</v>
      </c>
      <c r="B461" s="4"/>
      <c r="C461" s="4"/>
      <c r="D461" s="4"/>
      <c r="E461" s="4"/>
      <c r="F461" s="65"/>
      <c r="G461" s="22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22"/>
      <c r="T461" s="33"/>
      <c r="U461" s="33"/>
      <c r="V461" s="33"/>
      <c r="W461" s="36"/>
      <c r="X461" s="36"/>
      <c r="Y461" s="36"/>
      <c r="Z461" s="36"/>
      <c r="AA461" s="36"/>
      <c r="AB46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2" spans="1:28" x14ac:dyDescent="0.25">
      <c r="A462" s="4">
        <v>484</v>
      </c>
      <c r="B462" s="4"/>
      <c r="C462" s="4"/>
      <c r="D462" s="4"/>
      <c r="E462" s="4"/>
      <c r="F462" s="65"/>
      <c r="G462" s="22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22"/>
      <c r="T462" s="33"/>
      <c r="U462" s="33"/>
      <c r="V462" s="33"/>
      <c r="W462" s="36"/>
      <c r="X462" s="36"/>
      <c r="Y462" s="36"/>
      <c r="Z462" s="36"/>
      <c r="AA462" s="36"/>
      <c r="AB462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3" spans="1:28" x14ac:dyDescent="0.25">
      <c r="A463" s="4">
        <v>485</v>
      </c>
      <c r="B463" s="4"/>
      <c r="C463" s="4"/>
      <c r="D463" s="4"/>
      <c r="E463" s="4"/>
      <c r="F463" s="65"/>
      <c r="G463" s="22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22"/>
      <c r="T463" s="33"/>
      <c r="U463" s="33"/>
      <c r="V463" s="33"/>
      <c r="W463" s="36"/>
      <c r="X463" s="36"/>
      <c r="Y463" s="36"/>
      <c r="Z463" s="36"/>
      <c r="AA463" s="36"/>
      <c r="AB463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4" spans="1:28" x14ac:dyDescent="0.25">
      <c r="A464" s="4">
        <v>486</v>
      </c>
      <c r="B464" s="4"/>
      <c r="C464" s="4"/>
      <c r="D464" s="4"/>
      <c r="E464" s="4"/>
      <c r="F464" s="65"/>
      <c r="G464" s="22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22"/>
      <c r="T464" s="33"/>
      <c r="U464" s="33"/>
      <c r="V464" s="33"/>
      <c r="W464" s="36"/>
      <c r="X464" s="36"/>
      <c r="Y464" s="36"/>
      <c r="Z464" s="36"/>
      <c r="AA464" s="36"/>
      <c r="AB464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5" spans="1:28" x14ac:dyDescent="0.25">
      <c r="A465" s="4">
        <v>487</v>
      </c>
      <c r="B465" s="4"/>
      <c r="C465" s="4"/>
      <c r="D465" s="4"/>
      <c r="E465" s="4"/>
      <c r="F465" s="65"/>
      <c r="G465" s="22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22"/>
      <c r="T465" s="33"/>
      <c r="U465" s="33"/>
      <c r="V465" s="33"/>
      <c r="W465" s="36"/>
      <c r="X465" s="36"/>
      <c r="Y465" s="36"/>
      <c r="Z465" s="36"/>
      <c r="AA465" s="36"/>
      <c r="AB465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6" spans="1:28" x14ac:dyDescent="0.25">
      <c r="A466" s="4">
        <v>488</v>
      </c>
      <c r="B466" s="4"/>
      <c r="C466" s="4"/>
      <c r="D466" s="4"/>
      <c r="E466" s="4"/>
      <c r="F466" s="65"/>
      <c r="G466" s="22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22"/>
      <c r="T466" s="33"/>
      <c r="U466" s="33"/>
      <c r="V466" s="33"/>
      <c r="W466" s="36"/>
      <c r="X466" s="36"/>
      <c r="Y466" s="36"/>
      <c r="Z466" s="36"/>
      <c r="AA466" s="36"/>
      <c r="AB466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7" spans="1:28" x14ac:dyDescent="0.25">
      <c r="A467" s="4">
        <v>489</v>
      </c>
      <c r="B467" s="4"/>
      <c r="C467" s="4"/>
      <c r="D467" s="4"/>
      <c r="E467" s="4"/>
      <c r="F467" s="65"/>
      <c r="G467" s="22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22"/>
      <c r="T467" s="33"/>
      <c r="U467" s="33"/>
      <c r="V467" s="33"/>
      <c r="W467" s="36"/>
      <c r="X467" s="36"/>
      <c r="Y467" s="36"/>
      <c r="Z467" s="36"/>
      <c r="AA467" s="36"/>
      <c r="AB467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8" spans="1:28" x14ac:dyDescent="0.25">
      <c r="A468" s="4">
        <v>490</v>
      </c>
      <c r="B468" s="4"/>
      <c r="C468" s="4"/>
      <c r="D468" s="4"/>
      <c r="E468" s="4"/>
      <c r="F468" s="65"/>
      <c r="G468" s="22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22"/>
      <c r="T468" s="33"/>
      <c r="U468" s="33"/>
      <c r="V468" s="33"/>
      <c r="W468" s="36"/>
      <c r="X468" s="36"/>
      <c r="Y468" s="36"/>
      <c r="Z468" s="36"/>
      <c r="AA468" s="36"/>
      <c r="AB468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69" spans="1:28" x14ac:dyDescent="0.25">
      <c r="A469" s="4">
        <v>491</v>
      </c>
      <c r="B469" s="4"/>
      <c r="C469" s="4"/>
      <c r="D469" s="4"/>
      <c r="E469" s="4"/>
      <c r="F469" s="65"/>
      <c r="G469" s="22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22"/>
      <c r="T469" s="33"/>
      <c r="U469" s="33"/>
      <c r="V469" s="33"/>
      <c r="W469" s="36"/>
      <c r="X469" s="36"/>
      <c r="Y469" s="36"/>
      <c r="Z469" s="36"/>
      <c r="AA469" s="36"/>
      <c r="AB469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70" spans="1:28" x14ac:dyDescent="0.25">
      <c r="A470" s="4">
        <v>492</v>
      </c>
      <c r="B470" s="4"/>
      <c r="C470" s="4"/>
      <c r="D470" s="4"/>
      <c r="E470" s="4"/>
      <c r="F470" s="65"/>
      <c r="G470" s="22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22"/>
      <c r="T470" s="33"/>
      <c r="U470" s="33"/>
      <c r="V470" s="33"/>
      <c r="W470" s="36"/>
      <c r="X470" s="36"/>
      <c r="Y470" s="36"/>
      <c r="Z470" s="36"/>
      <c r="AA470" s="36"/>
      <c r="AB470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71" spans="1:28" x14ac:dyDescent="0.25">
      <c r="A471" s="4">
        <v>493</v>
      </c>
      <c r="B471" s="4"/>
      <c r="C471" s="4"/>
      <c r="D471" s="4"/>
      <c r="E471" s="4"/>
      <c r="F471" s="65"/>
      <c r="G471" s="22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22"/>
      <c r="T471" s="33"/>
      <c r="U471" s="33"/>
      <c r="V471" s="33"/>
      <c r="W471" s="36"/>
      <c r="X471" s="36"/>
      <c r="Y471" s="36"/>
      <c r="Z471" s="36"/>
      <c r="AA471" s="36"/>
      <c r="AB471" s="36">
        <f>Table1[[#This Row],[2019]]+Table1[[#This Row],[2020]]+Table1[[#This Row],[2021]]+Table1[[#This Row],[2022]]+Table1[[#This Row],[2023]]+Table1[[#This Row],[2024]]+Table1[[#This Row],[2025]]+Table1[[#This Row],[2026]]</f>
        <v>0</v>
      </c>
    </row>
    <row r="472" spans="1:28" x14ac:dyDescent="0.25">
      <c r="A472" s="5"/>
      <c r="B472" s="9"/>
      <c r="C472" s="9"/>
      <c r="D472" s="5"/>
      <c r="E472" s="5"/>
      <c r="F472" s="72"/>
      <c r="G472" s="23"/>
      <c r="H472" s="5"/>
      <c r="I472" s="5"/>
      <c r="J472" s="9"/>
      <c r="K472" s="5"/>
      <c r="L472" s="5"/>
      <c r="M472" s="5"/>
      <c r="N472" s="5"/>
      <c r="O472" s="5"/>
      <c r="P472" s="5"/>
      <c r="Q472" s="5"/>
      <c r="R472" s="5"/>
      <c r="S472" s="23"/>
      <c r="T472" s="37"/>
      <c r="U472" s="37"/>
      <c r="V472" s="37"/>
    </row>
    <row r="473" spans="1:28" x14ac:dyDescent="0.25">
      <c r="A473" s="5"/>
      <c r="B473" s="9"/>
      <c r="C473" s="9"/>
      <c r="D473" s="5"/>
      <c r="E473" s="5"/>
      <c r="F473" s="72"/>
      <c r="G473" s="23"/>
      <c r="H473" s="5"/>
      <c r="I473" s="5"/>
      <c r="J473" s="9"/>
      <c r="K473" s="5"/>
      <c r="L473" s="5"/>
      <c r="M473" s="5"/>
      <c r="N473" s="5"/>
      <c r="O473" s="5"/>
      <c r="P473" s="5"/>
      <c r="Q473" s="5"/>
      <c r="R473" s="5"/>
      <c r="S473" s="23"/>
      <c r="T473" s="37"/>
      <c r="U473" s="37"/>
      <c r="V473" s="37"/>
    </row>
    <row r="474" spans="1:28" x14ac:dyDescent="0.25">
      <c r="A474" s="5"/>
      <c r="B474" s="9"/>
      <c r="C474" s="9"/>
      <c r="D474" s="5"/>
      <c r="E474" s="5"/>
      <c r="F474" s="72"/>
      <c r="G474" s="23"/>
      <c r="H474" s="5"/>
      <c r="I474" s="5"/>
      <c r="J474" s="9"/>
      <c r="K474" s="5"/>
      <c r="L474" s="5"/>
      <c r="M474" s="5"/>
      <c r="N474" s="5"/>
      <c r="O474" s="5"/>
      <c r="P474" s="5"/>
      <c r="Q474" s="5"/>
      <c r="R474" s="5"/>
      <c r="S474" s="23"/>
      <c r="T474" s="37"/>
      <c r="U474" s="37"/>
      <c r="V474" s="37"/>
    </row>
    <row r="475" spans="1:28" x14ac:dyDescent="0.25">
      <c r="A475" s="5"/>
      <c r="B475" s="9"/>
      <c r="C475" s="9"/>
      <c r="D475" s="5"/>
      <c r="E475" s="5"/>
      <c r="F475" s="72"/>
      <c r="G475" s="23"/>
      <c r="H475" s="5"/>
      <c r="I475" s="5"/>
      <c r="J475" s="9"/>
      <c r="K475" s="5"/>
      <c r="L475" s="5"/>
      <c r="M475" s="5"/>
      <c r="N475" s="5"/>
      <c r="O475" s="5"/>
      <c r="P475" s="5"/>
      <c r="Q475" s="5"/>
      <c r="R475" s="5"/>
      <c r="S475" s="23"/>
      <c r="T475" s="37"/>
      <c r="U475" s="37"/>
      <c r="V475" s="37"/>
    </row>
    <row r="476" spans="1:28" x14ac:dyDescent="0.25">
      <c r="A476" s="5"/>
      <c r="B476" s="9"/>
      <c r="C476" s="9"/>
      <c r="D476" s="5"/>
      <c r="E476" s="5"/>
      <c r="F476" s="72"/>
      <c r="G476" s="23"/>
      <c r="H476" s="5"/>
      <c r="I476" s="5"/>
      <c r="J476" s="9"/>
      <c r="K476" s="5"/>
      <c r="L476" s="5"/>
      <c r="M476" s="5"/>
      <c r="N476" s="5"/>
      <c r="O476" s="5"/>
      <c r="P476" s="5"/>
      <c r="Q476" s="5"/>
      <c r="R476" s="5"/>
      <c r="S476" s="23"/>
      <c r="T476" s="37"/>
      <c r="U476" s="37"/>
      <c r="V476" s="37"/>
    </row>
    <row r="477" spans="1:28" x14ac:dyDescent="0.25">
      <c r="A477" s="5"/>
      <c r="B477" s="9"/>
      <c r="C477" s="9"/>
      <c r="D477" s="5"/>
      <c r="E477" s="5"/>
      <c r="F477" s="72"/>
      <c r="G477" s="23"/>
      <c r="H477" s="5"/>
      <c r="I477" s="5"/>
      <c r="J477" s="9"/>
      <c r="K477" s="5"/>
      <c r="L477" s="5"/>
      <c r="M477" s="5"/>
      <c r="N477" s="5"/>
      <c r="O477" s="5"/>
      <c r="P477" s="5"/>
      <c r="Q477" s="5"/>
      <c r="R477" s="5"/>
      <c r="S477" s="23"/>
      <c r="T477" s="37"/>
      <c r="U477" s="37"/>
      <c r="V477" s="37"/>
    </row>
    <row r="478" spans="1:28" x14ac:dyDescent="0.25">
      <c r="A478" s="5"/>
      <c r="B478" s="9"/>
      <c r="C478" s="9"/>
      <c r="D478" s="5"/>
      <c r="E478" s="5"/>
      <c r="F478" s="72"/>
      <c r="G478" s="23"/>
      <c r="H478" s="5"/>
      <c r="I478" s="5"/>
      <c r="J478" s="9"/>
      <c r="K478" s="5"/>
      <c r="L478" s="5"/>
      <c r="M478" s="5"/>
      <c r="N478" s="5"/>
      <c r="O478" s="5"/>
      <c r="P478" s="5"/>
      <c r="Q478" s="5"/>
      <c r="R478" s="5"/>
      <c r="S478" s="23"/>
      <c r="T478" s="37"/>
      <c r="U478" s="37"/>
      <c r="V478" s="37"/>
    </row>
    <row r="479" spans="1:28" x14ac:dyDescent="0.25">
      <c r="A479" s="5"/>
      <c r="B479" s="9"/>
      <c r="C479" s="9"/>
      <c r="D479" s="5"/>
      <c r="E479" s="5"/>
      <c r="F479" s="72"/>
      <c r="G479" s="23"/>
      <c r="H479" s="5"/>
      <c r="I479" s="5"/>
      <c r="J479" s="9"/>
      <c r="K479" s="5"/>
      <c r="L479" s="5"/>
      <c r="M479" s="5"/>
      <c r="N479" s="5"/>
      <c r="O479" s="5"/>
      <c r="P479" s="5"/>
      <c r="Q479" s="5"/>
      <c r="R479" s="5"/>
      <c r="S479" s="23"/>
      <c r="T479" s="37"/>
      <c r="U479" s="37"/>
      <c r="V479" s="37"/>
    </row>
    <row r="480" spans="1:28" x14ac:dyDescent="0.25">
      <c r="A480" s="5"/>
      <c r="B480" s="9"/>
      <c r="C480" s="9"/>
      <c r="D480" s="5"/>
      <c r="E480" s="5"/>
      <c r="F480" s="72"/>
      <c r="G480" s="23"/>
      <c r="H480" s="5"/>
      <c r="I480" s="5"/>
      <c r="J480" s="9"/>
      <c r="K480" s="5"/>
      <c r="L480" s="5"/>
      <c r="M480" s="5"/>
      <c r="N480" s="5"/>
      <c r="O480" s="5"/>
      <c r="P480" s="5"/>
      <c r="Q480" s="5"/>
      <c r="R480" s="5"/>
      <c r="S480" s="23"/>
      <c r="T480" s="37"/>
      <c r="U480" s="37"/>
      <c r="V480" s="37"/>
    </row>
    <row r="481" spans="1:22" x14ac:dyDescent="0.25">
      <c r="A481" s="5"/>
      <c r="B481" s="9"/>
      <c r="C481" s="9"/>
      <c r="D481" s="5"/>
      <c r="E481" s="5"/>
      <c r="F481" s="72"/>
      <c r="G481" s="23"/>
      <c r="H481" s="5"/>
      <c r="I481" s="5"/>
      <c r="J481" s="9"/>
      <c r="K481" s="5"/>
      <c r="L481" s="5"/>
      <c r="M481" s="5"/>
      <c r="N481" s="5"/>
      <c r="O481" s="5"/>
      <c r="P481" s="5"/>
      <c r="Q481" s="5"/>
      <c r="R481" s="5"/>
      <c r="S481" s="23"/>
      <c r="T481" s="37"/>
      <c r="U481" s="37"/>
      <c r="V481" s="37"/>
    </row>
    <row r="482" spans="1:22" x14ac:dyDescent="0.25">
      <c r="A482" s="5"/>
      <c r="B482" s="9"/>
      <c r="C482" s="9"/>
      <c r="D482" s="5"/>
      <c r="E482" s="5"/>
      <c r="F482" s="72"/>
      <c r="G482" s="23"/>
      <c r="H482" s="5"/>
      <c r="I482" s="5"/>
      <c r="J482" s="9"/>
      <c r="K482" s="5"/>
      <c r="L482" s="5"/>
      <c r="M482" s="5"/>
      <c r="N482" s="5"/>
      <c r="O482" s="5"/>
      <c r="P482" s="5"/>
      <c r="Q482" s="5"/>
      <c r="R482" s="5"/>
      <c r="S482" s="23"/>
      <c r="T482" s="37"/>
      <c r="U482" s="37"/>
      <c r="V482" s="37"/>
    </row>
    <row r="483" spans="1:22" x14ac:dyDescent="0.25">
      <c r="A483" s="5"/>
      <c r="B483" s="9"/>
      <c r="C483" s="9"/>
      <c r="D483" s="5"/>
      <c r="E483" s="5"/>
      <c r="F483" s="72"/>
      <c r="G483" s="23"/>
      <c r="H483" s="5"/>
      <c r="I483" s="5"/>
      <c r="J483" s="9"/>
      <c r="K483" s="5"/>
      <c r="L483" s="5"/>
      <c r="M483" s="5"/>
      <c r="N483" s="5"/>
      <c r="O483" s="5"/>
      <c r="P483" s="5"/>
      <c r="Q483" s="5"/>
      <c r="R483" s="5"/>
      <c r="S483" s="23"/>
      <c r="T483" s="37"/>
      <c r="U483" s="37"/>
      <c r="V483" s="37"/>
    </row>
    <row r="484" spans="1:22" x14ac:dyDescent="0.25">
      <c r="A484" s="5"/>
      <c r="B484" s="9"/>
      <c r="C484" s="9"/>
      <c r="D484" s="5"/>
      <c r="E484" s="5"/>
      <c r="F484" s="72"/>
      <c r="G484" s="23"/>
      <c r="H484" s="5"/>
      <c r="I484" s="5"/>
      <c r="J484" s="9"/>
      <c r="K484" s="5"/>
      <c r="L484" s="5"/>
      <c r="M484" s="5"/>
      <c r="N484" s="5"/>
      <c r="O484" s="5"/>
      <c r="P484" s="5"/>
      <c r="Q484" s="5"/>
      <c r="R484" s="5"/>
      <c r="S484" s="23"/>
      <c r="T484" s="37"/>
      <c r="U484" s="37"/>
      <c r="V484" s="37"/>
    </row>
    <row r="485" spans="1:22" x14ac:dyDescent="0.25">
      <c r="A485" s="5"/>
      <c r="B485" s="9"/>
      <c r="C485" s="9"/>
      <c r="D485" s="5"/>
      <c r="E485" s="5"/>
      <c r="F485" s="72"/>
      <c r="G485" s="23"/>
      <c r="H485" s="5"/>
      <c r="I485" s="5"/>
      <c r="J485" s="9"/>
      <c r="K485" s="5"/>
      <c r="L485" s="5"/>
      <c r="M485" s="5"/>
      <c r="N485" s="5"/>
      <c r="O485" s="5"/>
      <c r="P485" s="5"/>
      <c r="Q485" s="5"/>
      <c r="R485" s="5"/>
      <c r="S485" s="23"/>
      <c r="T485" s="37"/>
      <c r="U485" s="37"/>
      <c r="V485" s="37"/>
    </row>
    <row r="486" spans="1:22" x14ac:dyDescent="0.25">
      <c r="A486" s="5"/>
      <c r="B486" s="9"/>
      <c r="C486" s="9"/>
      <c r="D486" s="5"/>
      <c r="E486" s="5"/>
      <c r="F486" s="72"/>
      <c r="G486" s="23"/>
      <c r="H486" s="5"/>
      <c r="I486" s="5"/>
      <c r="J486" s="9"/>
      <c r="K486" s="5"/>
      <c r="L486" s="5"/>
      <c r="M486" s="5"/>
      <c r="N486" s="5"/>
      <c r="O486" s="5"/>
      <c r="P486" s="5"/>
      <c r="Q486" s="5"/>
      <c r="R486" s="5"/>
      <c r="S486" s="23"/>
      <c r="T486" s="37"/>
      <c r="U486" s="37"/>
      <c r="V486" s="37"/>
    </row>
    <row r="487" spans="1:22" x14ac:dyDescent="0.25">
      <c r="A487" s="5"/>
      <c r="B487" s="9"/>
      <c r="C487" s="9"/>
      <c r="D487" s="5"/>
      <c r="E487" s="5"/>
      <c r="F487" s="72"/>
      <c r="G487" s="23"/>
      <c r="H487" s="5"/>
      <c r="I487" s="5"/>
      <c r="J487" s="9"/>
      <c r="K487" s="5"/>
      <c r="L487" s="5"/>
      <c r="M487" s="5"/>
      <c r="N487" s="5"/>
      <c r="O487" s="5"/>
      <c r="P487" s="5"/>
      <c r="Q487" s="5"/>
      <c r="R487" s="5"/>
      <c r="S487" s="23"/>
      <c r="T487" s="37"/>
      <c r="U487" s="37"/>
      <c r="V487" s="37"/>
    </row>
    <row r="488" spans="1:22" x14ac:dyDescent="0.25">
      <c r="A488" s="5"/>
      <c r="B488" s="9"/>
      <c r="C488" s="9"/>
      <c r="D488" s="5"/>
      <c r="E488" s="5"/>
      <c r="F488" s="72"/>
      <c r="G488" s="23"/>
      <c r="H488" s="5"/>
      <c r="I488" s="5"/>
      <c r="J488" s="9"/>
      <c r="K488" s="5"/>
      <c r="L488" s="5"/>
      <c r="M488" s="5"/>
      <c r="N488" s="5"/>
      <c r="O488" s="5"/>
      <c r="P488" s="5"/>
      <c r="Q488" s="5"/>
      <c r="R488" s="5"/>
      <c r="S488" s="23"/>
      <c r="T488" s="37"/>
      <c r="U488" s="37"/>
      <c r="V488" s="37"/>
    </row>
    <row r="489" spans="1:22" x14ac:dyDescent="0.25">
      <c r="A489" s="5"/>
      <c r="B489" s="9"/>
      <c r="C489" s="9"/>
      <c r="D489" s="5"/>
      <c r="E489" s="5"/>
      <c r="F489" s="72"/>
      <c r="G489" s="23"/>
      <c r="H489" s="5"/>
      <c r="I489" s="5"/>
      <c r="J489" s="9"/>
      <c r="K489" s="5"/>
      <c r="L489" s="5"/>
      <c r="M489" s="5"/>
      <c r="N489" s="5"/>
      <c r="O489" s="5"/>
      <c r="P489" s="5"/>
      <c r="Q489" s="5"/>
      <c r="R489" s="5"/>
      <c r="S489" s="23"/>
      <c r="T489" s="37"/>
      <c r="U489" s="37"/>
      <c r="V489" s="37"/>
    </row>
    <row r="490" spans="1:22" x14ac:dyDescent="0.25">
      <c r="A490" s="5"/>
      <c r="B490" s="9"/>
      <c r="C490" s="9"/>
      <c r="D490" s="5"/>
      <c r="E490" s="5"/>
      <c r="F490" s="72"/>
      <c r="G490" s="23"/>
      <c r="H490" s="5"/>
      <c r="I490" s="5"/>
      <c r="J490" s="9"/>
      <c r="K490" s="5"/>
      <c r="L490" s="5"/>
      <c r="M490" s="5"/>
      <c r="N490" s="5"/>
      <c r="O490" s="5"/>
      <c r="P490" s="5"/>
      <c r="Q490" s="5"/>
      <c r="R490" s="5"/>
      <c r="S490" s="23"/>
      <c r="T490" s="37"/>
      <c r="U490" s="37"/>
      <c r="V490" s="37"/>
    </row>
    <row r="491" spans="1:22" x14ac:dyDescent="0.25">
      <c r="A491" s="5"/>
      <c r="B491" s="9"/>
      <c r="C491" s="9"/>
      <c r="D491" s="5"/>
      <c r="E491" s="5"/>
      <c r="F491" s="72"/>
      <c r="G491" s="23"/>
      <c r="H491" s="5"/>
      <c r="I491" s="5"/>
      <c r="J491" s="9"/>
      <c r="K491" s="5"/>
      <c r="L491" s="5"/>
      <c r="M491" s="5"/>
      <c r="N491" s="5"/>
      <c r="O491" s="5"/>
      <c r="P491" s="5"/>
      <c r="Q491" s="5"/>
      <c r="R491" s="5"/>
      <c r="S491" s="23"/>
      <c r="T491" s="37"/>
      <c r="U491" s="37"/>
      <c r="V491" s="37"/>
    </row>
    <row r="492" spans="1:22" x14ac:dyDescent="0.25">
      <c r="A492" s="5"/>
      <c r="B492" s="9"/>
      <c r="C492" s="9"/>
      <c r="D492" s="5"/>
      <c r="E492" s="5"/>
      <c r="F492" s="72"/>
      <c r="G492" s="23"/>
      <c r="H492" s="5"/>
      <c r="I492" s="5"/>
      <c r="J492" s="9"/>
      <c r="K492" s="5"/>
      <c r="L492" s="5"/>
      <c r="M492" s="5"/>
      <c r="N492" s="5"/>
      <c r="O492" s="5"/>
      <c r="P492" s="5"/>
      <c r="Q492" s="5"/>
      <c r="R492" s="5"/>
      <c r="S492" s="23"/>
      <c r="T492" s="37"/>
      <c r="U492" s="37"/>
      <c r="V492" s="37"/>
    </row>
    <row r="493" spans="1:22" x14ac:dyDescent="0.25">
      <c r="A493" s="5"/>
      <c r="B493" s="9"/>
      <c r="C493" s="9"/>
      <c r="D493" s="5"/>
      <c r="E493" s="5"/>
      <c r="F493" s="72"/>
      <c r="G493" s="23"/>
      <c r="H493" s="5"/>
      <c r="I493" s="5"/>
      <c r="J493" s="9"/>
      <c r="K493" s="5"/>
      <c r="L493" s="5"/>
      <c r="M493" s="5"/>
      <c r="N493" s="5"/>
      <c r="O493" s="5"/>
      <c r="P493" s="5"/>
      <c r="Q493" s="5"/>
      <c r="R493" s="5"/>
      <c r="S493" s="23"/>
      <c r="T493" s="37"/>
      <c r="U493" s="37"/>
      <c r="V493" s="37"/>
    </row>
    <row r="494" spans="1:22" x14ac:dyDescent="0.25">
      <c r="A494" s="5"/>
      <c r="B494" s="9"/>
      <c r="C494" s="9"/>
      <c r="D494" s="5"/>
      <c r="E494" s="5"/>
      <c r="F494" s="72"/>
      <c r="G494" s="23"/>
      <c r="H494" s="5"/>
      <c r="I494" s="5"/>
      <c r="J494" s="9"/>
      <c r="K494" s="5"/>
      <c r="L494" s="5"/>
      <c r="M494" s="5"/>
      <c r="N494" s="5"/>
      <c r="O494" s="5"/>
      <c r="P494" s="5"/>
      <c r="Q494" s="5"/>
      <c r="R494" s="5"/>
      <c r="S494" s="23"/>
      <c r="T494" s="37"/>
      <c r="U494" s="37"/>
      <c r="V494" s="37"/>
    </row>
    <row r="495" spans="1:22" x14ac:dyDescent="0.25">
      <c r="A495" s="5"/>
      <c r="B495" s="9"/>
      <c r="C495" s="9"/>
      <c r="D495" s="5"/>
      <c r="E495" s="5"/>
      <c r="F495" s="72"/>
      <c r="G495" s="23"/>
      <c r="H495" s="5"/>
      <c r="I495" s="5"/>
      <c r="J495" s="9"/>
      <c r="K495" s="5"/>
      <c r="L495" s="5"/>
      <c r="M495" s="5"/>
      <c r="N495" s="5"/>
      <c r="O495" s="5"/>
      <c r="P495" s="5"/>
      <c r="Q495" s="5"/>
      <c r="R495" s="5"/>
      <c r="S495" s="23"/>
      <c r="T495" s="37"/>
      <c r="U495" s="37"/>
      <c r="V495" s="37"/>
    </row>
    <row r="496" spans="1:22" x14ac:dyDescent="0.25">
      <c r="A496" s="5"/>
      <c r="B496" s="9"/>
      <c r="C496" s="9"/>
      <c r="D496" s="5"/>
      <c r="E496" s="5"/>
      <c r="F496" s="72"/>
      <c r="G496" s="23"/>
      <c r="H496" s="5"/>
      <c r="I496" s="5"/>
      <c r="J496" s="9"/>
      <c r="K496" s="5"/>
      <c r="L496" s="5"/>
      <c r="M496" s="5"/>
      <c r="N496" s="5"/>
      <c r="O496" s="5"/>
      <c r="P496" s="5"/>
      <c r="Q496" s="5"/>
      <c r="R496" s="5"/>
      <c r="S496" s="23"/>
      <c r="T496" s="37"/>
      <c r="U496" s="37"/>
      <c r="V496" s="37"/>
    </row>
    <row r="497" spans="1:22" x14ac:dyDescent="0.25">
      <c r="A497" s="5"/>
      <c r="B497" s="9"/>
      <c r="C497" s="9"/>
      <c r="D497" s="5"/>
      <c r="E497" s="5"/>
      <c r="F497" s="72"/>
      <c r="G497" s="23"/>
      <c r="H497" s="5"/>
      <c r="I497" s="5"/>
      <c r="J497" s="9"/>
      <c r="K497" s="5"/>
      <c r="L497" s="5"/>
      <c r="M497" s="5"/>
      <c r="N497" s="5"/>
      <c r="O497" s="5"/>
      <c r="P497" s="5"/>
      <c r="Q497" s="5"/>
      <c r="R497" s="5"/>
      <c r="S497" s="23"/>
      <c r="T497" s="37"/>
      <c r="U497" s="37"/>
      <c r="V497" s="37"/>
    </row>
    <row r="498" spans="1:22" x14ac:dyDescent="0.25">
      <c r="A498" s="5"/>
      <c r="B498" s="9"/>
      <c r="C498" s="9"/>
      <c r="D498" s="5"/>
      <c r="E498" s="5"/>
      <c r="F498" s="72"/>
      <c r="G498" s="23"/>
      <c r="H498" s="5"/>
      <c r="I498" s="5"/>
      <c r="J498" s="9"/>
      <c r="K498" s="5"/>
      <c r="L498" s="5"/>
      <c r="M498" s="5"/>
      <c r="N498" s="5"/>
      <c r="O498" s="5"/>
      <c r="P498" s="5"/>
      <c r="Q498" s="5"/>
      <c r="R498" s="5"/>
      <c r="S498" s="23"/>
      <c r="T498" s="37"/>
      <c r="U498" s="37"/>
      <c r="V498" s="37"/>
    </row>
    <row r="499" spans="1:22" x14ac:dyDescent="0.25">
      <c r="A499" s="5"/>
      <c r="B499" s="9"/>
      <c r="C499" s="9"/>
      <c r="D499" s="5"/>
      <c r="E499" s="5"/>
      <c r="F499" s="72"/>
      <c r="G499" s="23"/>
      <c r="H499" s="5"/>
      <c r="I499" s="5"/>
      <c r="J499" s="9"/>
      <c r="K499" s="5"/>
      <c r="L499" s="5"/>
      <c r="M499" s="5"/>
      <c r="N499" s="5"/>
      <c r="O499" s="5"/>
      <c r="P499" s="5"/>
      <c r="Q499" s="5"/>
      <c r="R499" s="5"/>
      <c r="S499" s="23"/>
      <c r="T499" s="37"/>
      <c r="U499" s="37"/>
      <c r="V499" s="37"/>
    </row>
    <row r="500" spans="1:22" x14ac:dyDescent="0.25">
      <c r="A500" s="5"/>
      <c r="B500" s="9"/>
      <c r="C500" s="9"/>
      <c r="D500" s="5"/>
      <c r="E500" s="5"/>
      <c r="F500" s="72"/>
      <c r="G500" s="23"/>
      <c r="H500" s="5"/>
      <c r="I500" s="5"/>
      <c r="J500" s="9"/>
      <c r="K500" s="5"/>
      <c r="L500" s="5"/>
      <c r="M500" s="5"/>
      <c r="N500" s="5"/>
      <c r="O500" s="5"/>
      <c r="P500" s="5"/>
      <c r="Q500" s="5"/>
      <c r="R500" s="5"/>
      <c r="S500" s="23"/>
      <c r="T500" s="37"/>
      <c r="U500" s="37"/>
      <c r="V500" s="37"/>
    </row>
    <row r="501" spans="1:22" x14ac:dyDescent="0.25">
      <c r="A501" s="5"/>
      <c r="B501" s="9"/>
      <c r="C501" s="9"/>
      <c r="D501" s="5"/>
      <c r="E501" s="5"/>
      <c r="F501" s="72"/>
      <c r="G501" s="23"/>
      <c r="H501" s="5"/>
      <c r="I501" s="5"/>
      <c r="J501" s="9"/>
      <c r="K501" s="5"/>
      <c r="L501" s="5"/>
      <c r="M501" s="5"/>
      <c r="N501" s="5"/>
      <c r="O501" s="5"/>
      <c r="P501" s="5"/>
      <c r="Q501" s="5"/>
      <c r="R501" s="5"/>
      <c r="S501" s="23"/>
      <c r="T501" s="37"/>
      <c r="U501" s="37"/>
      <c r="V501" s="37"/>
    </row>
    <row r="502" spans="1:22" x14ac:dyDescent="0.25">
      <c r="A502" s="5"/>
      <c r="B502" s="9"/>
      <c r="C502" s="9"/>
      <c r="D502" s="5"/>
      <c r="E502" s="5"/>
      <c r="F502" s="72"/>
      <c r="G502" s="23"/>
      <c r="H502" s="5"/>
      <c r="I502" s="5"/>
      <c r="J502" s="9"/>
      <c r="K502" s="5"/>
      <c r="L502" s="5"/>
      <c r="M502" s="5"/>
      <c r="N502" s="5"/>
      <c r="O502" s="5"/>
      <c r="P502" s="5"/>
      <c r="Q502" s="5"/>
      <c r="R502" s="5"/>
      <c r="S502" s="23"/>
      <c r="T502" s="37"/>
      <c r="U502" s="37"/>
      <c r="V502" s="37"/>
    </row>
    <row r="503" spans="1:22" x14ac:dyDescent="0.25">
      <c r="A503" s="5"/>
      <c r="B503" s="9"/>
      <c r="C503" s="9"/>
      <c r="D503" s="5"/>
      <c r="E503" s="5"/>
      <c r="F503" s="72"/>
      <c r="G503" s="23"/>
      <c r="H503" s="5"/>
      <c r="I503" s="5"/>
      <c r="J503" s="9"/>
      <c r="K503" s="5"/>
      <c r="L503" s="5"/>
      <c r="M503" s="5"/>
      <c r="N503" s="5"/>
      <c r="O503" s="5"/>
      <c r="P503" s="5"/>
      <c r="Q503" s="5"/>
      <c r="R503" s="5"/>
      <c r="S503" s="23"/>
      <c r="T503" s="37"/>
      <c r="U503" s="37"/>
      <c r="V503" s="37"/>
    </row>
  </sheetData>
  <hyperlinks>
    <hyperlink ref="R125" r:id="rId1"/>
    <hyperlink ref="R226" r:id="rId2"/>
    <hyperlink ref="R57" r:id="rId3"/>
    <hyperlink ref="R144" r:id="rId4"/>
    <hyperlink ref="R42" r:id="rId5"/>
    <hyperlink ref="R228" r:id="rId6"/>
    <hyperlink ref="R239" r:id="rId7"/>
    <hyperlink ref="R110" r:id="rId8"/>
    <hyperlink ref="R142" r:id="rId9"/>
    <hyperlink ref="R183" r:id="rId10"/>
    <hyperlink ref="R33" r:id="rId11"/>
    <hyperlink ref="R141" r:id="rId12"/>
    <hyperlink ref="R164" r:id="rId13"/>
    <hyperlink ref="R28" r:id="rId14"/>
    <hyperlink ref="R89" r:id="rId15"/>
    <hyperlink ref="R259" r:id="rId16"/>
    <hyperlink ref="R222" r:id="rId17"/>
    <hyperlink ref="R241" r:id="rId18"/>
    <hyperlink ref="R86" r:id="rId19"/>
    <hyperlink ref="R67" r:id="rId20"/>
    <hyperlink ref="R66" r:id="rId21"/>
    <hyperlink ref="R58" r:id="rId22"/>
    <hyperlink ref="R122" r:id="rId23"/>
    <hyperlink ref="R29" r:id="rId24"/>
    <hyperlink ref="R78" r:id="rId25"/>
    <hyperlink ref="R218" r:id="rId26"/>
    <hyperlink ref="R68" r:id="rId27"/>
    <hyperlink ref="R76" r:id="rId28"/>
    <hyperlink ref="R92" r:id="rId29"/>
    <hyperlink ref="R209" r:id="rId30"/>
    <hyperlink ref="R98" r:id="rId31"/>
    <hyperlink ref="R81" r:id="rId32"/>
    <hyperlink ref="R105" r:id="rId33"/>
    <hyperlink ref="R121" r:id="rId34"/>
    <hyperlink ref="R4" r:id="rId35"/>
    <hyperlink ref="R136" r:id="rId36"/>
    <hyperlink ref="R189" r:id="rId37"/>
    <hyperlink ref="R26" r:id="rId38"/>
    <hyperlink ref="R45" r:id="rId39"/>
    <hyperlink ref="R248" r:id="rId40"/>
    <hyperlink ref="R9" r:id="rId41"/>
    <hyperlink ref="R251" r:id="rId42"/>
    <hyperlink ref="R186" r:id="rId43"/>
    <hyperlink ref="R148" r:id="rId44"/>
    <hyperlink ref="R53" r:id="rId45"/>
    <hyperlink ref="R159" r:id="rId46"/>
    <hyperlink ref="R15" r:id="rId47"/>
    <hyperlink ref="R227" r:id="rId48"/>
    <hyperlink ref="R44" r:id="rId49"/>
    <hyperlink ref="R156" r:id="rId50"/>
    <hyperlink ref="R84" r:id="rId51"/>
    <hyperlink ref="R185" r:id="rId52"/>
    <hyperlink ref="R123" r:id="rId53"/>
  </hyperlinks>
  <pageMargins left="0.7" right="0.7" top="0.75" bottom="0.75" header="0.3" footer="0.3"/>
  <pageSetup orientation="portrait" r:id="rId54"/>
  <tableParts count="1">
    <tablePart r:id="rId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dcterms:created xsi:type="dcterms:W3CDTF">2026-04-01T09:46:38Z</dcterms:created>
  <dcterms:modified xsi:type="dcterms:W3CDTF">2026-04-10T15:26:03Z</dcterms:modified>
</cp:coreProperties>
</file>