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18633B2-B888-4EA0-A77A-E0DE0ADBB488}" xr6:coauthVersionLast="47" xr6:coauthVersionMax="47" xr10:uidLastSave="{00000000-0000-0000-0000-000000000000}"/>
  <bookViews>
    <workbookView xWindow="-110" yWindow="-110" windowWidth="19420" windowHeight="1042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D4" i="21" l="1"/>
  <c r="H22" i="12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<sst xmlns="http://schemas.openxmlformats.org/spreadsheetml/2006/main" count="1530" uniqueCount="88">
  <si>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</si>
  <si>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</si>
  <si>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</si>
  <si>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</si>
  <si>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</si>
  <si>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</si>
  <si>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</si>
  <si>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</si>
  <si>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</si>
  <si>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</si>
  <si>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</si>
  <si>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</si>
  <si>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</si>
  <si>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</si>
  <si>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</si>
  <si>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</si>
  <si>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</si>
  <si>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</si>
  <si>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</si>
  <si>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</si>
  <si>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</si>
  <si>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</si>
  <si>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</si>
  <si>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</si>
  <si>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</si>
  <si>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</si>
  <si>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</si>
  <si>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</si>
  <si>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</si>
  <si>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</si>
  <si>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</si>
  <si>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</si>
  <si>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</si>
  <si>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</si>
  <si>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</si>
  <si>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</si>
  <si>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</si>
  <si>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</si>
  <si>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</si>
  <si>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</si>
  <si>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</si>
  <si>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</si>
  <si>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</si>
  <si>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</si>
  <si>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</si>
  <si>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</si>
  <si>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</si>
  <si>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</si>
  <si>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</si>
  <si>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</si>
  <si>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</si>
  <si>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</si>
  <si>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</si>
  <si>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</si>
  <si>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</si>
  <si>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</si>
  <si>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</si>
  <si>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</si>
  <si>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</si>
  <si>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</si>
  <si>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</si>
  <si>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</si>
  <si>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</si>
  <si>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</si>
  <si>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</si>
  <si>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</si>
  <si>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</si>
  <si>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</si>
  <si>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</si>
  <si>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</si>
  <si>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</si>
  <si>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</si>
  <si>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</si>
  <si>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</si>
  <si>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</si>
  <si>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</si>
  <si>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</si>
  <si>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</si>
  <si>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</si>
  <si>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</si>
  <si>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</si>
  <si>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</si>
  <si>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</si>
  <si>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</si>
  <si>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</si>
  <si>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</si>
  <si>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</si>
  <si>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WEEKLY REPORT FROM  03/03/2026  -  08/03/2026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</si>
</sst>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20" xfId="0" applyFont="1" applyFill="1" applyBorder="1"/>
    <xf numFmtId="0" fontId="3" fillId="4" borderId="5" xfId="0" applyFont="1" applyFill="1" applyBorder="1"/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121" t="s">
        <v>38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1"/>
      <c r="M1" s="11"/>
      <c r="N1" s="11"/>
    </row>
    <row r="2" spans="1:15" ht="31" customHeight="1">
      <c r="A2" s="123" t="s">
        <v>37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1"/>
      <c r="M2" s="11"/>
      <c r="N2" s="11"/>
    </row>
    <row r="3" spans="1:15" ht="15" customHeight="1" thickBot="1">
      <c r="A3" s="123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183600</v>
      </c>
      <c r="C16" s="66">
        <f>KARONGI!G29</f>
        <v>52000</v>
      </c>
      <c r="D16" s="4"/>
      <c r="E16" s="3"/>
      <c r="F16" s="68">
        <f t="shared" si="0"/>
        <v>235600</v>
      </c>
      <c r="G16" s="65">
        <f>KARONGI!C33</f>
        <v>0</v>
      </c>
      <c r="H16" s="66">
        <f>KARONGI!C31</f>
        <v>235600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183600</v>
      </c>
      <c r="C29" s="99">
        <f t="shared" si="1"/>
        <v>52000</v>
      </c>
      <c r="D29" s="100">
        <f t="shared" si="1"/>
        <v>0</v>
      </c>
      <c r="E29" s="99">
        <f t="shared" si="1"/>
        <v>0</v>
      </c>
      <c r="F29" s="99">
        <f>SUM(F5:F28)</f>
        <v>235600</v>
      </c>
      <c r="G29" s="100">
        <f>SUM(G5:G28)</f>
        <v>0</v>
      </c>
      <c r="H29" s="100">
        <f>SUM(H5:H28)</f>
        <v>235600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115"/>
      <c r="B30" s="115"/>
      <c r="C30" s="115"/>
      <c r="D30" s="116"/>
      <c r="E30" s="149" t="s">
        <v>12</v>
      </c>
      <c r="F30" s="150"/>
      <c r="G30" s="150"/>
      <c r="H30" s="150"/>
      <c r="I30" s="151"/>
      <c r="J30" s="125"/>
      <c r="K30" s="126"/>
      <c r="L30" s="11"/>
    </row>
    <row r="31" spans="1:15" ht="19" thickBot="1">
      <c r="A31" s="146" t="s">
        <v>9</v>
      </c>
      <c r="B31" s="147"/>
      <c r="C31" s="147"/>
      <c r="D31" s="147"/>
      <c r="E31" s="152"/>
      <c r="F31" s="153"/>
      <c r="G31" s="153"/>
      <c r="H31" s="153"/>
      <c r="I31" s="154"/>
      <c r="J31" s="127"/>
      <c r="K31" s="128"/>
      <c r="L31" s="11"/>
    </row>
    <row r="32" spans="1:15" ht="15" thickBot="1">
      <c r="A32" s="117" t="s">
        <v>13</v>
      </c>
      <c r="B32" s="118"/>
      <c r="C32" s="119">
        <f>F29</f>
        <v>235600</v>
      </c>
      <c r="D32" s="120"/>
      <c r="E32" s="152"/>
      <c r="F32" s="153"/>
      <c r="G32" s="153"/>
      <c r="H32" s="153"/>
      <c r="I32" s="154"/>
      <c r="J32" s="127"/>
      <c r="K32" s="128"/>
      <c r="L32" s="11"/>
    </row>
    <row r="33" spans="1:12" ht="15" thickBot="1">
      <c r="A33" s="117" t="s">
        <v>14</v>
      </c>
      <c r="B33" s="118"/>
      <c r="C33" s="140">
        <f>SUM(F29,G29)</f>
        <v>235600</v>
      </c>
      <c r="D33" s="148"/>
      <c r="E33" s="152"/>
      <c r="F33" s="153"/>
      <c r="G33" s="153"/>
      <c r="H33" s="153"/>
      <c r="I33" s="154"/>
      <c r="J33" s="127"/>
      <c r="K33" s="128"/>
      <c r="L33" s="11"/>
    </row>
    <row r="34" spans="1:12" ht="15" thickBot="1">
      <c r="A34" s="142" t="s">
        <v>81</v>
      </c>
      <c r="B34" s="143"/>
      <c r="C34" s="140">
        <f>SUM(H29+I29+J29)</f>
        <v>235600</v>
      </c>
      <c r="D34" s="141"/>
      <c r="E34" s="152"/>
      <c r="F34" s="153"/>
      <c r="G34" s="153"/>
      <c r="H34" s="153"/>
      <c r="I34" s="154"/>
      <c r="J34" s="127"/>
      <c r="K34" s="128"/>
      <c r="L34" s="11"/>
    </row>
    <row r="35" spans="1:12" ht="15" thickBot="1">
      <c r="A35" s="117" t="s">
        <v>11</v>
      </c>
      <c r="B35" s="118"/>
      <c r="C35" s="140">
        <f>SUM(D29:E29)</f>
        <v>0</v>
      </c>
      <c r="D35" s="141"/>
      <c r="E35" s="155"/>
      <c r="F35" s="156"/>
      <c r="G35" s="156"/>
      <c r="H35" s="156"/>
      <c r="I35" s="157"/>
      <c r="J35" s="127"/>
      <c r="K35" s="128"/>
      <c r="L35" s="11"/>
    </row>
    <row r="36" spans="1:12" ht="15" thickBot="1">
      <c r="A36" s="117" t="s">
        <v>10</v>
      </c>
      <c r="B36" s="118"/>
      <c r="C36" s="140">
        <f t="shared" ref="C36" si="2">SUM(C33,C35)</f>
        <v>235600</v>
      </c>
      <c r="D36" s="141"/>
      <c r="E36" s="131" t="s">
        <v>36</v>
      </c>
      <c r="F36" s="132"/>
      <c r="G36" s="132"/>
      <c r="H36" s="132"/>
      <c r="I36" s="133"/>
      <c r="J36" s="127"/>
      <c r="K36" s="128"/>
      <c r="L36" s="11"/>
    </row>
    <row r="37" spans="1:12" ht="15" thickBot="1">
      <c r="A37" s="144" t="s">
        <v>15</v>
      </c>
      <c r="B37" s="145"/>
      <c r="C37" s="140">
        <f>SUM(C34:D35)</f>
        <v>235600</v>
      </c>
      <c r="D37" s="141"/>
      <c r="E37" s="134"/>
      <c r="F37" s="135"/>
      <c r="G37" s="135"/>
      <c r="H37" s="135"/>
      <c r="I37" s="136"/>
      <c r="J37" s="127"/>
      <c r="K37" s="128"/>
      <c r="L37" s="11"/>
    </row>
    <row r="38" spans="1:12" ht="26.5" thickBot="1">
      <c r="A38" s="137" t="s">
        <v>16</v>
      </c>
      <c r="B38" s="138"/>
      <c r="C38" s="138"/>
      <c r="D38" s="138"/>
      <c r="E38" s="138"/>
      <c r="F38" s="138"/>
      <c r="G38" s="138"/>
      <c r="H38" s="138"/>
      <c r="I38" s="139"/>
      <c r="J38" s="129"/>
      <c r="K38" s="130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3" customHeight="1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22" customHeight="1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22.5" customHeight="1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24.5" customHeight="1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22" customHeight="1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22" customHeight="1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22" customHeight="1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22" customHeight="1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22" customHeight="1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22" customHeight="1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24.5" customHeight="1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25" customHeight="1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C55:D55"/>
    <mergeCell ref="C50:D50"/>
    <mergeCell ref="C51:D51"/>
    <mergeCell ref="C52:D52"/>
    <mergeCell ref="C53:D53"/>
    <mergeCell ref="C54:D54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4:H54"/>
    <mergeCell ref="E55:H55"/>
    <mergeCell ref="E52:H52"/>
    <mergeCell ref="E53:H53"/>
    <mergeCell ref="C54:D54"/>
    <mergeCell ref="C55:D55"/>
    <mergeCell ref="E50:H50"/>
    <mergeCell ref="E51:H51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6:F36"/>
    <mergeCell ref="A37:B37"/>
    <mergeCell ref="E37:F37"/>
    <mergeCell ref="C14:D14"/>
    <mergeCell ref="E35:F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E45:H45"/>
    <mergeCell ref="E46:H46"/>
    <mergeCell ref="E47:H47"/>
    <mergeCell ref="E42:H42"/>
    <mergeCell ref="E43:H43"/>
    <mergeCell ref="E44:H44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9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9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topLeftCell="A24" workbookViewId="0">
      <selection activeCell="C36" sqref="C36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87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>
        <v>100</v>
      </c>
      <c r="C7" s="180">
        <v>1416</v>
      </c>
      <c r="D7" s="181"/>
      <c r="E7" s="17">
        <f t="shared" si="0"/>
        <v>141600</v>
      </c>
      <c r="F7" s="17">
        <f t="shared" si="1"/>
        <v>21600</v>
      </c>
      <c r="G7" s="17">
        <f>PRODUCT(B7*50)</f>
        <v>5000</v>
      </c>
      <c r="H7" s="18">
        <f t="shared" si="2"/>
        <v>26600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>
        <v>500</v>
      </c>
      <c r="C10" s="164">
        <v>2124</v>
      </c>
      <c r="D10" s="165"/>
      <c r="E10" s="20">
        <f t="shared" si="0"/>
        <v>1062000</v>
      </c>
      <c r="F10" s="20">
        <f t="shared" si="1"/>
        <v>162000</v>
      </c>
      <c r="G10" s="20">
        <f>PRODUCT(B10*30)</f>
        <v>15000</v>
      </c>
      <c r="H10" s="21">
        <f t="shared" si="2"/>
        <v>177000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>
        <v>100</v>
      </c>
      <c r="C17" s="39"/>
      <c r="D17" s="39">
        <v>320</v>
      </c>
      <c r="E17" s="30">
        <f>PRODUCT(B17*C17)</f>
        <v>0</v>
      </c>
      <c r="F17" s="27">
        <f t="shared" ref="F17:F22" si="3">PRODUCT(E17*18)/118</f>
        <v>0</v>
      </c>
      <c r="G17" s="27">
        <f>PRODUCT(B17*D17)</f>
        <v>32000</v>
      </c>
      <c r="H17" s="27">
        <f>SUM(F17:G17)</f>
        <v>32000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1203600</v>
      </c>
      <c r="F29" s="37">
        <f>SUM(F6:F28)</f>
        <v>183600</v>
      </c>
      <c r="G29" s="32">
        <f>SUM(G6:G28)</f>
        <v>52000</v>
      </c>
      <c r="H29" s="26">
        <f>SUM(F29:G29)</f>
        <v>235600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>
        <v>235600</v>
      </c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235600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500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100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100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700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240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240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 formatCells="0"/>
  <mergeCells count="64">
    <mergeCell ref="C52:D52"/>
    <mergeCell ref="C53:D53"/>
    <mergeCell ref="C54:D54"/>
    <mergeCell ref="C55:D55"/>
    <mergeCell ref="C51:D51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E54:H54"/>
    <mergeCell ref="E55:H55"/>
    <mergeCell ref="E50:H50"/>
    <mergeCell ref="E51:H51"/>
    <mergeCell ref="E52:H52"/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thickBot="1">
      <c r="A2" s="169"/>
      <c r="B2" s="170"/>
      <c r="C2" s="170"/>
      <c r="D2" s="170"/>
      <c r="E2" s="170"/>
      <c r="F2" s="170"/>
      <c r="G2" s="170"/>
      <c r="H2" s="171"/>
    </row>
    <row r="3" spans="1:8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41" t="s">
        <v>64</v>
      </c>
      <c r="D44" s="242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41" t="s">
        <v>65</v>
      </c>
      <c r="D45" s="242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41" t="s">
        <v>57</v>
      </c>
      <c r="D46" s="242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41" t="s">
        <v>57</v>
      </c>
      <c r="D47" s="242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41" t="s">
        <v>57</v>
      </c>
      <c r="D48" s="242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41" t="s">
        <v>57</v>
      </c>
      <c r="D49" s="242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41" t="s">
        <v>57</v>
      </c>
      <c r="D50" s="242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41" t="s">
        <v>57</v>
      </c>
      <c r="D51" s="242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41" t="s">
        <v>57</v>
      </c>
      <c r="D52" s="242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41" t="s">
        <v>57</v>
      </c>
      <c r="D53" s="242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41" t="s">
        <v>66</v>
      </c>
      <c r="D54" s="242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  <mergeCell ref="E49:H49"/>
    <mergeCell ref="C50:D50"/>
    <mergeCell ref="E50:H50"/>
    <mergeCell ref="C48:D48"/>
    <mergeCell ref="E48:H48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2" t="s">
        <v>58</v>
      </c>
      <c r="B1" s="203"/>
      <c r="C1" s="203"/>
      <c r="D1" s="203"/>
      <c r="E1" s="203"/>
      <c r="F1" s="203"/>
      <c r="G1" s="204"/>
    </row>
    <row r="2" spans="1:7" ht="15" thickBot="1">
      <c r="A2" s="205"/>
      <c r="B2" s="206"/>
      <c r="C2" s="206"/>
      <c r="D2" s="206"/>
      <c r="E2" s="206"/>
      <c r="F2" s="206"/>
      <c r="G2" s="207"/>
    </row>
    <row r="3" spans="1:7" ht="28.5" thickBot="1">
      <c r="A3" s="252" t="s">
        <v>59</v>
      </c>
      <c r="B3" s="253"/>
      <c r="C3" s="254"/>
      <c r="D3" s="252" t="s">
        <v>60</v>
      </c>
      <c r="E3" s="253"/>
      <c r="F3" s="253"/>
      <c r="G3" s="254"/>
    </row>
    <row r="4" spans="1:7" ht="41.5" customHeight="1" thickBot="1">
      <c r="A4" s="246" t="s">
        <v>62</v>
      </c>
      <c r="B4" s="247"/>
      <c r="C4" s="248"/>
      <c r="D4" s="249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500</v>
      </c>
      <c r="E4" s="250"/>
      <c r="F4" s="250"/>
      <c r="G4" s="251"/>
    </row>
    <row r="5" spans="1:7" ht="37" customHeight="1" thickBot="1">
      <c r="A5" s="246" t="s">
        <v>47</v>
      </c>
      <c r="B5" s="247"/>
      <c r="C5" s="248"/>
      <c r="D5" s="249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100</v>
      </c>
      <c r="E5" s="250"/>
      <c r="F5" s="250"/>
      <c r="G5" s="251"/>
    </row>
    <row r="6" spans="1:7" ht="40" customHeight="1" thickBot="1">
      <c r="A6" s="246" t="s">
        <v>61</v>
      </c>
      <c r="B6" s="247"/>
      <c r="C6" s="248"/>
      <c r="D6" s="249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0</v>
      </c>
      <c r="E6" s="250"/>
      <c r="F6" s="250"/>
      <c r="G6" s="251"/>
    </row>
    <row r="7" spans="1:7" ht="38.5" customHeight="1" thickBot="1">
      <c r="A7" s="255" t="s">
        <v>84</v>
      </c>
      <c r="B7" s="256"/>
      <c r="C7" s="257"/>
      <c r="D7" s="249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100</v>
      </c>
      <c r="E7" s="250"/>
      <c r="F7" s="250"/>
      <c r="G7" s="251"/>
    </row>
    <row r="8" spans="1:7" ht="40" customHeight="1" thickBot="1">
      <c r="A8" s="255" t="s">
        <v>84</v>
      </c>
      <c r="B8" s="256"/>
      <c r="C8" s="257"/>
      <c r="D8" s="249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50"/>
      <c r="F8" s="250"/>
      <c r="G8" s="251"/>
    </row>
    <row r="9" spans="1:7" ht="38.5" customHeight="1" thickBot="1">
      <c r="A9" s="255" t="s">
        <v>84</v>
      </c>
      <c r="B9" s="256"/>
      <c r="C9" s="257"/>
      <c r="D9" s="249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0</v>
      </c>
      <c r="E9" s="250"/>
      <c r="F9" s="250"/>
      <c r="G9" s="251"/>
    </row>
    <row r="10" spans="1:7" ht="38" customHeight="1" thickBot="1">
      <c r="A10" s="255" t="s">
        <v>84</v>
      </c>
      <c r="B10" s="256"/>
      <c r="C10" s="257"/>
      <c r="D10" s="249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0</v>
      </c>
      <c r="E10" s="250"/>
      <c r="F10" s="250"/>
      <c r="G10" s="251"/>
    </row>
    <row r="11" spans="1:7" ht="38.5" customHeight="1" thickBot="1">
      <c r="A11" s="255" t="s">
        <v>84</v>
      </c>
      <c r="B11" s="256"/>
      <c r="C11" s="257"/>
      <c r="D11" s="249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0</v>
      </c>
      <c r="E11" s="250"/>
      <c r="F11" s="250"/>
      <c r="G11" s="251"/>
    </row>
    <row r="12" spans="1:7" ht="36.5" customHeight="1" thickBot="1">
      <c r="A12" s="255" t="s">
        <v>84</v>
      </c>
      <c r="B12" s="256"/>
      <c r="C12" s="257"/>
      <c r="D12" s="249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12" s="250"/>
      <c r="F12" s="250"/>
      <c r="G12" s="251"/>
    </row>
    <row r="13" spans="1:7" ht="38" customHeight="1" thickBot="1">
      <c r="A13" s="255" t="s">
        <v>84</v>
      </c>
      <c r="B13" s="256"/>
      <c r="C13" s="257"/>
      <c r="D13" s="249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50"/>
      <c r="F13" s="250"/>
      <c r="G13" s="251"/>
    </row>
    <row r="14" spans="1:7" ht="29" thickBot="1">
      <c r="A14" s="255" t="s">
        <v>84</v>
      </c>
      <c r="B14" s="256"/>
      <c r="C14" s="257"/>
      <c r="D14" s="249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50"/>
      <c r="F14" s="250"/>
      <c r="G14" s="251"/>
    </row>
    <row r="15" spans="1:7" ht="29" thickBot="1">
      <c r="A15" s="255" t="s">
        <v>84</v>
      </c>
      <c r="B15" s="256"/>
      <c r="C15" s="257"/>
      <c r="D15" s="249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50"/>
      <c r="F15" s="250"/>
      <c r="G15" s="251"/>
    </row>
    <row r="16" spans="1:7" ht="29" thickBot="1">
      <c r="A16" s="255" t="s">
        <v>84</v>
      </c>
      <c r="B16" s="256"/>
      <c r="C16" s="257"/>
      <c r="D16" s="249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50"/>
      <c r="F16" s="250"/>
      <c r="G16" s="251"/>
    </row>
    <row r="17" spans="1:7" ht="29" thickBot="1">
      <c r="A17" s="255" t="s">
        <v>66</v>
      </c>
      <c r="B17" s="256"/>
      <c r="C17" s="257"/>
      <c r="D17" s="258">
        <f>SUM(D4:D16)</f>
        <v>700</v>
      </c>
      <c r="E17" s="259"/>
      <c r="F17" s="259"/>
      <c r="G17" s="26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2026-03-09T05:41:51Z</dcterms:modified>
</cp:coreProperties>
</file>