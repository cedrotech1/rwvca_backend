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1" l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41" i="1" s="1"/>
</calcChain>
</file>

<file path=xl/sharedStrings.xml><?xml version="1.0" encoding="utf-8"?>
<sst xmlns="http://schemas.openxmlformats.org/spreadsheetml/2006/main" count="214" uniqueCount="159">
  <si>
    <t xml:space="preserve">                                RWANDA WOOD VALUE CHAIN ASSOCIATION</t>
  </si>
  <si>
    <t>PURCHASE ORDER</t>
  </si>
  <si>
    <t>supplier : NYIRASAFARI JEMIMA</t>
  </si>
  <si>
    <t>Requisition Date: 13 March 2026</t>
  </si>
  <si>
    <t xml:space="preserve">Delively date: 16 FMARCH 2026 at 9h30' morning </t>
  </si>
  <si>
    <t>Details PO: RWVCA/POK/003/2026</t>
  </si>
  <si>
    <t>No</t>
  </si>
  <si>
    <t>ITEM</t>
  </si>
  <si>
    <t>QTY</t>
  </si>
  <si>
    <t xml:space="preserve"> Unit price</t>
  </si>
  <si>
    <t>UNIT PRICE</t>
  </si>
  <si>
    <t xml:space="preserve">QUANTITY </t>
  </si>
  <si>
    <t>TOTAL</t>
  </si>
  <si>
    <t>Amata - Inyange 500ml, 12pcs</t>
  </si>
  <si>
    <t>0</t>
  </si>
  <si>
    <t>Water-inyanye, box of 12pcs</t>
  </si>
  <si>
    <t>7</t>
  </si>
  <si>
    <t>Water-inyanye, bottle 20L</t>
  </si>
  <si>
    <t>2</t>
  </si>
  <si>
    <t>Honey, 500g, aux deluces or Uburanga, Iris</t>
  </si>
  <si>
    <t>Coffee, iseye, Maraba, 500g</t>
  </si>
  <si>
    <t>Coffee, idaseye, 500g</t>
  </si>
  <si>
    <t>Amajyane, black tea, 500g</t>
  </si>
  <si>
    <t>Amajyane (tea bag: black and green tea)</t>
  </si>
  <si>
    <t>Tea masala</t>
  </si>
  <si>
    <t>Tangawize</t>
  </si>
  <si>
    <t>Fresh sinamuni</t>
  </si>
  <si>
    <t>Pilipili manga</t>
  </si>
  <si>
    <t>Karafu</t>
  </si>
  <si>
    <t>Umuceri, Basmati Tz 25kg</t>
  </si>
  <si>
    <t>Umuceri, Basmati, 10kg</t>
  </si>
  <si>
    <t>Spaghettini (santa lucia), 500g 20pcs</t>
  </si>
  <si>
    <t xml:space="preserve">Makaroni </t>
  </si>
  <si>
    <t>Kawunga, Gashumba Uganda or Mugurusu 10kg</t>
  </si>
  <si>
    <t>Igitoki</t>
  </si>
  <si>
    <t>5</t>
  </si>
  <si>
    <t>Ibirayi, kinigi itoranije</t>
  </si>
  <si>
    <t>10</t>
  </si>
  <si>
    <t>Ibijumba</t>
  </si>
  <si>
    <t>3</t>
  </si>
  <si>
    <t>Amateke, bwayisi</t>
  </si>
  <si>
    <t>Igihaza (kinini)</t>
  </si>
  <si>
    <t>Amashaza</t>
  </si>
  <si>
    <t>Ibishyimbo, mutiki ndende</t>
  </si>
  <si>
    <t>Ibishyimbo-ibitonore</t>
  </si>
  <si>
    <t>Indagara, indundi, nini</t>
  </si>
  <si>
    <t>Indagara, zanzibar</t>
  </si>
  <si>
    <t>Inkoko, inyarwanda</t>
  </si>
  <si>
    <t>Inkoko, inzungu</t>
  </si>
  <si>
    <t xml:space="preserve">Fish - Tirapia </t>
  </si>
  <si>
    <t>Fish-Muhazi</t>
  </si>
  <si>
    <t>Fish - Fillet, captaine</t>
  </si>
  <si>
    <t>Viande haché, zidafite ibinure</t>
  </si>
  <si>
    <t>Viande rouge -Imvange</t>
  </si>
  <si>
    <t>Viande rouge -Iroti</t>
  </si>
  <si>
    <t xml:space="preserve">Viande - Liver </t>
  </si>
  <si>
    <t>Amagi, amanyarwanda</t>
  </si>
  <si>
    <t>Huile, crystal, 5l</t>
  </si>
  <si>
    <t>Salsa, 100pcs</t>
  </si>
  <si>
    <t>Vinegar, 700ml, made in Rwanda</t>
  </si>
  <si>
    <t>Mayonaise, Citron</t>
  </si>
  <si>
    <t>1</t>
  </si>
  <si>
    <t>Salt for kitchen</t>
  </si>
  <si>
    <t>Sea Salt, 500g</t>
  </si>
  <si>
    <t>Ubunyobwa buseye-ubunyarwanda</t>
  </si>
  <si>
    <t>Ubunyobwa budaseye-ubunyarwanda</t>
  </si>
  <si>
    <t>Ibitunguru byumye bitukura</t>
  </si>
  <si>
    <t>Ibitunguru byumye by'umweru</t>
  </si>
  <si>
    <t>Tungurusumu zitoranyije</t>
  </si>
  <si>
    <t>Maggie, 39cubes</t>
  </si>
  <si>
    <t>Royco, 500g</t>
  </si>
  <si>
    <t>Simba mbiri, 200g</t>
  </si>
  <si>
    <t>Pilau masala</t>
  </si>
  <si>
    <t>Fish masala</t>
  </si>
  <si>
    <t>Chicken masala</t>
  </si>
  <si>
    <t>Black paper</t>
  </si>
  <si>
    <t>Soya sauce (light)</t>
  </si>
  <si>
    <t>Soya sauce (dark)</t>
  </si>
  <si>
    <t>Inyanya</t>
  </si>
  <si>
    <t>Intoryi</t>
  </si>
  <si>
    <t>Imiteja</t>
  </si>
  <si>
    <t>Courgette</t>
  </si>
  <si>
    <t>Carotte</t>
  </si>
  <si>
    <t>Choux fleur</t>
  </si>
  <si>
    <t>Brocoli</t>
  </si>
  <si>
    <t>Pavuro nini</t>
  </si>
  <si>
    <t>8</t>
  </si>
  <si>
    <t>Cocombre, inzungu</t>
  </si>
  <si>
    <t>Letti</t>
  </si>
  <si>
    <t>Imboga (dodo)</t>
  </si>
  <si>
    <t>Imboga (imizi)</t>
  </si>
  <si>
    <t>Imboga (Epinard)</t>
  </si>
  <si>
    <t xml:space="preserve">Isombe itanoze cyane, idafite ibirungo, </t>
  </si>
  <si>
    <t>Puwalo, inyarwanda</t>
  </si>
  <si>
    <t>Sereri ngufi, umufungo munini</t>
  </si>
  <si>
    <t>Perisile, umufungo munini</t>
  </si>
  <si>
    <t>Urusenda, akabanga, gato</t>
  </si>
  <si>
    <t>Fresh, yellow pepper</t>
  </si>
  <si>
    <t>Avoka</t>
  </si>
  <si>
    <t>Beterave</t>
  </si>
  <si>
    <t>Orange</t>
  </si>
  <si>
    <t>Amatunda</t>
  </si>
  <si>
    <t>Inanasi</t>
  </si>
  <si>
    <t>Water mirron, nini</t>
  </si>
  <si>
    <t>Umuneke, gros michel</t>
  </si>
  <si>
    <t>Umuneke, kamara nini</t>
  </si>
  <si>
    <t>Amakara, umufuka</t>
  </si>
  <si>
    <t>Ikibiriti, package of 10pcs</t>
  </si>
  <si>
    <t>Gas, 12kg</t>
  </si>
  <si>
    <t>Icupa rya Gas (12kg)</t>
  </si>
  <si>
    <t>Box for fridge</t>
  </si>
  <si>
    <t>Papier Aluminium , maximum dimension</t>
  </si>
  <si>
    <t>Papier de firme,  maximum dimension</t>
  </si>
  <si>
    <t>Esui-tout, package of 2pcs</t>
  </si>
  <si>
    <t>Serviette, supa</t>
  </si>
  <si>
    <t>Papier Hygienic, supa, 50pieces</t>
  </si>
  <si>
    <t>Harpic</t>
  </si>
  <si>
    <t>Liquid soap -Simba or supa, 5l</t>
  </si>
  <si>
    <t>Vim</t>
  </si>
  <si>
    <t>Flush toilet, Box of 2pcs</t>
  </si>
  <si>
    <t>Toilet spray, London</t>
  </si>
  <si>
    <t>Handwash soap</t>
  </si>
  <si>
    <t>Hand sanitizer, 500ml</t>
  </si>
  <si>
    <t>Omo, sunlight (indobo), 5kg</t>
  </si>
  <si>
    <t>Shinex</t>
  </si>
  <si>
    <t>Eponge zoroshye, package of 4pcs</t>
  </si>
  <si>
    <t xml:space="preserve">Eponge zikomeye, package </t>
  </si>
  <si>
    <t>Axion, 800g</t>
  </si>
  <si>
    <t>Food storage bag (sachets)</t>
  </si>
  <si>
    <t>Azamu Farine</t>
  </si>
  <si>
    <t>Caribi VIP 130 Luxury Car Air Freshener</t>
  </si>
  <si>
    <t>Exotica air freshener of car</t>
  </si>
  <si>
    <t>Chapa mandazi</t>
  </si>
  <si>
    <t>Choux</t>
  </si>
  <si>
    <t>Gants propre (Blue color for the kitchen)</t>
  </si>
  <si>
    <t>Corn flour</t>
  </si>
  <si>
    <t>Cassava (Fresh)</t>
  </si>
  <si>
    <t>Ketchup, heinz</t>
  </si>
  <si>
    <t>Lemons fresh fruit</t>
  </si>
  <si>
    <t>Mango fresh fruit</t>
  </si>
  <si>
    <t>Muchrooms</t>
  </si>
  <si>
    <t>Red &amp; Green Apples</t>
  </si>
  <si>
    <t>Oliver oil, extra virgin, Bertini</t>
  </si>
  <si>
    <t>Persil</t>
  </si>
  <si>
    <t>Fresh romarin</t>
  </si>
  <si>
    <t>Strip clip for head cover for cooking (Bonnet)</t>
  </si>
  <si>
    <t>Cassava flour</t>
  </si>
  <si>
    <t>Vanira sugar</t>
  </si>
  <si>
    <t>Ibitari mwisoko</t>
  </si>
  <si>
    <t>1. Dastbin bascket (Plastics)</t>
  </si>
  <si>
    <t>2. Emirates facial tissues (zo mumodoka)</t>
  </si>
  <si>
    <t xml:space="preserve">                                                                                        Uzagura ebyiri kuko iyindi narayifashe hano kuri simba</t>
  </si>
  <si>
    <t>Prepared by:</t>
  </si>
  <si>
    <t>VERIFIED AND APROVED BY:</t>
  </si>
  <si>
    <t>Emmanuel BIZUMUREMYI</t>
  </si>
  <si>
    <t>MUKANDAYAMBAJE CLAUDINE</t>
  </si>
  <si>
    <t>Se</t>
  </si>
  <si>
    <t xml:space="preserve">Membership coordinator </t>
  </si>
  <si>
    <t>ADVISOR OF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</si>
</sst>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6"/>
      <color rgb="FF00B0F0"/>
      <name val="Cambria"/>
      <family val="1"/>
    </font>
    <font>
      <b/>
      <sz val="11"/>
      <color theme="4" tint="-0.499984740745262"/>
      <name val="Calibri"/>
      <family val="2"/>
      <scheme val="minor"/>
    </font>
    <font>
      <b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/>
    <xf numFmtId="49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vertical="top"/>
    </xf>
    <xf numFmtId="0" fontId="0" fillId="0" borderId="0" xfId="0" applyBorder="1"/>
    <xf numFmtId="49" fontId="0" fillId="0" borderId="0" xfId="0" applyNumberFormat="1" applyBorder="1" applyAlignment="1">
      <alignment horizontal="right"/>
    </xf>
    <xf numFmtId="0" fontId="3" fillId="0" borderId="0" xfId="0" applyFont="1" applyBorder="1"/>
    <xf numFmtId="0" fontId="0" fillId="0" borderId="0" xfId="0" applyBorder="1" applyAlignment="1">
      <alignment horizontal="right"/>
    </xf>
    <xf numFmtId="49" fontId="0" fillId="0" borderId="0" xfId="0" applyNumberFormat="1" applyBorder="1"/>
    <xf numFmtId="0" fontId="0" fillId="0" borderId="6" xfId="0" applyBorder="1"/>
    <xf numFmtId="0" fontId="4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right"/>
    </xf>
    <xf numFmtId="49" fontId="0" fillId="2" borderId="7" xfId="0" applyNumberForma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right"/>
    </xf>
    <xf numFmtId="49" fontId="0" fillId="2" borderId="0" xfId="0" applyNumberFormat="1" applyFill="1" applyBorder="1"/>
    <xf numFmtId="0" fontId="5" fillId="2" borderId="8" xfId="0" applyFont="1" applyFill="1" applyBorder="1"/>
    <xf numFmtId="0" fontId="0" fillId="2" borderId="8" xfId="0" applyFill="1" applyBorder="1" applyAlignment="1">
      <alignment horizontal="right"/>
    </xf>
    <xf numFmtId="49" fontId="0" fillId="2" borderId="8" xfId="0" applyNumberFormat="1" applyFill="1" applyBorder="1"/>
    <xf numFmtId="41" fontId="6" fillId="3" borderId="9" xfId="3" applyFont="1" applyFill="1" applyBorder="1" applyAlignment="1">
      <alignment vertical="top"/>
    </xf>
    <xf numFmtId="41" fontId="6" fillId="3" borderId="9" xfId="3" applyFont="1" applyFill="1" applyBorder="1" applyAlignment="1">
      <alignment horizontal="left" vertical="top"/>
    </xf>
    <xf numFmtId="49" fontId="6" fillId="3" borderId="9" xfId="3" applyNumberFormat="1" applyFont="1" applyFill="1" applyBorder="1" applyAlignment="1">
      <alignment horizontal="right" vertical="top"/>
    </xf>
    <xf numFmtId="41" fontId="6" fillId="3" borderId="9" xfId="3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/>
    </xf>
    <xf numFmtId="0" fontId="7" fillId="4" borderId="9" xfId="0" applyFont="1" applyFill="1" applyBorder="1" applyAlignment="1">
      <alignment horizontal="left" vertical="top"/>
    </xf>
    <xf numFmtId="164" fontId="7" fillId="4" borderId="9" xfId="1" applyNumberFormat="1" applyFont="1" applyFill="1" applyBorder="1" applyAlignment="1" applyProtection="1">
      <alignment horizontal="left" vertical="top" wrapText="1"/>
    </xf>
    <xf numFmtId="49" fontId="7" fillId="4" borderId="9" xfId="0" applyNumberFormat="1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/>
    </xf>
    <xf numFmtId="0" fontId="9" fillId="5" borderId="10" xfId="2" applyNumberFormat="1" applyFont="1" applyFill="1" applyBorder="1" applyAlignment="1"/>
    <xf numFmtId="41" fontId="10" fillId="5" borderId="9" xfId="2" applyFont="1" applyFill="1" applyBorder="1" applyAlignment="1">
      <alignment vertical="center"/>
    </xf>
    <xf numFmtId="49" fontId="11" fillId="0" borderId="9" xfId="0" applyNumberFormat="1" applyFont="1" applyBorder="1"/>
    <xf numFmtId="41" fontId="0" fillId="0" borderId="9" xfId="0" applyNumberFormat="1" applyBorder="1"/>
    <xf numFmtId="49" fontId="11" fillId="6" borderId="9" xfId="0" applyNumberFormat="1" applyFont="1" applyFill="1" applyBorder="1"/>
    <xf numFmtId="41" fontId="12" fillId="5" borderId="9" xfId="2" applyFont="1" applyFill="1" applyBorder="1" applyAlignment="1">
      <alignment vertical="center"/>
    </xf>
    <xf numFmtId="0" fontId="9" fillId="5" borderId="10" xfId="0" applyFont="1" applyFill="1" applyBorder="1"/>
    <xf numFmtId="0" fontId="10" fillId="5" borderId="9" xfId="0" applyFont="1" applyFill="1" applyBorder="1" applyAlignment="1">
      <alignment vertical="center"/>
    </xf>
    <xf numFmtId="164" fontId="10" fillId="5" borderId="9" xfId="1" applyNumberFormat="1" applyFont="1" applyFill="1" applyBorder="1" applyAlignment="1">
      <alignment vertical="center"/>
    </xf>
    <xf numFmtId="164" fontId="12" fillId="5" borderId="9" xfId="1" applyNumberFormat="1" applyFont="1" applyFill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2" fillId="5" borderId="9" xfId="0" applyFont="1" applyFill="1" applyBorder="1" applyAlignment="1">
      <alignment vertical="center"/>
    </xf>
    <xf numFmtId="0" fontId="13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2" fillId="5" borderId="9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41" fontId="14" fillId="0" borderId="9" xfId="0" applyNumberFormat="1" applyFont="1" applyBorder="1"/>
    <xf numFmtId="0" fontId="14" fillId="0" borderId="4" xfId="0" applyFont="1" applyBorder="1" applyAlignment="1">
      <alignment horizontal="center" vertical="center"/>
    </xf>
    <xf numFmtId="0" fontId="14" fillId="7" borderId="0" xfId="0" applyFont="1" applyFill="1" applyBorder="1" applyAlignment="1">
      <alignment horizontal="left" vertical="top"/>
    </xf>
    <xf numFmtId="0" fontId="14" fillId="0" borderId="0" xfId="0" applyFont="1" applyBorder="1" applyAlignment="1">
      <alignment horizontal="center" vertical="center"/>
    </xf>
    <xf numFmtId="41" fontId="14" fillId="0" borderId="0" xfId="0" applyNumberFormat="1" applyFont="1" applyBorder="1"/>
    <xf numFmtId="0" fontId="14" fillId="0" borderId="0" xfId="0" applyFont="1" applyBorder="1" applyAlignment="1">
      <alignment horizontal="left" vertical="top"/>
    </xf>
    <xf numFmtId="0" fontId="15" fillId="0" borderId="0" xfId="4" applyFont="1" applyBorder="1" applyAlignment="1">
      <alignment vertical="top"/>
    </xf>
    <xf numFmtId="49" fontId="16" fillId="0" borderId="0" xfId="4" applyNumberFormat="1" applyFont="1" applyBorder="1" applyAlignment="1">
      <alignment horizontal="left" vertical="top"/>
    </xf>
    <xf numFmtId="0" fontId="14" fillId="0" borderId="0" xfId="4" applyFont="1" applyBorder="1" applyAlignment="1">
      <alignment horizontal="left" vertical="top"/>
    </xf>
    <xf numFmtId="0" fontId="16" fillId="0" borderId="0" xfId="4" applyFont="1" applyBorder="1" applyAlignment="1">
      <alignment vertical="top"/>
    </xf>
    <xf numFmtId="0" fontId="2" fillId="0" borderId="0" xfId="0" applyFont="1" applyBorder="1"/>
    <xf numFmtId="49" fontId="17" fillId="0" borderId="0" xfId="4" applyNumberFormat="1" applyFont="1" applyBorder="1" applyAlignment="1">
      <alignment horizontal="left"/>
    </xf>
    <xf numFmtId="0" fontId="18" fillId="0" borderId="0" xfId="4" applyFont="1" applyBorder="1"/>
    <xf numFmtId="0" fontId="1" fillId="0" borderId="5" xfId="4" applyBorder="1" applyAlignment="1">
      <alignment vertical="top"/>
    </xf>
    <xf numFmtId="0" fontId="16" fillId="0" borderId="0" xfId="4" applyFont="1" applyBorder="1" applyAlignment="1">
      <alignment horizontal="right" vertical="center"/>
    </xf>
    <xf numFmtId="49" fontId="11" fillId="0" borderId="0" xfId="4" applyNumberFormat="1" applyFont="1" applyBorder="1" applyAlignment="1">
      <alignment horizontal="right"/>
    </xf>
    <xf numFmtId="0" fontId="19" fillId="0" borderId="0" xfId="4" applyFont="1" applyBorder="1"/>
    <xf numFmtId="0" fontId="15" fillId="0" borderId="0" xfId="4" applyFont="1" applyBorder="1" applyAlignment="1">
      <alignment vertical="center"/>
    </xf>
    <xf numFmtId="0" fontId="1" fillId="0" borderId="0" xfId="4" applyBorder="1"/>
    <xf numFmtId="0" fontId="9" fillId="0" borderId="0" xfId="4" applyFont="1" applyBorder="1" applyAlignment="1">
      <alignment horizontal="left" vertical="center"/>
    </xf>
    <xf numFmtId="49" fontId="11" fillId="0" borderId="0" xfId="4" applyNumberFormat="1" applyFont="1" applyBorder="1" applyAlignment="1">
      <alignment horizontal="right" vertical="center"/>
    </xf>
    <xf numFmtId="0" fontId="2" fillId="0" borderId="0" xfId="4" applyFont="1" applyBorder="1"/>
    <xf numFmtId="0" fontId="16" fillId="0" borderId="0" xfId="4" applyFont="1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vertical="top"/>
    </xf>
    <xf numFmtId="0" fontId="2" fillId="0" borderId="16" xfId="0" applyFont="1" applyBorder="1"/>
    <xf numFmtId="49" fontId="0" fillId="0" borderId="16" xfId="0" applyNumberFormat="1" applyBorder="1" applyAlignment="1">
      <alignment horizontal="right"/>
    </xf>
    <xf numFmtId="0" fontId="0" fillId="0" borderId="16" xfId="0" applyBorder="1"/>
  </cellXfs>
  <cellStyles count="5">
    <cellStyle name="Comma" xfId="1" builtinId="3"/>
    <cellStyle name="Comma [0]" xfId="2" builtinId="6"/>
    <cellStyle name="Comma [0] 2" xfId="3"/>
    <cellStyle name="Normal" xfId="0" builtinId="0"/>
    <cellStyle name="Normal 3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1240790" cy="746760"/>
    <xdr:pic>
      <xdr:nvPicPr>
        <xdr:cNvPr id="5" name="Picture 4" descr="D:\RWCA documents\Logo\RWVCA logo.jpe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0" y="200025"/>
          <a:ext cx="1240790" cy="7467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9525</xdr:colOff>
      <xdr:row>1</xdr:row>
      <xdr:rowOff>38100</xdr:rowOff>
    </xdr:from>
    <xdr:ext cx="1028700" cy="727710"/>
    <xdr:pic>
      <xdr:nvPicPr>
        <xdr:cNvPr id="6" name="Picture 5" descr="C:\Users\HP\Downloads\psf_logo_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95975" y="238125"/>
          <a:ext cx="1028700" cy="72771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1285875</xdr:colOff>
      <xdr:row>4</xdr:row>
      <xdr:rowOff>19050</xdr:rowOff>
    </xdr:from>
    <xdr:to>
      <xdr:col>4</xdr:col>
      <xdr:colOff>38100</xdr:colOff>
      <xdr:row>4</xdr:row>
      <xdr:rowOff>38101</xdr:rowOff>
    </xdr:to>
    <xdr:cxnSp macro="">
      <xdr:nvCxnSpPr>
        <xdr:cNvPr id="7" name="AutoShape 1"/>
        <xdr:cNvCxnSpPr>
          <a:cxnSpLocks noChangeShapeType="1"/>
        </xdr:cNvCxnSpPr>
      </xdr:nvCxnSpPr>
      <xdr:spPr bwMode="auto">
        <a:xfrm flipV="1">
          <a:off x="1666875" y="809625"/>
          <a:ext cx="4257675" cy="19051"/>
        </a:xfrm>
        <a:prstGeom prst="straightConnector1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tabSelected="1" workbookViewId="0">
      <selection sqref="A1:E154"/>
    </sheetView>
  </sheetViews>
  <sheetFormatPr defaultRowHeight="15" x14ac:dyDescent="0.25"/>
  <cols>
    <col min="1" max="1" width="5.7109375" customWidth="1"/>
    <col min="2" max="2" width="52.28515625" customWidth="1"/>
    <col min="4" max="4" width="21.140625" customWidth="1"/>
    <col min="5" max="5" width="15" customWidth="1"/>
  </cols>
  <sheetData>
    <row r="1" spans="1:5" ht="15.75" thickBot="1" x14ac:dyDescent="0.3"/>
    <row r="2" spans="1:5" x14ac:dyDescent="0.25">
      <c r="A2" s="1"/>
      <c r="B2" s="2"/>
      <c r="C2" s="3"/>
      <c r="D2" s="4"/>
      <c r="E2" s="3"/>
    </row>
    <row r="3" spans="1:5" x14ac:dyDescent="0.25">
      <c r="A3" s="5"/>
      <c r="B3" s="6"/>
      <c r="C3" s="7"/>
      <c r="D3" s="8"/>
      <c r="E3" s="7"/>
    </row>
    <row r="4" spans="1:5" ht="16.5" x14ac:dyDescent="0.25">
      <c r="A4" s="5"/>
      <c r="B4" s="9" t="s">
        <v>0</v>
      </c>
      <c r="C4" s="10"/>
      <c r="D4" s="11"/>
      <c r="E4" s="12"/>
    </row>
    <row r="5" spans="1:5" ht="16.5" x14ac:dyDescent="0.25">
      <c r="A5" s="5"/>
      <c r="B5" s="6"/>
      <c r="C5" s="9"/>
      <c r="D5" s="8"/>
      <c r="E5" s="7"/>
    </row>
    <row r="6" spans="1:5" ht="20.25" x14ac:dyDescent="0.25">
      <c r="A6" s="5"/>
      <c r="B6" s="13" t="s">
        <v>1</v>
      </c>
      <c r="C6" s="14"/>
      <c r="D6" s="15"/>
      <c r="E6" s="7"/>
    </row>
    <row r="7" spans="1:5" x14ac:dyDescent="0.25">
      <c r="A7" s="5"/>
      <c r="B7" s="16" t="s">
        <v>2</v>
      </c>
      <c r="C7" s="17"/>
      <c r="D7" s="18"/>
      <c r="E7" s="7"/>
    </row>
    <row r="8" spans="1:5" x14ac:dyDescent="0.25">
      <c r="A8" s="5"/>
      <c r="B8" s="16" t="s">
        <v>3</v>
      </c>
      <c r="C8" s="17"/>
      <c r="D8" s="18"/>
      <c r="E8" s="7"/>
    </row>
    <row r="9" spans="1:5" x14ac:dyDescent="0.25">
      <c r="A9" s="5"/>
      <c r="B9" s="16" t="s">
        <v>4</v>
      </c>
      <c r="C9" s="17"/>
      <c r="D9" s="18"/>
      <c r="E9" s="7"/>
    </row>
    <row r="10" spans="1:5" x14ac:dyDescent="0.25">
      <c r="A10" s="5"/>
      <c r="B10" s="19" t="s">
        <v>5</v>
      </c>
      <c r="C10" s="20"/>
      <c r="D10" s="21"/>
      <c r="E10" s="7"/>
    </row>
    <row r="11" spans="1:5" x14ac:dyDescent="0.25">
      <c r="A11" s="5"/>
      <c r="B11" s="7"/>
      <c r="C11" s="7"/>
      <c r="D11" s="11"/>
      <c r="E11" s="7"/>
    </row>
    <row r="12" spans="1:5" x14ac:dyDescent="0.25">
      <c r="A12" s="5"/>
      <c r="B12" s="22" t="s">
        <v>6</v>
      </c>
      <c r="C12" s="23" t="s">
        <v>7</v>
      </c>
      <c r="D12" s="24" t="s">
        <v>8</v>
      </c>
      <c r="E12" s="25" t="s">
        <v>9</v>
      </c>
    </row>
    <row r="13" spans="1:5" ht="31.5" x14ac:dyDescent="0.25">
      <c r="A13" s="26" t="s">
        <v>6</v>
      </c>
      <c r="B13" s="27" t="s">
        <v>7</v>
      </c>
      <c r="C13" s="28" t="s">
        <v>10</v>
      </c>
      <c r="D13" s="29" t="s">
        <v>11</v>
      </c>
      <c r="E13" s="30" t="s">
        <v>12</v>
      </c>
    </row>
    <row r="14" spans="1:5" ht="15.75" x14ac:dyDescent="0.25">
      <c r="A14" s="31">
        <v>1</v>
      </c>
      <c r="B14" s="32" t="s">
        <v>13</v>
      </c>
      <c r="C14" s="32">
        <v>12787</v>
      </c>
      <c r="D14" s="33" t="s">
        <v>14</v>
      </c>
      <c r="E14" s="34">
        <f>C14*D14</f>
        <v>0</v>
      </c>
    </row>
    <row r="15" spans="1:5" ht="15.75" x14ac:dyDescent="0.25">
      <c r="A15" s="31">
        <v>2</v>
      </c>
      <c r="B15" s="32" t="s">
        <v>15</v>
      </c>
      <c r="C15" s="32">
        <v>5994</v>
      </c>
      <c r="D15" s="33" t="s">
        <v>16</v>
      </c>
      <c r="E15" s="34">
        <f t="shared" ref="E15:E78" si="0">C15*D15</f>
        <v>41958</v>
      </c>
    </row>
    <row r="16" spans="1:5" ht="15.75" x14ac:dyDescent="0.25">
      <c r="A16" s="31">
        <v>3</v>
      </c>
      <c r="B16" s="32" t="s">
        <v>17</v>
      </c>
      <c r="C16" s="32">
        <v>5328</v>
      </c>
      <c r="D16" s="33" t="s">
        <v>18</v>
      </c>
      <c r="E16" s="34">
        <f t="shared" si="0"/>
        <v>10656</v>
      </c>
    </row>
    <row r="17" spans="1:5" ht="15.75" x14ac:dyDescent="0.25">
      <c r="A17" s="31">
        <v>6</v>
      </c>
      <c r="B17" s="32" t="s">
        <v>19</v>
      </c>
      <c r="C17" s="32">
        <v>6105</v>
      </c>
      <c r="D17" s="33" t="s">
        <v>14</v>
      </c>
      <c r="E17" s="34">
        <f t="shared" si="0"/>
        <v>0</v>
      </c>
    </row>
    <row r="18" spans="1:5" ht="15.75" x14ac:dyDescent="0.25">
      <c r="A18" s="31">
        <v>7</v>
      </c>
      <c r="B18" s="32" t="s">
        <v>20</v>
      </c>
      <c r="C18" s="32">
        <v>14400</v>
      </c>
      <c r="D18" s="33">
        <v>0</v>
      </c>
      <c r="E18" s="34">
        <f t="shared" si="0"/>
        <v>0</v>
      </c>
    </row>
    <row r="19" spans="1:5" ht="15.75" x14ac:dyDescent="0.25">
      <c r="A19" s="31">
        <v>8</v>
      </c>
      <c r="B19" s="32" t="s">
        <v>21</v>
      </c>
      <c r="C19" s="32">
        <v>14400</v>
      </c>
      <c r="D19" s="33">
        <v>0</v>
      </c>
      <c r="E19" s="34">
        <f t="shared" si="0"/>
        <v>0</v>
      </c>
    </row>
    <row r="20" spans="1:5" ht="15.75" x14ac:dyDescent="0.25">
      <c r="A20" s="31">
        <v>9</v>
      </c>
      <c r="B20" s="32" t="s">
        <v>22</v>
      </c>
      <c r="C20" s="32">
        <v>3000</v>
      </c>
      <c r="D20" s="33">
        <v>0</v>
      </c>
      <c r="E20" s="34">
        <f t="shared" si="0"/>
        <v>0</v>
      </c>
    </row>
    <row r="21" spans="1:5" ht="15.75" x14ac:dyDescent="0.25">
      <c r="A21" s="31">
        <v>10</v>
      </c>
      <c r="B21" s="32" t="s">
        <v>23</v>
      </c>
      <c r="C21" s="32">
        <v>3600</v>
      </c>
      <c r="D21" s="33">
        <v>0</v>
      </c>
      <c r="E21" s="34">
        <f t="shared" si="0"/>
        <v>0</v>
      </c>
    </row>
    <row r="22" spans="1:5" ht="15.75" x14ac:dyDescent="0.25">
      <c r="A22" s="31">
        <v>11</v>
      </c>
      <c r="B22" s="32" t="s">
        <v>24</v>
      </c>
      <c r="C22" s="32">
        <v>3330</v>
      </c>
      <c r="D22" s="33">
        <v>0</v>
      </c>
      <c r="E22" s="34">
        <f t="shared" si="0"/>
        <v>0</v>
      </c>
    </row>
    <row r="23" spans="1:5" ht="15.75" x14ac:dyDescent="0.25">
      <c r="A23" s="31">
        <v>12</v>
      </c>
      <c r="B23" s="32" t="s">
        <v>25</v>
      </c>
      <c r="C23" s="32">
        <v>4800</v>
      </c>
      <c r="D23" s="35" t="s">
        <v>14</v>
      </c>
      <c r="E23" s="34">
        <f t="shared" si="0"/>
        <v>0</v>
      </c>
    </row>
    <row r="24" spans="1:5" ht="15.75" x14ac:dyDescent="0.25">
      <c r="A24" s="31">
        <v>13</v>
      </c>
      <c r="B24" s="32" t="s">
        <v>26</v>
      </c>
      <c r="C24" s="32">
        <v>48</v>
      </c>
      <c r="D24" s="33" t="s">
        <v>14</v>
      </c>
      <c r="E24" s="34">
        <f t="shared" si="0"/>
        <v>0</v>
      </c>
    </row>
    <row r="25" spans="1:5" ht="15.75" x14ac:dyDescent="0.25">
      <c r="A25" s="31">
        <v>14</v>
      </c>
      <c r="B25" s="32" t="s">
        <v>27</v>
      </c>
      <c r="C25" s="32">
        <v>48</v>
      </c>
      <c r="D25" s="33">
        <v>0</v>
      </c>
      <c r="E25" s="34">
        <f t="shared" si="0"/>
        <v>0</v>
      </c>
    </row>
    <row r="26" spans="1:5" ht="15.75" x14ac:dyDescent="0.25">
      <c r="A26" s="31">
        <v>15</v>
      </c>
      <c r="B26" s="32" t="s">
        <v>28</v>
      </c>
      <c r="C26" s="32">
        <v>56</v>
      </c>
      <c r="D26" s="33" t="s">
        <v>14</v>
      </c>
      <c r="E26" s="34">
        <f t="shared" si="0"/>
        <v>0</v>
      </c>
    </row>
    <row r="27" spans="1:5" ht="15.75" x14ac:dyDescent="0.25">
      <c r="A27" s="31">
        <v>16</v>
      </c>
      <c r="B27" s="32" t="s">
        <v>29</v>
      </c>
      <c r="C27" s="32">
        <v>54000</v>
      </c>
      <c r="D27" s="33" t="s">
        <v>14</v>
      </c>
      <c r="E27" s="34">
        <f t="shared" si="0"/>
        <v>0</v>
      </c>
    </row>
    <row r="28" spans="1:5" ht="15.75" x14ac:dyDescent="0.25">
      <c r="A28" s="31">
        <v>17</v>
      </c>
      <c r="B28" s="32" t="s">
        <v>30</v>
      </c>
      <c r="C28" s="36">
        <v>40800</v>
      </c>
      <c r="D28" s="33">
        <v>0</v>
      </c>
      <c r="E28" s="34">
        <f t="shared" si="0"/>
        <v>0</v>
      </c>
    </row>
    <row r="29" spans="1:5" ht="15.75" x14ac:dyDescent="0.25">
      <c r="A29" s="31">
        <v>18</v>
      </c>
      <c r="B29" s="32" t="s">
        <v>31</v>
      </c>
      <c r="C29" s="32">
        <v>33600</v>
      </c>
      <c r="D29" s="33">
        <v>0</v>
      </c>
      <c r="E29" s="34">
        <f t="shared" si="0"/>
        <v>0</v>
      </c>
    </row>
    <row r="30" spans="1:5" ht="15.75" x14ac:dyDescent="0.25">
      <c r="A30" s="31">
        <v>19</v>
      </c>
      <c r="B30" s="32" t="s">
        <v>32</v>
      </c>
      <c r="C30" s="32">
        <v>1800</v>
      </c>
      <c r="D30" s="33">
        <v>0</v>
      </c>
      <c r="E30" s="34">
        <f t="shared" si="0"/>
        <v>0</v>
      </c>
    </row>
    <row r="31" spans="1:5" ht="15.75" x14ac:dyDescent="0.25">
      <c r="A31" s="31">
        <v>20</v>
      </c>
      <c r="B31" s="32" t="s">
        <v>33</v>
      </c>
      <c r="C31" s="32">
        <v>15600</v>
      </c>
      <c r="D31" s="33">
        <v>0</v>
      </c>
      <c r="E31" s="34">
        <f t="shared" si="0"/>
        <v>0</v>
      </c>
    </row>
    <row r="32" spans="1:5" ht="15.75" x14ac:dyDescent="0.25">
      <c r="A32" s="31">
        <v>21</v>
      </c>
      <c r="B32" s="32" t="s">
        <v>34</v>
      </c>
      <c r="C32" s="32">
        <v>905.76</v>
      </c>
      <c r="D32" s="35" t="s">
        <v>35</v>
      </c>
      <c r="E32" s="34">
        <f t="shared" si="0"/>
        <v>4528.8</v>
      </c>
    </row>
    <row r="33" spans="1:5" ht="15.75" x14ac:dyDescent="0.25">
      <c r="A33" s="31">
        <v>22</v>
      </c>
      <c r="B33" s="32" t="s">
        <v>36</v>
      </c>
      <c r="C33" s="32">
        <v>1731.6</v>
      </c>
      <c r="D33" s="35" t="s">
        <v>37</v>
      </c>
      <c r="E33" s="34">
        <f t="shared" si="0"/>
        <v>17316</v>
      </c>
    </row>
    <row r="34" spans="1:5" ht="15.75" x14ac:dyDescent="0.25">
      <c r="A34" s="31">
        <v>23</v>
      </c>
      <c r="B34" s="32" t="s">
        <v>38</v>
      </c>
      <c r="C34" s="32">
        <v>1110</v>
      </c>
      <c r="D34" s="35" t="s">
        <v>39</v>
      </c>
      <c r="E34" s="34">
        <f t="shared" si="0"/>
        <v>3330</v>
      </c>
    </row>
    <row r="35" spans="1:5" ht="15.75" x14ac:dyDescent="0.25">
      <c r="A35" s="31">
        <v>24</v>
      </c>
      <c r="B35" s="32" t="s">
        <v>40</v>
      </c>
      <c r="C35" s="32">
        <v>1800</v>
      </c>
      <c r="D35" s="35">
        <v>0</v>
      </c>
      <c r="E35" s="34">
        <f t="shared" si="0"/>
        <v>0</v>
      </c>
    </row>
    <row r="36" spans="1:5" ht="15.75" x14ac:dyDescent="0.25">
      <c r="A36" s="31">
        <v>25</v>
      </c>
      <c r="B36" s="32" t="s">
        <v>41</v>
      </c>
      <c r="C36" s="32">
        <v>4528.8</v>
      </c>
      <c r="D36" s="33" t="s">
        <v>14</v>
      </c>
      <c r="E36" s="34">
        <f t="shared" si="0"/>
        <v>0</v>
      </c>
    </row>
    <row r="37" spans="1:5" ht="15.75" x14ac:dyDescent="0.25">
      <c r="A37" s="31">
        <v>26</v>
      </c>
      <c r="B37" s="32" t="s">
        <v>42</v>
      </c>
      <c r="C37" s="32">
        <v>4495.5</v>
      </c>
      <c r="D37" s="33"/>
      <c r="E37" s="34">
        <f t="shared" si="0"/>
        <v>0</v>
      </c>
    </row>
    <row r="38" spans="1:5" ht="15.75" x14ac:dyDescent="0.25">
      <c r="A38" s="31">
        <v>27</v>
      </c>
      <c r="B38" s="32" t="s">
        <v>43</v>
      </c>
      <c r="C38" s="32">
        <v>2720</v>
      </c>
      <c r="D38" s="33">
        <v>0</v>
      </c>
      <c r="E38" s="34">
        <f t="shared" si="0"/>
        <v>0</v>
      </c>
    </row>
    <row r="39" spans="1:5" ht="15.75" x14ac:dyDescent="0.25">
      <c r="A39" s="31">
        <v>28</v>
      </c>
      <c r="B39" s="32" t="s">
        <v>44</v>
      </c>
      <c r="C39" s="32">
        <v>2886</v>
      </c>
      <c r="D39" s="33" t="s">
        <v>14</v>
      </c>
      <c r="E39" s="34">
        <f t="shared" si="0"/>
        <v>0</v>
      </c>
    </row>
    <row r="40" spans="1:5" ht="15.75" x14ac:dyDescent="0.25">
      <c r="A40" s="31">
        <v>29</v>
      </c>
      <c r="B40" s="32" t="s">
        <v>45</v>
      </c>
      <c r="C40" s="32">
        <v>40000</v>
      </c>
      <c r="D40" s="33" t="s">
        <v>14</v>
      </c>
      <c r="E40" s="34">
        <f t="shared" si="0"/>
        <v>0</v>
      </c>
    </row>
    <row r="41" spans="1:5" ht="15.75" x14ac:dyDescent="0.25">
      <c r="A41" s="31">
        <v>30</v>
      </c>
      <c r="B41" s="32" t="s">
        <v>46</v>
      </c>
      <c r="C41" s="32">
        <v>19200</v>
      </c>
      <c r="D41" s="33" t="s">
        <v>14</v>
      </c>
      <c r="E41" s="34">
        <f t="shared" si="0"/>
        <v>0</v>
      </c>
    </row>
    <row r="42" spans="1:5" ht="15.75" x14ac:dyDescent="0.25">
      <c r="A42" s="31">
        <v>31</v>
      </c>
      <c r="B42" s="32" t="s">
        <v>47</v>
      </c>
      <c r="C42" s="32">
        <v>12800</v>
      </c>
      <c r="D42" s="33"/>
      <c r="E42" s="34">
        <f t="shared" si="0"/>
        <v>0</v>
      </c>
    </row>
    <row r="43" spans="1:5" ht="15.75" x14ac:dyDescent="0.25">
      <c r="A43" s="31">
        <v>32</v>
      </c>
      <c r="B43" s="32" t="s">
        <v>48</v>
      </c>
      <c r="C43" s="32">
        <v>8880</v>
      </c>
      <c r="D43" s="33">
        <v>0</v>
      </c>
      <c r="E43" s="34">
        <f t="shared" si="0"/>
        <v>0</v>
      </c>
    </row>
    <row r="44" spans="1:5" ht="15.75" x14ac:dyDescent="0.25">
      <c r="A44" s="31">
        <v>33</v>
      </c>
      <c r="B44" s="32" t="s">
        <v>49</v>
      </c>
      <c r="C44" s="32">
        <v>9990</v>
      </c>
      <c r="D44" s="33" t="s">
        <v>39</v>
      </c>
      <c r="E44" s="34">
        <f t="shared" si="0"/>
        <v>29970</v>
      </c>
    </row>
    <row r="45" spans="1:5" ht="15.75" x14ac:dyDescent="0.25">
      <c r="A45" s="31">
        <v>34</v>
      </c>
      <c r="B45" s="32" t="s">
        <v>50</v>
      </c>
      <c r="C45" s="32">
        <v>9435</v>
      </c>
      <c r="D45" s="33">
        <v>0</v>
      </c>
      <c r="E45" s="34">
        <f t="shared" si="0"/>
        <v>0</v>
      </c>
    </row>
    <row r="46" spans="1:5" ht="15.75" x14ac:dyDescent="0.25">
      <c r="A46" s="31">
        <v>35</v>
      </c>
      <c r="B46" s="32" t="s">
        <v>51</v>
      </c>
      <c r="C46" s="32">
        <v>11988</v>
      </c>
      <c r="D46" s="33">
        <v>0</v>
      </c>
      <c r="E46" s="34">
        <f t="shared" si="0"/>
        <v>0</v>
      </c>
    </row>
    <row r="47" spans="1:5" ht="15.75" x14ac:dyDescent="0.25">
      <c r="A47" s="31">
        <v>36</v>
      </c>
      <c r="B47" s="32" t="s">
        <v>52</v>
      </c>
      <c r="C47" s="32">
        <v>10800</v>
      </c>
      <c r="D47" s="33">
        <v>0</v>
      </c>
      <c r="E47" s="34">
        <f t="shared" si="0"/>
        <v>0</v>
      </c>
    </row>
    <row r="48" spans="1:5" ht="15.75" x14ac:dyDescent="0.25">
      <c r="A48" s="31">
        <v>37</v>
      </c>
      <c r="B48" s="32" t="s">
        <v>53</v>
      </c>
      <c r="C48" s="32">
        <v>9600</v>
      </c>
      <c r="D48" s="33" t="s">
        <v>14</v>
      </c>
      <c r="E48" s="34">
        <f t="shared" si="0"/>
        <v>0</v>
      </c>
    </row>
    <row r="49" spans="1:5" ht="15.75" x14ac:dyDescent="0.25">
      <c r="A49" s="31">
        <v>38</v>
      </c>
      <c r="B49" s="32" t="s">
        <v>54</v>
      </c>
      <c r="C49" s="36">
        <v>10200</v>
      </c>
      <c r="D49" s="33">
        <v>0</v>
      </c>
      <c r="E49" s="34">
        <f t="shared" si="0"/>
        <v>0</v>
      </c>
    </row>
    <row r="50" spans="1:5" ht="15.75" x14ac:dyDescent="0.25">
      <c r="A50" s="31">
        <v>39</v>
      </c>
      <c r="B50" s="32" t="s">
        <v>55</v>
      </c>
      <c r="C50" s="32">
        <v>8400</v>
      </c>
      <c r="D50" s="33" t="s">
        <v>14</v>
      </c>
      <c r="E50" s="34">
        <f t="shared" si="0"/>
        <v>0</v>
      </c>
    </row>
    <row r="51" spans="1:5" ht="15.75" x14ac:dyDescent="0.25">
      <c r="A51" s="31">
        <v>40</v>
      </c>
      <c r="B51" s="32" t="s">
        <v>56</v>
      </c>
      <c r="C51" s="32">
        <v>480</v>
      </c>
      <c r="D51" s="35" t="s">
        <v>14</v>
      </c>
      <c r="E51" s="34">
        <f t="shared" si="0"/>
        <v>0</v>
      </c>
    </row>
    <row r="52" spans="1:5" ht="15.75" x14ac:dyDescent="0.25">
      <c r="A52" s="31">
        <v>41</v>
      </c>
      <c r="B52" s="32" t="s">
        <v>57</v>
      </c>
      <c r="C52" s="32">
        <v>25200</v>
      </c>
      <c r="D52" s="33" t="s">
        <v>14</v>
      </c>
      <c r="E52" s="34">
        <f t="shared" si="0"/>
        <v>0</v>
      </c>
    </row>
    <row r="53" spans="1:5" ht="15.75" x14ac:dyDescent="0.25">
      <c r="A53" s="31">
        <v>42</v>
      </c>
      <c r="B53" s="32" t="s">
        <v>58</v>
      </c>
      <c r="C53" s="32">
        <v>59940</v>
      </c>
      <c r="D53" s="33" t="s">
        <v>14</v>
      </c>
      <c r="E53" s="34">
        <f t="shared" si="0"/>
        <v>0</v>
      </c>
    </row>
    <row r="54" spans="1:5" ht="15.75" x14ac:dyDescent="0.25">
      <c r="A54" s="31">
        <v>43</v>
      </c>
      <c r="B54" s="32" t="s">
        <v>59</v>
      </c>
      <c r="C54" s="32">
        <v>1332</v>
      </c>
      <c r="D54" s="33">
        <v>0</v>
      </c>
      <c r="E54" s="34">
        <f t="shared" si="0"/>
        <v>0</v>
      </c>
    </row>
    <row r="55" spans="1:5" ht="15.75" x14ac:dyDescent="0.25">
      <c r="A55" s="31">
        <v>44</v>
      </c>
      <c r="B55" s="32" t="s">
        <v>60</v>
      </c>
      <c r="C55" s="32">
        <v>8658</v>
      </c>
      <c r="D55" s="33" t="s">
        <v>61</v>
      </c>
      <c r="E55" s="34">
        <f t="shared" si="0"/>
        <v>8658</v>
      </c>
    </row>
    <row r="56" spans="1:5" ht="15.75" x14ac:dyDescent="0.25">
      <c r="A56" s="31">
        <v>45</v>
      </c>
      <c r="B56" s="32" t="s">
        <v>62</v>
      </c>
      <c r="C56" s="32">
        <v>666</v>
      </c>
      <c r="D56" s="33">
        <v>0</v>
      </c>
      <c r="E56" s="34">
        <f t="shared" si="0"/>
        <v>0</v>
      </c>
    </row>
    <row r="57" spans="1:5" ht="15.75" x14ac:dyDescent="0.25">
      <c r="A57" s="31">
        <v>46</v>
      </c>
      <c r="B57" s="32" t="s">
        <v>63</v>
      </c>
      <c r="C57" s="32">
        <v>6660</v>
      </c>
      <c r="D57" s="33">
        <v>0</v>
      </c>
      <c r="E57" s="34">
        <f t="shared" si="0"/>
        <v>0</v>
      </c>
    </row>
    <row r="58" spans="1:5" ht="15.75" x14ac:dyDescent="0.25">
      <c r="A58" s="31">
        <v>47</v>
      </c>
      <c r="B58" s="32" t="s">
        <v>64</v>
      </c>
      <c r="C58" s="32">
        <v>5400</v>
      </c>
      <c r="D58" s="35" t="s">
        <v>14</v>
      </c>
      <c r="E58" s="34">
        <f t="shared" si="0"/>
        <v>0</v>
      </c>
    </row>
    <row r="59" spans="1:5" ht="15.75" x14ac:dyDescent="0.25">
      <c r="A59" s="31">
        <v>48</v>
      </c>
      <c r="B59" s="32" t="s">
        <v>65</v>
      </c>
      <c r="C59" s="32">
        <v>5400</v>
      </c>
      <c r="D59" s="33">
        <v>0</v>
      </c>
      <c r="E59" s="34">
        <f t="shared" si="0"/>
        <v>0</v>
      </c>
    </row>
    <row r="60" spans="1:5" ht="15.75" x14ac:dyDescent="0.25">
      <c r="A60" s="31">
        <v>49</v>
      </c>
      <c r="B60" s="32" t="s">
        <v>66</v>
      </c>
      <c r="C60" s="32">
        <v>2080</v>
      </c>
      <c r="D60" s="35" t="s">
        <v>61</v>
      </c>
      <c r="E60" s="34">
        <f t="shared" si="0"/>
        <v>2080</v>
      </c>
    </row>
    <row r="61" spans="1:5" ht="15.75" x14ac:dyDescent="0.25">
      <c r="A61" s="31">
        <v>50</v>
      </c>
      <c r="B61" s="32" t="s">
        <v>67</v>
      </c>
      <c r="C61" s="32">
        <v>2720</v>
      </c>
      <c r="D61" s="33" t="s">
        <v>14</v>
      </c>
      <c r="E61" s="34">
        <f t="shared" si="0"/>
        <v>0</v>
      </c>
    </row>
    <row r="62" spans="1:5" ht="15.75" x14ac:dyDescent="0.25">
      <c r="A62" s="31">
        <v>51</v>
      </c>
      <c r="B62" s="32" t="s">
        <v>68</v>
      </c>
      <c r="C62" s="32">
        <v>11200</v>
      </c>
      <c r="D62" s="33" t="s">
        <v>14</v>
      </c>
      <c r="E62" s="34">
        <f t="shared" si="0"/>
        <v>0</v>
      </c>
    </row>
    <row r="63" spans="1:5" ht="15.75" x14ac:dyDescent="0.25">
      <c r="A63" s="31">
        <v>52</v>
      </c>
      <c r="B63" s="32" t="s">
        <v>69</v>
      </c>
      <c r="C63" s="32">
        <v>3330</v>
      </c>
      <c r="D63" s="33" t="s">
        <v>61</v>
      </c>
      <c r="E63" s="34">
        <f t="shared" si="0"/>
        <v>3330</v>
      </c>
    </row>
    <row r="64" spans="1:5" ht="15.75" x14ac:dyDescent="0.25">
      <c r="A64" s="31">
        <v>53</v>
      </c>
      <c r="B64" s="32" t="s">
        <v>70</v>
      </c>
      <c r="C64" s="32">
        <v>4800</v>
      </c>
      <c r="D64" s="33">
        <v>0</v>
      </c>
      <c r="E64" s="34">
        <f t="shared" si="0"/>
        <v>0</v>
      </c>
    </row>
    <row r="65" spans="1:5" ht="15.75" x14ac:dyDescent="0.25">
      <c r="A65" s="31">
        <v>54</v>
      </c>
      <c r="B65" s="32" t="s">
        <v>71</v>
      </c>
      <c r="C65" s="32">
        <v>4440</v>
      </c>
      <c r="D65" s="33">
        <v>0</v>
      </c>
      <c r="E65" s="34">
        <f t="shared" si="0"/>
        <v>0</v>
      </c>
    </row>
    <row r="66" spans="1:5" ht="15.75" x14ac:dyDescent="0.25">
      <c r="A66" s="31">
        <v>55</v>
      </c>
      <c r="B66" s="32" t="s">
        <v>72</v>
      </c>
      <c r="C66" s="32">
        <v>3330</v>
      </c>
      <c r="D66" s="33">
        <v>0</v>
      </c>
      <c r="E66" s="34">
        <f t="shared" si="0"/>
        <v>0</v>
      </c>
    </row>
    <row r="67" spans="1:5" ht="15.75" x14ac:dyDescent="0.25">
      <c r="A67" s="31">
        <v>56</v>
      </c>
      <c r="B67" s="32" t="s">
        <v>73</v>
      </c>
      <c r="C67" s="32">
        <v>3330</v>
      </c>
      <c r="D67" s="33">
        <v>0</v>
      </c>
      <c r="E67" s="34">
        <f t="shared" si="0"/>
        <v>0</v>
      </c>
    </row>
    <row r="68" spans="1:5" ht="15.75" x14ac:dyDescent="0.25">
      <c r="A68" s="31">
        <v>57</v>
      </c>
      <c r="B68" s="32" t="s">
        <v>74</v>
      </c>
      <c r="C68" s="32">
        <v>3330</v>
      </c>
      <c r="D68" s="33">
        <v>0</v>
      </c>
      <c r="E68" s="34">
        <f t="shared" si="0"/>
        <v>0</v>
      </c>
    </row>
    <row r="69" spans="1:5" ht="15.75" x14ac:dyDescent="0.25">
      <c r="A69" s="31">
        <v>58</v>
      </c>
      <c r="B69" s="32" t="s">
        <v>75</v>
      </c>
      <c r="C69" s="32">
        <v>3885</v>
      </c>
      <c r="D69" s="33">
        <v>0</v>
      </c>
      <c r="E69" s="34">
        <f t="shared" si="0"/>
        <v>0</v>
      </c>
    </row>
    <row r="70" spans="1:5" ht="15.75" x14ac:dyDescent="0.25">
      <c r="A70" s="31">
        <v>59</v>
      </c>
      <c r="B70" s="32" t="s">
        <v>76</v>
      </c>
      <c r="C70" s="36">
        <v>4440</v>
      </c>
      <c r="D70" s="33">
        <v>0</v>
      </c>
      <c r="E70" s="34">
        <f t="shared" si="0"/>
        <v>0</v>
      </c>
    </row>
    <row r="71" spans="1:5" ht="15.75" x14ac:dyDescent="0.25">
      <c r="A71" s="31">
        <v>60</v>
      </c>
      <c r="B71" s="32" t="s">
        <v>77</v>
      </c>
      <c r="C71" s="32">
        <v>4995</v>
      </c>
      <c r="D71" s="33">
        <v>0</v>
      </c>
      <c r="E71" s="34">
        <f t="shared" si="0"/>
        <v>0</v>
      </c>
    </row>
    <row r="72" spans="1:5" ht="15.75" x14ac:dyDescent="0.25">
      <c r="A72" s="31">
        <v>61</v>
      </c>
      <c r="B72" s="32" t="s">
        <v>78</v>
      </c>
      <c r="C72" s="32">
        <v>2720</v>
      </c>
      <c r="D72" s="35" t="s">
        <v>39</v>
      </c>
      <c r="E72" s="34">
        <f t="shared" si="0"/>
        <v>8160</v>
      </c>
    </row>
    <row r="73" spans="1:5" ht="15.75" x14ac:dyDescent="0.25">
      <c r="A73" s="31">
        <v>62</v>
      </c>
      <c r="B73" s="32" t="s">
        <v>79</v>
      </c>
      <c r="C73" s="32">
        <v>2080</v>
      </c>
      <c r="D73" s="35" t="s">
        <v>18</v>
      </c>
      <c r="E73" s="34">
        <f t="shared" si="0"/>
        <v>4160</v>
      </c>
    </row>
    <row r="74" spans="1:5" ht="15.75" x14ac:dyDescent="0.25">
      <c r="A74" s="31">
        <v>63</v>
      </c>
      <c r="B74" s="32" t="s">
        <v>80</v>
      </c>
      <c r="C74" s="32">
        <v>2080</v>
      </c>
      <c r="D74" s="35" t="s">
        <v>14</v>
      </c>
      <c r="E74" s="34">
        <f t="shared" si="0"/>
        <v>0</v>
      </c>
    </row>
    <row r="75" spans="1:5" ht="15.75" x14ac:dyDescent="0.25">
      <c r="A75" s="31">
        <v>64</v>
      </c>
      <c r="B75" s="32" t="s">
        <v>81</v>
      </c>
      <c r="C75" s="32">
        <v>1800</v>
      </c>
      <c r="D75" s="35" t="s">
        <v>18</v>
      </c>
      <c r="E75" s="34">
        <f t="shared" si="0"/>
        <v>3600</v>
      </c>
    </row>
    <row r="76" spans="1:5" ht="15.75" x14ac:dyDescent="0.25">
      <c r="A76" s="31">
        <v>65</v>
      </c>
      <c r="B76" s="32" t="s">
        <v>82</v>
      </c>
      <c r="C76" s="32">
        <v>2080</v>
      </c>
      <c r="D76" s="35" t="s">
        <v>18</v>
      </c>
      <c r="E76" s="34">
        <f t="shared" si="0"/>
        <v>4160</v>
      </c>
    </row>
    <row r="77" spans="1:5" ht="15.75" x14ac:dyDescent="0.25">
      <c r="A77" s="31">
        <v>66</v>
      </c>
      <c r="B77" s="32" t="s">
        <v>83</v>
      </c>
      <c r="C77" s="32">
        <v>1800</v>
      </c>
      <c r="D77" s="35">
        <v>2</v>
      </c>
      <c r="E77" s="34">
        <f t="shared" si="0"/>
        <v>3600</v>
      </c>
    </row>
    <row r="78" spans="1:5" ht="15.75" x14ac:dyDescent="0.25">
      <c r="A78" s="31">
        <v>67</v>
      </c>
      <c r="B78" s="32" t="s">
        <v>84</v>
      </c>
      <c r="C78" s="32">
        <v>2400</v>
      </c>
      <c r="D78" s="35" t="s">
        <v>18</v>
      </c>
      <c r="E78" s="34">
        <f t="shared" si="0"/>
        <v>4800</v>
      </c>
    </row>
    <row r="79" spans="1:5" ht="15.75" x14ac:dyDescent="0.25">
      <c r="A79" s="31">
        <v>68</v>
      </c>
      <c r="B79" s="32" t="s">
        <v>85</v>
      </c>
      <c r="C79" s="32">
        <v>480</v>
      </c>
      <c r="D79" s="35" t="s">
        <v>86</v>
      </c>
      <c r="E79" s="34">
        <f t="shared" ref="E79:E140" si="1">C79*D79</f>
        <v>3840</v>
      </c>
    </row>
    <row r="80" spans="1:5" ht="15.75" x14ac:dyDescent="0.25">
      <c r="A80" s="31">
        <v>69</v>
      </c>
      <c r="B80" s="32" t="s">
        <v>87</v>
      </c>
      <c r="C80" s="32">
        <v>777</v>
      </c>
      <c r="D80" s="33" t="s">
        <v>14</v>
      </c>
      <c r="E80" s="34">
        <f t="shared" si="1"/>
        <v>0</v>
      </c>
    </row>
    <row r="81" spans="1:5" ht="15.75" x14ac:dyDescent="0.25">
      <c r="A81" s="31">
        <v>70</v>
      </c>
      <c r="B81" s="32" t="s">
        <v>88</v>
      </c>
      <c r="C81" s="32">
        <v>480</v>
      </c>
      <c r="D81" s="33" t="s">
        <v>14</v>
      </c>
      <c r="E81" s="34">
        <f t="shared" si="1"/>
        <v>0</v>
      </c>
    </row>
    <row r="82" spans="1:5" ht="15.75" x14ac:dyDescent="0.25">
      <c r="A82" s="31">
        <v>71</v>
      </c>
      <c r="B82" s="32" t="s">
        <v>89</v>
      </c>
      <c r="C82" s="32">
        <v>840</v>
      </c>
      <c r="D82" s="35" t="s">
        <v>61</v>
      </c>
      <c r="E82" s="34">
        <f t="shared" si="1"/>
        <v>840</v>
      </c>
    </row>
    <row r="83" spans="1:5" ht="15.75" x14ac:dyDescent="0.25">
      <c r="A83" s="31">
        <v>72</v>
      </c>
      <c r="B83" s="32" t="s">
        <v>90</v>
      </c>
      <c r="C83" s="32">
        <v>800</v>
      </c>
      <c r="D83" s="33">
        <v>0</v>
      </c>
      <c r="E83" s="34">
        <f t="shared" si="1"/>
        <v>0</v>
      </c>
    </row>
    <row r="84" spans="1:5" ht="15.75" x14ac:dyDescent="0.25">
      <c r="A84" s="31">
        <v>73</v>
      </c>
      <c r="B84" s="32" t="s">
        <v>91</v>
      </c>
      <c r="C84" s="32">
        <v>1332</v>
      </c>
      <c r="D84" s="35" t="s">
        <v>61</v>
      </c>
      <c r="E84" s="34">
        <f t="shared" si="1"/>
        <v>1332</v>
      </c>
    </row>
    <row r="85" spans="1:5" ht="15.75" x14ac:dyDescent="0.25">
      <c r="A85" s="31">
        <v>74</v>
      </c>
      <c r="B85" s="32" t="s">
        <v>92</v>
      </c>
      <c r="C85" s="32">
        <v>3330</v>
      </c>
      <c r="D85" s="33">
        <v>0</v>
      </c>
      <c r="E85" s="34">
        <f t="shared" si="1"/>
        <v>0</v>
      </c>
    </row>
    <row r="86" spans="1:5" ht="15.75" x14ac:dyDescent="0.25">
      <c r="A86" s="31">
        <v>75</v>
      </c>
      <c r="B86" s="32" t="s">
        <v>93</v>
      </c>
      <c r="C86" s="32">
        <v>1120</v>
      </c>
      <c r="D86" s="33" t="s">
        <v>14</v>
      </c>
      <c r="E86" s="34">
        <f t="shared" si="1"/>
        <v>0</v>
      </c>
    </row>
    <row r="87" spans="1:5" ht="15.75" x14ac:dyDescent="0.25">
      <c r="A87" s="31">
        <v>76</v>
      </c>
      <c r="B87" s="32" t="s">
        <v>94</v>
      </c>
      <c r="C87" s="32">
        <v>1110</v>
      </c>
      <c r="D87" s="33" t="s">
        <v>14</v>
      </c>
      <c r="E87" s="34">
        <f t="shared" si="1"/>
        <v>0</v>
      </c>
    </row>
    <row r="88" spans="1:5" ht="15.75" x14ac:dyDescent="0.25">
      <c r="A88" s="31">
        <v>77</v>
      </c>
      <c r="B88" s="32" t="s">
        <v>95</v>
      </c>
      <c r="C88" s="32">
        <v>960</v>
      </c>
      <c r="D88" s="33" t="s">
        <v>14</v>
      </c>
      <c r="E88" s="34">
        <f t="shared" si="1"/>
        <v>0</v>
      </c>
    </row>
    <row r="89" spans="1:5" ht="15.75" x14ac:dyDescent="0.25">
      <c r="A89" s="31">
        <v>78</v>
      </c>
      <c r="B89" s="32" t="s">
        <v>96</v>
      </c>
      <c r="C89" s="32">
        <v>1800</v>
      </c>
      <c r="D89" s="33" t="s">
        <v>14</v>
      </c>
      <c r="E89" s="34">
        <f t="shared" si="1"/>
        <v>0</v>
      </c>
    </row>
    <row r="90" spans="1:5" ht="15.75" x14ac:dyDescent="0.25">
      <c r="A90" s="31">
        <v>79</v>
      </c>
      <c r="B90" s="32" t="s">
        <v>97</v>
      </c>
      <c r="C90" s="32">
        <v>7200</v>
      </c>
      <c r="D90" s="33">
        <v>0</v>
      </c>
      <c r="E90" s="34">
        <f t="shared" si="1"/>
        <v>0</v>
      </c>
    </row>
    <row r="91" spans="1:5" ht="15.75" x14ac:dyDescent="0.25">
      <c r="A91" s="31">
        <v>80</v>
      </c>
      <c r="B91" s="32" t="s">
        <v>98</v>
      </c>
      <c r="C91" s="36">
        <v>888</v>
      </c>
      <c r="D91" s="33">
        <v>5</v>
      </c>
      <c r="E91" s="34">
        <f t="shared" si="1"/>
        <v>4440</v>
      </c>
    </row>
    <row r="92" spans="1:5" ht="15.75" x14ac:dyDescent="0.25">
      <c r="A92" s="31">
        <v>81</v>
      </c>
      <c r="B92" s="32" t="s">
        <v>99</v>
      </c>
      <c r="C92" s="32">
        <v>1110</v>
      </c>
      <c r="D92" s="33">
        <v>0</v>
      </c>
      <c r="E92" s="34">
        <f t="shared" si="1"/>
        <v>0</v>
      </c>
    </row>
    <row r="93" spans="1:5" ht="15.75" x14ac:dyDescent="0.25">
      <c r="A93" s="31">
        <v>82</v>
      </c>
      <c r="B93" s="32" t="s">
        <v>100</v>
      </c>
      <c r="C93" s="32">
        <v>2220</v>
      </c>
      <c r="D93" s="33">
        <v>0</v>
      </c>
      <c r="E93" s="34">
        <f t="shared" si="1"/>
        <v>0</v>
      </c>
    </row>
    <row r="94" spans="1:5" ht="15.75" x14ac:dyDescent="0.25">
      <c r="A94" s="31">
        <v>83</v>
      </c>
      <c r="B94" s="32" t="s">
        <v>101</v>
      </c>
      <c r="C94" s="32">
        <v>3600</v>
      </c>
      <c r="D94" s="33" t="s">
        <v>61</v>
      </c>
      <c r="E94" s="34">
        <f t="shared" si="1"/>
        <v>3600</v>
      </c>
    </row>
    <row r="95" spans="1:5" ht="15.75" x14ac:dyDescent="0.25">
      <c r="A95" s="31">
        <v>84</v>
      </c>
      <c r="B95" s="32" t="s">
        <v>102</v>
      </c>
      <c r="C95" s="32">
        <v>2220</v>
      </c>
      <c r="D95" s="33">
        <v>1</v>
      </c>
      <c r="E95" s="34">
        <f t="shared" si="1"/>
        <v>2220</v>
      </c>
    </row>
    <row r="96" spans="1:5" ht="15.75" x14ac:dyDescent="0.25">
      <c r="A96" s="31">
        <v>85</v>
      </c>
      <c r="B96" s="32" t="s">
        <v>103</v>
      </c>
      <c r="C96" s="32">
        <v>7200</v>
      </c>
      <c r="D96" s="33" t="s">
        <v>14</v>
      </c>
      <c r="E96" s="34">
        <f t="shared" si="1"/>
        <v>0</v>
      </c>
    </row>
    <row r="97" spans="1:5" ht="15.75" x14ac:dyDescent="0.25">
      <c r="A97" s="31">
        <v>86</v>
      </c>
      <c r="B97" s="32" t="s">
        <v>104</v>
      </c>
      <c r="C97" s="32">
        <v>333</v>
      </c>
      <c r="D97" s="35">
        <v>20</v>
      </c>
      <c r="E97" s="34">
        <f t="shared" si="1"/>
        <v>6660</v>
      </c>
    </row>
    <row r="98" spans="1:5" ht="15.75" x14ac:dyDescent="0.25">
      <c r="A98" s="31">
        <v>87</v>
      </c>
      <c r="B98" s="32" t="s">
        <v>105</v>
      </c>
      <c r="C98" s="32">
        <v>3600</v>
      </c>
      <c r="D98" s="35" t="s">
        <v>18</v>
      </c>
      <c r="E98" s="34">
        <f t="shared" si="1"/>
        <v>7200</v>
      </c>
    </row>
    <row r="99" spans="1:5" ht="15.75" x14ac:dyDescent="0.25">
      <c r="A99" s="37">
        <v>88</v>
      </c>
      <c r="B99" s="38" t="s">
        <v>106</v>
      </c>
      <c r="C99" s="39">
        <v>22644</v>
      </c>
      <c r="D99" s="33">
        <v>0</v>
      </c>
      <c r="E99" s="34">
        <f t="shared" si="1"/>
        <v>0</v>
      </c>
    </row>
    <row r="100" spans="1:5" ht="15.75" x14ac:dyDescent="0.25">
      <c r="A100" s="37">
        <v>89</v>
      </c>
      <c r="B100" s="38" t="s">
        <v>107</v>
      </c>
      <c r="C100" s="39">
        <v>600</v>
      </c>
      <c r="D100" s="33" t="s">
        <v>61</v>
      </c>
      <c r="E100" s="34">
        <f t="shared" si="1"/>
        <v>600</v>
      </c>
    </row>
    <row r="101" spans="1:5" ht="15.75" x14ac:dyDescent="0.25">
      <c r="A101" s="37">
        <v>90</v>
      </c>
      <c r="B101" s="38" t="s">
        <v>108</v>
      </c>
      <c r="C101" s="39">
        <v>27600</v>
      </c>
      <c r="D101" s="33" t="s">
        <v>14</v>
      </c>
      <c r="E101" s="34">
        <f t="shared" si="1"/>
        <v>0</v>
      </c>
    </row>
    <row r="102" spans="1:5" ht="15.75" x14ac:dyDescent="0.25">
      <c r="A102" s="37">
        <v>91</v>
      </c>
      <c r="B102" s="38" t="s">
        <v>109</v>
      </c>
      <c r="C102" s="39">
        <v>55500</v>
      </c>
      <c r="D102" s="33">
        <v>0</v>
      </c>
      <c r="E102" s="34">
        <f t="shared" si="1"/>
        <v>0</v>
      </c>
    </row>
    <row r="103" spans="1:5" ht="15.75" x14ac:dyDescent="0.25">
      <c r="A103" s="37">
        <v>92</v>
      </c>
      <c r="B103" s="38" t="s">
        <v>110</v>
      </c>
      <c r="C103" s="39">
        <v>4000</v>
      </c>
      <c r="D103" s="33">
        <v>0</v>
      </c>
      <c r="E103" s="34">
        <f t="shared" si="1"/>
        <v>0</v>
      </c>
    </row>
    <row r="104" spans="1:5" ht="15.75" x14ac:dyDescent="0.25">
      <c r="A104" s="37">
        <v>93</v>
      </c>
      <c r="B104" s="38" t="s">
        <v>111</v>
      </c>
      <c r="C104" s="39">
        <v>16800</v>
      </c>
      <c r="D104" s="33">
        <v>0</v>
      </c>
      <c r="E104" s="34">
        <f t="shared" si="1"/>
        <v>0</v>
      </c>
    </row>
    <row r="105" spans="1:5" ht="15.75" x14ac:dyDescent="0.25">
      <c r="A105" s="37">
        <v>94</v>
      </c>
      <c r="B105" s="38" t="s">
        <v>112</v>
      </c>
      <c r="C105" s="39">
        <v>15600</v>
      </c>
      <c r="D105" s="33">
        <v>0</v>
      </c>
      <c r="E105" s="34">
        <f t="shared" si="1"/>
        <v>0</v>
      </c>
    </row>
    <row r="106" spans="1:5" ht="15.75" x14ac:dyDescent="0.25">
      <c r="A106" s="37">
        <v>95</v>
      </c>
      <c r="B106" s="38" t="s">
        <v>113</v>
      </c>
      <c r="C106" s="39">
        <v>4440</v>
      </c>
      <c r="D106" s="33" t="s">
        <v>14</v>
      </c>
      <c r="E106" s="34">
        <f t="shared" si="1"/>
        <v>0</v>
      </c>
    </row>
    <row r="107" spans="1:5" ht="15.75" x14ac:dyDescent="0.25">
      <c r="A107" s="37">
        <v>96</v>
      </c>
      <c r="B107" s="38" t="s">
        <v>114</v>
      </c>
      <c r="C107" s="39">
        <v>1598.4</v>
      </c>
      <c r="D107" s="33" t="s">
        <v>39</v>
      </c>
      <c r="E107" s="34">
        <f t="shared" si="1"/>
        <v>4795.2000000000007</v>
      </c>
    </row>
    <row r="108" spans="1:5" ht="15.75" x14ac:dyDescent="0.25">
      <c r="A108" s="37">
        <v>97</v>
      </c>
      <c r="B108" s="38" t="s">
        <v>115</v>
      </c>
      <c r="C108" s="39">
        <v>17316</v>
      </c>
      <c r="D108" s="33" t="s">
        <v>61</v>
      </c>
      <c r="E108" s="34">
        <f t="shared" si="1"/>
        <v>17316</v>
      </c>
    </row>
    <row r="109" spans="1:5" ht="15.75" x14ac:dyDescent="0.25">
      <c r="A109" s="37">
        <v>98</v>
      </c>
      <c r="B109" s="38" t="s">
        <v>116</v>
      </c>
      <c r="C109" s="39">
        <v>3330</v>
      </c>
      <c r="D109" s="33">
        <v>0</v>
      </c>
      <c r="E109" s="34">
        <f t="shared" si="1"/>
        <v>0</v>
      </c>
    </row>
    <row r="110" spans="1:5" ht="15.75" x14ac:dyDescent="0.25">
      <c r="A110" s="37">
        <v>99</v>
      </c>
      <c r="B110" s="38" t="s">
        <v>117</v>
      </c>
      <c r="C110" s="39">
        <v>5328</v>
      </c>
      <c r="D110" s="33">
        <v>0</v>
      </c>
      <c r="E110" s="34">
        <f t="shared" si="1"/>
        <v>0</v>
      </c>
    </row>
    <row r="111" spans="1:5" ht="15.75" x14ac:dyDescent="0.25">
      <c r="A111" s="37">
        <v>100</v>
      </c>
      <c r="B111" s="38" t="s">
        <v>118</v>
      </c>
      <c r="C111" s="40">
        <v>1800</v>
      </c>
      <c r="D111" s="33" t="s">
        <v>14</v>
      </c>
      <c r="E111" s="34">
        <f t="shared" si="1"/>
        <v>0</v>
      </c>
    </row>
    <row r="112" spans="1:5" ht="15.75" x14ac:dyDescent="0.25">
      <c r="A112" s="37">
        <v>101</v>
      </c>
      <c r="B112" s="38" t="s">
        <v>119</v>
      </c>
      <c r="C112" s="40">
        <v>4440</v>
      </c>
      <c r="D112" s="33">
        <v>0</v>
      </c>
      <c r="E112" s="34">
        <f t="shared" si="1"/>
        <v>0</v>
      </c>
    </row>
    <row r="113" spans="1:5" ht="15.75" x14ac:dyDescent="0.25">
      <c r="A113" s="37">
        <v>102</v>
      </c>
      <c r="B113" s="38" t="s">
        <v>120</v>
      </c>
      <c r="C113" s="40">
        <v>3885</v>
      </c>
      <c r="D113" s="33">
        <v>0</v>
      </c>
      <c r="E113" s="34">
        <f t="shared" si="1"/>
        <v>0</v>
      </c>
    </row>
    <row r="114" spans="1:5" ht="15.75" x14ac:dyDescent="0.25">
      <c r="A114" s="37">
        <v>103</v>
      </c>
      <c r="B114" s="38" t="s">
        <v>121</v>
      </c>
      <c r="C114" s="40">
        <v>3330</v>
      </c>
      <c r="D114" s="33">
        <v>0</v>
      </c>
      <c r="E114" s="34">
        <f t="shared" si="1"/>
        <v>0</v>
      </c>
    </row>
    <row r="115" spans="1:5" ht="15.75" x14ac:dyDescent="0.25">
      <c r="A115" s="37">
        <v>104</v>
      </c>
      <c r="B115" s="38" t="s">
        <v>122</v>
      </c>
      <c r="C115" s="40">
        <v>11100</v>
      </c>
      <c r="D115" s="33">
        <v>0</v>
      </c>
      <c r="E115" s="34">
        <f t="shared" si="1"/>
        <v>0</v>
      </c>
    </row>
    <row r="116" spans="1:5" ht="15.75" x14ac:dyDescent="0.25">
      <c r="A116" s="37">
        <v>105</v>
      </c>
      <c r="B116" s="38" t="s">
        <v>123</v>
      </c>
      <c r="C116" s="40">
        <v>19200</v>
      </c>
      <c r="D116" s="33">
        <v>0</v>
      </c>
      <c r="E116" s="34">
        <f t="shared" si="1"/>
        <v>0</v>
      </c>
    </row>
    <row r="117" spans="1:5" ht="15.75" x14ac:dyDescent="0.25">
      <c r="A117" s="37">
        <v>106</v>
      </c>
      <c r="B117" s="38" t="s">
        <v>124</v>
      </c>
      <c r="C117" s="40">
        <v>3885</v>
      </c>
      <c r="D117" s="33" t="s">
        <v>14</v>
      </c>
      <c r="E117" s="34">
        <f t="shared" si="1"/>
        <v>0</v>
      </c>
    </row>
    <row r="118" spans="1:5" ht="15.75" x14ac:dyDescent="0.25">
      <c r="A118" s="37">
        <v>107</v>
      </c>
      <c r="B118" s="38" t="s">
        <v>125</v>
      </c>
      <c r="C118" s="40">
        <v>1200</v>
      </c>
      <c r="D118" s="33">
        <v>0</v>
      </c>
      <c r="E118" s="34">
        <f t="shared" si="1"/>
        <v>0</v>
      </c>
    </row>
    <row r="119" spans="1:5" ht="15.75" x14ac:dyDescent="0.25">
      <c r="A119" s="37">
        <v>108</v>
      </c>
      <c r="B119" s="38" t="s">
        <v>126</v>
      </c>
      <c r="C119" s="40">
        <v>2400</v>
      </c>
      <c r="D119" s="33">
        <v>0</v>
      </c>
      <c r="E119" s="34">
        <f t="shared" si="1"/>
        <v>0</v>
      </c>
    </row>
    <row r="120" spans="1:5" ht="15.75" x14ac:dyDescent="0.25">
      <c r="A120" s="37">
        <v>109</v>
      </c>
      <c r="B120" s="41" t="s">
        <v>127</v>
      </c>
      <c r="C120" s="38">
        <v>6240</v>
      </c>
      <c r="D120" s="33" t="s">
        <v>14</v>
      </c>
      <c r="E120" s="34">
        <f t="shared" si="1"/>
        <v>0</v>
      </c>
    </row>
    <row r="121" spans="1:5" ht="15.75" x14ac:dyDescent="0.25">
      <c r="A121" s="37">
        <v>110</v>
      </c>
      <c r="B121" s="42" t="s">
        <v>128</v>
      </c>
      <c r="C121" s="38">
        <v>9600</v>
      </c>
      <c r="D121" s="33">
        <v>0</v>
      </c>
      <c r="E121" s="34">
        <f t="shared" si="1"/>
        <v>0</v>
      </c>
    </row>
    <row r="122" spans="1:5" ht="15.75" x14ac:dyDescent="0.25">
      <c r="A122" s="37">
        <v>111</v>
      </c>
      <c r="B122" s="42" t="s">
        <v>129</v>
      </c>
      <c r="C122" s="38">
        <v>2400</v>
      </c>
      <c r="D122" s="33">
        <v>0</v>
      </c>
      <c r="E122" s="34">
        <f t="shared" si="1"/>
        <v>0</v>
      </c>
    </row>
    <row r="123" spans="1:5" ht="15.75" x14ac:dyDescent="0.25">
      <c r="A123" s="37">
        <v>112</v>
      </c>
      <c r="B123" s="43" t="s">
        <v>130</v>
      </c>
      <c r="C123" s="44">
        <v>48000</v>
      </c>
      <c r="D123" s="33">
        <v>0</v>
      </c>
      <c r="E123" s="34">
        <f t="shared" si="1"/>
        <v>0</v>
      </c>
    </row>
    <row r="124" spans="1:5" ht="15.75" x14ac:dyDescent="0.25">
      <c r="A124" s="37">
        <v>113</v>
      </c>
      <c r="B124" s="45" t="s">
        <v>131</v>
      </c>
      <c r="C124" s="38">
        <v>7800</v>
      </c>
      <c r="D124" s="33" t="s">
        <v>14</v>
      </c>
      <c r="E124" s="34">
        <f t="shared" si="1"/>
        <v>0</v>
      </c>
    </row>
    <row r="125" spans="1:5" ht="15.75" x14ac:dyDescent="0.25">
      <c r="A125" s="37">
        <v>114</v>
      </c>
      <c r="B125" s="42" t="s">
        <v>132</v>
      </c>
      <c r="C125" s="38">
        <v>600</v>
      </c>
      <c r="D125" s="33">
        <v>0</v>
      </c>
      <c r="E125" s="34">
        <f t="shared" si="1"/>
        <v>0</v>
      </c>
    </row>
    <row r="126" spans="1:5" ht="15.75" x14ac:dyDescent="0.25">
      <c r="A126" s="37">
        <v>115</v>
      </c>
      <c r="B126" s="42" t="s">
        <v>133</v>
      </c>
      <c r="C126" s="38">
        <v>840</v>
      </c>
      <c r="D126" s="33" t="s">
        <v>14</v>
      </c>
      <c r="E126" s="34">
        <f t="shared" si="1"/>
        <v>0</v>
      </c>
    </row>
    <row r="127" spans="1:5" ht="15.75" x14ac:dyDescent="0.25">
      <c r="A127" s="37">
        <v>116</v>
      </c>
      <c r="B127" s="46" t="s">
        <v>134</v>
      </c>
      <c r="C127" s="38">
        <v>10800</v>
      </c>
      <c r="D127" s="33">
        <v>0</v>
      </c>
      <c r="E127" s="34">
        <f t="shared" si="1"/>
        <v>0</v>
      </c>
    </row>
    <row r="128" spans="1:5" ht="15.75" x14ac:dyDescent="0.25">
      <c r="A128" s="37">
        <v>117</v>
      </c>
      <c r="B128" s="42" t="s">
        <v>135</v>
      </c>
      <c r="C128" s="38">
        <v>3000</v>
      </c>
      <c r="D128" s="33">
        <v>0</v>
      </c>
      <c r="E128" s="34">
        <f t="shared" si="1"/>
        <v>0</v>
      </c>
    </row>
    <row r="129" spans="1:5" ht="15.75" x14ac:dyDescent="0.25">
      <c r="A129" s="37">
        <v>118</v>
      </c>
      <c r="B129" s="42" t="s">
        <v>136</v>
      </c>
      <c r="C129" s="38">
        <v>960</v>
      </c>
      <c r="D129" s="35" t="s">
        <v>39</v>
      </c>
      <c r="E129" s="34">
        <f t="shared" si="1"/>
        <v>2880</v>
      </c>
    </row>
    <row r="130" spans="1:5" ht="15.75" x14ac:dyDescent="0.25">
      <c r="A130" s="37">
        <v>119</v>
      </c>
      <c r="B130" s="42" t="s">
        <v>137</v>
      </c>
      <c r="C130" s="38">
        <v>3000</v>
      </c>
      <c r="D130" s="35">
        <v>0</v>
      </c>
      <c r="E130" s="34">
        <f t="shared" si="1"/>
        <v>0</v>
      </c>
    </row>
    <row r="131" spans="1:5" ht="15.75" x14ac:dyDescent="0.25">
      <c r="A131" s="37">
        <v>120</v>
      </c>
      <c r="B131" s="42" t="s">
        <v>138</v>
      </c>
      <c r="C131" s="38">
        <v>3000</v>
      </c>
      <c r="D131" s="33" t="s">
        <v>14</v>
      </c>
      <c r="E131" s="34">
        <f t="shared" si="1"/>
        <v>0</v>
      </c>
    </row>
    <row r="132" spans="1:5" ht="15.75" x14ac:dyDescent="0.25">
      <c r="A132" s="37">
        <v>121</v>
      </c>
      <c r="B132" s="42" t="s">
        <v>139</v>
      </c>
      <c r="C132" s="38">
        <v>3600</v>
      </c>
      <c r="D132" s="33">
        <v>0</v>
      </c>
      <c r="E132" s="34">
        <f t="shared" si="1"/>
        <v>0</v>
      </c>
    </row>
    <row r="133" spans="1:5" ht="15.75" x14ac:dyDescent="0.25">
      <c r="A133" s="37">
        <v>122</v>
      </c>
      <c r="B133" s="42" t="s">
        <v>140</v>
      </c>
      <c r="C133" s="38">
        <v>5400</v>
      </c>
      <c r="D133" s="33" t="s">
        <v>18</v>
      </c>
      <c r="E133" s="34">
        <f t="shared" si="1"/>
        <v>10800</v>
      </c>
    </row>
    <row r="134" spans="1:5" ht="15.75" x14ac:dyDescent="0.25">
      <c r="A134" s="37">
        <v>123</v>
      </c>
      <c r="B134" s="42" t="s">
        <v>141</v>
      </c>
      <c r="C134" s="38">
        <v>960</v>
      </c>
      <c r="D134" s="33">
        <v>0</v>
      </c>
      <c r="E134" s="34">
        <f t="shared" si="1"/>
        <v>0</v>
      </c>
    </row>
    <row r="135" spans="1:5" ht="15.75" x14ac:dyDescent="0.25">
      <c r="A135" s="37">
        <v>124</v>
      </c>
      <c r="B135" s="47" t="s">
        <v>142</v>
      </c>
      <c r="C135" s="38">
        <v>19200</v>
      </c>
      <c r="D135" s="33" t="s">
        <v>14</v>
      </c>
      <c r="E135" s="34">
        <f t="shared" si="1"/>
        <v>0</v>
      </c>
    </row>
    <row r="136" spans="1:5" ht="15.75" x14ac:dyDescent="0.25">
      <c r="A136" s="37">
        <v>125</v>
      </c>
      <c r="B136" s="42" t="s">
        <v>143</v>
      </c>
      <c r="C136" s="38">
        <v>600</v>
      </c>
      <c r="D136" s="33">
        <v>0</v>
      </c>
      <c r="E136" s="34">
        <f t="shared" si="1"/>
        <v>0</v>
      </c>
    </row>
    <row r="137" spans="1:5" ht="15.75" x14ac:dyDescent="0.25">
      <c r="A137" s="37">
        <v>126</v>
      </c>
      <c r="B137" s="42" t="s">
        <v>144</v>
      </c>
      <c r="C137" s="38">
        <v>600</v>
      </c>
      <c r="D137" s="33">
        <v>0</v>
      </c>
      <c r="E137" s="34">
        <f t="shared" si="1"/>
        <v>0</v>
      </c>
    </row>
    <row r="138" spans="1:5" ht="15.75" x14ac:dyDescent="0.25">
      <c r="A138" s="37">
        <v>127</v>
      </c>
      <c r="B138" s="48" t="s">
        <v>145</v>
      </c>
      <c r="C138" s="38">
        <v>16000</v>
      </c>
      <c r="D138" s="33">
        <v>0</v>
      </c>
      <c r="E138" s="34">
        <f t="shared" si="1"/>
        <v>0</v>
      </c>
    </row>
    <row r="139" spans="1:5" ht="15.75" x14ac:dyDescent="0.25">
      <c r="A139" s="37">
        <v>128</v>
      </c>
      <c r="B139" s="42" t="s">
        <v>146</v>
      </c>
      <c r="C139" s="38">
        <v>1800</v>
      </c>
      <c r="D139" s="33" t="s">
        <v>35</v>
      </c>
      <c r="E139" s="34">
        <f t="shared" si="1"/>
        <v>9000</v>
      </c>
    </row>
    <row r="140" spans="1:5" ht="15.75" x14ac:dyDescent="0.25">
      <c r="A140" s="37">
        <v>129</v>
      </c>
      <c r="B140" s="42" t="s">
        <v>147</v>
      </c>
      <c r="C140" s="38">
        <v>1800</v>
      </c>
      <c r="D140" s="33">
        <v>0</v>
      </c>
      <c r="E140" s="34">
        <f t="shared" si="1"/>
        <v>0</v>
      </c>
    </row>
    <row r="141" spans="1:5" ht="15.75" x14ac:dyDescent="0.25">
      <c r="A141" s="49" t="s">
        <v>12</v>
      </c>
      <c r="B141" s="50"/>
      <c r="C141" s="50"/>
      <c r="D141" s="51"/>
      <c r="E141" s="52">
        <f>SUM(E14:E140)</f>
        <v>225830</v>
      </c>
    </row>
    <row r="142" spans="1:5" ht="15.75" x14ac:dyDescent="0.25">
      <c r="A142" s="53"/>
      <c r="B142" s="54" t="s">
        <v>148</v>
      </c>
      <c r="C142" s="55"/>
      <c r="D142" s="55"/>
      <c r="E142" s="56"/>
    </row>
    <row r="143" spans="1:5" ht="15.75" x14ac:dyDescent="0.25">
      <c r="A143" s="53"/>
      <c r="B143" s="57" t="s">
        <v>149</v>
      </c>
      <c r="C143" s="55">
        <v>14</v>
      </c>
      <c r="D143" s="55"/>
      <c r="E143" s="56"/>
    </row>
    <row r="144" spans="1:5" ht="15.75" x14ac:dyDescent="0.25">
      <c r="A144" s="53"/>
      <c r="B144" s="57" t="s">
        <v>150</v>
      </c>
      <c r="C144" s="55">
        <v>3</v>
      </c>
      <c r="D144" s="55" t="s">
        <v>151</v>
      </c>
      <c r="E144" s="56"/>
    </row>
    <row r="145" spans="1:5" ht="15.75" x14ac:dyDescent="0.25">
      <c r="A145" s="5"/>
      <c r="B145" s="58" t="s">
        <v>152</v>
      </c>
      <c r="C145" s="57" t="s">
        <v>153</v>
      </c>
      <c r="D145" s="59"/>
      <c r="E145" s="60"/>
    </row>
    <row r="146" spans="1:5" ht="15.75" x14ac:dyDescent="0.25">
      <c r="A146" s="5"/>
      <c r="B146" s="61" t="s">
        <v>154</v>
      </c>
      <c r="C146" s="62" t="s">
        <v>155</v>
      </c>
      <c r="D146" s="63"/>
      <c r="E146" s="64"/>
    </row>
    <row r="147" spans="1:5" ht="15.75" x14ac:dyDescent="0.25">
      <c r="A147" s="5"/>
      <c r="B147" s="61" t="s">
        <v>156</v>
      </c>
      <c r="C147" s="62"/>
      <c r="D147" s="63"/>
      <c r="E147" s="64"/>
    </row>
    <row r="148" spans="1:5" ht="15.75" x14ac:dyDescent="0.25">
      <c r="A148" s="5"/>
      <c r="B148" s="61" t="s">
        <v>157</v>
      </c>
      <c r="C148" s="62" t="s">
        <v>158</v>
      </c>
      <c r="D148" s="63"/>
      <c r="E148" s="64"/>
    </row>
    <row r="149" spans="1:5" ht="15.75" x14ac:dyDescent="0.25">
      <c r="A149" s="5"/>
      <c r="B149" s="65"/>
      <c r="C149" s="66"/>
      <c r="D149" s="67"/>
      <c r="E149" s="68"/>
    </row>
    <row r="150" spans="1:5" ht="15.75" x14ac:dyDescent="0.25">
      <c r="A150" s="5"/>
      <c r="B150" s="6"/>
      <c r="C150" s="69"/>
      <c r="D150" s="67"/>
      <c r="E150" s="70"/>
    </row>
    <row r="151" spans="1:5" ht="15.75" x14ac:dyDescent="0.25">
      <c r="A151" s="5"/>
      <c r="B151" s="6"/>
      <c r="C151" s="71"/>
      <c r="D151" s="72"/>
      <c r="E151" s="70"/>
    </row>
    <row r="152" spans="1:5" x14ac:dyDescent="0.25">
      <c r="A152" s="5"/>
      <c r="B152" s="6"/>
      <c r="C152" s="73"/>
      <c r="D152" s="67"/>
      <c r="E152" s="70"/>
    </row>
    <row r="153" spans="1:5" ht="15.75" x14ac:dyDescent="0.25">
      <c r="A153" s="5"/>
      <c r="B153" s="6"/>
      <c r="C153" s="74"/>
      <c r="D153" s="67"/>
      <c r="E153" s="68"/>
    </row>
    <row r="154" spans="1:5" ht="15.75" thickBot="1" x14ac:dyDescent="0.3">
      <c r="A154" s="75"/>
      <c r="B154" s="76"/>
      <c r="C154" s="77"/>
      <c r="D154" s="78"/>
      <c r="E154" s="79"/>
    </row>
  </sheetData>
  <mergeCells count="1">
    <mergeCell ref="A141:D141"/>
  </mergeCells>
  <conditionalFormatting sqref="D14:D140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2026-03-13T09:55:50Z</dcterms:created>
  <dcterms:modified xsi:type="dcterms:W3CDTF">2026-03-13T09:57:01Z</dcterms:modified>
</cp:coreProperties>
</file>