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esktop\REQUISITIONS 2026\"/>
    </mc:Choice>
  </mc:AlternateContent>
  <bookViews>
    <workbookView xWindow="0" yWindow="0" windowWidth="20490" windowHeight="7500" tabRatio="313"/>
  </bookViews>
  <sheets>
    <sheet name="Sheet1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8" l="1"/>
  <c r="E28" i="8"/>
  <c r="E24" i="8"/>
  <c r="E19" i="8"/>
  <c r="E13" i="8"/>
  <c r="E31" i="8"/>
  <c r="E40" i="8"/>
  <c r="E44" i="8"/>
  <c r="E11" i="8" l="1"/>
  <c r="E12" i="8"/>
  <c r="E14" i="8"/>
  <c r="E15" i="8"/>
  <c r="E16" i="8"/>
  <c r="E17" i="8"/>
  <c r="E18" i="8"/>
  <c r="E21" i="8"/>
  <c r="E22" i="8"/>
  <c r="E23" i="8"/>
  <c r="E25" i="8"/>
  <c r="E26" i="8"/>
  <c r="E27" i="8"/>
  <c r="E29" i="8"/>
  <c r="E30" i="8"/>
  <c r="E32" i="8"/>
  <c r="E33" i="8"/>
  <c r="E34" i="8"/>
  <c r="E35" i="8"/>
  <c r="E36" i="8"/>
  <c r="E37" i="8"/>
  <c r="E38" i="8"/>
  <c r="E39" i="8"/>
  <c r="E41" i="8"/>
  <c r="E42" i="8"/>
  <c r="E43" i="8"/>
  <c r="E45" i="8"/>
  <c r="E46" i="8" l="1"/>
</calcChain>
</file>

<file path=xl/sharedStrings.xml><?xml version="1.0" encoding="utf-8"?>
<sst xmlns="http://schemas.openxmlformats.org/spreadsheetml/2006/main" count="56" uniqueCount="56">
  <si>
    <t>PURCHASE ORDER</t>
  </si>
  <si>
    <t>supplier : NYIRASAFARI JEMIMA</t>
  </si>
  <si>
    <t>No</t>
  </si>
  <si>
    <t>ITEM</t>
  </si>
  <si>
    <t>QTY</t>
  </si>
  <si>
    <t>UNIT PRICE</t>
  </si>
  <si>
    <t>Water-inyanye, box of 12pcs</t>
  </si>
  <si>
    <t>Water-inyanye, bottle 20L</t>
  </si>
  <si>
    <t>Igitoki</t>
  </si>
  <si>
    <t>Ibirayi, kinigi itoranije</t>
  </si>
  <si>
    <t>Ibijumba</t>
  </si>
  <si>
    <t>Amashaza</t>
  </si>
  <si>
    <t>Ibishyimbo-ibitonore</t>
  </si>
  <si>
    <t xml:space="preserve">Fish - Tirapia </t>
  </si>
  <si>
    <t>Viande rouge -Imvange</t>
  </si>
  <si>
    <t xml:space="preserve">Viande - Liver </t>
  </si>
  <si>
    <t>Ubunyobwa buseye-ubunyarwanda</t>
  </si>
  <si>
    <t>Ibitunguru byumye bitukura</t>
  </si>
  <si>
    <t>Ibitunguru byumye by'umweru</t>
  </si>
  <si>
    <t>Inyanya</t>
  </si>
  <si>
    <t>Intoryi</t>
  </si>
  <si>
    <t>Courgette</t>
  </si>
  <si>
    <t>Carotte</t>
  </si>
  <si>
    <t>Choux fleur</t>
  </si>
  <si>
    <t>Brocoli</t>
  </si>
  <si>
    <t>Pavuro nini</t>
  </si>
  <si>
    <t>Avoka</t>
  </si>
  <si>
    <t>Amatunda</t>
  </si>
  <si>
    <t>Inanasi</t>
  </si>
  <si>
    <t>Choux</t>
  </si>
  <si>
    <t>Cassava (Fresh)</t>
  </si>
  <si>
    <t>Prepared by:</t>
  </si>
  <si>
    <t>Emmanuel BIZUMUREMYI</t>
  </si>
  <si>
    <t xml:space="preserve">Membership coordinator </t>
  </si>
  <si>
    <t>VERIFIED AND APROVED BY:</t>
  </si>
  <si>
    <t>MUKANDAYAMBAJE CLAUDINE</t>
  </si>
  <si>
    <t>TOTAL PRICE</t>
  </si>
  <si>
    <t>Total</t>
  </si>
  <si>
    <t>ASSISTANT OF THE ACCOUNTANT</t>
  </si>
  <si>
    <t xml:space="preserve">                                                    RWANDA WOOD VALUE CHAIN ASSOCIATION</t>
  </si>
  <si>
    <t>Requisition Date: 05June 2026</t>
  </si>
  <si>
    <t xml:space="preserve">Delively date: 8JUNE 2026 at 9h30' morning </t>
  </si>
  <si>
    <t>Details PO: RWVCA/POK/002/2026</t>
  </si>
  <si>
    <t>Red &amp; Green Apples</t>
  </si>
  <si>
    <t>Kawunga, Gashumba Uganda or Mugurusu 10kg</t>
  </si>
  <si>
    <t>Indagara, zanzibar</t>
  </si>
  <si>
    <t>Inkoko, inyarwanda</t>
  </si>
  <si>
    <t>Huile, crystal, 5l</t>
  </si>
  <si>
    <t>Simba mbiri, 200g</t>
  </si>
  <si>
    <t>Esui-tout, package of 2pcs</t>
  </si>
  <si>
    <t>Mango fresh fruit</t>
  </si>
  <si>
    <t>Umuneke, kamara nini</t>
  </si>
  <si>
    <t>Imiteja</t>
  </si>
  <si>
    <t>IBITARI MWISOKO</t>
  </si>
  <si>
    <t>Red pavron</t>
  </si>
  <si>
    <t>Yellow pavron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</si>
</sst>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4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1"/>
      <color theme="4" tint="-0.499984740745262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6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0" xfId="0" applyBorder="1"/>
    <xf numFmtId="49" fontId="0" fillId="0" borderId="0" xfId="0" applyNumberFormat="1" applyBorder="1" applyAlignment="1">
      <alignment horizontal="right"/>
    </xf>
    <xf numFmtId="0" fontId="3" fillId="0" borderId="0" xfId="0" applyFont="1" applyBorder="1"/>
    <xf numFmtId="0" fontId="0" fillId="0" borderId="0" xfId="0" applyBorder="1" applyAlignment="1">
      <alignment horizontal="right"/>
    </xf>
    <xf numFmtId="49" fontId="0" fillId="0" borderId="0" xfId="0" applyNumberFormat="1" applyBorder="1"/>
    <xf numFmtId="0" fontId="0" fillId="0" borderId="4" xfId="0" applyBorder="1"/>
    <xf numFmtId="0" fontId="5" fillId="2" borderId="6" xfId="0" applyFont="1" applyFill="1" applyBorder="1" applyAlignment="1">
      <alignment horizontal="left" vertical="top"/>
    </xf>
    <xf numFmtId="164" fontId="5" fillId="2" borderId="6" xfId="1" applyNumberFormat="1" applyFont="1" applyFill="1" applyBorder="1" applyAlignment="1" applyProtection="1">
      <alignment horizontal="left" vertical="top" wrapText="1"/>
    </xf>
    <xf numFmtId="41" fontId="7" fillId="3" borderId="6" xfId="2" applyFont="1" applyFill="1" applyBorder="1" applyAlignment="1">
      <alignment vertical="center"/>
    </xf>
    <xf numFmtId="41" fontId="0" fillId="0" borderId="6" xfId="0" applyNumberFormat="1" applyBorder="1"/>
    <xf numFmtId="41" fontId="9" fillId="3" borderId="6" xfId="2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164" fontId="7" fillId="3" borderId="6" xfId="1" applyNumberFormat="1" applyFont="1" applyFill="1" applyBorder="1" applyAlignment="1">
      <alignment vertical="center"/>
    </xf>
    <xf numFmtId="0" fontId="7" fillId="3" borderId="6" xfId="0" applyFont="1" applyFill="1" applyBorder="1" applyAlignment="1">
      <alignment horizontal="left" vertical="center"/>
    </xf>
    <xf numFmtId="49" fontId="12" fillId="0" borderId="0" xfId="4" applyNumberFormat="1" applyFont="1" applyBorder="1" applyAlignment="1">
      <alignment horizontal="left"/>
    </xf>
    <xf numFmtId="0" fontId="14" fillId="0" borderId="0" xfId="4" applyFont="1" applyBorder="1" applyAlignment="1">
      <alignment vertical="top"/>
    </xf>
    <xf numFmtId="0" fontId="0" fillId="0" borderId="7" xfId="0" applyBorder="1"/>
    <xf numFmtId="0" fontId="2" fillId="0" borderId="0" xfId="0" applyFont="1" applyBorder="1"/>
    <xf numFmtId="0" fontId="6" fillId="3" borderId="6" xfId="2" applyNumberFormat="1" applyFont="1" applyFill="1" applyBorder="1" applyAlignment="1"/>
    <xf numFmtId="0" fontId="6" fillId="3" borderId="6" xfId="0" applyFont="1" applyFill="1" applyBorder="1"/>
    <xf numFmtId="0" fontId="2" fillId="4" borderId="0" xfId="0" applyFont="1" applyFill="1"/>
    <xf numFmtId="0" fontId="16" fillId="4" borderId="11" xfId="0" applyFont="1" applyFill="1" applyBorder="1" applyAlignment="1">
      <alignment horizontal="left" vertical="center"/>
    </xf>
    <xf numFmtId="41" fontId="2" fillId="4" borderId="0" xfId="0" applyNumberFormat="1" applyFont="1" applyFill="1"/>
    <xf numFmtId="0" fontId="0" fillId="0" borderId="6" xfId="0" applyBorder="1"/>
    <xf numFmtId="0" fontId="15" fillId="0" borderId="3" xfId="4" applyFont="1" applyBorder="1"/>
    <xf numFmtId="0" fontId="1" fillId="0" borderId="8" xfId="4" applyBorder="1" applyAlignment="1">
      <alignment vertical="top"/>
    </xf>
    <xf numFmtId="0" fontId="14" fillId="0" borderId="9" xfId="4" applyFont="1" applyBorder="1" applyAlignment="1">
      <alignment horizontal="right" vertical="center"/>
    </xf>
    <xf numFmtId="49" fontId="8" fillId="0" borderId="9" xfId="4" applyNumberFormat="1" applyFont="1" applyBorder="1" applyAlignment="1">
      <alignment horizontal="right"/>
    </xf>
    <xf numFmtId="0" fontId="13" fillId="0" borderId="10" xfId="4" applyFont="1" applyBorder="1"/>
    <xf numFmtId="49" fontId="0" fillId="0" borderId="0" xfId="0" applyNumberFormat="1"/>
    <xf numFmtId="0" fontId="0" fillId="0" borderId="0" xfId="0" applyBorder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0" xfId="0" applyNumberFormat="1" applyFont="1" applyBorder="1" applyAlignment="1">
      <alignment horizontal="right"/>
    </xf>
    <xf numFmtId="0" fontId="10" fillId="2" borderId="6" xfId="0" applyFont="1" applyFill="1" applyBorder="1"/>
    <xf numFmtId="0" fontId="17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right"/>
    </xf>
    <xf numFmtId="49" fontId="0" fillId="2" borderId="5" xfId="0" applyNumberFormat="1" applyFill="1" applyBorder="1"/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right"/>
    </xf>
    <xf numFmtId="49" fontId="0" fillId="2" borderId="0" xfId="0" applyNumberFormat="1" applyFill="1" applyBorder="1"/>
    <xf numFmtId="0" fontId="4" fillId="2" borderId="0" xfId="0" applyFont="1" applyFill="1" applyBorder="1"/>
    <xf numFmtId="0" fontId="6" fillId="3" borderId="12" xfId="2" applyNumberFormat="1" applyFont="1" applyFill="1" applyBorder="1" applyAlignment="1"/>
    <xf numFmtId="0" fontId="6" fillId="3" borderId="12" xfId="0" applyFont="1" applyFill="1" applyBorder="1"/>
    <xf numFmtId="0" fontId="11" fillId="0" borderId="0" xfId="4" applyFont="1" applyBorder="1" applyAlignment="1">
      <alignment vertical="top"/>
    </xf>
    <xf numFmtId="0" fontId="10" fillId="0" borderId="0" xfId="0" applyFont="1" applyBorder="1" applyAlignment="1">
      <alignment horizontal="left" vertical="top"/>
    </xf>
    <xf numFmtId="49" fontId="14" fillId="0" borderId="0" xfId="4" applyNumberFormat="1" applyFont="1" applyBorder="1" applyAlignment="1">
      <alignment horizontal="left" vertical="top"/>
    </xf>
    <xf numFmtId="0" fontId="10" fillId="0" borderId="3" xfId="4" applyFont="1" applyBorder="1" applyAlignment="1">
      <alignment horizontal="left" vertical="top"/>
    </xf>
    <xf numFmtId="0" fontId="2" fillId="3" borderId="6" xfId="0" applyFont="1" applyFill="1" applyBorder="1"/>
    <xf numFmtId="0" fontId="16" fillId="3" borderId="6" xfId="0" applyFont="1" applyFill="1" applyBorder="1" applyAlignment="1">
      <alignment horizontal="left" vertical="center"/>
    </xf>
    <xf numFmtId="41" fontId="2" fillId="3" borderId="6" xfId="0" applyNumberFormat="1" applyFont="1" applyFill="1" applyBorder="1"/>
  </cellXfs>
  <cellStyles count="5">
    <cellStyle name="Comma" xfId="1" builtinId="3"/>
    <cellStyle name="Comma [0]" xfId="2" builtinId="6"/>
    <cellStyle name="Comma [0] 2" xfId="3"/>
    <cellStyle name="Normal" xfId="0" builtinId="0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40790" cy="746760"/>
    <xdr:pic>
      <xdr:nvPicPr>
        <xdr:cNvPr id="2" name="Picture 1" descr="D:\RWCA documents\Logo\RWVCA logo.jpe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" y="0"/>
          <a:ext cx="1240790" cy="7467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933450</xdr:colOff>
      <xdr:row>0</xdr:row>
      <xdr:rowOff>47625</xdr:rowOff>
    </xdr:from>
    <xdr:ext cx="1028700" cy="727710"/>
    <xdr:pic>
      <xdr:nvPicPr>
        <xdr:cNvPr id="3" name="Picture 2" descr="C:\Users\HP\Downloads\psf_logo_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47625"/>
          <a:ext cx="1028700" cy="72771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1343025</xdr:colOff>
      <xdr:row>3</xdr:row>
      <xdr:rowOff>28575</xdr:rowOff>
    </xdr:from>
    <xdr:to>
      <xdr:col>4</xdr:col>
      <xdr:colOff>723900</xdr:colOff>
      <xdr:row>3</xdr:row>
      <xdr:rowOff>28575</xdr:rowOff>
    </xdr:to>
    <xdr:cxnSp macro="">
      <xdr:nvCxnSpPr>
        <xdr:cNvPr id="4" name="AutoShape 1"/>
        <xdr:cNvCxnSpPr>
          <a:cxnSpLocks noChangeShapeType="1"/>
        </xdr:cNvCxnSpPr>
      </xdr:nvCxnSpPr>
      <xdr:spPr bwMode="auto">
        <a:xfrm>
          <a:off x="1724025" y="638175"/>
          <a:ext cx="3209925" cy="0"/>
        </a:xfrm>
        <a:prstGeom prst="straightConnector1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3" workbookViewId="0">
      <selection activeCell="F48" sqref="F48"/>
    </sheetView>
  </sheetViews>
  <sheetFormatPr defaultRowHeight="15" x14ac:dyDescent="0.25"/>
  <cols>
    <col min="1" max="1" width="5.7109375" customWidth="1"/>
    <col min="2" max="2" width="36.42578125" customWidth="1"/>
    <col min="3" max="3" width="11.85546875" customWidth="1"/>
    <col min="5" max="5" width="32.7109375" customWidth="1"/>
  </cols>
  <sheetData>
    <row r="1" spans="1:5" x14ac:dyDescent="0.25">
      <c r="A1" s="1"/>
      <c r="B1" s="2"/>
      <c r="C1" s="3"/>
      <c r="D1" s="4"/>
      <c r="E1" s="3"/>
    </row>
    <row r="2" spans="1:5" ht="16.5" x14ac:dyDescent="0.25">
      <c r="A2" s="1"/>
      <c r="B2" s="5"/>
      <c r="C2" s="6"/>
      <c r="D2" s="7"/>
      <c r="E2" s="8"/>
    </row>
    <row r="3" spans="1:5" ht="16.5" x14ac:dyDescent="0.25">
      <c r="A3" s="1"/>
      <c r="B3" s="34" t="s">
        <v>39</v>
      </c>
      <c r="C3" s="5"/>
      <c r="D3" s="35"/>
      <c r="E3" s="20"/>
    </row>
    <row r="4" spans="1:5" ht="16.5" x14ac:dyDescent="0.25">
      <c r="A4" s="1"/>
      <c r="B4" s="33"/>
      <c r="C4" s="5"/>
      <c r="D4" s="4"/>
      <c r="E4" s="3"/>
    </row>
    <row r="5" spans="1:5" ht="20.25" x14ac:dyDescent="0.25">
      <c r="A5" s="1"/>
      <c r="B5" s="37" t="s">
        <v>0</v>
      </c>
      <c r="C5" s="38"/>
      <c r="D5" s="39"/>
      <c r="E5" s="40"/>
    </row>
    <row r="6" spans="1:5" x14ac:dyDescent="0.25">
      <c r="A6" s="1"/>
      <c r="B6" s="41" t="s">
        <v>1</v>
      </c>
      <c r="C6" s="42"/>
      <c r="D6" s="43"/>
      <c r="E6" s="40"/>
    </row>
    <row r="7" spans="1:5" x14ac:dyDescent="0.25">
      <c r="A7" s="1"/>
      <c r="B7" s="41" t="s">
        <v>40</v>
      </c>
      <c r="C7" s="42"/>
      <c r="D7" s="43"/>
      <c r="E7" s="40"/>
    </row>
    <row r="8" spans="1:5" x14ac:dyDescent="0.25">
      <c r="A8" s="1"/>
      <c r="B8" s="41" t="s">
        <v>41</v>
      </c>
      <c r="C8" s="42"/>
      <c r="D8" s="43"/>
      <c r="E8" s="40"/>
    </row>
    <row r="9" spans="1:5" x14ac:dyDescent="0.25">
      <c r="A9" s="1"/>
      <c r="B9" s="44" t="s">
        <v>42</v>
      </c>
      <c r="C9" s="42"/>
      <c r="D9" s="43"/>
      <c r="E9" s="40"/>
    </row>
    <row r="10" spans="1:5" ht="31.5" x14ac:dyDescent="0.25">
      <c r="A10" s="9" t="s">
        <v>2</v>
      </c>
      <c r="B10" s="9" t="s">
        <v>3</v>
      </c>
      <c r="C10" s="10" t="s">
        <v>5</v>
      </c>
      <c r="D10" s="36" t="s">
        <v>4</v>
      </c>
      <c r="E10" s="36" t="s">
        <v>36</v>
      </c>
    </row>
    <row r="11" spans="1:5" ht="15.75" x14ac:dyDescent="0.25">
      <c r="A11" s="21">
        <v>2</v>
      </c>
      <c r="B11" s="11" t="s">
        <v>6</v>
      </c>
      <c r="C11" s="11">
        <v>5994</v>
      </c>
      <c r="D11" s="26">
        <v>4</v>
      </c>
      <c r="E11" s="12">
        <f t="shared" ref="E11:E33" si="0">C11*D11</f>
        <v>23976</v>
      </c>
    </row>
    <row r="12" spans="1:5" ht="15.75" x14ac:dyDescent="0.25">
      <c r="A12" s="21">
        <v>3</v>
      </c>
      <c r="B12" s="11" t="s">
        <v>7</v>
      </c>
      <c r="C12" s="11">
        <v>5328</v>
      </c>
      <c r="D12" s="26">
        <v>2</v>
      </c>
      <c r="E12" s="12">
        <f t="shared" si="0"/>
        <v>10656</v>
      </c>
    </row>
    <row r="13" spans="1:5" ht="15.75" x14ac:dyDescent="0.25">
      <c r="A13" s="45">
        <v>20</v>
      </c>
      <c r="B13" s="11" t="s">
        <v>44</v>
      </c>
      <c r="C13" s="11">
        <v>15600</v>
      </c>
      <c r="D13" s="26">
        <v>1</v>
      </c>
      <c r="E13" s="12">
        <f t="shared" si="0"/>
        <v>15600</v>
      </c>
    </row>
    <row r="14" spans="1:5" ht="15.75" x14ac:dyDescent="0.25">
      <c r="A14" s="21">
        <v>21</v>
      </c>
      <c r="B14" s="11" t="s">
        <v>8</v>
      </c>
      <c r="C14" s="11">
        <v>905.76</v>
      </c>
      <c r="D14" s="26">
        <v>5</v>
      </c>
      <c r="E14" s="12">
        <f t="shared" si="0"/>
        <v>4528.8</v>
      </c>
    </row>
    <row r="15" spans="1:5" ht="15.75" x14ac:dyDescent="0.25">
      <c r="A15" s="21">
        <v>22</v>
      </c>
      <c r="B15" s="11" t="s">
        <v>9</v>
      </c>
      <c r="C15" s="11">
        <v>1731.6</v>
      </c>
      <c r="D15" s="26">
        <v>5</v>
      </c>
      <c r="E15" s="12">
        <f t="shared" si="0"/>
        <v>8658</v>
      </c>
    </row>
    <row r="16" spans="1:5" ht="15.75" x14ac:dyDescent="0.25">
      <c r="A16" s="21">
        <v>23</v>
      </c>
      <c r="B16" s="11" t="s">
        <v>10</v>
      </c>
      <c r="C16" s="11">
        <v>1110</v>
      </c>
      <c r="D16" s="26">
        <v>4</v>
      </c>
      <c r="E16" s="12">
        <f t="shared" si="0"/>
        <v>4440</v>
      </c>
    </row>
    <row r="17" spans="1:5" ht="15.75" x14ac:dyDescent="0.25">
      <c r="A17" s="21">
        <v>26</v>
      </c>
      <c r="B17" s="11" t="s">
        <v>11</v>
      </c>
      <c r="C17" s="11">
        <v>4495.5</v>
      </c>
      <c r="D17" s="26">
        <v>1</v>
      </c>
      <c r="E17" s="12">
        <f t="shared" si="0"/>
        <v>4495.5</v>
      </c>
    </row>
    <row r="18" spans="1:5" ht="15.75" x14ac:dyDescent="0.25">
      <c r="A18" s="21">
        <v>28</v>
      </c>
      <c r="B18" s="11" t="s">
        <v>12</v>
      </c>
      <c r="C18" s="11">
        <v>2886</v>
      </c>
      <c r="D18" s="26">
        <v>1</v>
      </c>
      <c r="E18" s="12">
        <f t="shared" si="0"/>
        <v>2886</v>
      </c>
    </row>
    <row r="19" spans="1:5" ht="15.75" x14ac:dyDescent="0.25">
      <c r="A19" s="45">
        <v>30</v>
      </c>
      <c r="B19" s="11" t="s">
        <v>45</v>
      </c>
      <c r="C19" s="11">
        <v>19200</v>
      </c>
      <c r="D19" s="26">
        <v>0.5</v>
      </c>
      <c r="E19" s="12">
        <f t="shared" si="0"/>
        <v>9600</v>
      </c>
    </row>
    <row r="20" spans="1:5" ht="15.75" x14ac:dyDescent="0.25">
      <c r="A20" s="45">
        <v>31</v>
      </c>
      <c r="B20" s="11" t="s">
        <v>46</v>
      </c>
      <c r="C20" s="11">
        <v>12800</v>
      </c>
      <c r="D20" s="26">
        <v>2</v>
      </c>
      <c r="E20" s="12">
        <f t="shared" si="0"/>
        <v>25600</v>
      </c>
    </row>
    <row r="21" spans="1:5" ht="15.75" x14ac:dyDescent="0.25">
      <c r="A21" s="21">
        <v>33</v>
      </c>
      <c r="B21" s="11" t="s">
        <v>13</v>
      </c>
      <c r="C21" s="11">
        <v>9990</v>
      </c>
      <c r="D21" s="26">
        <v>2</v>
      </c>
      <c r="E21" s="12">
        <f t="shared" si="0"/>
        <v>19980</v>
      </c>
    </row>
    <row r="22" spans="1:5" ht="15.75" x14ac:dyDescent="0.25">
      <c r="A22" s="21">
        <v>37</v>
      </c>
      <c r="B22" s="11" t="s">
        <v>14</v>
      </c>
      <c r="C22" s="11">
        <v>9600</v>
      </c>
      <c r="D22" s="26">
        <v>1</v>
      </c>
      <c r="E22" s="12">
        <f t="shared" si="0"/>
        <v>9600</v>
      </c>
    </row>
    <row r="23" spans="1:5" ht="15.75" x14ac:dyDescent="0.25">
      <c r="A23" s="21">
        <v>39</v>
      </c>
      <c r="B23" s="11" t="s">
        <v>15</v>
      </c>
      <c r="C23" s="11">
        <v>8400</v>
      </c>
      <c r="D23" s="26">
        <v>1</v>
      </c>
      <c r="E23" s="12">
        <f t="shared" si="0"/>
        <v>8400</v>
      </c>
    </row>
    <row r="24" spans="1:5" ht="15.75" x14ac:dyDescent="0.25">
      <c r="A24" s="45">
        <v>41</v>
      </c>
      <c r="B24" s="11" t="s">
        <v>47</v>
      </c>
      <c r="C24" s="11">
        <v>25200</v>
      </c>
      <c r="D24" s="26">
        <v>1</v>
      </c>
      <c r="E24" s="12">
        <f t="shared" si="0"/>
        <v>25200</v>
      </c>
    </row>
    <row r="25" spans="1:5" ht="15.75" x14ac:dyDescent="0.25">
      <c r="A25" s="21">
        <v>47</v>
      </c>
      <c r="B25" s="11" t="s">
        <v>16</v>
      </c>
      <c r="C25" s="11">
        <v>5400</v>
      </c>
      <c r="D25" s="26">
        <v>1</v>
      </c>
      <c r="E25" s="12">
        <f t="shared" si="0"/>
        <v>5400</v>
      </c>
    </row>
    <row r="26" spans="1:5" ht="15.75" x14ac:dyDescent="0.25">
      <c r="A26" s="21">
        <v>49</v>
      </c>
      <c r="B26" s="11" t="s">
        <v>17</v>
      </c>
      <c r="C26" s="11">
        <v>2080</v>
      </c>
      <c r="D26" s="26">
        <v>1</v>
      </c>
      <c r="E26" s="12">
        <f t="shared" si="0"/>
        <v>2080</v>
      </c>
    </row>
    <row r="27" spans="1:5" ht="15.75" x14ac:dyDescent="0.25">
      <c r="A27" s="21">
        <v>50</v>
      </c>
      <c r="B27" s="11" t="s">
        <v>18</v>
      </c>
      <c r="C27" s="11">
        <v>2720</v>
      </c>
      <c r="D27" s="26">
        <v>0.5</v>
      </c>
      <c r="E27" s="12">
        <f t="shared" si="0"/>
        <v>1360</v>
      </c>
    </row>
    <row r="28" spans="1:5" ht="15.75" x14ac:dyDescent="0.25">
      <c r="A28" s="45">
        <v>54</v>
      </c>
      <c r="B28" s="11" t="s">
        <v>48</v>
      </c>
      <c r="C28" s="11">
        <v>4440</v>
      </c>
      <c r="D28" s="26">
        <v>1</v>
      </c>
      <c r="E28" s="12">
        <f t="shared" si="0"/>
        <v>4440</v>
      </c>
    </row>
    <row r="29" spans="1:5" ht="15.75" x14ac:dyDescent="0.25">
      <c r="A29" s="21">
        <v>61</v>
      </c>
      <c r="B29" s="11" t="s">
        <v>19</v>
      </c>
      <c r="C29" s="11">
        <v>2720</v>
      </c>
      <c r="D29" s="26">
        <v>2.5</v>
      </c>
      <c r="E29" s="12">
        <f t="shared" si="0"/>
        <v>6800</v>
      </c>
    </row>
    <row r="30" spans="1:5" ht="15.75" x14ac:dyDescent="0.25">
      <c r="A30" s="21">
        <v>62</v>
      </c>
      <c r="B30" s="11" t="s">
        <v>20</v>
      </c>
      <c r="C30" s="11">
        <v>2080</v>
      </c>
      <c r="D30" s="26">
        <v>1</v>
      </c>
      <c r="E30" s="12">
        <f t="shared" si="0"/>
        <v>2080</v>
      </c>
    </row>
    <row r="31" spans="1:5" ht="15.75" x14ac:dyDescent="0.25">
      <c r="A31" s="45">
        <v>63</v>
      </c>
      <c r="B31" s="11" t="s">
        <v>52</v>
      </c>
      <c r="C31" s="11">
        <v>2080</v>
      </c>
      <c r="D31" s="26">
        <v>1</v>
      </c>
      <c r="E31" s="12">
        <f t="shared" si="0"/>
        <v>2080</v>
      </c>
    </row>
    <row r="32" spans="1:5" ht="15.75" x14ac:dyDescent="0.25">
      <c r="A32" s="21">
        <v>64</v>
      </c>
      <c r="B32" s="11" t="s">
        <v>21</v>
      </c>
      <c r="C32" s="11">
        <v>1800</v>
      </c>
      <c r="D32" s="26">
        <v>2</v>
      </c>
      <c r="E32" s="12">
        <f t="shared" si="0"/>
        <v>3600</v>
      </c>
    </row>
    <row r="33" spans="1:5" ht="15.75" x14ac:dyDescent="0.25">
      <c r="A33" s="21">
        <v>65</v>
      </c>
      <c r="B33" s="11" t="s">
        <v>22</v>
      </c>
      <c r="C33" s="11">
        <v>2080</v>
      </c>
      <c r="D33" s="26">
        <v>1</v>
      </c>
      <c r="E33" s="12">
        <f t="shared" si="0"/>
        <v>2080</v>
      </c>
    </row>
    <row r="34" spans="1:5" ht="15.75" x14ac:dyDescent="0.25">
      <c r="A34" s="21">
        <v>66</v>
      </c>
      <c r="B34" s="11" t="s">
        <v>23</v>
      </c>
      <c r="C34" s="11">
        <v>1800</v>
      </c>
      <c r="D34" s="26">
        <v>2</v>
      </c>
      <c r="E34" s="12">
        <f t="shared" ref="E34:E45" si="1">C34*D34</f>
        <v>3600</v>
      </c>
    </row>
    <row r="35" spans="1:5" ht="15.75" x14ac:dyDescent="0.25">
      <c r="A35" s="21">
        <v>67</v>
      </c>
      <c r="B35" s="11" t="s">
        <v>24</v>
      </c>
      <c r="C35" s="11">
        <v>2400</v>
      </c>
      <c r="D35" s="26">
        <v>2</v>
      </c>
      <c r="E35" s="12">
        <f t="shared" si="1"/>
        <v>4800</v>
      </c>
    </row>
    <row r="36" spans="1:5" ht="15.75" x14ac:dyDescent="0.25">
      <c r="A36" s="21">
        <v>68</v>
      </c>
      <c r="B36" s="11" t="s">
        <v>25</v>
      </c>
      <c r="C36" s="11">
        <v>480</v>
      </c>
      <c r="D36" s="26">
        <v>8</v>
      </c>
      <c r="E36" s="12">
        <f t="shared" si="1"/>
        <v>3840</v>
      </c>
    </row>
    <row r="37" spans="1:5" ht="15.75" x14ac:dyDescent="0.25">
      <c r="A37" s="21">
        <v>80</v>
      </c>
      <c r="B37" s="11" t="s">
        <v>26</v>
      </c>
      <c r="C37" s="13">
        <v>888</v>
      </c>
      <c r="D37" s="26">
        <v>5</v>
      </c>
      <c r="E37" s="12">
        <f t="shared" si="1"/>
        <v>4440</v>
      </c>
    </row>
    <row r="38" spans="1:5" ht="15.75" x14ac:dyDescent="0.25">
      <c r="A38" s="21">
        <v>83</v>
      </c>
      <c r="B38" s="11" t="s">
        <v>27</v>
      </c>
      <c r="C38" s="11">
        <v>3600</v>
      </c>
      <c r="D38" s="26">
        <v>1</v>
      </c>
      <c r="E38" s="12">
        <f t="shared" si="1"/>
        <v>3600</v>
      </c>
    </row>
    <row r="39" spans="1:5" ht="15.75" x14ac:dyDescent="0.25">
      <c r="A39" s="21">
        <v>84</v>
      </c>
      <c r="B39" s="11" t="s">
        <v>28</v>
      </c>
      <c r="C39" s="11">
        <v>2220</v>
      </c>
      <c r="D39" s="26">
        <v>1</v>
      </c>
      <c r="E39" s="12">
        <f t="shared" si="1"/>
        <v>2220</v>
      </c>
    </row>
    <row r="40" spans="1:5" ht="15.75" x14ac:dyDescent="0.25">
      <c r="A40" s="45">
        <v>87</v>
      </c>
      <c r="B40" s="11" t="s">
        <v>51</v>
      </c>
      <c r="C40" s="11">
        <v>3600</v>
      </c>
      <c r="D40" s="26">
        <v>2</v>
      </c>
      <c r="E40" s="12">
        <f t="shared" si="1"/>
        <v>7200</v>
      </c>
    </row>
    <row r="41" spans="1:5" ht="15.75" x14ac:dyDescent="0.25">
      <c r="A41" s="46">
        <v>95</v>
      </c>
      <c r="B41" s="14" t="s">
        <v>49</v>
      </c>
      <c r="C41" s="15">
        <v>4440</v>
      </c>
      <c r="D41" s="26">
        <v>2</v>
      </c>
      <c r="E41" s="12">
        <f t="shared" si="1"/>
        <v>8880</v>
      </c>
    </row>
    <row r="42" spans="1:5" ht="15.75" x14ac:dyDescent="0.25">
      <c r="A42" s="22">
        <v>115</v>
      </c>
      <c r="B42" s="16" t="s">
        <v>29</v>
      </c>
      <c r="C42" s="14">
        <v>840</v>
      </c>
      <c r="D42" s="26">
        <v>1</v>
      </c>
      <c r="E42" s="12">
        <f t="shared" si="1"/>
        <v>840</v>
      </c>
    </row>
    <row r="43" spans="1:5" ht="15.75" x14ac:dyDescent="0.25">
      <c r="A43" s="22">
        <v>118</v>
      </c>
      <c r="B43" s="16" t="s">
        <v>30</v>
      </c>
      <c r="C43" s="14">
        <v>960</v>
      </c>
      <c r="D43" s="26">
        <v>3</v>
      </c>
      <c r="E43" s="12">
        <f t="shared" si="1"/>
        <v>2880</v>
      </c>
    </row>
    <row r="44" spans="1:5" ht="15.75" x14ac:dyDescent="0.25">
      <c r="A44" s="46">
        <v>121</v>
      </c>
      <c r="B44" s="16" t="s">
        <v>50</v>
      </c>
      <c r="C44" s="14">
        <v>3600</v>
      </c>
      <c r="D44" s="26">
        <v>3</v>
      </c>
      <c r="E44" s="12">
        <f t="shared" si="1"/>
        <v>10800</v>
      </c>
    </row>
    <row r="45" spans="1:5" ht="15.75" x14ac:dyDescent="0.25">
      <c r="A45" s="46">
        <v>123</v>
      </c>
      <c r="B45" s="16" t="s">
        <v>43</v>
      </c>
      <c r="C45" s="14">
        <v>960</v>
      </c>
      <c r="D45" s="26">
        <v>7</v>
      </c>
      <c r="E45" s="12">
        <f t="shared" si="1"/>
        <v>6720</v>
      </c>
    </row>
    <row r="46" spans="1:5" x14ac:dyDescent="0.25">
      <c r="A46" s="23"/>
      <c r="B46" s="24" t="s">
        <v>37</v>
      </c>
      <c r="C46" s="23"/>
      <c r="D46" s="23"/>
      <c r="E46" s="25">
        <f>SUM(E11:E45)</f>
        <v>263360.3</v>
      </c>
    </row>
    <row r="47" spans="1:5" x14ac:dyDescent="0.25">
      <c r="A47" s="51"/>
      <c r="B47" s="52" t="s">
        <v>53</v>
      </c>
      <c r="C47" s="51"/>
      <c r="D47" s="51"/>
      <c r="E47" s="53"/>
    </row>
    <row r="48" spans="1:5" x14ac:dyDescent="0.25">
      <c r="A48" s="51">
        <v>1</v>
      </c>
      <c r="B48" s="52" t="s">
        <v>54</v>
      </c>
      <c r="C48" s="51"/>
      <c r="D48" s="51">
        <v>1</v>
      </c>
      <c r="E48" s="53"/>
    </row>
    <row r="49" spans="1:5" x14ac:dyDescent="0.25">
      <c r="A49" s="51">
        <v>2</v>
      </c>
      <c r="B49" s="52" t="s">
        <v>55</v>
      </c>
      <c r="C49" s="51"/>
      <c r="D49" s="51">
        <v>1</v>
      </c>
      <c r="E49" s="53"/>
    </row>
    <row r="50" spans="1:5" x14ac:dyDescent="0.25">
      <c r="A50" s="51"/>
      <c r="B50" s="52"/>
      <c r="C50" s="51"/>
      <c r="D50" s="51"/>
      <c r="E50" s="53"/>
    </row>
    <row r="51" spans="1:5" x14ac:dyDescent="0.25">
      <c r="A51" s="51"/>
      <c r="B51" s="52"/>
      <c r="C51" s="51"/>
      <c r="D51" s="51"/>
      <c r="E51" s="53"/>
    </row>
    <row r="52" spans="1:5" ht="15.75" x14ac:dyDescent="0.25">
      <c r="A52" s="1"/>
      <c r="B52" s="47" t="s">
        <v>31</v>
      </c>
      <c r="C52" s="48" t="s">
        <v>34</v>
      </c>
      <c r="D52" s="49"/>
      <c r="E52" s="50"/>
    </row>
    <row r="53" spans="1:5" ht="15.75" x14ac:dyDescent="0.25">
      <c r="A53" s="1"/>
      <c r="B53" s="18" t="s">
        <v>32</v>
      </c>
      <c r="C53" s="20" t="s">
        <v>35</v>
      </c>
      <c r="D53" s="17"/>
      <c r="E53" s="27"/>
    </row>
    <row r="54" spans="1:5" ht="15.75" x14ac:dyDescent="0.25">
      <c r="A54" s="1"/>
      <c r="B54" s="18"/>
      <c r="C54" s="20"/>
      <c r="D54" s="17"/>
      <c r="E54" s="27"/>
    </row>
    <row r="55" spans="1:5" ht="15.75" x14ac:dyDescent="0.25">
      <c r="A55" s="1"/>
      <c r="B55" s="18" t="s">
        <v>33</v>
      </c>
      <c r="C55" s="20" t="s">
        <v>38</v>
      </c>
      <c r="D55" s="17"/>
      <c r="E55" s="27"/>
    </row>
    <row r="56" spans="1:5" ht="16.5" thickBot="1" x14ac:dyDescent="0.3">
      <c r="A56" s="19"/>
      <c r="B56" s="28"/>
      <c r="C56" s="29"/>
      <c r="D56" s="30"/>
      <c r="E56" s="31"/>
    </row>
    <row r="57" spans="1:5" x14ac:dyDescent="0.25">
      <c r="D57" s="32"/>
    </row>
  </sheetData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cp:lastPrinted>2026-06-01T10:14:29Z</cp:lastPrinted>
  <dcterms:created xsi:type="dcterms:W3CDTF">2026-02-20T04:42:49Z</dcterms:created>
  <dcterms:modified xsi:type="dcterms:W3CDTF">2026-06-05T07:55:02Z</dcterms:modified>
</cp:coreProperties>
</file>