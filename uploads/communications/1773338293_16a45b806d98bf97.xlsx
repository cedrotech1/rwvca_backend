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8BEA0BE-AEE2-461A-8E48-31D5464E9236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<sst xmlns="http://schemas.openxmlformats.org/spreadsheetml/2006/main" count="1530" uniqueCount="88">
  <si>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</si>
  <si>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</si>
  <si>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</si>
  <si>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</si>
  <si>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</si>
  <si>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</si>
  <si>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</si>
  <si>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</si>
  <si>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</si>
  <si>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</si>
  <si>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</si>
  <si>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</si>
  <si>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</si>
  <si>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</si>
  <si>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</si>
  <si>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</si>
  <si>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</si>
  <si>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</si>
  <si>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</si>
  <si>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</si>
  <si>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</si>
  <si>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</si>
  <si>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</si>
  <si>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</si>
  <si>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</si>
  <si>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</si>
  <si>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</si>
  <si>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</si>
  <si>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</si>
  <si>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</si>
  <si>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</si>
  <si>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</si>
  <si>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</si>
  <si>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</si>
  <si>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</si>
  <si>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</si>
  <si>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</si>
  <si>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</si>
  <si>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</si>
  <si>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</si>
  <si>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</si>
  <si>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</si>
  <si>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</si>
  <si>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</si>
  <si>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</si>
  <si>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</si>
  <si>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</si>
  <si>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</si>
  <si>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</si>
  <si>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</si>
  <si>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</si>
  <si>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</si>
  <si>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</si>
  <si>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</si>
  <si>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</si>
  <si>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</si>
  <si>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</si>
  <si>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</si>
  <si>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</si>
  <si>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</si>
  <si>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</si>
  <si>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</si>
  <si>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</si>
  <si>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</si>
  <si>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</si>
  <si>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</si>
  <si>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</si>
  <si>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</si>
  <si>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</si>
  <si>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</si>
  <si>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</si>
  <si>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</si>
  <si>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</si>
  <si>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</si>
  <si>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</si>
  <si>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</si>
  <si>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</si>
  <si>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</si>
  <si>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</si>
  <si>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</si>
  <si>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</si>
  <si>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</si>
  <si>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</si>
  <si>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</si>
  <si>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</si>
  <si>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</si>
  <si>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</si>
  <si>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12/03/2026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</si>
</sst>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02" t="s">
        <v>38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11"/>
      <c r="M1" s="11"/>
      <c r="N1" s="11"/>
    </row>
    <row r="2" spans="1:15" ht="31" customHeight="1">
      <c r="A2" s="204" t="s">
        <v>37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11"/>
      <c r="M2" s="11"/>
      <c r="N2" s="11"/>
    </row>
    <row r="3" spans="1:15" ht="15" customHeight="1" thickBot="1">
      <c r="A3" s="204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0</v>
      </c>
      <c r="C16" s="66">
        <f>KARONGI!G29</f>
        <v>38592</v>
      </c>
      <c r="D16" s="4"/>
      <c r="E16" s="3"/>
      <c r="F16" s="68">
        <f t="shared" si="0"/>
        <v>38592</v>
      </c>
      <c r="G16" s="65">
        <f>KARONGI!C33</f>
        <v>0</v>
      </c>
      <c r="H16" s="66">
        <f>KARONGI!C31</f>
        <v>38592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0</v>
      </c>
      <c r="C29" s="99">
        <f t="shared" si="1"/>
        <v>38592</v>
      </c>
      <c r="D29" s="100">
        <f t="shared" si="1"/>
        <v>0</v>
      </c>
      <c r="E29" s="99">
        <f t="shared" si="1"/>
        <v>0</v>
      </c>
      <c r="F29" s="99">
        <f>SUM(F5:F28)</f>
        <v>38592</v>
      </c>
      <c r="G29" s="100">
        <f>SUM(G5:G28)</f>
        <v>0</v>
      </c>
      <c r="H29" s="100">
        <f>SUM(H5:H28)</f>
        <v>38592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96"/>
      <c r="B30" s="196"/>
      <c r="C30" s="196"/>
      <c r="D30" s="197"/>
      <c r="E30" s="230" t="s">
        <v>12</v>
      </c>
      <c r="F30" s="231"/>
      <c r="G30" s="231"/>
      <c r="H30" s="231"/>
      <c r="I30" s="232"/>
      <c r="J30" s="206"/>
      <c r="K30" s="207"/>
      <c r="L30" s="11"/>
    </row>
    <row r="31" spans="1:15" ht="19" thickBot="1">
      <c r="A31" s="227" t="s">
        <v>9</v>
      </c>
      <c r="B31" s="228"/>
      <c r="C31" s="228"/>
      <c r="D31" s="228"/>
      <c r="E31" s="233"/>
      <c r="F31" s="234"/>
      <c r="G31" s="234"/>
      <c r="H31" s="234"/>
      <c r="I31" s="235"/>
      <c r="J31" s="208"/>
      <c r="K31" s="209"/>
      <c r="L31" s="11"/>
    </row>
    <row r="32" spans="1:15" ht="15" thickBot="1">
      <c r="A32" s="198" t="s">
        <v>13</v>
      </c>
      <c r="B32" s="199"/>
      <c r="C32" s="200">
        <f>F29</f>
        <v>38592</v>
      </c>
      <c r="D32" s="201"/>
      <c r="E32" s="233"/>
      <c r="F32" s="234"/>
      <c r="G32" s="234"/>
      <c r="H32" s="234"/>
      <c r="I32" s="235"/>
      <c r="J32" s="208"/>
      <c r="K32" s="209"/>
      <c r="L32" s="11"/>
    </row>
    <row r="33" spans="1:12" ht="15" thickBot="1">
      <c r="A33" s="198" t="s">
        <v>14</v>
      </c>
      <c r="B33" s="199"/>
      <c r="C33" s="221">
        <f>SUM(F29,G29)</f>
        <v>38592</v>
      </c>
      <c r="D33" s="229"/>
      <c r="E33" s="233"/>
      <c r="F33" s="234"/>
      <c r="G33" s="234"/>
      <c r="H33" s="234"/>
      <c r="I33" s="235"/>
      <c r="J33" s="208"/>
      <c r="K33" s="209"/>
      <c r="L33" s="11"/>
    </row>
    <row r="34" spans="1:12" ht="15" thickBot="1">
      <c r="A34" s="223" t="s">
        <v>81</v>
      </c>
      <c r="B34" s="224"/>
      <c r="C34" s="221">
        <f>SUM(H29+I29+J29)</f>
        <v>38592</v>
      </c>
      <c r="D34" s="222"/>
      <c r="E34" s="233"/>
      <c r="F34" s="234"/>
      <c r="G34" s="234"/>
      <c r="H34" s="234"/>
      <c r="I34" s="235"/>
      <c r="J34" s="208"/>
      <c r="K34" s="209"/>
      <c r="L34" s="11"/>
    </row>
    <row r="35" spans="1:12" ht="15" thickBot="1">
      <c r="A35" s="198" t="s">
        <v>11</v>
      </c>
      <c r="B35" s="199"/>
      <c r="C35" s="221">
        <f>SUM(D29:E29)</f>
        <v>0</v>
      </c>
      <c r="D35" s="222"/>
      <c r="E35" s="236"/>
      <c r="F35" s="237"/>
      <c r="G35" s="237"/>
      <c r="H35" s="237"/>
      <c r="I35" s="238"/>
      <c r="J35" s="208"/>
      <c r="K35" s="209"/>
      <c r="L35" s="11"/>
    </row>
    <row r="36" spans="1:12" ht="15" thickBot="1">
      <c r="A36" s="198" t="s">
        <v>10</v>
      </c>
      <c r="B36" s="199"/>
      <c r="C36" s="221">
        <f t="shared" ref="C36" si="2">SUM(C33,C35)</f>
        <v>38592</v>
      </c>
      <c r="D36" s="222"/>
      <c r="E36" s="212" t="s">
        <v>36</v>
      </c>
      <c r="F36" s="213"/>
      <c r="G36" s="213"/>
      <c r="H36" s="213"/>
      <c r="I36" s="214"/>
      <c r="J36" s="208"/>
      <c r="K36" s="209"/>
      <c r="L36" s="11"/>
    </row>
    <row r="37" spans="1:12" ht="15" thickBot="1">
      <c r="A37" s="225" t="s">
        <v>15</v>
      </c>
      <c r="B37" s="226"/>
      <c r="C37" s="221">
        <f>SUM(C34:D35)</f>
        <v>38592</v>
      </c>
      <c r="D37" s="222"/>
      <c r="E37" s="215"/>
      <c r="F37" s="216"/>
      <c r="G37" s="216"/>
      <c r="H37" s="216"/>
      <c r="I37" s="217"/>
      <c r="J37" s="208"/>
      <c r="K37" s="209"/>
      <c r="L37" s="11"/>
    </row>
    <row r="38" spans="1:12" ht="26.5" thickBot="1">
      <c r="A38" s="218" t="s">
        <v>16</v>
      </c>
      <c r="B38" s="219"/>
      <c r="C38" s="219"/>
      <c r="D38" s="219"/>
      <c r="E38" s="219"/>
      <c r="F38" s="219"/>
      <c r="G38" s="219"/>
      <c r="H38" s="219"/>
      <c r="I38" s="220"/>
      <c r="J38" s="210"/>
      <c r="K38" s="211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12</v>
      </c>
      <c r="C17" s="39"/>
      <c r="D17" s="39">
        <v>266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3192</v>
      </c>
      <c r="H17" s="27">
        <f>SUM(F17:G17)</f>
        <v>3192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100</v>
      </c>
      <c r="C21" s="22"/>
      <c r="D21" s="22">
        <v>354</v>
      </c>
      <c r="E21" s="31">
        <f t="shared" si="4"/>
        <v>0</v>
      </c>
      <c r="F21" s="28">
        <f t="shared" si="3"/>
        <v>0</v>
      </c>
      <c r="G21" s="28">
        <f t="shared" si="5"/>
        <v>35400</v>
      </c>
      <c r="H21" s="28">
        <f t="shared" si="6"/>
        <v>35400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38592</v>
      </c>
      <c r="H29" s="26">
        <f>SUM(F29:G29)</f>
        <v>38592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38592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38592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12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100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112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12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100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112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2026-03-12T17:44:00Z</dcterms:modified>
</cp:coreProperties>
</file>