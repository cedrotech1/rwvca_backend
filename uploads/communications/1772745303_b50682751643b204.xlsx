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9B67534-5A68-4B13-B3E2-921B89986F83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D4" i="21" s="1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1" i="12" l="1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<sst xmlns="http://schemas.openxmlformats.org/spreadsheetml/2006/main" count="1530" uniqueCount="88">
  <si>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</si>
  <si>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</si>
  <si>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</si>
  <si>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</si>
  <si>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</si>
  <si>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</si>
  <si>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</si>
  <si>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</si>
  <si>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</si>
  <si>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</si>
  <si>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</si>
  <si>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</si>
  <si>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</si>
  <si>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</si>
  <si>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</si>
  <si>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</si>
  <si>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</si>
  <si>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</si>
  <si>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</si>
  <si>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</si>
  <si>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</si>
  <si>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</si>
  <si>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</si>
  <si>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</si>
  <si>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</si>
  <si>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</si>
  <si>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</si>
  <si>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</si>
  <si>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</si>
  <si>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</si>
  <si>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</si>
  <si>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</si>
  <si>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</si>
  <si>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</si>
  <si>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</si>
  <si>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</si>
  <si>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</si>
  <si>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</si>
  <si>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</si>
  <si>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</si>
  <si>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</si>
  <si>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</si>
  <si>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</si>
  <si>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</si>
  <si>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</si>
  <si>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</si>
  <si>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</si>
  <si>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</si>
  <si>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</si>
  <si>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</si>
  <si>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</si>
  <si>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</si>
  <si>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</si>
  <si>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</si>
  <si>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</si>
  <si>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</si>
  <si>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</si>
  <si>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</si>
  <si>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</si>
  <si>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</si>
  <si>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</si>
  <si>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</si>
  <si>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</si>
  <si>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</si>
  <si>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</si>
  <si>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</si>
  <si>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</si>
  <si>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</si>
  <si>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</si>
  <si>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</si>
  <si>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</si>
  <si>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</si>
  <si>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</si>
  <si>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</si>
  <si>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</si>
  <si>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</si>
  <si>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</si>
  <si>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</si>
  <si>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</si>
  <si>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</si>
  <si>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</si>
  <si>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</si>
  <si>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</si>
  <si>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</si>
  <si>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</si>
  <si>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</si>
  <si>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</si>
  <si>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DAILY REPORT ON 05/03/2026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</si>
</sst>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0" fontId="3" fillId="4" borderId="20" xfId="0" applyFont="1" applyFill="1" applyBorder="1"/>
    <xf numFmtId="0" fontId="3" fillId="4" borderId="5" xfId="0" applyFont="1" applyFill="1" applyBorder="1"/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15" t="s">
        <v>38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"/>
      <c r="M1" s="11"/>
      <c r="N1" s="11"/>
    </row>
    <row r="2" spans="1:15" ht="31" customHeight="1">
      <c r="A2" s="117" t="s">
        <v>37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"/>
      <c r="M2" s="11"/>
      <c r="N2" s="11"/>
    </row>
    <row r="3" spans="1:15" ht="15" customHeight="1" thickBo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151200</v>
      </c>
      <c r="C16" s="66">
        <f>KARONGI!G29</f>
        <v>17000</v>
      </c>
      <c r="D16" s="4"/>
      <c r="E16" s="3"/>
      <c r="F16" s="68">
        <f t="shared" si="0"/>
        <v>168200</v>
      </c>
      <c r="G16" s="65">
        <f>KARONGI!C33</f>
        <v>0</v>
      </c>
      <c r="H16" s="66">
        <f>KARONGI!C31</f>
        <v>168200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151200</v>
      </c>
      <c r="C29" s="99">
        <f t="shared" si="1"/>
        <v>17000</v>
      </c>
      <c r="D29" s="100">
        <f t="shared" si="1"/>
        <v>0</v>
      </c>
      <c r="E29" s="99">
        <f t="shared" si="1"/>
        <v>0</v>
      </c>
      <c r="F29" s="99">
        <f>SUM(F5:F28)</f>
        <v>168200</v>
      </c>
      <c r="G29" s="100">
        <f>SUM(G5:G28)</f>
        <v>0</v>
      </c>
      <c r="H29" s="100">
        <f>SUM(H5:H28)</f>
        <v>168200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154"/>
      <c r="B30" s="154"/>
      <c r="C30" s="154"/>
      <c r="D30" s="155"/>
      <c r="E30" s="145" t="s">
        <v>12</v>
      </c>
      <c r="F30" s="146"/>
      <c r="G30" s="146"/>
      <c r="H30" s="146"/>
      <c r="I30" s="147"/>
      <c r="J30" s="119"/>
      <c r="K30" s="120"/>
      <c r="L30" s="11"/>
    </row>
    <row r="31" spans="1:15" ht="19" thickBot="1">
      <c r="A31" s="142" t="s">
        <v>9</v>
      </c>
      <c r="B31" s="143"/>
      <c r="C31" s="143"/>
      <c r="D31" s="143"/>
      <c r="E31" s="148"/>
      <c r="F31" s="149"/>
      <c r="G31" s="149"/>
      <c r="H31" s="149"/>
      <c r="I31" s="150"/>
      <c r="J31" s="121"/>
      <c r="K31" s="122"/>
      <c r="L31" s="11"/>
    </row>
    <row r="32" spans="1:15" ht="15" thickBot="1">
      <c r="A32" s="138" t="s">
        <v>13</v>
      </c>
      <c r="B32" s="139"/>
      <c r="C32" s="156">
        <f>F29</f>
        <v>168200</v>
      </c>
      <c r="D32" s="157"/>
      <c r="E32" s="148"/>
      <c r="F32" s="149"/>
      <c r="G32" s="149"/>
      <c r="H32" s="149"/>
      <c r="I32" s="150"/>
      <c r="J32" s="121"/>
      <c r="K32" s="122"/>
      <c r="L32" s="11"/>
    </row>
    <row r="33" spans="1:12" ht="15" thickBot="1">
      <c r="A33" s="138" t="s">
        <v>14</v>
      </c>
      <c r="B33" s="139"/>
      <c r="C33" s="134">
        <f>SUM(F29,G29)</f>
        <v>168200</v>
      </c>
      <c r="D33" s="144"/>
      <c r="E33" s="148"/>
      <c r="F33" s="149"/>
      <c r="G33" s="149"/>
      <c r="H33" s="149"/>
      <c r="I33" s="150"/>
      <c r="J33" s="121"/>
      <c r="K33" s="122"/>
      <c r="L33" s="11"/>
    </row>
    <row r="34" spans="1:12" ht="15" thickBot="1">
      <c r="A34" s="136" t="s">
        <v>81</v>
      </c>
      <c r="B34" s="137"/>
      <c r="C34" s="134">
        <f>SUM(H29+I29+J29)</f>
        <v>168200</v>
      </c>
      <c r="D34" s="135"/>
      <c r="E34" s="148"/>
      <c r="F34" s="149"/>
      <c r="G34" s="149"/>
      <c r="H34" s="149"/>
      <c r="I34" s="150"/>
      <c r="J34" s="121"/>
      <c r="K34" s="122"/>
      <c r="L34" s="11"/>
    </row>
    <row r="35" spans="1:12" ht="15" thickBot="1">
      <c r="A35" s="138" t="s">
        <v>11</v>
      </c>
      <c r="B35" s="139"/>
      <c r="C35" s="134">
        <f>SUM(D29:E29)</f>
        <v>0</v>
      </c>
      <c r="D35" s="135"/>
      <c r="E35" s="151"/>
      <c r="F35" s="152"/>
      <c r="G35" s="152"/>
      <c r="H35" s="152"/>
      <c r="I35" s="153"/>
      <c r="J35" s="121"/>
      <c r="K35" s="122"/>
      <c r="L35" s="11"/>
    </row>
    <row r="36" spans="1:12" ht="15" thickBot="1">
      <c r="A36" s="138" t="s">
        <v>10</v>
      </c>
      <c r="B36" s="139"/>
      <c r="C36" s="134">
        <f t="shared" ref="C36" si="2">SUM(C33,C35)</f>
        <v>168200</v>
      </c>
      <c r="D36" s="135"/>
      <c r="E36" s="125" t="s">
        <v>36</v>
      </c>
      <c r="F36" s="126"/>
      <c r="G36" s="126"/>
      <c r="H36" s="126"/>
      <c r="I36" s="127"/>
      <c r="J36" s="121"/>
      <c r="K36" s="122"/>
      <c r="L36" s="11"/>
    </row>
    <row r="37" spans="1:12" ht="15" thickBot="1">
      <c r="A37" s="140" t="s">
        <v>15</v>
      </c>
      <c r="B37" s="141"/>
      <c r="C37" s="134">
        <f>SUM(C34:D35)</f>
        <v>168200</v>
      </c>
      <c r="D37" s="135"/>
      <c r="E37" s="128"/>
      <c r="F37" s="129"/>
      <c r="G37" s="129"/>
      <c r="H37" s="129"/>
      <c r="I37" s="130"/>
      <c r="J37" s="121"/>
      <c r="K37" s="122"/>
      <c r="L37" s="11"/>
    </row>
    <row r="38" spans="1:12" ht="26.5" thickBot="1">
      <c r="A38" s="131" t="s">
        <v>16</v>
      </c>
      <c r="B38" s="132"/>
      <c r="C38" s="132"/>
      <c r="D38" s="132"/>
      <c r="E38" s="132"/>
      <c r="F38" s="132"/>
      <c r="G38" s="132"/>
      <c r="H38" s="132"/>
      <c r="I38" s="133"/>
      <c r="J38" s="123"/>
      <c r="K38" s="124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3" customHeight="1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22" customHeight="1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22.5" customHeight="1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24.5" customHeight="1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22" customHeight="1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22" customHeight="1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22" customHeight="1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22" customHeight="1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22" customHeight="1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22" customHeight="1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24.5" customHeight="1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25" customHeight="1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C55:D55"/>
    <mergeCell ref="C50:D50"/>
    <mergeCell ref="C51:D51"/>
    <mergeCell ref="C52:D52"/>
    <mergeCell ref="C53:D53"/>
    <mergeCell ref="C54:D5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47:H47"/>
    <mergeCell ref="E48:H48"/>
    <mergeCell ref="E49:H49"/>
    <mergeCell ref="E54:H54"/>
    <mergeCell ref="E55:H55"/>
    <mergeCell ref="E52:H52"/>
    <mergeCell ref="E53:H53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E36:F36"/>
    <mergeCell ref="A37:B37"/>
    <mergeCell ref="E37:F37"/>
    <mergeCell ref="C14:D14"/>
    <mergeCell ref="E35:F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E45:H45"/>
    <mergeCell ref="E46:H46"/>
    <mergeCell ref="E47:H47"/>
    <mergeCell ref="E42:H42"/>
    <mergeCell ref="E43:H43"/>
    <mergeCell ref="E44:H44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9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9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40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87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>
        <v>400</v>
      </c>
      <c r="C11" s="189">
        <v>2124</v>
      </c>
      <c r="D11" s="190"/>
      <c r="E11" s="20">
        <f t="shared" si="0"/>
        <v>849600</v>
      </c>
      <c r="F11" s="20">
        <f t="shared" si="1"/>
        <v>129600</v>
      </c>
      <c r="G11" s="20">
        <f>PRODUCT(B11*30)</f>
        <v>12000</v>
      </c>
      <c r="H11" s="21">
        <f t="shared" si="2"/>
        <v>141600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100</v>
      </c>
      <c r="C17" s="39">
        <v>1416</v>
      </c>
      <c r="D17" s="39">
        <v>50</v>
      </c>
      <c r="E17" s="30">
        <f>PRODUCT(B17*C17)</f>
        <v>141600</v>
      </c>
      <c r="F17" s="27">
        <f t="shared" ref="F17:F22" si="3">PRODUCT(E17*18)/118</f>
        <v>21600</v>
      </c>
      <c r="G17" s="27">
        <f>PRODUCT(B17*D17)</f>
        <v>5000</v>
      </c>
      <c r="H17" s="27">
        <f>SUM(F17:G17)</f>
        <v>26600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991200</v>
      </c>
      <c r="F29" s="37">
        <f>SUM(F6:F28)</f>
        <v>151200</v>
      </c>
      <c r="G29" s="32">
        <f>SUM(G6:G28)</f>
        <v>17000</v>
      </c>
      <c r="H29" s="26">
        <f>SUM(F29:G29)</f>
        <v>168200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>
        <v>168200</v>
      </c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168200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400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100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500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4.5" customHeight="1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customHeight="1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40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/>
  <mergeCells count="64">
    <mergeCell ref="A1:H2"/>
    <mergeCell ref="A3:H4"/>
    <mergeCell ref="C5:D5"/>
    <mergeCell ref="C6:D6"/>
    <mergeCell ref="C7:D7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222"/>
      <c r="C1" s="222"/>
      <c r="D1" s="222"/>
      <c r="E1" s="222"/>
      <c r="F1" s="222"/>
      <c r="G1" s="222"/>
      <c r="H1" s="223"/>
    </row>
    <row r="2" spans="1:8" ht="15" customHeight="1" thickBot="1">
      <c r="A2" s="224"/>
      <c r="B2" s="225"/>
      <c r="C2" s="225"/>
      <c r="D2" s="225"/>
      <c r="E2" s="225"/>
      <c r="F2" s="225"/>
      <c r="G2" s="225"/>
      <c r="H2" s="226"/>
    </row>
    <row r="3" spans="1:8" ht="14.5" customHeight="1">
      <c r="A3" s="240" t="s">
        <v>82</v>
      </c>
      <c r="B3" s="228"/>
      <c r="C3" s="228"/>
      <c r="D3" s="228"/>
      <c r="E3" s="228"/>
      <c r="F3" s="228"/>
      <c r="G3" s="228"/>
      <c r="H3" s="229"/>
    </row>
    <row r="4" spans="1:8" ht="15" customHeight="1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 ht="14.5" customHeight="1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170" t="s">
        <v>64</v>
      </c>
      <c r="D44" s="171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170" t="s">
        <v>65</v>
      </c>
      <c r="D45" s="171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170" t="s">
        <v>57</v>
      </c>
      <c r="D46" s="171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170" t="s">
        <v>57</v>
      </c>
      <c r="D47" s="171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170" t="s">
        <v>57</v>
      </c>
      <c r="D48" s="171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170" t="s">
        <v>57</v>
      </c>
      <c r="D49" s="171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170" t="s">
        <v>57</v>
      </c>
      <c r="D50" s="171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170" t="s">
        <v>57</v>
      </c>
      <c r="D51" s="171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170" t="s">
        <v>57</v>
      </c>
      <c r="D52" s="171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170" t="s">
        <v>57</v>
      </c>
      <c r="D53" s="171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170" t="s">
        <v>66</v>
      </c>
      <c r="D54" s="171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170"/>
      <c r="D55" s="171"/>
      <c r="E55" s="178"/>
      <c r="F55" s="179"/>
      <c r="G55" s="179"/>
      <c r="H55" s="180"/>
    </row>
  </sheetData>
  <sheetProtection password="C8CD" sheet="1" objects="1" scenarios="1" formatCells="0"/>
  <mergeCells count="64"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  <mergeCell ref="E54:H54"/>
    <mergeCell ref="E55:H55"/>
    <mergeCell ref="E50:H50"/>
    <mergeCell ref="E51:H51"/>
    <mergeCell ref="E52:H52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52:D52"/>
    <mergeCell ref="C53:D53"/>
    <mergeCell ref="C54:D54"/>
    <mergeCell ref="C55:D55"/>
    <mergeCell ref="C51:D5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221" t="s">
        <v>56</v>
      </c>
      <c r="B1" s="222"/>
      <c r="C1" s="222"/>
      <c r="D1" s="222"/>
      <c r="E1" s="222"/>
      <c r="F1" s="222"/>
      <c r="G1" s="222"/>
      <c r="H1" s="223"/>
    </row>
    <row r="2" spans="1:8" ht="15" thickBot="1">
      <c r="A2" s="224"/>
      <c r="B2" s="225"/>
      <c r="C2" s="225"/>
      <c r="D2" s="225"/>
      <c r="E2" s="225"/>
      <c r="F2" s="225"/>
      <c r="G2" s="225"/>
      <c r="H2" s="226"/>
    </row>
    <row r="3" spans="1:8">
      <c r="A3" s="227" t="s">
        <v>82</v>
      </c>
      <c r="B3" s="228"/>
      <c r="C3" s="228"/>
      <c r="D3" s="228"/>
      <c r="E3" s="228"/>
      <c r="F3" s="228"/>
      <c r="G3" s="228"/>
      <c r="H3" s="229"/>
    </row>
    <row r="4" spans="1:8" ht="15" thickBot="1">
      <c r="A4" s="230"/>
      <c r="B4" s="231"/>
      <c r="C4" s="231"/>
      <c r="D4" s="231"/>
      <c r="E4" s="231"/>
      <c r="F4" s="231"/>
      <c r="G4" s="231"/>
      <c r="H4" s="232"/>
    </row>
    <row r="5" spans="1:8" ht="15" thickBot="1">
      <c r="A5" s="43" t="s">
        <v>39</v>
      </c>
      <c r="B5" s="48" t="s">
        <v>40</v>
      </c>
      <c r="C5" s="233" t="s">
        <v>41</v>
      </c>
      <c r="D5" s="234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235"/>
      <c r="D6" s="236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235"/>
      <c r="D7" s="236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89"/>
      <c r="D8" s="190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89"/>
      <c r="D9" s="190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89"/>
      <c r="D10" s="190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89"/>
      <c r="D11" s="190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89"/>
      <c r="D12" s="190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89"/>
      <c r="D13" s="190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89"/>
      <c r="D14" s="190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91" t="s">
        <v>50</v>
      </c>
      <c r="B15" s="192"/>
      <c r="C15" s="192"/>
      <c r="D15" s="192"/>
      <c r="E15" s="192"/>
      <c r="F15" s="192"/>
      <c r="G15" s="192"/>
      <c r="H15" s="193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99" t="s">
        <v>79</v>
      </c>
      <c r="B30" s="200"/>
      <c r="C30" s="89" t="s">
        <v>73</v>
      </c>
      <c r="D30" s="77"/>
      <c r="E30" s="201" t="s">
        <v>71</v>
      </c>
      <c r="F30" s="202"/>
      <c r="G30" s="87" t="s">
        <v>72</v>
      </c>
      <c r="H30" s="88" t="s">
        <v>73</v>
      </c>
    </row>
    <row r="31" spans="1:8" ht="15" thickBot="1">
      <c r="A31" s="203" t="s">
        <v>69</v>
      </c>
      <c r="B31" s="204"/>
      <c r="C31" s="79"/>
      <c r="D31" s="83"/>
      <c r="E31" s="205"/>
      <c r="F31" s="205"/>
      <c r="G31" s="86"/>
      <c r="H31" s="90"/>
    </row>
    <row r="32" spans="1:8" ht="15" thickBot="1">
      <c r="A32" s="206" t="s">
        <v>70</v>
      </c>
      <c r="B32" s="207"/>
      <c r="C32" s="69"/>
      <c r="D32" s="84"/>
      <c r="E32" s="208"/>
      <c r="F32" s="208"/>
      <c r="G32" s="85"/>
      <c r="H32" s="72"/>
    </row>
    <row r="33" spans="1:8" ht="15" thickBot="1">
      <c r="A33" s="206" t="s">
        <v>74</v>
      </c>
      <c r="B33" s="207"/>
      <c r="C33" s="70"/>
      <c r="D33" s="83"/>
      <c r="E33" s="209"/>
      <c r="F33" s="209"/>
      <c r="G33" s="85"/>
      <c r="H33" s="72"/>
    </row>
    <row r="34" spans="1:8" ht="15" thickBot="1">
      <c r="A34" s="210" t="s">
        <v>75</v>
      </c>
      <c r="B34" s="211"/>
      <c r="C34" s="71"/>
      <c r="D34" s="80"/>
      <c r="E34" s="212"/>
      <c r="F34" s="209"/>
      <c r="G34" s="19"/>
      <c r="H34" s="72"/>
    </row>
    <row r="35" spans="1:8" ht="15" thickBot="1">
      <c r="A35" s="194" t="s">
        <v>76</v>
      </c>
      <c r="B35" s="195"/>
      <c r="C35" s="73"/>
      <c r="D35" s="80"/>
      <c r="E35" s="219"/>
      <c r="F35" s="220"/>
      <c r="G35" s="19"/>
      <c r="H35" s="72"/>
    </row>
    <row r="36" spans="1:8" ht="15" thickBot="1">
      <c r="A36" s="194" t="s">
        <v>77</v>
      </c>
      <c r="B36" s="195"/>
      <c r="C36" s="74"/>
      <c r="D36" s="81"/>
      <c r="E36" s="219"/>
      <c r="F36" s="220"/>
      <c r="G36" s="19"/>
      <c r="H36" s="72"/>
    </row>
    <row r="37" spans="1:8" ht="15" thickBot="1">
      <c r="A37" s="194" t="s">
        <v>78</v>
      </c>
      <c r="B37" s="195"/>
      <c r="C37" s="91">
        <f>SUM(C31+C32+C35+C36)</f>
        <v>0</v>
      </c>
      <c r="D37" s="82"/>
      <c r="E37" s="237"/>
      <c r="F37" s="238"/>
      <c r="G37" s="75"/>
      <c r="H37" s="76"/>
    </row>
    <row r="38" spans="1:8">
      <c r="A38" s="213" t="s">
        <v>58</v>
      </c>
      <c r="B38" s="214"/>
      <c r="C38" s="214"/>
      <c r="D38" s="214"/>
      <c r="E38" s="214"/>
      <c r="F38" s="214"/>
      <c r="G38" s="214"/>
      <c r="H38" s="215"/>
    </row>
    <row r="39" spans="1:8" ht="15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158" t="s">
        <v>83</v>
      </c>
      <c r="B40" s="159"/>
      <c r="C40" s="160" t="s">
        <v>59</v>
      </c>
      <c r="D40" s="161"/>
      <c r="E40" s="196" t="s">
        <v>60</v>
      </c>
      <c r="F40" s="197"/>
      <c r="G40" s="197"/>
      <c r="H40" s="198"/>
    </row>
    <row r="41" spans="1:8" ht="19" thickBot="1">
      <c r="A41" s="162"/>
      <c r="B41" s="163"/>
      <c r="C41" s="168" t="s">
        <v>62</v>
      </c>
      <c r="D41" s="169"/>
      <c r="E41" s="183">
        <f>SUM(B9:B12)</f>
        <v>0</v>
      </c>
      <c r="F41" s="184"/>
      <c r="G41" s="184"/>
      <c r="H41" s="185"/>
    </row>
    <row r="42" spans="1:8" ht="19" thickBot="1">
      <c r="A42" s="164"/>
      <c r="B42" s="165"/>
      <c r="C42" s="168" t="s">
        <v>47</v>
      </c>
      <c r="D42" s="169"/>
      <c r="E42" s="183">
        <f>SUM(B6:B8)</f>
        <v>0</v>
      </c>
      <c r="F42" s="184"/>
      <c r="G42" s="184"/>
      <c r="H42" s="185"/>
    </row>
    <row r="43" spans="1:8" ht="19" thickBot="1">
      <c r="A43" s="164"/>
      <c r="B43" s="165"/>
      <c r="C43" s="168" t="s">
        <v>63</v>
      </c>
      <c r="D43" s="169"/>
      <c r="E43" s="186">
        <f>SUM(B13:B14)</f>
        <v>0</v>
      </c>
      <c r="F43" s="187"/>
      <c r="G43" s="187"/>
      <c r="H43" s="188"/>
    </row>
    <row r="44" spans="1:8" ht="19" thickBot="1">
      <c r="A44" s="164"/>
      <c r="B44" s="165"/>
      <c r="C44" s="241" t="s">
        <v>64</v>
      </c>
      <c r="D44" s="242"/>
      <c r="E44" s="172">
        <f>SUM(B17:B18)</f>
        <v>0</v>
      </c>
      <c r="F44" s="181"/>
      <c r="G44" s="181"/>
      <c r="H44" s="182"/>
    </row>
    <row r="45" spans="1:8" ht="19" thickBot="1">
      <c r="A45" s="164"/>
      <c r="B45" s="165"/>
      <c r="C45" s="241" t="s">
        <v>65</v>
      </c>
      <c r="D45" s="242"/>
      <c r="E45" s="172">
        <f>SUM(B19:B20)</f>
        <v>0</v>
      </c>
      <c r="F45" s="181"/>
      <c r="G45" s="181"/>
      <c r="H45" s="182"/>
    </row>
    <row r="46" spans="1:8" ht="19" thickBot="1">
      <c r="A46" s="164"/>
      <c r="B46" s="165"/>
      <c r="C46" s="241" t="s">
        <v>57</v>
      </c>
      <c r="D46" s="242"/>
      <c r="E46" s="172">
        <f>B21</f>
        <v>0</v>
      </c>
      <c r="F46" s="173"/>
      <c r="G46" s="173"/>
      <c r="H46" s="174"/>
    </row>
    <row r="47" spans="1:8" ht="19" thickBot="1">
      <c r="A47" s="164"/>
      <c r="B47" s="165"/>
      <c r="C47" s="241" t="s">
        <v>57</v>
      </c>
      <c r="D47" s="242"/>
      <c r="E47" s="172">
        <f t="shared" ref="E47:E53" si="10">B22</f>
        <v>0</v>
      </c>
      <c r="F47" s="173"/>
      <c r="G47" s="173"/>
      <c r="H47" s="174"/>
    </row>
    <row r="48" spans="1:8" ht="19" thickBot="1">
      <c r="A48" s="164"/>
      <c r="B48" s="165"/>
      <c r="C48" s="241" t="s">
        <v>57</v>
      </c>
      <c r="D48" s="242"/>
      <c r="E48" s="172">
        <f t="shared" si="10"/>
        <v>0</v>
      </c>
      <c r="F48" s="173"/>
      <c r="G48" s="173"/>
      <c r="H48" s="174"/>
    </row>
    <row r="49" spans="1:8" ht="19" thickBot="1">
      <c r="A49" s="164"/>
      <c r="B49" s="165"/>
      <c r="C49" s="241" t="s">
        <v>57</v>
      </c>
      <c r="D49" s="242"/>
      <c r="E49" s="172">
        <f t="shared" si="10"/>
        <v>0</v>
      </c>
      <c r="F49" s="173"/>
      <c r="G49" s="173"/>
      <c r="H49" s="174"/>
    </row>
    <row r="50" spans="1:8" ht="19" thickBot="1">
      <c r="A50" s="164"/>
      <c r="B50" s="165"/>
      <c r="C50" s="241" t="s">
        <v>57</v>
      </c>
      <c r="D50" s="242"/>
      <c r="E50" s="172">
        <f t="shared" si="10"/>
        <v>0</v>
      </c>
      <c r="F50" s="173"/>
      <c r="G50" s="173"/>
      <c r="H50" s="174"/>
    </row>
    <row r="51" spans="1:8" ht="19" thickBot="1">
      <c r="A51" s="164"/>
      <c r="B51" s="165"/>
      <c r="C51" s="241" t="s">
        <v>57</v>
      </c>
      <c r="D51" s="242"/>
      <c r="E51" s="172">
        <f t="shared" si="10"/>
        <v>0</v>
      </c>
      <c r="F51" s="173"/>
      <c r="G51" s="173"/>
      <c r="H51" s="174"/>
    </row>
    <row r="52" spans="1:8" ht="19" thickBot="1">
      <c r="A52" s="164"/>
      <c r="B52" s="165"/>
      <c r="C52" s="241" t="s">
        <v>57</v>
      </c>
      <c r="D52" s="242"/>
      <c r="E52" s="172">
        <f t="shared" si="10"/>
        <v>0</v>
      </c>
      <c r="F52" s="173"/>
      <c r="G52" s="173"/>
      <c r="H52" s="174"/>
    </row>
    <row r="53" spans="1:8" ht="19" thickBot="1">
      <c r="A53" s="164"/>
      <c r="B53" s="165"/>
      <c r="C53" s="241" t="s">
        <v>57</v>
      </c>
      <c r="D53" s="242"/>
      <c r="E53" s="172">
        <f t="shared" si="10"/>
        <v>0</v>
      </c>
      <c r="F53" s="173"/>
      <c r="G53" s="173"/>
      <c r="H53" s="174"/>
    </row>
    <row r="54" spans="1:8" ht="21.5" thickBot="1">
      <c r="A54" s="164"/>
      <c r="B54" s="165"/>
      <c r="C54" s="241" t="s">
        <v>66</v>
      </c>
      <c r="D54" s="242"/>
      <c r="E54" s="175">
        <f>SUM(E41:H53)</f>
        <v>0</v>
      </c>
      <c r="F54" s="176"/>
      <c r="G54" s="176"/>
      <c r="H54" s="177"/>
    </row>
    <row r="55" spans="1:8" ht="19" thickBot="1">
      <c r="A55" s="166"/>
      <c r="B55" s="167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E49:H49"/>
    <mergeCell ref="C50:D50"/>
    <mergeCell ref="E50:H50"/>
    <mergeCell ref="C48:D48"/>
    <mergeCell ref="E48:H48"/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213" t="s">
        <v>58</v>
      </c>
      <c r="B1" s="214"/>
      <c r="C1" s="214"/>
      <c r="D1" s="214"/>
      <c r="E1" s="214"/>
      <c r="F1" s="214"/>
      <c r="G1" s="215"/>
    </row>
    <row r="2" spans="1:7" ht="15" thickBot="1">
      <c r="A2" s="216"/>
      <c r="B2" s="217"/>
      <c r="C2" s="217"/>
      <c r="D2" s="217"/>
      <c r="E2" s="217"/>
      <c r="F2" s="217"/>
      <c r="G2" s="218"/>
    </row>
    <row r="3" spans="1:7" ht="28.5" thickBot="1">
      <c r="A3" s="258" t="s">
        <v>59</v>
      </c>
      <c r="B3" s="259"/>
      <c r="C3" s="260"/>
      <c r="D3" s="258" t="s">
        <v>60</v>
      </c>
      <c r="E3" s="259"/>
      <c r="F3" s="259"/>
      <c r="G3" s="260"/>
    </row>
    <row r="4" spans="1:7" ht="41.5" customHeight="1" thickBot="1">
      <c r="A4" s="255" t="s">
        <v>62</v>
      </c>
      <c r="B4" s="256"/>
      <c r="C4" s="257"/>
      <c r="D4" s="246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400</v>
      </c>
      <c r="E4" s="247"/>
      <c r="F4" s="247"/>
      <c r="G4" s="248"/>
    </row>
    <row r="5" spans="1:7" ht="37" customHeight="1" thickBot="1">
      <c r="A5" s="255" t="s">
        <v>47</v>
      </c>
      <c r="B5" s="256"/>
      <c r="C5" s="257"/>
      <c r="D5" s="246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47"/>
      <c r="F5" s="247"/>
      <c r="G5" s="248"/>
    </row>
    <row r="6" spans="1:7" ht="40" customHeight="1" thickBot="1">
      <c r="A6" s="255" t="s">
        <v>61</v>
      </c>
      <c r="B6" s="256"/>
      <c r="C6" s="257"/>
      <c r="D6" s="246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47"/>
      <c r="F6" s="247"/>
      <c r="G6" s="248"/>
    </row>
    <row r="7" spans="1:7" ht="38.5" customHeight="1" thickBot="1">
      <c r="A7" s="249" t="s">
        <v>84</v>
      </c>
      <c r="B7" s="250"/>
      <c r="C7" s="251"/>
      <c r="D7" s="246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100</v>
      </c>
      <c r="E7" s="247"/>
      <c r="F7" s="247"/>
      <c r="G7" s="248"/>
    </row>
    <row r="8" spans="1:7" ht="40" customHeight="1" thickBot="1">
      <c r="A8" s="249" t="s">
        <v>84</v>
      </c>
      <c r="B8" s="250"/>
      <c r="C8" s="251"/>
      <c r="D8" s="246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47"/>
      <c r="F8" s="247"/>
      <c r="G8" s="248"/>
    </row>
    <row r="9" spans="1:7" ht="38.5" customHeight="1" thickBot="1">
      <c r="A9" s="249" t="s">
        <v>84</v>
      </c>
      <c r="B9" s="250"/>
      <c r="C9" s="251"/>
      <c r="D9" s="246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47"/>
      <c r="F9" s="247"/>
      <c r="G9" s="248"/>
    </row>
    <row r="10" spans="1:7" ht="38" customHeight="1" thickBot="1">
      <c r="A10" s="249" t="s">
        <v>84</v>
      </c>
      <c r="B10" s="250"/>
      <c r="C10" s="251"/>
      <c r="D10" s="246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47"/>
      <c r="F10" s="247"/>
      <c r="G10" s="248"/>
    </row>
    <row r="11" spans="1:7" ht="38.5" customHeight="1" thickBot="1">
      <c r="A11" s="249" t="s">
        <v>84</v>
      </c>
      <c r="B11" s="250"/>
      <c r="C11" s="251"/>
      <c r="D11" s="246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47"/>
      <c r="F11" s="247"/>
      <c r="G11" s="248"/>
    </row>
    <row r="12" spans="1:7" ht="36.5" customHeight="1" thickBot="1">
      <c r="A12" s="249" t="s">
        <v>84</v>
      </c>
      <c r="B12" s="250"/>
      <c r="C12" s="251"/>
      <c r="D12" s="246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47"/>
      <c r="F12" s="247"/>
      <c r="G12" s="248"/>
    </row>
    <row r="13" spans="1:7" ht="38" customHeight="1" thickBot="1">
      <c r="A13" s="249" t="s">
        <v>84</v>
      </c>
      <c r="B13" s="250"/>
      <c r="C13" s="251"/>
      <c r="D13" s="246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47"/>
      <c r="F13" s="247"/>
      <c r="G13" s="248"/>
    </row>
    <row r="14" spans="1:7" ht="29" thickBot="1">
      <c r="A14" s="249" t="s">
        <v>84</v>
      </c>
      <c r="B14" s="250"/>
      <c r="C14" s="251"/>
      <c r="D14" s="246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47"/>
      <c r="F14" s="247"/>
      <c r="G14" s="248"/>
    </row>
    <row r="15" spans="1:7" ht="29" thickBot="1">
      <c r="A15" s="249" t="s">
        <v>84</v>
      </c>
      <c r="B15" s="250"/>
      <c r="C15" s="251"/>
      <c r="D15" s="246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47"/>
      <c r="F15" s="247"/>
      <c r="G15" s="248"/>
    </row>
    <row r="16" spans="1:7" ht="29" thickBot="1">
      <c r="A16" s="249" t="s">
        <v>84</v>
      </c>
      <c r="B16" s="250"/>
      <c r="C16" s="251"/>
      <c r="D16" s="246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47"/>
      <c r="F16" s="247"/>
      <c r="G16" s="248"/>
    </row>
    <row r="17" spans="1:7" ht="29" thickBot="1">
      <c r="A17" s="249" t="s">
        <v>66</v>
      </c>
      <c r="B17" s="250"/>
      <c r="C17" s="251"/>
      <c r="D17" s="252">
        <f>SUM(D4:D16)</f>
        <v>500</v>
      </c>
      <c r="E17" s="253"/>
      <c r="F17" s="253"/>
      <c r="G17" s="25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2026-03-05T21:01:22Z</dcterms:modified>
</cp:coreProperties>
</file>