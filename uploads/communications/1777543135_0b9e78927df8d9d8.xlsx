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esktop\REQUISITIONS 2026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" i="1" l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43" i="1" l="1"/>
</calcChain>
</file>

<file path=xl/sharedStrings.xml><?xml version="1.0" encoding="utf-8"?>
<sst xmlns="http://schemas.openxmlformats.org/spreadsheetml/2006/main" count="81" uniqueCount="58">
  <si>
    <t xml:space="preserve">                                RWANDA WOOD VALUE CHAIN ASSOCIATION</t>
  </si>
  <si>
    <t>PURCHASE ORDER</t>
  </si>
  <si>
    <t>supplier : NYIRASAFARI JEMIMA</t>
  </si>
  <si>
    <t>No</t>
  </si>
  <si>
    <t>ITEM</t>
  </si>
  <si>
    <t>QTY</t>
  </si>
  <si>
    <t xml:space="preserve"> Unit price</t>
  </si>
  <si>
    <t>UNIT PRICE</t>
  </si>
  <si>
    <t xml:space="preserve">QUANTITY </t>
  </si>
  <si>
    <t>TOTAL</t>
  </si>
  <si>
    <t>Water-inyanye, box of 12pcs</t>
  </si>
  <si>
    <t>Water-inyanye, bottle 20L</t>
  </si>
  <si>
    <t>2</t>
  </si>
  <si>
    <t>Igitoki</t>
  </si>
  <si>
    <t>Ibirayi, kinigi itoranije</t>
  </si>
  <si>
    <t>10</t>
  </si>
  <si>
    <t>Ibijumba</t>
  </si>
  <si>
    <t>3</t>
  </si>
  <si>
    <t>Amashaza</t>
  </si>
  <si>
    <t>Ibishyimbo-ibitonore</t>
  </si>
  <si>
    <t>Inkoko, inyarwanda</t>
  </si>
  <si>
    <t xml:space="preserve">Fish - Tirapia </t>
  </si>
  <si>
    <t xml:space="preserve">Viande - Liver </t>
  </si>
  <si>
    <t>1</t>
  </si>
  <si>
    <t>Ubunyobwa buseye-ubunyarwanda</t>
  </si>
  <si>
    <t>Ibitunguru byumye bitukura</t>
  </si>
  <si>
    <t>Maggie, 39cubes</t>
  </si>
  <si>
    <t>Soya sauce (dark)</t>
  </si>
  <si>
    <t>Inyanya</t>
  </si>
  <si>
    <t>Courgette</t>
  </si>
  <si>
    <t>Carotte</t>
  </si>
  <si>
    <t>Choux fleur</t>
  </si>
  <si>
    <t>Brocoli</t>
  </si>
  <si>
    <t>Pavuro nini</t>
  </si>
  <si>
    <t>Avoka</t>
  </si>
  <si>
    <t>Amatunda</t>
  </si>
  <si>
    <t>Inanasi</t>
  </si>
  <si>
    <t>Umuneke, gros michel</t>
  </si>
  <si>
    <t>Umuneke, kamara nini</t>
  </si>
  <si>
    <t>Gas, 12kg</t>
  </si>
  <si>
    <t>Papier de firme,  maximum dimension</t>
  </si>
  <si>
    <t>Choux</t>
  </si>
  <si>
    <t>Cassava flour</t>
  </si>
  <si>
    <t>Prepared by:</t>
  </si>
  <si>
    <t>VERIFIED AND APROVED BY:</t>
  </si>
  <si>
    <t>Emmanuel BIZUMUREMYI</t>
  </si>
  <si>
    <t>MUKANDAYAMBAJE CLAUDINE</t>
  </si>
  <si>
    <t>Se</t>
  </si>
  <si>
    <t xml:space="preserve">Membership coordinator </t>
  </si>
  <si>
    <t>6</t>
  </si>
  <si>
    <t>4</t>
  </si>
  <si>
    <t>Requisition Date: 01 May 2026</t>
  </si>
  <si>
    <t xml:space="preserve">Delively date: 04 FMAY 2026 at 9h30' morning </t>
  </si>
  <si>
    <t>Details PO: RWVCA/POK/001/2026</t>
  </si>
  <si>
    <t>5</t>
  </si>
  <si>
    <t>15</t>
  </si>
  <si>
    <t>ASSISTANT OF THE ACCOUNTANT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</si>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</sst>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64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b/>
      <sz val="16"/>
      <color rgb="FF00B0F0"/>
      <name val="Cambria"/>
      <family val="1"/>
    </font>
    <font>
      <b/>
      <sz val="11"/>
      <color theme="4" tint="-0.499984740745262"/>
      <name val="Calibri"/>
      <family val="2"/>
      <scheme val="minor"/>
    </font>
    <font>
      <b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3" xfId="0" applyBorder="1"/>
    <xf numFmtId="49" fontId="0" fillId="0" borderId="3" xfId="0" applyNumberFormat="1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vertical="top"/>
    </xf>
    <xf numFmtId="0" fontId="0" fillId="0" borderId="0" xfId="0" applyBorder="1"/>
    <xf numFmtId="49" fontId="0" fillId="0" borderId="0" xfId="0" applyNumberFormat="1" applyBorder="1" applyAlignment="1">
      <alignment horizontal="right"/>
    </xf>
    <xf numFmtId="0" fontId="3" fillId="0" borderId="0" xfId="0" applyFont="1" applyBorder="1"/>
    <xf numFmtId="0" fontId="0" fillId="0" borderId="0" xfId="0" applyBorder="1" applyAlignment="1">
      <alignment horizontal="right"/>
    </xf>
    <xf numFmtId="49" fontId="0" fillId="0" borderId="0" xfId="0" applyNumberFormat="1" applyBorder="1"/>
    <xf numFmtId="0" fontId="0" fillId="0" borderId="6" xfId="0" applyBorder="1"/>
    <xf numFmtId="0" fontId="4" fillId="2" borderId="7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right"/>
    </xf>
    <xf numFmtId="49" fontId="0" fillId="2" borderId="7" xfId="0" applyNumberForma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right"/>
    </xf>
    <xf numFmtId="49" fontId="0" fillId="2" borderId="0" xfId="0" applyNumberFormat="1" applyFill="1" applyBorder="1"/>
    <xf numFmtId="0" fontId="5" fillId="2" borderId="8" xfId="0" applyFont="1" applyFill="1" applyBorder="1"/>
    <xf numFmtId="0" fontId="0" fillId="2" borderId="8" xfId="0" applyFill="1" applyBorder="1" applyAlignment="1">
      <alignment horizontal="right"/>
    </xf>
    <xf numFmtId="49" fontId="0" fillId="2" borderId="8" xfId="0" applyNumberFormat="1" applyFill="1" applyBorder="1"/>
    <xf numFmtId="41" fontId="6" fillId="3" borderId="9" xfId="3" applyFont="1" applyFill="1" applyBorder="1" applyAlignment="1">
      <alignment vertical="top"/>
    </xf>
    <xf numFmtId="41" fontId="6" fillId="3" borderId="9" xfId="3" applyFont="1" applyFill="1" applyBorder="1" applyAlignment="1">
      <alignment horizontal="left" vertical="top"/>
    </xf>
    <xf numFmtId="49" fontId="6" fillId="3" borderId="9" xfId="3" applyNumberFormat="1" applyFont="1" applyFill="1" applyBorder="1" applyAlignment="1">
      <alignment horizontal="right" vertical="top"/>
    </xf>
    <xf numFmtId="41" fontId="6" fillId="3" borderId="9" xfId="3" applyFont="1" applyFill="1" applyBorder="1" applyAlignment="1">
      <alignment horizontal="left" vertical="top" wrapText="1"/>
    </xf>
    <xf numFmtId="0" fontId="7" fillId="4" borderId="10" xfId="0" applyFont="1" applyFill="1" applyBorder="1" applyAlignment="1">
      <alignment horizontal="left" vertical="top"/>
    </xf>
    <xf numFmtId="0" fontId="7" fillId="4" borderId="9" xfId="0" applyFont="1" applyFill="1" applyBorder="1" applyAlignment="1">
      <alignment horizontal="left" vertical="top"/>
    </xf>
    <xf numFmtId="164" fontId="7" fillId="4" borderId="9" xfId="1" applyNumberFormat="1" applyFont="1" applyFill="1" applyBorder="1" applyAlignment="1" applyProtection="1">
      <alignment horizontal="left" vertical="top" wrapText="1"/>
    </xf>
    <xf numFmtId="49" fontId="7" fillId="4" borderId="9" xfId="0" applyNumberFormat="1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/>
    </xf>
    <xf numFmtId="0" fontId="9" fillId="5" borderId="10" xfId="2" applyNumberFormat="1" applyFont="1" applyFill="1" applyBorder="1" applyAlignment="1"/>
    <xf numFmtId="41" fontId="10" fillId="5" borderId="9" xfId="2" applyFont="1" applyFill="1" applyBorder="1" applyAlignment="1">
      <alignment vertical="center"/>
    </xf>
    <xf numFmtId="49" fontId="11" fillId="0" borderId="9" xfId="0" applyNumberFormat="1" applyFont="1" applyBorder="1"/>
    <xf numFmtId="41" fontId="0" fillId="0" borderId="9" xfId="0" applyNumberFormat="1" applyBorder="1"/>
    <xf numFmtId="49" fontId="11" fillId="6" borderId="9" xfId="0" applyNumberFormat="1" applyFont="1" applyFill="1" applyBorder="1"/>
    <xf numFmtId="41" fontId="12" fillId="5" borderId="9" xfId="2" applyFont="1" applyFill="1" applyBorder="1" applyAlignment="1">
      <alignment vertical="center"/>
    </xf>
    <xf numFmtId="0" fontId="9" fillId="5" borderId="10" xfId="0" applyFont="1" applyFill="1" applyBorder="1"/>
    <xf numFmtId="0" fontId="10" fillId="5" borderId="9" xfId="0" applyFont="1" applyFill="1" applyBorder="1" applyAlignment="1">
      <alignment vertical="center"/>
    </xf>
    <xf numFmtId="164" fontId="10" fillId="5" borderId="9" xfId="1" applyNumberFormat="1" applyFont="1" applyFill="1" applyBorder="1" applyAlignment="1">
      <alignment vertical="center"/>
    </xf>
    <xf numFmtId="0" fontId="10" fillId="5" borderId="9" xfId="0" applyFont="1" applyFill="1" applyBorder="1" applyAlignment="1">
      <alignment horizontal="left" vertical="center"/>
    </xf>
    <xf numFmtId="41" fontId="13" fillId="0" borderId="9" xfId="0" applyNumberFormat="1" applyFont="1" applyBorder="1"/>
    <xf numFmtId="0" fontId="14" fillId="0" borderId="0" xfId="4" applyFont="1" applyBorder="1" applyAlignment="1">
      <alignment vertical="top"/>
    </xf>
    <xf numFmtId="0" fontId="13" fillId="0" borderId="0" xfId="4" applyFont="1" applyBorder="1" applyAlignment="1">
      <alignment horizontal="left" vertical="top"/>
    </xf>
    <xf numFmtId="0" fontId="15" fillId="0" borderId="0" xfId="4" applyFont="1" applyBorder="1" applyAlignment="1">
      <alignment vertical="top"/>
    </xf>
    <xf numFmtId="0" fontId="2" fillId="0" borderId="0" xfId="0" applyFont="1" applyBorder="1"/>
    <xf numFmtId="49" fontId="16" fillId="0" borderId="0" xfId="4" applyNumberFormat="1" applyFont="1" applyBorder="1" applyAlignment="1">
      <alignment horizontal="left"/>
    </xf>
    <xf numFmtId="0" fontId="17" fillId="0" borderId="0" xfId="4" applyFont="1" applyBorder="1"/>
    <xf numFmtId="0" fontId="1" fillId="0" borderId="5" xfId="4" applyBorder="1" applyAlignment="1">
      <alignment vertical="top"/>
    </xf>
    <xf numFmtId="0" fontId="15" fillId="0" borderId="0" xfId="4" applyFont="1" applyBorder="1" applyAlignment="1">
      <alignment horizontal="right" vertical="center"/>
    </xf>
    <xf numFmtId="49" fontId="11" fillId="0" borderId="0" xfId="4" applyNumberFormat="1" applyFont="1" applyBorder="1" applyAlignment="1">
      <alignment horizontal="right"/>
    </xf>
    <xf numFmtId="0" fontId="18" fillId="0" borderId="0" xfId="4" applyFont="1" applyBorder="1"/>
    <xf numFmtId="0" fontId="14" fillId="0" borderId="0" xfId="4" applyFont="1" applyBorder="1" applyAlignment="1">
      <alignment vertical="center"/>
    </xf>
    <xf numFmtId="0" fontId="1" fillId="0" borderId="0" xfId="4" applyBorder="1"/>
    <xf numFmtId="0" fontId="9" fillId="0" borderId="0" xfId="4" applyFont="1" applyBorder="1" applyAlignment="1">
      <alignment horizontal="left" vertical="center"/>
    </xf>
    <xf numFmtId="49" fontId="11" fillId="0" borderId="0" xfId="4" applyNumberFormat="1" applyFont="1" applyBorder="1" applyAlignment="1">
      <alignment horizontal="right" vertical="center"/>
    </xf>
    <xf numFmtId="0" fontId="2" fillId="0" borderId="0" xfId="4" applyFont="1" applyBorder="1"/>
    <xf numFmtId="0" fontId="15" fillId="0" borderId="0" xfId="4" applyFont="1" applyBorder="1" applyAlignment="1">
      <alignment vertical="center"/>
    </xf>
    <xf numFmtId="0" fontId="0" fillId="0" borderId="14" xfId="0" applyBorder="1"/>
    <xf numFmtId="0" fontId="0" fillId="0" borderId="15" xfId="0" applyBorder="1" applyAlignment="1">
      <alignment vertical="top"/>
    </xf>
    <xf numFmtId="0" fontId="2" fillId="0" borderId="16" xfId="0" applyFont="1" applyBorder="1"/>
    <xf numFmtId="49" fontId="0" fillId="0" borderId="16" xfId="0" applyNumberFormat="1" applyBorder="1" applyAlignment="1">
      <alignment horizontal="right"/>
    </xf>
    <xf numFmtId="0" fontId="0" fillId="0" borderId="16" xfId="0" applyBorder="1"/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top"/>
    </xf>
    <xf numFmtId="49" fontId="15" fillId="0" borderId="3" xfId="4" applyNumberFormat="1" applyFont="1" applyBorder="1" applyAlignment="1">
      <alignment horizontal="left" vertical="top"/>
    </xf>
  </cellXfs>
  <cellStyles count="5">
    <cellStyle name="Comma" xfId="1" builtinId="3"/>
    <cellStyle name="Comma [0]" xfId="2" builtinId="6"/>
    <cellStyle name="Comma [0] 2" xfId="3"/>
    <cellStyle name="Normal" xfId="0" builtinId="0"/>
    <cellStyle name="Normal 3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</xdr:row>
      <xdr:rowOff>0</xdr:rowOff>
    </xdr:from>
    <xdr:ext cx="1240790" cy="746760"/>
    <xdr:pic>
      <xdr:nvPicPr>
        <xdr:cNvPr id="5" name="Picture 4" descr="D:\RWCA documents\Logo\RWVCA logo.jpe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0" y="200025"/>
          <a:ext cx="1240790" cy="7467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9525</xdr:colOff>
      <xdr:row>1</xdr:row>
      <xdr:rowOff>38100</xdr:rowOff>
    </xdr:from>
    <xdr:ext cx="1028700" cy="727710"/>
    <xdr:pic>
      <xdr:nvPicPr>
        <xdr:cNvPr id="6" name="Picture 5" descr="C:\Users\HP\Downloads\psf_logo_.png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95975" y="238125"/>
          <a:ext cx="1028700" cy="72771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</xdr:col>
      <xdr:colOff>1285875</xdr:colOff>
      <xdr:row>4</xdr:row>
      <xdr:rowOff>19050</xdr:rowOff>
    </xdr:from>
    <xdr:to>
      <xdr:col>4</xdr:col>
      <xdr:colOff>38100</xdr:colOff>
      <xdr:row>4</xdr:row>
      <xdr:rowOff>38101</xdr:rowOff>
    </xdr:to>
    <xdr:cxnSp macro="">
      <xdr:nvCxnSpPr>
        <xdr:cNvPr id="7" name="AutoShape 1"/>
        <xdr:cNvCxnSpPr>
          <a:cxnSpLocks noChangeShapeType="1"/>
        </xdr:cNvCxnSpPr>
      </xdr:nvCxnSpPr>
      <xdr:spPr bwMode="auto">
        <a:xfrm flipV="1">
          <a:off x="1666875" y="809625"/>
          <a:ext cx="4257675" cy="19051"/>
        </a:xfrm>
        <a:prstGeom prst="straightConnector1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topLeftCell="A3" workbookViewId="0">
      <selection activeCell="A13" sqref="A13:D42"/>
    </sheetView>
  </sheetViews>
  <sheetFormatPr defaultRowHeight="15" x14ac:dyDescent="0.25"/>
  <cols>
    <col min="1" max="1" width="5.7109375" customWidth="1"/>
    <col min="2" max="2" width="52.28515625" customWidth="1"/>
    <col min="4" max="4" width="21.140625" customWidth="1"/>
    <col min="5" max="5" width="15" customWidth="1"/>
  </cols>
  <sheetData>
    <row r="1" spans="1:5" ht="15.75" thickBot="1" x14ac:dyDescent="0.3"/>
    <row r="2" spans="1:5" x14ac:dyDescent="0.25">
      <c r="A2" s="1"/>
      <c r="B2" s="2"/>
      <c r="C2" s="3"/>
      <c r="D2" s="4"/>
      <c r="E2" s="3"/>
    </row>
    <row r="3" spans="1:5" x14ac:dyDescent="0.25">
      <c r="A3" s="5"/>
      <c r="B3" s="6"/>
      <c r="C3" s="7"/>
      <c r="D3" s="8"/>
      <c r="E3" s="7"/>
    </row>
    <row r="4" spans="1:5" ht="16.5" x14ac:dyDescent="0.25">
      <c r="A4" s="5"/>
      <c r="B4" s="9" t="s">
        <v>0</v>
      </c>
      <c r="C4" s="10"/>
      <c r="D4" s="11"/>
      <c r="E4" s="12"/>
    </row>
    <row r="5" spans="1:5" ht="16.5" x14ac:dyDescent="0.25">
      <c r="A5" s="5"/>
      <c r="B5" s="6"/>
      <c r="C5" s="9"/>
      <c r="D5" s="8"/>
      <c r="E5" s="7"/>
    </row>
    <row r="6" spans="1:5" ht="20.25" x14ac:dyDescent="0.25">
      <c r="A6" s="5"/>
      <c r="B6" s="13" t="s">
        <v>1</v>
      </c>
      <c r="C6" s="14"/>
      <c r="D6" s="15"/>
      <c r="E6" s="7"/>
    </row>
    <row r="7" spans="1:5" x14ac:dyDescent="0.25">
      <c r="A7" s="5"/>
      <c r="B7" s="16" t="s">
        <v>2</v>
      </c>
      <c r="C7" s="17"/>
      <c r="D7" s="18"/>
      <c r="E7" s="7"/>
    </row>
    <row r="8" spans="1:5" x14ac:dyDescent="0.25">
      <c r="A8" s="5"/>
      <c r="B8" s="16" t="s">
        <v>51</v>
      </c>
      <c r="C8" s="17"/>
      <c r="D8" s="18"/>
      <c r="E8" s="7"/>
    </row>
    <row r="9" spans="1:5" x14ac:dyDescent="0.25">
      <c r="A9" s="5"/>
      <c r="B9" s="16" t="s">
        <v>52</v>
      </c>
      <c r="C9" s="17"/>
      <c r="D9" s="18"/>
      <c r="E9" s="7"/>
    </row>
    <row r="10" spans="1:5" x14ac:dyDescent="0.25">
      <c r="A10" s="5"/>
      <c r="B10" s="19" t="s">
        <v>53</v>
      </c>
      <c r="C10" s="20"/>
      <c r="D10" s="21"/>
      <c r="E10" s="7"/>
    </row>
    <row r="11" spans="1:5" x14ac:dyDescent="0.25">
      <c r="A11" s="5"/>
      <c r="B11" s="7"/>
      <c r="C11" s="7"/>
      <c r="D11" s="11"/>
      <c r="E11" s="7"/>
    </row>
    <row r="12" spans="1:5" x14ac:dyDescent="0.25">
      <c r="A12" s="5"/>
      <c r="B12" s="22" t="s">
        <v>3</v>
      </c>
      <c r="C12" s="23" t="s">
        <v>4</v>
      </c>
      <c r="D12" s="24" t="s">
        <v>5</v>
      </c>
      <c r="E12" s="25" t="s">
        <v>6</v>
      </c>
    </row>
    <row r="13" spans="1:5" ht="31.5" x14ac:dyDescent="0.25">
      <c r="A13" s="26" t="s">
        <v>3</v>
      </c>
      <c r="B13" s="27" t="s">
        <v>4</v>
      </c>
      <c r="C13" s="28" t="s">
        <v>7</v>
      </c>
      <c r="D13" s="29" t="s">
        <v>8</v>
      </c>
      <c r="E13" s="30" t="s">
        <v>9</v>
      </c>
    </row>
    <row r="14" spans="1:5" ht="15.75" x14ac:dyDescent="0.25">
      <c r="A14" s="31">
        <v>2</v>
      </c>
      <c r="B14" s="32" t="s">
        <v>10</v>
      </c>
      <c r="C14" s="32">
        <v>5994</v>
      </c>
      <c r="D14" s="33" t="s">
        <v>17</v>
      </c>
      <c r="E14" s="34">
        <f t="shared" ref="E14:E32" si="0">C14*D14</f>
        <v>17982</v>
      </c>
    </row>
    <row r="15" spans="1:5" ht="15.75" x14ac:dyDescent="0.25">
      <c r="A15" s="31">
        <v>3</v>
      </c>
      <c r="B15" s="32" t="s">
        <v>11</v>
      </c>
      <c r="C15" s="32">
        <v>5328</v>
      </c>
      <c r="D15" s="33" t="s">
        <v>17</v>
      </c>
      <c r="E15" s="34">
        <f t="shared" si="0"/>
        <v>15984</v>
      </c>
    </row>
    <row r="16" spans="1:5" ht="15.75" x14ac:dyDescent="0.25">
      <c r="A16" s="31">
        <v>21</v>
      </c>
      <c r="B16" s="32" t="s">
        <v>13</v>
      </c>
      <c r="C16" s="32">
        <v>905.76</v>
      </c>
      <c r="D16" s="35" t="s">
        <v>54</v>
      </c>
      <c r="E16" s="34">
        <f t="shared" si="0"/>
        <v>4528.8</v>
      </c>
    </row>
    <row r="17" spans="1:5" ht="15.75" x14ac:dyDescent="0.25">
      <c r="A17" s="31">
        <v>22</v>
      </c>
      <c r="B17" s="32" t="s">
        <v>14</v>
      </c>
      <c r="C17" s="32">
        <v>1731.6</v>
      </c>
      <c r="D17" s="35" t="s">
        <v>15</v>
      </c>
      <c r="E17" s="34">
        <f t="shared" si="0"/>
        <v>17316</v>
      </c>
    </row>
    <row r="18" spans="1:5" ht="15.75" x14ac:dyDescent="0.25">
      <c r="A18" s="31">
        <v>23</v>
      </c>
      <c r="B18" s="32" t="s">
        <v>16</v>
      </c>
      <c r="C18" s="32">
        <v>1110</v>
      </c>
      <c r="D18" s="35" t="s">
        <v>50</v>
      </c>
      <c r="E18" s="34">
        <f t="shared" si="0"/>
        <v>4440</v>
      </c>
    </row>
    <row r="19" spans="1:5" ht="15.75" x14ac:dyDescent="0.25">
      <c r="A19" s="31">
        <v>26</v>
      </c>
      <c r="B19" s="32" t="s">
        <v>18</v>
      </c>
      <c r="C19" s="32">
        <v>4495.5</v>
      </c>
      <c r="D19" s="33" t="s">
        <v>23</v>
      </c>
      <c r="E19" s="34">
        <f t="shared" si="0"/>
        <v>4495.5</v>
      </c>
    </row>
    <row r="20" spans="1:5" ht="15.75" x14ac:dyDescent="0.25">
      <c r="A20" s="31">
        <v>28</v>
      </c>
      <c r="B20" s="32" t="s">
        <v>19</v>
      </c>
      <c r="C20" s="32">
        <v>2886</v>
      </c>
      <c r="D20" s="33" t="s">
        <v>23</v>
      </c>
      <c r="E20" s="34">
        <f t="shared" si="0"/>
        <v>2886</v>
      </c>
    </row>
    <row r="21" spans="1:5" ht="15.75" x14ac:dyDescent="0.25">
      <c r="A21" s="31">
        <v>31</v>
      </c>
      <c r="B21" s="32" t="s">
        <v>20</v>
      </c>
      <c r="C21" s="32">
        <v>12800</v>
      </c>
      <c r="D21" s="33" t="s">
        <v>12</v>
      </c>
      <c r="E21" s="34">
        <f t="shared" si="0"/>
        <v>25600</v>
      </c>
    </row>
    <row r="22" spans="1:5" ht="15.75" x14ac:dyDescent="0.25">
      <c r="A22" s="31">
        <v>33</v>
      </c>
      <c r="B22" s="32" t="s">
        <v>21</v>
      </c>
      <c r="C22" s="32">
        <v>9990</v>
      </c>
      <c r="D22" s="33" t="s">
        <v>12</v>
      </c>
      <c r="E22" s="34">
        <f t="shared" si="0"/>
        <v>19980</v>
      </c>
    </row>
    <row r="23" spans="1:5" ht="15.75" x14ac:dyDescent="0.25">
      <c r="A23" s="31">
        <v>39</v>
      </c>
      <c r="B23" s="32" t="s">
        <v>22</v>
      </c>
      <c r="C23" s="32">
        <v>8400</v>
      </c>
      <c r="D23" s="33" t="s">
        <v>23</v>
      </c>
      <c r="E23" s="34">
        <f t="shared" si="0"/>
        <v>8400</v>
      </c>
    </row>
    <row r="24" spans="1:5" ht="15.75" x14ac:dyDescent="0.25">
      <c r="A24" s="31">
        <v>47</v>
      </c>
      <c r="B24" s="32" t="s">
        <v>24</v>
      </c>
      <c r="C24" s="32">
        <v>5400</v>
      </c>
      <c r="D24" s="35" t="s">
        <v>57</v>
      </c>
      <c r="E24" s="34">
        <f t="shared" si="0"/>
        <v>2700</v>
      </c>
    </row>
    <row r="25" spans="1:5" ht="15.75" x14ac:dyDescent="0.25">
      <c r="A25" s="31">
        <v>49</v>
      </c>
      <c r="B25" s="32" t="s">
        <v>25</v>
      </c>
      <c r="C25" s="32">
        <v>2080</v>
      </c>
      <c r="D25" s="35" t="s">
        <v>23</v>
      </c>
      <c r="E25" s="34">
        <f t="shared" si="0"/>
        <v>2080</v>
      </c>
    </row>
    <row r="26" spans="1:5" ht="15.75" x14ac:dyDescent="0.25">
      <c r="A26" s="31">
        <v>52</v>
      </c>
      <c r="B26" s="32" t="s">
        <v>26</v>
      </c>
      <c r="C26" s="32">
        <v>3330</v>
      </c>
      <c r="D26" s="33" t="s">
        <v>23</v>
      </c>
      <c r="E26" s="34">
        <f t="shared" si="0"/>
        <v>3330</v>
      </c>
    </row>
    <row r="27" spans="1:5" ht="15.75" x14ac:dyDescent="0.25">
      <c r="A27" s="31">
        <v>60</v>
      </c>
      <c r="B27" s="32" t="s">
        <v>27</v>
      </c>
      <c r="C27" s="32">
        <v>4995</v>
      </c>
      <c r="D27" s="33" t="s">
        <v>23</v>
      </c>
      <c r="E27" s="34">
        <f t="shared" si="0"/>
        <v>4995</v>
      </c>
    </row>
    <row r="28" spans="1:5" ht="15.75" x14ac:dyDescent="0.25">
      <c r="A28" s="31">
        <v>61</v>
      </c>
      <c r="B28" s="32" t="s">
        <v>28</v>
      </c>
      <c r="C28" s="32">
        <v>2720</v>
      </c>
      <c r="D28" s="35" t="s">
        <v>12</v>
      </c>
      <c r="E28" s="34">
        <f t="shared" si="0"/>
        <v>5440</v>
      </c>
    </row>
    <row r="29" spans="1:5" ht="15.75" x14ac:dyDescent="0.25">
      <c r="A29" s="31">
        <v>64</v>
      </c>
      <c r="B29" s="32" t="s">
        <v>29</v>
      </c>
      <c r="C29" s="32">
        <v>1800</v>
      </c>
      <c r="D29" s="35" t="s">
        <v>23</v>
      </c>
      <c r="E29" s="34">
        <f t="shared" si="0"/>
        <v>1800</v>
      </c>
    </row>
    <row r="30" spans="1:5" ht="15.75" x14ac:dyDescent="0.25">
      <c r="A30" s="31">
        <v>65</v>
      </c>
      <c r="B30" s="32" t="s">
        <v>30</v>
      </c>
      <c r="C30" s="32">
        <v>2080</v>
      </c>
      <c r="D30" s="35" t="s">
        <v>23</v>
      </c>
      <c r="E30" s="34">
        <f t="shared" si="0"/>
        <v>2080</v>
      </c>
    </row>
    <row r="31" spans="1:5" ht="15.75" x14ac:dyDescent="0.25">
      <c r="A31" s="31">
        <v>66</v>
      </c>
      <c r="B31" s="32" t="s">
        <v>31</v>
      </c>
      <c r="C31" s="32">
        <v>1800</v>
      </c>
      <c r="D31" s="35" t="s">
        <v>12</v>
      </c>
      <c r="E31" s="34">
        <f t="shared" si="0"/>
        <v>3600</v>
      </c>
    </row>
    <row r="32" spans="1:5" ht="15.75" x14ac:dyDescent="0.25">
      <c r="A32" s="31">
        <v>67</v>
      </c>
      <c r="B32" s="32" t="s">
        <v>32</v>
      </c>
      <c r="C32" s="32">
        <v>2400</v>
      </c>
      <c r="D32" s="35" t="s">
        <v>12</v>
      </c>
      <c r="E32" s="34">
        <f t="shared" si="0"/>
        <v>4800</v>
      </c>
    </row>
    <row r="33" spans="1:5" ht="15.75" x14ac:dyDescent="0.25">
      <c r="A33" s="31">
        <v>68</v>
      </c>
      <c r="B33" s="32" t="s">
        <v>33</v>
      </c>
      <c r="C33" s="32">
        <v>480</v>
      </c>
      <c r="D33" s="35" t="s">
        <v>49</v>
      </c>
      <c r="E33" s="34">
        <f t="shared" ref="E33:E42" si="1">C33*D33</f>
        <v>2880</v>
      </c>
    </row>
    <row r="34" spans="1:5" ht="15.75" x14ac:dyDescent="0.25">
      <c r="A34" s="31">
        <v>80</v>
      </c>
      <c r="B34" s="32" t="s">
        <v>34</v>
      </c>
      <c r="C34" s="36">
        <v>888</v>
      </c>
      <c r="D34" s="33" t="s">
        <v>54</v>
      </c>
      <c r="E34" s="34">
        <f t="shared" si="1"/>
        <v>4440</v>
      </c>
    </row>
    <row r="35" spans="1:5" ht="15.75" x14ac:dyDescent="0.25">
      <c r="A35" s="31">
        <v>83</v>
      </c>
      <c r="B35" s="32" t="s">
        <v>35</v>
      </c>
      <c r="C35" s="32">
        <v>3600</v>
      </c>
      <c r="D35" s="33" t="s">
        <v>23</v>
      </c>
      <c r="E35" s="34">
        <f t="shared" si="1"/>
        <v>3600</v>
      </c>
    </row>
    <row r="36" spans="1:5" ht="15.75" x14ac:dyDescent="0.25">
      <c r="A36" s="31">
        <v>84</v>
      </c>
      <c r="B36" s="32" t="s">
        <v>36</v>
      </c>
      <c r="C36" s="32">
        <v>2220</v>
      </c>
      <c r="D36" s="33" t="s">
        <v>23</v>
      </c>
      <c r="E36" s="34">
        <f t="shared" si="1"/>
        <v>2220</v>
      </c>
    </row>
    <row r="37" spans="1:5" ht="15.75" x14ac:dyDescent="0.25">
      <c r="A37" s="31">
        <v>86</v>
      </c>
      <c r="B37" s="32" t="s">
        <v>37</v>
      </c>
      <c r="C37" s="32">
        <v>333</v>
      </c>
      <c r="D37" s="35" t="s">
        <v>55</v>
      </c>
      <c r="E37" s="34">
        <f t="shared" si="1"/>
        <v>4995</v>
      </c>
    </row>
    <row r="38" spans="1:5" ht="15.75" x14ac:dyDescent="0.25">
      <c r="A38" s="31">
        <v>87</v>
      </c>
      <c r="B38" s="32" t="s">
        <v>38</v>
      </c>
      <c r="C38" s="32">
        <v>3600</v>
      </c>
      <c r="D38" s="35" t="s">
        <v>12</v>
      </c>
      <c r="E38" s="34">
        <f t="shared" si="1"/>
        <v>7200</v>
      </c>
    </row>
    <row r="39" spans="1:5" ht="15.75" x14ac:dyDescent="0.25">
      <c r="A39" s="37">
        <v>90</v>
      </c>
      <c r="B39" s="38" t="s">
        <v>39</v>
      </c>
      <c r="C39" s="39">
        <v>27600</v>
      </c>
      <c r="D39" s="33" t="s">
        <v>23</v>
      </c>
      <c r="E39" s="34">
        <f t="shared" si="1"/>
        <v>27600</v>
      </c>
    </row>
    <row r="40" spans="1:5" ht="15.75" x14ac:dyDescent="0.25">
      <c r="A40" s="37">
        <v>94</v>
      </c>
      <c r="B40" s="38" t="s">
        <v>40</v>
      </c>
      <c r="C40" s="39">
        <v>15600</v>
      </c>
      <c r="D40" s="33" t="s">
        <v>23</v>
      </c>
      <c r="E40" s="34">
        <f t="shared" si="1"/>
        <v>15600</v>
      </c>
    </row>
    <row r="41" spans="1:5" ht="15.75" x14ac:dyDescent="0.25">
      <c r="A41" s="37">
        <v>115</v>
      </c>
      <c r="B41" s="40" t="s">
        <v>41</v>
      </c>
      <c r="C41" s="38">
        <v>840</v>
      </c>
      <c r="D41" s="33" t="s">
        <v>23</v>
      </c>
      <c r="E41" s="34">
        <f t="shared" si="1"/>
        <v>840</v>
      </c>
    </row>
    <row r="42" spans="1:5" ht="15.75" x14ac:dyDescent="0.25">
      <c r="A42" s="37">
        <v>128</v>
      </c>
      <c r="B42" s="40" t="s">
        <v>42</v>
      </c>
      <c r="C42" s="38">
        <v>1800</v>
      </c>
      <c r="D42" s="33" t="s">
        <v>54</v>
      </c>
      <c r="E42" s="34">
        <f t="shared" si="1"/>
        <v>9000</v>
      </c>
    </row>
    <row r="43" spans="1:5" ht="16.5" thickBot="1" x14ac:dyDescent="0.3">
      <c r="A43" s="63" t="s">
        <v>9</v>
      </c>
      <c r="B43" s="64"/>
      <c r="C43" s="64"/>
      <c r="D43" s="65"/>
      <c r="E43" s="41">
        <f>SUM(E14:E42)</f>
        <v>230812.3</v>
      </c>
    </row>
    <row r="44" spans="1:5" ht="15.75" x14ac:dyDescent="0.25">
      <c r="A44" s="5"/>
      <c r="B44" s="42" t="s">
        <v>43</v>
      </c>
      <c r="C44" s="66" t="s">
        <v>44</v>
      </c>
      <c r="D44" s="67"/>
      <c r="E44" s="43"/>
    </row>
    <row r="45" spans="1:5" ht="15.75" x14ac:dyDescent="0.25">
      <c r="A45" s="5"/>
      <c r="B45" s="44" t="s">
        <v>45</v>
      </c>
      <c r="C45" s="45" t="s">
        <v>46</v>
      </c>
      <c r="D45" s="46"/>
      <c r="E45" s="47"/>
    </row>
    <row r="46" spans="1:5" ht="15.75" x14ac:dyDescent="0.25">
      <c r="A46" s="5"/>
      <c r="B46" s="44" t="s">
        <v>47</v>
      </c>
      <c r="C46" s="45"/>
      <c r="D46" s="46"/>
      <c r="E46" s="47"/>
    </row>
    <row r="47" spans="1:5" ht="15.75" x14ac:dyDescent="0.25">
      <c r="A47" s="5"/>
      <c r="B47" s="44" t="s">
        <v>48</v>
      </c>
      <c r="C47" s="45" t="s">
        <v>56</v>
      </c>
      <c r="D47" s="46"/>
      <c r="E47" s="47"/>
    </row>
    <row r="48" spans="1:5" ht="15.75" x14ac:dyDescent="0.25">
      <c r="A48" s="5"/>
      <c r="B48" s="48"/>
      <c r="C48" s="49"/>
      <c r="D48" s="50"/>
      <c r="E48" s="51"/>
    </row>
    <row r="49" spans="1:5" ht="15.75" x14ac:dyDescent="0.25">
      <c r="A49" s="5"/>
      <c r="B49" s="6"/>
      <c r="C49" s="52"/>
      <c r="D49" s="50"/>
      <c r="E49" s="53"/>
    </row>
    <row r="50" spans="1:5" ht="15.75" x14ac:dyDescent="0.25">
      <c r="A50" s="5"/>
      <c r="B50" s="6"/>
      <c r="C50" s="54"/>
      <c r="D50" s="55"/>
      <c r="E50" s="53"/>
    </row>
    <row r="51" spans="1:5" x14ac:dyDescent="0.25">
      <c r="A51" s="5"/>
      <c r="B51" s="6"/>
      <c r="C51" s="56"/>
      <c r="D51" s="50"/>
      <c r="E51" s="53"/>
    </row>
    <row r="52" spans="1:5" ht="15.75" x14ac:dyDescent="0.25">
      <c r="A52" s="5"/>
      <c r="B52" s="6"/>
      <c r="C52" s="57"/>
      <c r="D52" s="50"/>
      <c r="E52" s="51"/>
    </row>
    <row r="53" spans="1:5" ht="15.75" thickBot="1" x14ac:dyDescent="0.3">
      <c r="A53" s="58"/>
      <c r="B53" s="59"/>
      <c r="C53" s="60"/>
      <c r="D53" s="61"/>
      <c r="E53" s="62"/>
    </row>
  </sheetData>
  <mergeCells count="1">
    <mergeCell ref="A43:D43"/>
  </mergeCells>
  <conditionalFormatting sqref="D14:D42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dcterms:created xsi:type="dcterms:W3CDTF">2026-03-13T09:55:50Z</dcterms:created>
  <dcterms:modified xsi:type="dcterms:W3CDTF">2026-04-30T09:50:19Z</dcterms:modified>
</cp:coreProperties>
</file>